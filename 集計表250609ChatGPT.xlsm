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mc:AlternateContent xmlns:mc="http://schemas.openxmlformats.org/markup-compatibility/2006">
    <mc:Choice Requires="x15">
      <x15ac:absPath xmlns:x15ac="http://schemas.microsoft.com/office/spreadsheetml/2010/11/ac" url="D:\ダウンロード\"/>
    </mc:Choice>
  </mc:AlternateContent>
  <xr:revisionPtr revIDLastSave="0" documentId="13_ncr:1_{C6A759B3-2780-412A-B29C-2EAA8ED771C0}" xr6:coauthVersionLast="47" xr6:coauthVersionMax="47" xr10:uidLastSave="{00000000-0000-0000-0000-000000000000}"/>
  <bookViews>
    <workbookView xWindow="-120" yWindow="-120" windowWidth="38640" windowHeight="21120" tabRatio="834" xr2:uid="{00000000-000D-0000-FFFF-FFFF00000000}"/>
  </bookViews>
  <sheets>
    <sheet name="在庫集計表" sheetId="19" r:id="rId1"/>
    <sheet name="詳細1" sheetId="244" r:id="rId2"/>
    <sheet name="詳細2" sheetId="245" r:id="rId3"/>
    <sheet name="受注集計表（消さない！！）" sheetId="17" r:id="rId4"/>
    <sheet name="納品数" sheetId="97" r:id="rId5"/>
    <sheet name="在庫表（箱）" sheetId="26" r:id="rId6"/>
    <sheet name="在庫表（こもの） " sheetId="27" r:id="rId7"/>
    <sheet name="ラミ（こだ）" sheetId="29" r:id="rId8"/>
    <sheet name="ラミヤマトその他" sheetId="49" r:id="rId9"/>
    <sheet name="貼り付け用" sheetId="189" r:id="rId10"/>
    <sheet name="DB接続設定" sheetId="5" r:id="rId11"/>
    <sheet name="Sheet1" sheetId="190" r:id="rId12"/>
  </sheets>
  <externalReferences>
    <externalReference r:id="rId13"/>
    <externalReference r:id="rId14"/>
  </externalReferences>
  <definedNames>
    <definedName name="_xlnm._FilterDatabase" localSheetId="7" hidden="1">'ラミ（こだ）'!$A$2:$B$2</definedName>
    <definedName name="_xlnm._FilterDatabase" localSheetId="8" hidden="1">ラミヤマトその他!#REF!</definedName>
    <definedName name="_xlnm._FilterDatabase" localSheetId="5" hidden="1">'在庫表（箱）'!$A$3:$E$24</definedName>
    <definedName name="_xlnm._FilterDatabase" localSheetId="9" hidden="1">貼り付け用!#REF!</definedName>
    <definedName name="_xlnm._FilterDatabase" localSheetId="4" hidden="1">納品数!$A$5:$S$121</definedName>
    <definedName name="_xlnm.Print_Area" localSheetId="11">Sheet1!$A$1:$B$9</definedName>
    <definedName name="_xlnm.Print_Area" localSheetId="7">'ラミ（こだ）'!$B$1:$AW$25</definedName>
    <definedName name="_xlnm.Print_Area" localSheetId="8">ラミヤマトその他!$B$1:$AF$44</definedName>
    <definedName name="_xlnm.Print_Area" localSheetId="6">'在庫表（こもの） '!$A$1:$D$140</definedName>
    <definedName name="_xlnm.Print_Area" localSheetId="5">'在庫表（箱）'!$A$3:$D$85</definedName>
    <definedName name="_xlnm.Print_Area" localSheetId="3">'受注集計表（消さない！！）'!$A$1:$D$4</definedName>
    <definedName name="_xlnm.Print_Area" localSheetId="1">詳細1!$F$3:$H$21</definedName>
    <definedName name="_xlnm.Print_Area" localSheetId="2">詳細2!$D$2:$J$49</definedName>
    <definedName name="_xlnm.Print_Area" localSheetId="9">貼り付け用!#REF!</definedName>
    <definedName name="_xlnm.Print_Titles" localSheetId="0">在庫集計表!$2:$4</definedName>
    <definedName name="_xlnm.Print_Titles" localSheetId="6">'在庫表（こもの） '!$1:$2</definedName>
    <definedName name="_xlnm.Print_Titles" localSheetId="5">'在庫表（箱）'!$1:$2</definedName>
    <definedName name="_xlnm.Print_Titles" localSheetId="3">'受注集計表（消さない！！）'!$2:$4</definedName>
    <definedName name="_xlnm.Print_Titles" localSheetId="4">納品数!$2:$4</definedName>
    <definedName name="RANGE_HISTORY" localSheetId="8">[1]SESINFO!#REF!</definedName>
    <definedName name="RANGE_HISTORY" localSheetId="9">[1]SESINFO!#REF!</definedName>
    <definedName name="RANGE_HISTORY" localSheetId="4">[1]SESINFO!#REF!</definedName>
    <definedName name="RANGE_HISTORY">[1]SESINFO!#REF!</definedName>
  </definedNames>
  <calcPr calcId="191029"/>
  <pivotCaches>
    <pivotCache cacheId="4"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3" i="19" l="1"/>
  <c r="H263" i="19" s="1"/>
  <c r="K263" i="19" s="1"/>
  <c r="M263" i="19" s="1"/>
  <c r="P263" i="19" s="1"/>
  <c r="R263" i="19" s="1"/>
  <c r="U263" i="19" s="1"/>
  <c r="W263" i="19" s="1"/>
  <c r="Z263" i="19" s="1"/>
  <c r="AB263" i="19" s="1"/>
  <c r="AE263" i="19" s="1"/>
  <c r="AG263" i="19" s="1"/>
  <c r="AJ263" i="19" s="1"/>
  <c r="AL263" i="19" s="1"/>
  <c r="AE262" i="19"/>
  <c r="AG262" i="19" s="1"/>
  <c r="AJ262" i="19" s="1"/>
  <c r="AL262" i="19" s="1"/>
  <c r="AB262" i="19"/>
  <c r="Z262" i="19"/>
  <c r="W262" i="19"/>
  <c r="U262" i="19"/>
  <c r="R262" i="19"/>
  <c r="P262" i="19"/>
  <c r="M262" i="19"/>
  <c r="K262" i="19"/>
  <c r="H262" i="19"/>
  <c r="F262" i="19"/>
  <c r="F261" i="19"/>
  <c r="H261" i="19" s="1"/>
  <c r="K261" i="19" s="1"/>
  <c r="M261" i="19" s="1"/>
  <c r="P261" i="19" s="1"/>
  <c r="R261" i="19" s="1"/>
  <c r="U261" i="19" s="1"/>
  <c r="W261" i="19" s="1"/>
  <c r="Z261" i="19" s="1"/>
  <c r="AB261" i="19" s="1"/>
  <c r="AE261" i="19" s="1"/>
  <c r="AG261" i="19" s="1"/>
  <c r="AJ261" i="19" s="1"/>
  <c r="AL261" i="19" s="1"/>
  <c r="F260" i="19"/>
  <c r="H260" i="19" s="1"/>
  <c r="K260" i="19" s="1"/>
  <c r="M260" i="19" s="1"/>
  <c r="P260" i="19" s="1"/>
  <c r="R260" i="19" s="1"/>
  <c r="U260" i="19" s="1"/>
  <c r="W260" i="19" s="1"/>
  <c r="Z260" i="19" s="1"/>
  <c r="AB260" i="19" s="1"/>
  <c r="AE260" i="19" s="1"/>
  <c r="AG260" i="19" s="1"/>
  <c r="AJ260" i="19" s="1"/>
  <c r="AL260" i="19" s="1"/>
  <c r="H259" i="19"/>
  <c r="K259" i="19" s="1"/>
  <c r="M259" i="19" s="1"/>
  <c r="P259" i="19" s="1"/>
  <c r="R259" i="19" s="1"/>
  <c r="U259" i="19" s="1"/>
  <c r="W259" i="19" s="1"/>
  <c r="Z259" i="19" s="1"/>
  <c r="AB259" i="19" s="1"/>
  <c r="AE259" i="19" s="1"/>
  <c r="AG259" i="19" s="1"/>
  <c r="AJ259" i="19" s="1"/>
  <c r="AL259" i="19" s="1"/>
  <c r="F259" i="19"/>
  <c r="F258" i="19"/>
  <c r="H258" i="19" s="1"/>
  <c r="K258" i="19" s="1"/>
  <c r="M258" i="19" s="1"/>
  <c r="P258" i="19" s="1"/>
  <c r="R258" i="19" s="1"/>
  <c r="U258" i="19" s="1"/>
  <c r="W258" i="19" s="1"/>
  <c r="Z258" i="19" s="1"/>
  <c r="AB258" i="19" s="1"/>
  <c r="AE258" i="19" s="1"/>
  <c r="AG258" i="19" s="1"/>
  <c r="AJ258" i="19" s="1"/>
  <c r="AL258" i="19" s="1"/>
  <c r="F257" i="19"/>
  <c r="H257" i="19" s="1"/>
  <c r="K257" i="19" s="1"/>
  <c r="M257" i="19" s="1"/>
  <c r="P257" i="19" s="1"/>
  <c r="R257" i="19" s="1"/>
  <c r="U257" i="19" s="1"/>
  <c r="W257" i="19" s="1"/>
  <c r="Z257" i="19" s="1"/>
  <c r="AB257" i="19" s="1"/>
  <c r="AE257" i="19" s="1"/>
  <c r="AG257" i="19" s="1"/>
  <c r="AJ257" i="19" s="1"/>
  <c r="AL257" i="19" s="1"/>
  <c r="H256" i="19"/>
  <c r="K256" i="19" s="1"/>
  <c r="M256" i="19" s="1"/>
  <c r="P256" i="19" s="1"/>
  <c r="R256" i="19" s="1"/>
  <c r="U256" i="19" s="1"/>
  <c r="W256" i="19" s="1"/>
  <c r="Z256" i="19" s="1"/>
  <c r="AB256" i="19" s="1"/>
  <c r="AE256" i="19" s="1"/>
  <c r="AG256" i="19" s="1"/>
  <c r="AJ256" i="19" s="1"/>
  <c r="AL256" i="19" s="1"/>
  <c r="F256" i="19"/>
  <c r="F255" i="19"/>
  <c r="H255" i="19" s="1"/>
  <c r="K255" i="19" s="1"/>
  <c r="M255" i="19" s="1"/>
  <c r="P255" i="19" s="1"/>
  <c r="R255" i="19" s="1"/>
  <c r="U255" i="19" s="1"/>
  <c r="W255" i="19" s="1"/>
  <c r="Z255" i="19" s="1"/>
  <c r="AB255" i="19" s="1"/>
  <c r="AE255" i="19" s="1"/>
  <c r="AG255" i="19" s="1"/>
  <c r="AJ255" i="19" s="1"/>
  <c r="AL255" i="19" s="1"/>
  <c r="F254" i="19"/>
  <c r="H254" i="19" s="1"/>
  <c r="K254" i="19" s="1"/>
  <c r="M254" i="19" s="1"/>
  <c r="P254" i="19" s="1"/>
  <c r="R254" i="19" s="1"/>
  <c r="U254" i="19" s="1"/>
  <c r="W254" i="19" s="1"/>
  <c r="Z254" i="19" s="1"/>
  <c r="AB254" i="19" s="1"/>
  <c r="AE254" i="19" s="1"/>
  <c r="AG254" i="19" s="1"/>
  <c r="AJ254" i="19" s="1"/>
  <c r="AL254" i="19" s="1"/>
  <c r="F253" i="19"/>
  <c r="H253" i="19" s="1"/>
  <c r="K253" i="19" s="1"/>
  <c r="M253" i="19" s="1"/>
  <c r="P253" i="19" s="1"/>
  <c r="R253" i="19" s="1"/>
  <c r="U253" i="19" s="1"/>
  <c r="W253" i="19" s="1"/>
  <c r="Z253" i="19" s="1"/>
  <c r="AB253" i="19" s="1"/>
  <c r="AE253" i="19" s="1"/>
  <c r="AG253" i="19" s="1"/>
  <c r="AJ253" i="19" s="1"/>
  <c r="AL253" i="19" s="1"/>
  <c r="F252" i="19"/>
  <c r="H252" i="19" s="1"/>
  <c r="K252" i="19" s="1"/>
  <c r="M252" i="19" s="1"/>
  <c r="P252" i="19" s="1"/>
  <c r="R252" i="19" s="1"/>
  <c r="U252" i="19" s="1"/>
  <c r="W252" i="19" s="1"/>
  <c r="Z252" i="19" s="1"/>
  <c r="AB252" i="19" s="1"/>
  <c r="AE252" i="19" s="1"/>
  <c r="AG252" i="19" s="1"/>
  <c r="AJ252" i="19" s="1"/>
  <c r="AL252" i="19" s="1"/>
  <c r="H251" i="19"/>
  <c r="K251" i="19" s="1"/>
  <c r="M251" i="19" s="1"/>
  <c r="P251" i="19" s="1"/>
  <c r="R251" i="19" s="1"/>
  <c r="U251" i="19" s="1"/>
  <c r="W251" i="19" s="1"/>
  <c r="Z251" i="19" s="1"/>
  <c r="AB251" i="19" s="1"/>
  <c r="AE251" i="19" s="1"/>
  <c r="AG251" i="19" s="1"/>
  <c r="AJ251" i="19" s="1"/>
  <c r="AL251" i="19" s="1"/>
  <c r="F251" i="19"/>
  <c r="F250" i="19"/>
  <c r="H250" i="19" s="1"/>
  <c r="K250" i="19" s="1"/>
  <c r="M250" i="19" s="1"/>
  <c r="P250" i="19" s="1"/>
  <c r="R250" i="19" s="1"/>
  <c r="U250" i="19" s="1"/>
  <c r="W250" i="19" s="1"/>
  <c r="Z250" i="19" s="1"/>
  <c r="AB250" i="19" s="1"/>
  <c r="AE250" i="19" s="1"/>
  <c r="AG250" i="19" s="1"/>
  <c r="AJ250" i="19" s="1"/>
  <c r="AL250" i="19" s="1"/>
  <c r="F249" i="19"/>
  <c r="H249" i="19" s="1"/>
  <c r="K249" i="19" s="1"/>
  <c r="M249" i="19" s="1"/>
  <c r="P249" i="19" s="1"/>
  <c r="R249" i="19" s="1"/>
  <c r="U249" i="19" s="1"/>
  <c r="W249" i="19" s="1"/>
  <c r="Z249" i="19" s="1"/>
  <c r="AB249" i="19" s="1"/>
  <c r="AE249" i="19" s="1"/>
  <c r="AG249" i="19" s="1"/>
  <c r="AJ249" i="19" s="1"/>
  <c r="AL249" i="19" s="1"/>
  <c r="F248" i="19"/>
  <c r="H248" i="19" s="1"/>
  <c r="K248" i="19" s="1"/>
  <c r="M248" i="19" s="1"/>
  <c r="P248" i="19" s="1"/>
  <c r="R248" i="19" s="1"/>
  <c r="U248" i="19" s="1"/>
  <c r="W248" i="19" s="1"/>
  <c r="Z248" i="19" s="1"/>
  <c r="AB248" i="19" s="1"/>
  <c r="AE248" i="19" s="1"/>
  <c r="AG248" i="19" s="1"/>
  <c r="AJ248" i="19" s="1"/>
  <c r="AL248" i="19" s="1"/>
  <c r="F247" i="19"/>
  <c r="H247" i="19" s="1"/>
  <c r="K247" i="19" s="1"/>
  <c r="M247" i="19" s="1"/>
  <c r="P247" i="19" s="1"/>
  <c r="R247" i="19" s="1"/>
  <c r="U247" i="19" s="1"/>
  <c r="W247" i="19" s="1"/>
  <c r="Z247" i="19" s="1"/>
  <c r="AB247" i="19" s="1"/>
  <c r="AE247" i="19" s="1"/>
  <c r="AG247" i="19" s="1"/>
  <c r="AJ247" i="19" s="1"/>
  <c r="AL247" i="19" s="1"/>
  <c r="F246" i="19"/>
  <c r="H246" i="19" s="1"/>
  <c r="K246" i="19" s="1"/>
  <c r="M246" i="19" s="1"/>
  <c r="P246" i="19" s="1"/>
  <c r="R246" i="19" s="1"/>
  <c r="U246" i="19" s="1"/>
  <c r="W246" i="19" s="1"/>
  <c r="Z246" i="19" s="1"/>
  <c r="AB246" i="19" s="1"/>
  <c r="AE246" i="19" s="1"/>
  <c r="AG246" i="19" s="1"/>
  <c r="AJ246" i="19" s="1"/>
  <c r="AL246" i="19" s="1"/>
  <c r="F245" i="19"/>
  <c r="H245" i="19" s="1"/>
  <c r="K245" i="19" s="1"/>
  <c r="M245" i="19" s="1"/>
  <c r="P245" i="19" s="1"/>
  <c r="R245" i="19" s="1"/>
  <c r="U245" i="19" s="1"/>
  <c r="W245" i="19" s="1"/>
  <c r="Z245" i="19" s="1"/>
  <c r="AB245" i="19" s="1"/>
  <c r="AE245" i="19" s="1"/>
  <c r="AG245" i="19" s="1"/>
  <c r="AJ245" i="19" s="1"/>
  <c r="AL245" i="19" s="1"/>
  <c r="F244" i="19"/>
  <c r="H244" i="19" s="1"/>
  <c r="K244" i="19" s="1"/>
  <c r="M244" i="19" s="1"/>
  <c r="P244" i="19" s="1"/>
  <c r="R244" i="19" s="1"/>
  <c r="U244" i="19" s="1"/>
  <c r="W244" i="19" s="1"/>
  <c r="Z244" i="19" s="1"/>
  <c r="AB244" i="19" s="1"/>
  <c r="AE244" i="19" s="1"/>
  <c r="AG244" i="19" s="1"/>
  <c r="AJ244" i="19" s="1"/>
  <c r="AL244" i="19" s="1"/>
  <c r="H243" i="19"/>
  <c r="K243" i="19" s="1"/>
  <c r="M243" i="19" s="1"/>
  <c r="P243" i="19" s="1"/>
  <c r="R243" i="19" s="1"/>
  <c r="U243" i="19" s="1"/>
  <c r="W243" i="19" s="1"/>
  <c r="Z243" i="19" s="1"/>
  <c r="AB243" i="19" s="1"/>
  <c r="AE243" i="19" s="1"/>
  <c r="AG243" i="19" s="1"/>
  <c r="AJ243" i="19" s="1"/>
  <c r="AL243" i="19" s="1"/>
  <c r="F243" i="19"/>
  <c r="F242" i="19"/>
  <c r="H242" i="19" s="1"/>
  <c r="K242" i="19" s="1"/>
  <c r="M242" i="19" s="1"/>
  <c r="P242" i="19" s="1"/>
  <c r="R242" i="19" s="1"/>
  <c r="U242" i="19" s="1"/>
  <c r="W242" i="19" s="1"/>
  <c r="Z242" i="19" s="1"/>
  <c r="AB242" i="19" s="1"/>
  <c r="AE242" i="19" s="1"/>
  <c r="AG242" i="19" s="1"/>
  <c r="AJ242" i="19" s="1"/>
  <c r="AL242" i="19" s="1"/>
  <c r="F241" i="19"/>
  <c r="H241" i="19" s="1"/>
  <c r="K241" i="19" s="1"/>
  <c r="M241" i="19" s="1"/>
  <c r="P241" i="19" s="1"/>
  <c r="R241" i="19" s="1"/>
  <c r="U241" i="19" s="1"/>
  <c r="W241" i="19" s="1"/>
  <c r="Z241" i="19" s="1"/>
  <c r="AB241" i="19" s="1"/>
  <c r="AE241" i="19" s="1"/>
  <c r="AG241" i="19" s="1"/>
  <c r="AJ241" i="19" s="1"/>
  <c r="AL241" i="19" s="1"/>
  <c r="F240" i="19"/>
  <c r="H240" i="19" s="1"/>
  <c r="K240" i="19" s="1"/>
  <c r="M240" i="19" s="1"/>
  <c r="P240" i="19" s="1"/>
  <c r="R240" i="19" s="1"/>
  <c r="U240" i="19" s="1"/>
  <c r="W240" i="19" s="1"/>
  <c r="Z240" i="19" s="1"/>
  <c r="AB240" i="19" s="1"/>
  <c r="AE240" i="19" s="1"/>
  <c r="AG240" i="19" s="1"/>
  <c r="AJ240" i="19" s="1"/>
  <c r="AL240" i="19" s="1"/>
  <c r="H239" i="19"/>
  <c r="K239" i="19" s="1"/>
  <c r="M239" i="19" s="1"/>
  <c r="P239" i="19" s="1"/>
  <c r="R239" i="19" s="1"/>
  <c r="U239" i="19" s="1"/>
  <c r="W239" i="19" s="1"/>
  <c r="Z239" i="19" s="1"/>
  <c r="AB239" i="19" s="1"/>
  <c r="AE239" i="19" s="1"/>
  <c r="AG239" i="19" s="1"/>
  <c r="AJ239" i="19" s="1"/>
  <c r="AL239" i="19" s="1"/>
  <c r="F239" i="19"/>
  <c r="F238" i="19"/>
  <c r="H238" i="19" s="1"/>
  <c r="K238" i="19" s="1"/>
  <c r="M238" i="19" s="1"/>
  <c r="P238" i="19" s="1"/>
  <c r="R238" i="19" s="1"/>
  <c r="U238" i="19" s="1"/>
  <c r="W238" i="19" s="1"/>
  <c r="Z238" i="19" s="1"/>
  <c r="AB238" i="19" s="1"/>
  <c r="AE238" i="19" s="1"/>
  <c r="AG238" i="19" s="1"/>
  <c r="AJ238" i="19" s="1"/>
  <c r="AL238" i="19" s="1"/>
  <c r="F237" i="19"/>
  <c r="H237" i="19" s="1"/>
  <c r="K237" i="19" s="1"/>
  <c r="M237" i="19" s="1"/>
  <c r="P237" i="19" s="1"/>
  <c r="R237" i="19" s="1"/>
  <c r="U237" i="19" s="1"/>
  <c r="W237" i="19" s="1"/>
  <c r="Z237" i="19" s="1"/>
  <c r="AB237" i="19" s="1"/>
  <c r="AE237" i="19" s="1"/>
  <c r="AG237" i="19" s="1"/>
  <c r="AJ237" i="19" s="1"/>
  <c r="AL237" i="19" s="1"/>
  <c r="F236" i="19"/>
  <c r="H236" i="19" s="1"/>
  <c r="K236" i="19" s="1"/>
  <c r="M236" i="19" s="1"/>
  <c r="P236" i="19" s="1"/>
  <c r="R236" i="19" s="1"/>
  <c r="U236" i="19" s="1"/>
  <c r="W236" i="19" s="1"/>
  <c r="Z236" i="19" s="1"/>
  <c r="AB236" i="19" s="1"/>
  <c r="AE236" i="19" s="1"/>
  <c r="AG236" i="19" s="1"/>
  <c r="AJ236" i="19" s="1"/>
  <c r="AL236" i="19" s="1"/>
  <c r="H235" i="19"/>
  <c r="K235" i="19" s="1"/>
  <c r="M235" i="19" s="1"/>
  <c r="P235" i="19" s="1"/>
  <c r="R235" i="19" s="1"/>
  <c r="U235" i="19" s="1"/>
  <c r="W235" i="19" s="1"/>
  <c r="Z235" i="19" s="1"/>
  <c r="AB235" i="19" s="1"/>
  <c r="AE235" i="19" s="1"/>
  <c r="AG235" i="19" s="1"/>
  <c r="AJ235" i="19" s="1"/>
  <c r="AL235" i="19" s="1"/>
  <c r="F235" i="19"/>
  <c r="F234" i="19"/>
  <c r="H234" i="19" s="1"/>
  <c r="K234" i="19" s="1"/>
  <c r="M234" i="19" s="1"/>
  <c r="P234" i="19" s="1"/>
  <c r="R234" i="19" s="1"/>
  <c r="U234" i="19" s="1"/>
  <c r="W234" i="19" s="1"/>
  <c r="Z234" i="19" s="1"/>
  <c r="AB234" i="19" s="1"/>
  <c r="AE234" i="19" s="1"/>
  <c r="AG234" i="19" s="1"/>
  <c r="AJ234" i="19" s="1"/>
  <c r="AL234" i="19" s="1"/>
  <c r="F233" i="19"/>
  <c r="H233" i="19" s="1"/>
  <c r="K233" i="19" s="1"/>
  <c r="M233" i="19" s="1"/>
  <c r="P233" i="19" s="1"/>
  <c r="R233" i="19" s="1"/>
  <c r="U233" i="19" s="1"/>
  <c r="W233" i="19" s="1"/>
  <c r="Z233" i="19" s="1"/>
  <c r="AB233" i="19" s="1"/>
  <c r="AE233" i="19" s="1"/>
  <c r="AG233" i="19" s="1"/>
  <c r="AJ233" i="19" s="1"/>
  <c r="AL233" i="19" s="1"/>
  <c r="F232" i="19"/>
  <c r="H232" i="19" s="1"/>
  <c r="K232" i="19" s="1"/>
  <c r="M232" i="19" s="1"/>
  <c r="P232" i="19" s="1"/>
  <c r="R232" i="19" s="1"/>
  <c r="U232" i="19" s="1"/>
  <c r="W232" i="19" s="1"/>
  <c r="Z232" i="19" s="1"/>
  <c r="AB232" i="19" s="1"/>
  <c r="AE232" i="19" s="1"/>
  <c r="AG232" i="19" s="1"/>
  <c r="AJ232" i="19" s="1"/>
  <c r="AL232" i="19" s="1"/>
  <c r="H231" i="19"/>
  <c r="K231" i="19" s="1"/>
  <c r="M231" i="19" s="1"/>
  <c r="P231" i="19" s="1"/>
  <c r="R231" i="19" s="1"/>
  <c r="U231" i="19" s="1"/>
  <c r="W231" i="19" s="1"/>
  <c r="Z231" i="19" s="1"/>
  <c r="AB231" i="19" s="1"/>
  <c r="AE231" i="19" s="1"/>
  <c r="AG231" i="19" s="1"/>
  <c r="AJ231" i="19" s="1"/>
  <c r="AL231" i="19" s="1"/>
  <c r="F231" i="19"/>
  <c r="F230" i="19"/>
  <c r="H230" i="19" s="1"/>
  <c r="K230" i="19" s="1"/>
  <c r="M230" i="19" s="1"/>
  <c r="P230" i="19" s="1"/>
  <c r="R230" i="19" s="1"/>
  <c r="U230" i="19" s="1"/>
  <c r="W230" i="19" s="1"/>
  <c r="Z230" i="19" s="1"/>
  <c r="AB230" i="19" s="1"/>
  <c r="AE230" i="19" s="1"/>
  <c r="AG230" i="19" s="1"/>
  <c r="AJ230" i="19" s="1"/>
  <c r="AL230" i="19" s="1"/>
  <c r="F229" i="19"/>
  <c r="H229" i="19" s="1"/>
  <c r="K229" i="19" s="1"/>
  <c r="M229" i="19" s="1"/>
  <c r="P229" i="19" s="1"/>
  <c r="R229" i="19" s="1"/>
  <c r="U229" i="19" s="1"/>
  <c r="W229" i="19" s="1"/>
  <c r="Z229" i="19" s="1"/>
  <c r="AB229" i="19" s="1"/>
  <c r="AE229" i="19" s="1"/>
  <c r="AG229" i="19" s="1"/>
  <c r="AJ229" i="19" s="1"/>
  <c r="AL229" i="19" s="1"/>
  <c r="F228" i="19"/>
  <c r="H228" i="19" s="1"/>
  <c r="K228" i="19" s="1"/>
  <c r="M228" i="19" s="1"/>
  <c r="P228" i="19" s="1"/>
  <c r="R228" i="19" s="1"/>
  <c r="U228" i="19" s="1"/>
  <c r="W228" i="19" s="1"/>
  <c r="Z228" i="19" s="1"/>
  <c r="AB228" i="19" s="1"/>
  <c r="AE228" i="19" s="1"/>
  <c r="AG228" i="19" s="1"/>
  <c r="AJ228" i="19" s="1"/>
  <c r="AL228" i="19" s="1"/>
  <c r="H227" i="19"/>
  <c r="K227" i="19" s="1"/>
  <c r="M227" i="19" s="1"/>
  <c r="P227" i="19" s="1"/>
  <c r="R227" i="19" s="1"/>
  <c r="U227" i="19" s="1"/>
  <c r="W227" i="19" s="1"/>
  <c r="Z227" i="19" s="1"/>
  <c r="AB227" i="19" s="1"/>
  <c r="AE227" i="19" s="1"/>
  <c r="AG227" i="19" s="1"/>
  <c r="AJ227" i="19" s="1"/>
  <c r="AL227" i="19" s="1"/>
  <c r="F227" i="19"/>
  <c r="F226" i="19"/>
  <c r="H226" i="19" s="1"/>
  <c r="K226" i="19" s="1"/>
  <c r="M226" i="19" s="1"/>
  <c r="P226" i="19" s="1"/>
  <c r="R226" i="19" s="1"/>
  <c r="U226" i="19" s="1"/>
  <c r="W226" i="19" s="1"/>
  <c r="Z226" i="19" s="1"/>
  <c r="AB226" i="19" s="1"/>
  <c r="AE226" i="19" s="1"/>
  <c r="AG226" i="19" s="1"/>
  <c r="AJ226" i="19" s="1"/>
  <c r="AL226" i="19" s="1"/>
  <c r="F225" i="19"/>
  <c r="H225" i="19" s="1"/>
  <c r="K225" i="19" s="1"/>
  <c r="M225" i="19" s="1"/>
  <c r="P225" i="19" s="1"/>
  <c r="R225" i="19" s="1"/>
  <c r="U225" i="19" s="1"/>
  <c r="W225" i="19" s="1"/>
  <c r="Z225" i="19" s="1"/>
  <c r="AB225" i="19" s="1"/>
  <c r="AE225" i="19" s="1"/>
  <c r="AG225" i="19" s="1"/>
  <c r="AJ225" i="19" s="1"/>
  <c r="AL225" i="19" s="1"/>
  <c r="F224" i="19"/>
  <c r="H224" i="19" s="1"/>
  <c r="K224" i="19" s="1"/>
  <c r="M224" i="19" s="1"/>
  <c r="P224" i="19" s="1"/>
  <c r="R224" i="19" s="1"/>
  <c r="U224" i="19" s="1"/>
  <c r="W224" i="19" s="1"/>
  <c r="Z224" i="19" s="1"/>
  <c r="AB224" i="19" s="1"/>
  <c r="AE224" i="19" s="1"/>
  <c r="AG224" i="19" s="1"/>
  <c r="AJ224" i="19" s="1"/>
  <c r="AL224" i="19" s="1"/>
  <c r="H223" i="19"/>
  <c r="K223" i="19" s="1"/>
  <c r="M223" i="19" s="1"/>
  <c r="P223" i="19" s="1"/>
  <c r="R223" i="19" s="1"/>
  <c r="U223" i="19" s="1"/>
  <c r="W223" i="19" s="1"/>
  <c r="Z223" i="19" s="1"/>
  <c r="AB223" i="19" s="1"/>
  <c r="AE223" i="19" s="1"/>
  <c r="AG223" i="19" s="1"/>
  <c r="AJ223" i="19" s="1"/>
  <c r="AL223" i="19" s="1"/>
  <c r="F223" i="19"/>
  <c r="F222" i="19"/>
  <c r="H222" i="19" s="1"/>
  <c r="K222" i="19" s="1"/>
  <c r="M222" i="19" s="1"/>
  <c r="P222" i="19" s="1"/>
  <c r="R222" i="19" s="1"/>
  <c r="U222" i="19" s="1"/>
  <c r="W222" i="19" s="1"/>
  <c r="Z222" i="19" s="1"/>
  <c r="AB222" i="19" s="1"/>
  <c r="AE222" i="19" s="1"/>
  <c r="AG222" i="19" s="1"/>
  <c r="AJ222" i="19" s="1"/>
  <c r="AL222" i="19" s="1"/>
  <c r="F221" i="19"/>
  <c r="H221" i="19" s="1"/>
  <c r="K221" i="19" s="1"/>
  <c r="M221" i="19" s="1"/>
  <c r="P221" i="19" s="1"/>
  <c r="R221" i="19" s="1"/>
  <c r="U221" i="19" s="1"/>
  <c r="W221" i="19" s="1"/>
  <c r="Z221" i="19" s="1"/>
  <c r="AB221" i="19" s="1"/>
  <c r="AE221" i="19" s="1"/>
  <c r="AG221" i="19" s="1"/>
  <c r="AJ221" i="19" s="1"/>
  <c r="AL221" i="19" s="1"/>
  <c r="F220" i="19"/>
  <c r="H220" i="19" s="1"/>
  <c r="K220" i="19" s="1"/>
  <c r="M220" i="19" s="1"/>
  <c r="P220" i="19" s="1"/>
  <c r="R220" i="19" s="1"/>
  <c r="U220" i="19" s="1"/>
  <c r="W220" i="19" s="1"/>
  <c r="Z220" i="19" s="1"/>
  <c r="AB220" i="19" s="1"/>
  <c r="AE220" i="19" s="1"/>
  <c r="AG220" i="19" s="1"/>
  <c r="AJ220" i="19" s="1"/>
  <c r="AL220" i="19" s="1"/>
  <c r="F219" i="19"/>
  <c r="H219" i="19" s="1"/>
  <c r="K219" i="19" s="1"/>
  <c r="M219" i="19" s="1"/>
  <c r="P219" i="19" s="1"/>
  <c r="R219" i="19" s="1"/>
  <c r="U219" i="19" s="1"/>
  <c r="W219" i="19" s="1"/>
  <c r="Z219" i="19" s="1"/>
  <c r="AB219" i="19" s="1"/>
  <c r="AE219" i="19" s="1"/>
  <c r="AG219" i="19" s="1"/>
  <c r="AJ219" i="19" s="1"/>
  <c r="AL219" i="19" s="1"/>
  <c r="F218" i="19"/>
  <c r="H218" i="19" s="1"/>
  <c r="K218" i="19" s="1"/>
  <c r="M218" i="19" s="1"/>
  <c r="P218" i="19" s="1"/>
  <c r="R218" i="19" s="1"/>
  <c r="U218" i="19" s="1"/>
  <c r="W218" i="19" s="1"/>
  <c r="Z218" i="19" s="1"/>
  <c r="AB218" i="19" s="1"/>
  <c r="AE218" i="19" s="1"/>
  <c r="AG218" i="19" s="1"/>
  <c r="AJ218" i="19" s="1"/>
  <c r="AL218" i="19" s="1"/>
  <c r="F217" i="19"/>
  <c r="H217" i="19" s="1"/>
  <c r="K217" i="19" s="1"/>
  <c r="M217" i="19" s="1"/>
  <c r="P217" i="19" s="1"/>
  <c r="R217" i="19" s="1"/>
  <c r="U217" i="19" s="1"/>
  <c r="W217" i="19" s="1"/>
  <c r="Z217" i="19" s="1"/>
  <c r="AB217" i="19" s="1"/>
  <c r="AE217" i="19" s="1"/>
  <c r="AG217" i="19" s="1"/>
  <c r="AJ217" i="19" s="1"/>
  <c r="AL217" i="19" s="1"/>
  <c r="F216" i="19"/>
  <c r="H216" i="19" s="1"/>
  <c r="K216" i="19" s="1"/>
  <c r="M216" i="19" s="1"/>
  <c r="P216" i="19" s="1"/>
  <c r="R216" i="19" s="1"/>
  <c r="U216" i="19" s="1"/>
  <c r="W216" i="19" s="1"/>
  <c r="Z216" i="19" s="1"/>
  <c r="AB216" i="19" s="1"/>
  <c r="AE216" i="19" s="1"/>
  <c r="AG216" i="19" s="1"/>
  <c r="AJ216" i="19" s="1"/>
  <c r="AL216" i="19" s="1"/>
  <c r="H215" i="19"/>
  <c r="K215" i="19" s="1"/>
  <c r="M215" i="19" s="1"/>
  <c r="P215" i="19" s="1"/>
  <c r="R215" i="19" s="1"/>
  <c r="U215" i="19" s="1"/>
  <c r="W215" i="19" s="1"/>
  <c r="Z215" i="19" s="1"/>
  <c r="AB215" i="19" s="1"/>
  <c r="AE215" i="19" s="1"/>
  <c r="AG215" i="19" s="1"/>
  <c r="AJ215" i="19" s="1"/>
  <c r="AL215" i="19" s="1"/>
  <c r="F215" i="19"/>
  <c r="F214" i="19"/>
  <c r="H214" i="19" s="1"/>
  <c r="K214" i="19" s="1"/>
  <c r="M214" i="19" s="1"/>
  <c r="P214" i="19" s="1"/>
  <c r="R214" i="19" s="1"/>
  <c r="U214" i="19" s="1"/>
  <c r="W214" i="19" s="1"/>
  <c r="Z214" i="19" s="1"/>
  <c r="AB214" i="19" s="1"/>
  <c r="AE214" i="19" s="1"/>
  <c r="AG214" i="19" s="1"/>
  <c r="AJ214" i="19" s="1"/>
  <c r="AL214" i="19" s="1"/>
  <c r="F213" i="19"/>
  <c r="H213" i="19" s="1"/>
  <c r="K213" i="19" s="1"/>
  <c r="M213" i="19" s="1"/>
  <c r="P213" i="19" s="1"/>
  <c r="R213" i="19" s="1"/>
  <c r="U213" i="19" s="1"/>
  <c r="W213" i="19" s="1"/>
  <c r="Z213" i="19" s="1"/>
  <c r="AB213" i="19" s="1"/>
  <c r="AE213" i="19" s="1"/>
  <c r="AG213" i="19" s="1"/>
  <c r="AJ213" i="19" s="1"/>
  <c r="AL213" i="19" s="1"/>
  <c r="F212" i="19"/>
  <c r="H212" i="19" s="1"/>
  <c r="K212" i="19" s="1"/>
  <c r="M212" i="19" s="1"/>
  <c r="P212" i="19" s="1"/>
  <c r="R212" i="19" s="1"/>
  <c r="U212" i="19" s="1"/>
  <c r="W212" i="19" s="1"/>
  <c r="Z212" i="19" s="1"/>
  <c r="AB212" i="19" s="1"/>
  <c r="AE212" i="19" s="1"/>
  <c r="AG212" i="19" s="1"/>
  <c r="AJ212" i="19" s="1"/>
  <c r="AL212" i="19" s="1"/>
  <c r="F211" i="19"/>
  <c r="H211" i="19" s="1"/>
  <c r="K211" i="19" s="1"/>
  <c r="M211" i="19" s="1"/>
  <c r="P211" i="19" s="1"/>
  <c r="R211" i="19" s="1"/>
  <c r="U211" i="19" s="1"/>
  <c r="W211" i="19" s="1"/>
  <c r="Z211" i="19" s="1"/>
  <c r="AB211" i="19" s="1"/>
  <c r="AE211" i="19" s="1"/>
  <c r="AG211" i="19" s="1"/>
  <c r="AJ211" i="19" s="1"/>
  <c r="AL211" i="19" s="1"/>
  <c r="H210" i="19"/>
  <c r="K210" i="19" s="1"/>
  <c r="M210" i="19" s="1"/>
  <c r="P210" i="19" s="1"/>
  <c r="R210" i="19" s="1"/>
  <c r="U210" i="19" s="1"/>
  <c r="W210" i="19" s="1"/>
  <c r="Z210" i="19" s="1"/>
  <c r="AB210" i="19" s="1"/>
  <c r="AE210" i="19" s="1"/>
  <c r="AG210" i="19" s="1"/>
  <c r="AJ210" i="19" s="1"/>
  <c r="AL210" i="19" s="1"/>
  <c r="F210" i="19"/>
  <c r="F209" i="19"/>
  <c r="H209" i="19" s="1"/>
  <c r="K209" i="19" s="1"/>
  <c r="M209" i="19" s="1"/>
  <c r="P209" i="19" s="1"/>
  <c r="R209" i="19" s="1"/>
  <c r="U209" i="19" s="1"/>
  <c r="W209" i="19" s="1"/>
  <c r="Z209" i="19" s="1"/>
  <c r="AB209" i="19" s="1"/>
  <c r="AE209" i="19" s="1"/>
  <c r="AG209" i="19" s="1"/>
  <c r="AJ209" i="19" s="1"/>
  <c r="AL209" i="19" s="1"/>
  <c r="F208" i="19"/>
  <c r="H208" i="19" s="1"/>
  <c r="K208" i="19" s="1"/>
  <c r="M208" i="19" s="1"/>
  <c r="P208" i="19" s="1"/>
  <c r="R208" i="19" s="1"/>
  <c r="U208" i="19" s="1"/>
  <c r="W208" i="19" s="1"/>
  <c r="Z208" i="19" s="1"/>
  <c r="AB208" i="19" s="1"/>
  <c r="AE208" i="19" s="1"/>
  <c r="AG208" i="19" s="1"/>
  <c r="AJ208" i="19" s="1"/>
  <c r="AL208" i="19" s="1"/>
  <c r="F207" i="19"/>
  <c r="H207" i="19" s="1"/>
  <c r="K207" i="19" s="1"/>
  <c r="M207" i="19" s="1"/>
  <c r="P207" i="19" s="1"/>
  <c r="R207" i="19" s="1"/>
  <c r="U207" i="19" s="1"/>
  <c r="W207" i="19" s="1"/>
  <c r="Z207" i="19" s="1"/>
  <c r="AB207" i="19" s="1"/>
  <c r="AE207" i="19" s="1"/>
  <c r="AG207" i="19" s="1"/>
  <c r="AJ207" i="19" s="1"/>
  <c r="AL207" i="19" s="1"/>
  <c r="F206" i="19"/>
  <c r="H206" i="19" s="1"/>
  <c r="K206" i="19" s="1"/>
  <c r="M206" i="19" s="1"/>
  <c r="P206" i="19" s="1"/>
  <c r="R206" i="19" s="1"/>
  <c r="U206" i="19" s="1"/>
  <c r="W206" i="19" s="1"/>
  <c r="Z206" i="19" s="1"/>
  <c r="AB206" i="19" s="1"/>
  <c r="AE206" i="19" s="1"/>
  <c r="AG206" i="19" s="1"/>
  <c r="AJ206" i="19" s="1"/>
  <c r="AL206" i="19" s="1"/>
  <c r="F205" i="19"/>
  <c r="H205" i="19" s="1"/>
  <c r="K205" i="19" s="1"/>
  <c r="M205" i="19" s="1"/>
  <c r="P205" i="19" s="1"/>
  <c r="R205" i="19" s="1"/>
  <c r="U205" i="19" s="1"/>
  <c r="W205" i="19" s="1"/>
  <c r="Z205" i="19" s="1"/>
  <c r="AB205" i="19" s="1"/>
  <c r="AE205" i="19" s="1"/>
  <c r="AG205" i="19" s="1"/>
  <c r="AJ205" i="19" s="1"/>
  <c r="AL205" i="19" s="1"/>
  <c r="F204" i="19"/>
  <c r="H204" i="19" s="1"/>
  <c r="K204" i="19" s="1"/>
  <c r="M204" i="19" s="1"/>
  <c r="P204" i="19" s="1"/>
  <c r="R204" i="19" s="1"/>
  <c r="U204" i="19" s="1"/>
  <c r="W204" i="19" s="1"/>
  <c r="Z204" i="19" s="1"/>
  <c r="AB204" i="19" s="1"/>
  <c r="AE204" i="19" s="1"/>
  <c r="AG204" i="19" s="1"/>
  <c r="AJ204" i="19" s="1"/>
  <c r="AL204" i="19" s="1"/>
  <c r="H203" i="19"/>
  <c r="K203" i="19" s="1"/>
  <c r="M203" i="19" s="1"/>
  <c r="P203" i="19" s="1"/>
  <c r="R203" i="19" s="1"/>
  <c r="U203" i="19" s="1"/>
  <c r="W203" i="19" s="1"/>
  <c r="Z203" i="19" s="1"/>
  <c r="AB203" i="19" s="1"/>
  <c r="AE203" i="19" s="1"/>
  <c r="AG203" i="19" s="1"/>
  <c r="AJ203" i="19" s="1"/>
  <c r="AL203" i="19" s="1"/>
  <c r="F203" i="19"/>
  <c r="F202" i="19"/>
  <c r="H202" i="19" s="1"/>
  <c r="K202" i="19" s="1"/>
  <c r="M202" i="19" s="1"/>
  <c r="P202" i="19" s="1"/>
  <c r="R202" i="19" s="1"/>
  <c r="U202" i="19" s="1"/>
  <c r="W202" i="19" s="1"/>
  <c r="Z202" i="19" s="1"/>
  <c r="AB202" i="19" s="1"/>
  <c r="AE202" i="19" s="1"/>
  <c r="AG202" i="19" s="1"/>
  <c r="AJ202" i="19" s="1"/>
  <c r="AL202" i="19" s="1"/>
  <c r="F201" i="19"/>
  <c r="H201" i="19" s="1"/>
  <c r="K201" i="19" s="1"/>
  <c r="M201" i="19" s="1"/>
  <c r="P201" i="19" s="1"/>
  <c r="R201" i="19" s="1"/>
  <c r="U201" i="19" s="1"/>
  <c r="W201" i="19" s="1"/>
  <c r="Z201" i="19" s="1"/>
  <c r="AB201" i="19" s="1"/>
  <c r="AE201" i="19" s="1"/>
  <c r="AG201" i="19" s="1"/>
  <c r="AJ201" i="19" s="1"/>
  <c r="AL201" i="19" s="1"/>
  <c r="F200" i="19"/>
  <c r="H200" i="19" s="1"/>
  <c r="K200" i="19" s="1"/>
  <c r="M200" i="19" s="1"/>
  <c r="P200" i="19" s="1"/>
  <c r="R200" i="19" s="1"/>
  <c r="U200" i="19" s="1"/>
  <c r="W200" i="19" s="1"/>
  <c r="Z200" i="19" s="1"/>
  <c r="AB200" i="19" s="1"/>
  <c r="AE200" i="19" s="1"/>
  <c r="AG200" i="19" s="1"/>
  <c r="AJ200" i="19" s="1"/>
  <c r="AL200" i="19" s="1"/>
  <c r="H199" i="19"/>
  <c r="K199" i="19" s="1"/>
  <c r="M199" i="19" s="1"/>
  <c r="P199" i="19" s="1"/>
  <c r="R199" i="19" s="1"/>
  <c r="U199" i="19" s="1"/>
  <c r="W199" i="19" s="1"/>
  <c r="Z199" i="19" s="1"/>
  <c r="AB199" i="19" s="1"/>
  <c r="AE199" i="19" s="1"/>
  <c r="AG199" i="19" s="1"/>
  <c r="AJ199" i="19" s="1"/>
  <c r="AL199" i="19" s="1"/>
  <c r="F199" i="19"/>
  <c r="F198" i="19"/>
  <c r="H198" i="19" s="1"/>
  <c r="K198" i="19" s="1"/>
  <c r="M198" i="19" s="1"/>
  <c r="P198" i="19" s="1"/>
  <c r="R198" i="19" s="1"/>
  <c r="U198" i="19" s="1"/>
  <c r="W198" i="19" s="1"/>
  <c r="Z198" i="19" s="1"/>
  <c r="AB198" i="19" s="1"/>
  <c r="AE198" i="19" s="1"/>
  <c r="AG198" i="19" s="1"/>
  <c r="AJ198" i="19" s="1"/>
  <c r="AL198" i="19" s="1"/>
  <c r="F197" i="19"/>
  <c r="H197" i="19" s="1"/>
  <c r="K197" i="19" s="1"/>
  <c r="M197" i="19" s="1"/>
  <c r="P197" i="19" s="1"/>
  <c r="R197" i="19" s="1"/>
  <c r="U197" i="19" s="1"/>
  <c r="W197" i="19" s="1"/>
  <c r="Z197" i="19" s="1"/>
  <c r="AB197" i="19" s="1"/>
  <c r="AE197" i="19" s="1"/>
  <c r="AG197" i="19" s="1"/>
  <c r="AJ197" i="19" s="1"/>
  <c r="AL197" i="19" s="1"/>
  <c r="F196" i="19"/>
  <c r="H196" i="19" s="1"/>
  <c r="K196" i="19" s="1"/>
  <c r="M196" i="19" s="1"/>
  <c r="P196" i="19" s="1"/>
  <c r="R196" i="19" s="1"/>
  <c r="U196" i="19" s="1"/>
  <c r="W196" i="19" s="1"/>
  <c r="Z196" i="19" s="1"/>
  <c r="AB196" i="19" s="1"/>
  <c r="AE196" i="19" s="1"/>
  <c r="AG196" i="19" s="1"/>
  <c r="AJ196" i="19" s="1"/>
  <c r="AL196" i="19" s="1"/>
  <c r="H195" i="19"/>
  <c r="K195" i="19" s="1"/>
  <c r="M195" i="19" s="1"/>
  <c r="P195" i="19" s="1"/>
  <c r="R195" i="19" s="1"/>
  <c r="U195" i="19" s="1"/>
  <c r="W195" i="19" s="1"/>
  <c r="Z195" i="19" s="1"/>
  <c r="AB195" i="19" s="1"/>
  <c r="AE195" i="19" s="1"/>
  <c r="AG195" i="19" s="1"/>
  <c r="AJ195" i="19" s="1"/>
  <c r="AL195" i="19" s="1"/>
  <c r="F195" i="19"/>
  <c r="F194" i="19"/>
  <c r="H194" i="19" s="1"/>
  <c r="K194" i="19" s="1"/>
  <c r="M194" i="19" s="1"/>
  <c r="P194" i="19" s="1"/>
  <c r="R194" i="19" s="1"/>
  <c r="U194" i="19" s="1"/>
  <c r="W194" i="19" s="1"/>
  <c r="Z194" i="19" s="1"/>
  <c r="AB194" i="19" s="1"/>
  <c r="AE194" i="19" s="1"/>
  <c r="AG194" i="19" s="1"/>
  <c r="AJ194" i="19" s="1"/>
  <c r="AL194" i="19" s="1"/>
  <c r="F193" i="19"/>
  <c r="H193" i="19" s="1"/>
  <c r="K193" i="19" s="1"/>
  <c r="M193" i="19" s="1"/>
  <c r="P193" i="19" s="1"/>
  <c r="R193" i="19" s="1"/>
  <c r="U193" i="19" s="1"/>
  <c r="W193" i="19" s="1"/>
  <c r="Z193" i="19" s="1"/>
  <c r="AB193" i="19" s="1"/>
  <c r="AE193" i="19" s="1"/>
  <c r="AG193" i="19" s="1"/>
  <c r="AJ193" i="19" s="1"/>
  <c r="AL193" i="19" s="1"/>
  <c r="F192" i="19"/>
  <c r="H192" i="19" s="1"/>
  <c r="K192" i="19" s="1"/>
  <c r="M192" i="19" s="1"/>
  <c r="P192" i="19" s="1"/>
  <c r="R192" i="19" s="1"/>
  <c r="U192" i="19" s="1"/>
  <c r="W192" i="19" s="1"/>
  <c r="Z192" i="19" s="1"/>
  <c r="AB192" i="19" s="1"/>
  <c r="AE192" i="19" s="1"/>
  <c r="AG192" i="19" s="1"/>
  <c r="AJ192" i="19" s="1"/>
  <c r="AL192" i="19" s="1"/>
  <c r="H191" i="19"/>
  <c r="K191" i="19" s="1"/>
  <c r="M191" i="19" s="1"/>
  <c r="P191" i="19" s="1"/>
  <c r="R191" i="19" s="1"/>
  <c r="U191" i="19" s="1"/>
  <c r="W191" i="19" s="1"/>
  <c r="Z191" i="19" s="1"/>
  <c r="AB191" i="19" s="1"/>
  <c r="AE191" i="19" s="1"/>
  <c r="AG191" i="19" s="1"/>
  <c r="AJ191" i="19" s="1"/>
  <c r="AL191" i="19" s="1"/>
  <c r="F191" i="19"/>
  <c r="F190" i="19"/>
  <c r="H190" i="19" s="1"/>
  <c r="K190" i="19" s="1"/>
  <c r="M190" i="19" s="1"/>
  <c r="P190" i="19" s="1"/>
  <c r="R190" i="19" s="1"/>
  <c r="U190" i="19" s="1"/>
  <c r="W190" i="19" s="1"/>
  <c r="Z190" i="19" s="1"/>
  <c r="AB190" i="19" s="1"/>
  <c r="AE190" i="19" s="1"/>
  <c r="AG190" i="19" s="1"/>
  <c r="AJ190" i="19" s="1"/>
  <c r="AL190" i="19" s="1"/>
  <c r="F189" i="19"/>
  <c r="H189" i="19" s="1"/>
  <c r="K189" i="19" s="1"/>
  <c r="M189" i="19" s="1"/>
  <c r="P189" i="19" s="1"/>
  <c r="R189" i="19" s="1"/>
  <c r="U189" i="19" s="1"/>
  <c r="W189" i="19" s="1"/>
  <c r="Z189" i="19" s="1"/>
  <c r="AB189" i="19" s="1"/>
  <c r="AE189" i="19" s="1"/>
  <c r="AG189" i="19" s="1"/>
  <c r="AJ189" i="19" s="1"/>
  <c r="AL189" i="19" s="1"/>
  <c r="F188" i="19"/>
  <c r="H188" i="19" s="1"/>
  <c r="K188" i="19" s="1"/>
  <c r="M188" i="19" s="1"/>
  <c r="P188" i="19" s="1"/>
  <c r="R188" i="19" s="1"/>
  <c r="U188" i="19" s="1"/>
  <c r="W188" i="19" s="1"/>
  <c r="Z188" i="19" s="1"/>
  <c r="AB188" i="19" s="1"/>
  <c r="AE188" i="19" s="1"/>
  <c r="AG188" i="19" s="1"/>
  <c r="AJ188" i="19" s="1"/>
  <c r="AL188" i="19" s="1"/>
  <c r="F187" i="19"/>
  <c r="H187" i="19" s="1"/>
  <c r="K187" i="19" s="1"/>
  <c r="M187" i="19" s="1"/>
  <c r="P187" i="19" s="1"/>
  <c r="R187" i="19" s="1"/>
  <c r="U187" i="19" s="1"/>
  <c r="W187" i="19" s="1"/>
  <c r="Z187" i="19" s="1"/>
  <c r="AB187" i="19" s="1"/>
  <c r="AE187" i="19" s="1"/>
  <c r="AG187" i="19" s="1"/>
  <c r="AJ187" i="19" s="1"/>
  <c r="AL187" i="19" s="1"/>
  <c r="F186" i="19"/>
  <c r="H186" i="19" s="1"/>
  <c r="K186" i="19" s="1"/>
  <c r="M186" i="19" s="1"/>
  <c r="P186" i="19" s="1"/>
  <c r="R186" i="19" s="1"/>
  <c r="U186" i="19" s="1"/>
  <c r="W186" i="19" s="1"/>
  <c r="Z186" i="19" s="1"/>
  <c r="AB186" i="19" s="1"/>
  <c r="AE186" i="19" s="1"/>
  <c r="AG186" i="19" s="1"/>
  <c r="AJ186" i="19" s="1"/>
  <c r="AL186" i="19" s="1"/>
  <c r="F185" i="19"/>
  <c r="H185" i="19" s="1"/>
  <c r="K185" i="19" s="1"/>
  <c r="M185" i="19" s="1"/>
  <c r="P185" i="19" s="1"/>
  <c r="R185" i="19" s="1"/>
  <c r="U185" i="19" s="1"/>
  <c r="W185" i="19" s="1"/>
  <c r="Z185" i="19" s="1"/>
  <c r="AB185" i="19" s="1"/>
  <c r="AE185" i="19" s="1"/>
  <c r="AG185" i="19" s="1"/>
  <c r="AJ185" i="19" s="1"/>
  <c r="AL185" i="19" s="1"/>
  <c r="F184" i="19"/>
  <c r="H184" i="19" s="1"/>
  <c r="K184" i="19" s="1"/>
  <c r="M184" i="19" s="1"/>
  <c r="P184" i="19" s="1"/>
  <c r="R184" i="19" s="1"/>
  <c r="U184" i="19" s="1"/>
  <c r="W184" i="19" s="1"/>
  <c r="Z184" i="19" s="1"/>
  <c r="AB184" i="19" s="1"/>
  <c r="AE184" i="19" s="1"/>
  <c r="AG184" i="19" s="1"/>
  <c r="AJ184" i="19" s="1"/>
  <c r="AL184" i="19" s="1"/>
  <c r="F183" i="19"/>
  <c r="H183" i="19" s="1"/>
  <c r="K183" i="19" s="1"/>
  <c r="M183" i="19" s="1"/>
  <c r="P183" i="19" s="1"/>
  <c r="R183" i="19" s="1"/>
  <c r="U183" i="19" s="1"/>
  <c r="W183" i="19" s="1"/>
  <c r="Z183" i="19" s="1"/>
  <c r="AB183" i="19" s="1"/>
  <c r="AE183" i="19" s="1"/>
  <c r="AG183" i="19" s="1"/>
  <c r="AJ183" i="19" s="1"/>
  <c r="AL183" i="19" s="1"/>
  <c r="F182" i="19"/>
  <c r="H182" i="19" s="1"/>
  <c r="K182" i="19" s="1"/>
  <c r="M182" i="19" s="1"/>
  <c r="P182" i="19" s="1"/>
  <c r="R182" i="19" s="1"/>
  <c r="U182" i="19" s="1"/>
  <c r="W182" i="19" s="1"/>
  <c r="Z182" i="19" s="1"/>
  <c r="AB182" i="19" s="1"/>
  <c r="AE182" i="19" s="1"/>
  <c r="AG182" i="19" s="1"/>
  <c r="AJ182" i="19" s="1"/>
  <c r="AL182" i="19" s="1"/>
  <c r="F181" i="19"/>
  <c r="H181" i="19" s="1"/>
  <c r="K181" i="19" s="1"/>
  <c r="M181" i="19" s="1"/>
  <c r="P181" i="19" s="1"/>
  <c r="R181" i="19" s="1"/>
  <c r="U181" i="19" s="1"/>
  <c r="W181" i="19" s="1"/>
  <c r="Z181" i="19" s="1"/>
  <c r="AB181" i="19" s="1"/>
  <c r="AE181" i="19" s="1"/>
  <c r="AG181" i="19" s="1"/>
  <c r="AJ181" i="19" s="1"/>
  <c r="AL181" i="19" s="1"/>
  <c r="F180" i="19"/>
  <c r="H180" i="19" s="1"/>
  <c r="K180" i="19" s="1"/>
  <c r="M180" i="19" s="1"/>
  <c r="P180" i="19" s="1"/>
  <c r="R180" i="19" s="1"/>
  <c r="U180" i="19" s="1"/>
  <c r="W180" i="19" s="1"/>
  <c r="Z180" i="19" s="1"/>
  <c r="AB180" i="19" s="1"/>
  <c r="AE180" i="19" s="1"/>
  <c r="AG180" i="19" s="1"/>
  <c r="AJ180" i="19" s="1"/>
  <c r="AL180" i="19" s="1"/>
  <c r="F179" i="19"/>
  <c r="H179" i="19" s="1"/>
  <c r="K179" i="19" s="1"/>
  <c r="M179" i="19" s="1"/>
  <c r="P179" i="19" s="1"/>
  <c r="R179" i="19" s="1"/>
  <c r="U179" i="19" s="1"/>
  <c r="W179" i="19" s="1"/>
  <c r="Z179" i="19" s="1"/>
  <c r="AB179" i="19" s="1"/>
  <c r="AE179" i="19" s="1"/>
  <c r="AG179" i="19" s="1"/>
  <c r="AJ179" i="19" s="1"/>
  <c r="AL179" i="19" s="1"/>
  <c r="F178" i="19"/>
  <c r="H178" i="19" s="1"/>
  <c r="K178" i="19" s="1"/>
  <c r="M178" i="19" s="1"/>
  <c r="P178" i="19" s="1"/>
  <c r="R178" i="19" s="1"/>
  <c r="U178" i="19" s="1"/>
  <c r="W178" i="19" s="1"/>
  <c r="Z178" i="19" s="1"/>
  <c r="AB178" i="19" s="1"/>
  <c r="AE178" i="19" s="1"/>
  <c r="AG178" i="19" s="1"/>
  <c r="AJ178" i="19" s="1"/>
  <c r="AL178" i="19" s="1"/>
  <c r="F177" i="19"/>
  <c r="H177" i="19" s="1"/>
  <c r="K177" i="19" s="1"/>
  <c r="M177" i="19" s="1"/>
  <c r="P177" i="19" s="1"/>
  <c r="R177" i="19" s="1"/>
  <c r="U177" i="19" s="1"/>
  <c r="W177" i="19" s="1"/>
  <c r="Z177" i="19" s="1"/>
  <c r="AB177" i="19" s="1"/>
  <c r="AE177" i="19" s="1"/>
  <c r="AG177" i="19" s="1"/>
  <c r="AJ177" i="19" s="1"/>
  <c r="AL177" i="19" s="1"/>
  <c r="F176" i="19"/>
  <c r="H176" i="19" s="1"/>
  <c r="K176" i="19" s="1"/>
  <c r="M176" i="19" s="1"/>
  <c r="P176" i="19" s="1"/>
  <c r="R176" i="19" s="1"/>
  <c r="U176" i="19" s="1"/>
  <c r="W176" i="19" s="1"/>
  <c r="Z176" i="19" s="1"/>
  <c r="AB176" i="19" s="1"/>
  <c r="AE176" i="19" s="1"/>
  <c r="AG176" i="19" s="1"/>
  <c r="AJ176" i="19" s="1"/>
  <c r="AL176" i="19" s="1"/>
  <c r="H175" i="19"/>
  <c r="K175" i="19" s="1"/>
  <c r="M175" i="19" s="1"/>
  <c r="P175" i="19" s="1"/>
  <c r="R175" i="19" s="1"/>
  <c r="U175" i="19" s="1"/>
  <c r="W175" i="19" s="1"/>
  <c r="Z175" i="19" s="1"/>
  <c r="AB175" i="19" s="1"/>
  <c r="AE175" i="19" s="1"/>
  <c r="AG175" i="19" s="1"/>
  <c r="AJ175" i="19" s="1"/>
  <c r="AL175" i="19" s="1"/>
  <c r="F175" i="19"/>
  <c r="F174" i="19"/>
  <c r="H174" i="19" s="1"/>
  <c r="K174" i="19" s="1"/>
  <c r="M174" i="19" s="1"/>
  <c r="P174" i="19" s="1"/>
  <c r="R174" i="19" s="1"/>
  <c r="U174" i="19" s="1"/>
  <c r="W174" i="19" s="1"/>
  <c r="Z174" i="19" s="1"/>
  <c r="AB174" i="19" s="1"/>
  <c r="AE174" i="19" s="1"/>
  <c r="AG174" i="19" s="1"/>
  <c r="AJ174" i="19" s="1"/>
  <c r="AL174" i="19" s="1"/>
  <c r="F173" i="19"/>
  <c r="H173" i="19" s="1"/>
  <c r="K173" i="19" s="1"/>
  <c r="M173" i="19" s="1"/>
  <c r="P173" i="19" s="1"/>
  <c r="R173" i="19" s="1"/>
  <c r="U173" i="19" s="1"/>
  <c r="W173" i="19" s="1"/>
  <c r="Z173" i="19" s="1"/>
  <c r="AB173" i="19" s="1"/>
  <c r="AE173" i="19" s="1"/>
  <c r="AG173" i="19" s="1"/>
  <c r="AJ173" i="19" s="1"/>
  <c r="AL173" i="19" s="1"/>
  <c r="F172" i="19"/>
  <c r="H172" i="19" s="1"/>
  <c r="K172" i="19" s="1"/>
  <c r="M172" i="19" s="1"/>
  <c r="P172" i="19" s="1"/>
  <c r="R172" i="19" s="1"/>
  <c r="U172" i="19" s="1"/>
  <c r="W172" i="19" s="1"/>
  <c r="Z172" i="19" s="1"/>
  <c r="AB172" i="19" s="1"/>
  <c r="AE172" i="19" s="1"/>
  <c r="AG172" i="19" s="1"/>
  <c r="AJ172" i="19" s="1"/>
  <c r="AL172" i="19" s="1"/>
  <c r="H171" i="19"/>
  <c r="K171" i="19" s="1"/>
  <c r="M171" i="19" s="1"/>
  <c r="P171" i="19" s="1"/>
  <c r="R171" i="19" s="1"/>
  <c r="U171" i="19" s="1"/>
  <c r="W171" i="19" s="1"/>
  <c r="Z171" i="19" s="1"/>
  <c r="AB171" i="19" s="1"/>
  <c r="AE171" i="19" s="1"/>
  <c r="AG171" i="19" s="1"/>
  <c r="AJ171" i="19" s="1"/>
  <c r="AL171" i="19" s="1"/>
  <c r="F171" i="19"/>
  <c r="F170" i="19"/>
  <c r="H170" i="19" s="1"/>
  <c r="K170" i="19" s="1"/>
  <c r="M170" i="19" s="1"/>
  <c r="P170" i="19" s="1"/>
  <c r="R170" i="19" s="1"/>
  <c r="U170" i="19" s="1"/>
  <c r="W170" i="19" s="1"/>
  <c r="Z170" i="19" s="1"/>
  <c r="AB170" i="19" s="1"/>
  <c r="AE170" i="19" s="1"/>
  <c r="AG170" i="19" s="1"/>
  <c r="AJ170" i="19" s="1"/>
  <c r="AL170" i="19" s="1"/>
  <c r="F169" i="19"/>
  <c r="H169" i="19" s="1"/>
  <c r="K169" i="19" s="1"/>
  <c r="M169" i="19" s="1"/>
  <c r="P169" i="19" s="1"/>
  <c r="R169" i="19" s="1"/>
  <c r="U169" i="19" s="1"/>
  <c r="W169" i="19" s="1"/>
  <c r="Z169" i="19" s="1"/>
  <c r="AB169" i="19" s="1"/>
  <c r="AE169" i="19" s="1"/>
  <c r="AG169" i="19" s="1"/>
  <c r="AJ169" i="19" s="1"/>
  <c r="AL169" i="19" s="1"/>
  <c r="F168" i="19"/>
  <c r="H168" i="19" s="1"/>
  <c r="K168" i="19" s="1"/>
  <c r="M168" i="19" s="1"/>
  <c r="P168" i="19" s="1"/>
  <c r="R168" i="19" s="1"/>
  <c r="U168" i="19" s="1"/>
  <c r="W168" i="19" s="1"/>
  <c r="Z168" i="19" s="1"/>
  <c r="AB168" i="19" s="1"/>
  <c r="AE168" i="19" s="1"/>
  <c r="AG168" i="19" s="1"/>
  <c r="AJ168" i="19" s="1"/>
  <c r="AL168" i="19" s="1"/>
  <c r="H167" i="19"/>
  <c r="K167" i="19" s="1"/>
  <c r="M167" i="19" s="1"/>
  <c r="P167" i="19" s="1"/>
  <c r="R167" i="19" s="1"/>
  <c r="U167" i="19" s="1"/>
  <c r="W167" i="19" s="1"/>
  <c r="Z167" i="19" s="1"/>
  <c r="AB167" i="19" s="1"/>
  <c r="AE167" i="19" s="1"/>
  <c r="AG167" i="19" s="1"/>
  <c r="AJ167" i="19" s="1"/>
  <c r="AL167" i="19" s="1"/>
  <c r="F167" i="19"/>
  <c r="F166" i="19"/>
  <c r="H166" i="19" s="1"/>
  <c r="K166" i="19" s="1"/>
  <c r="M166" i="19" s="1"/>
  <c r="P166" i="19" s="1"/>
  <c r="R166" i="19" s="1"/>
  <c r="U166" i="19" s="1"/>
  <c r="W166" i="19" s="1"/>
  <c r="Z166" i="19" s="1"/>
  <c r="AB166" i="19" s="1"/>
  <c r="AE166" i="19" s="1"/>
  <c r="AG166" i="19" s="1"/>
  <c r="AJ166" i="19" s="1"/>
  <c r="AL166" i="19" s="1"/>
  <c r="F165" i="19"/>
  <c r="H165" i="19" s="1"/>
  <c r="K165" i="19" s="1"/>
  <c r="M165" i="19" s="1"/>
  <c r="P165" i="19" s="1"/>
  <c r="R165" i="19" s="1"/>
  <c r="U165" i="19" s="1"/>
  <c r="W165" i="19" s="1"/>
  <c r="Z165" i="19" s="1"/>
  <c r="AB165" i="19" s="1"/>
  <c r="AE165" i="19" s="1"/>
  <c r="AG165" i="19" s="1"/>
  <c r="AJ165" i="19" s="1"/>
  <c r="AL165" i="19" s="1"/>
  <c r="F164" i="19"/>
  <c r="H164" i="19" s="1"/>
  <c r="K164" i="19" s="1"/>
  <c r="M164" i="19" s="1"/>
  <c r="P164" i="19" s="1"/>
  <c r="R164" i="19" s="1"/>
  <c r="U164" i="19" s="1"/>
  <c r="W164" i="19" s="1"/>
  <c r="Z164" i="19" s="1"/>
  <c r="AB164" i="19" s="1"/>
  <c r="AE164" i="19" s="1"/>
  <c r="AG164" i="19" s="1"/>
  <c r="AJ164" i="19" s="1"/>
  <c r="AL164" i="19" s="1"/>
  <c r="H163" i="19"/>
  <c r="K163" i="19" s="1"/>
  <c r="M163" i="19" s="1"/>
  <c r="P163" i="19" s="1"/>
  <c r="R163" i="19" s="1"/>
  <c r="U163" i="19" s="1"/>
  <c r="W163" i="19" s="1"/>
  <c r="Z163" i="19" s="1"/>
  <c r="AB163" i="19" s="1"/>
  <c r="AE163" i="19" s="1"/>
  <c r="AG163" i="19" s="1"/>
  <c r="AJ163" i="19" s="1"/>
  <c r="AL163" i="19" s="1"/>
  <c r="F163" i="19"/>
  <c r="F162" i="19"/>
  <c r="H162" i="19" s="1"/>
  <c r="K162" i="19" s="1"/>
  <c r="M162" i="19" s="1"/>
  <c r="P162" i="19" s="1"/>
  <c r="R162" i="19" s="1"/>
  <c r="U162" i="19" s="1"/>
  <c r="W162" i="19" s="1"/>
  <c r="Z162" i="19" s="1"/>
  <c r="AB162" i="19" s="1"/>
  <c r="AE162" i="19" s="1"/>
  <c r="AG162" i="19" s="1"/>
  <c r="AJ162" i="19" s="1"/>
  <c r="AL162" i="19" s="1"/>
  <c r="F161" i="19"/>
  <c r="H161" i="19" s="1"/>
  <c r="K161" i="19" s="1"/>
  <c r="M161" i="19" s="1"/>
  <c r="P161" i="19" s="1"/>
  <c r="R161" i="19" s="1"/>
  <c r="U161" i="19" s="1"/>
  <c r="W161" i="19" s="1"/>
  <c r="Z161" i="19" s="1"/>
  <c r="AB161" i="19" s="1"/>
  <c r="AE161" i="19" s="1"/>
  <c r="AG161" i="19" s="1"/>
  <c r="AJ161" i="19" s="1"/>
  <c r="AL161" i="19" s="1"/>
  <c r="F160" i="19"/>
  <c r="H160" i="19" s="1"/>
  <c r="K160" i="19" s="1"/>
  <c r="M160" i="19" s="1"/>
  <c r="P160" i="19" s="1"/>
  <c r="R160" i="19" s="1"/>
  <c r="U160" i="19" s="1"/>
  <c r="W160" i="19" s="1"/>
  <c r="Z160" i="19" s="1"/>
  <c r="AB160" i="19" s="1"/>
  <c r="AE160" i="19" s="1"/>
  <c r="AG160" i="19" s="1"/>
  <c r="AJ160" i="19" s="1"/>
  <c r="AL160" i="19" s="1"/>
  <c r="K159" i="19"/>
  <c r="M159" i="19" s="1"/>
  <c r="P159" i="19" s="1"/>
  <c r="R159" i="19" s="1"/>
  <c r="U159" i="19" s="1"/>
  <c r="W159" i="19" s="1"/>
  <c r="Z159" i="19" s="1"/>
  <c r="AB159" i="19" s="1"/>
  <c r="AE159" i="19" s="1"/>
  <c r="AG159" i="19" s="1"/>
  <c r="AJ159" i="19" s="1"/>
  <c r="AL159" i="19" s="1"/>
  <c r="H159" i="19"/>
  <c r="F159" i="19"/>
  <c r="F158" i="19"/>
  <c r="H158" i="19" s="1"/>
  <c r="K158" i="19" s="1"/>
  <c r="M158" i="19" s="1"/>
  <c r="P158" i="19" s="1"/>
  <c r="R158" i="19" s="1"/>
  <c r="U158" i="19" s="1"/>
  <c r="W158" i="19" s="1"/>
  <c r="Z158" i="19" s="1"/>
  <c r="AB158" i="19" s="1"/>
  <c r="AE158" i="19" s="1"/>
  <c r="AG158" i="19" s="1"/>
  <c r="AJ158" i="19" s="1"/>
  <c r="AL158" i="19" s="1"/>
  <c r="F157" i="19"/>
  <c r="H157" i="19" s="1"/>
  <c r="K157" i="19" s="1"/>
  <c r="M157" i="19" s="1"/>
  <c r="P157" i="19" s="1"/>
  <c r="R157" i="19" s="1"/>
  <c r="U157" i="19" s="1"/>
  <c r="W157" i="19" s="1"/>
  <c r="Z157" i="19" s="1"/>
  <c r="AB157" i="19" s="1"/>
  <c r="AE157" i="19" s="1"/>
  <c r="AG157" i="19" s="1"/>
  <c r="AJ157" i="19" s="1"/>
  <c r="AL157" i="19" s="1"/>
  <c r="F156" i="19"/>
  <c r="H156" i="19" s="1"/>
  <c r="K156" i="19" s="1"/>
  <c r="M156" i="19" s="1"/>
  <c r="P156" i="19" s="1"/>
  <c r="R156" i="19" s="1"/>
  <c r="U156" i="19" s="1"/>
  <c r="W156" i="19" s="1"/>
  <c r="Z156" i="19" s="1"/>
  <c r="AB156" i="19" s="1"/>
  <c r="AE156" i="19" s="1"/>
  <c r="AG156" i="19" s="1"/>
  <c r="AJ156" i="19" s="1"/>
  <c r="AL156" i="19" s="1"/>
  <c r="H155" i="19"/>
  <c r="K155" i="19" s="1"/>
  <c r="M155" i="19" s="1"/>
  <c r="P155" i="19" s="1"/>
  <c r="R155" i="19" s="1"/>
  <c r="U155" i="19" s="1"/>
  <c r="W155" i="19" s="1"/>
  <c r="Z155" i="19" s="1"/>
  <c r="AB155" i="19" s="1"/>
  <c r="AE155" i="19" s="1"/>
  <c r="AG155" i="19" s="1"/>
  <c r="AJ155" i="19" s="1"/>
  <c r="AL155" i="19" s="1"/>
  <c r="F155" i="19"/>
  <c r="H154" i="19"/>
  <c r="K154" i="19" s="1"/>
  <c r="M154" i="19" s="1"/>
  <c r="P154" i="19" s="1"/>
  <c r="R154" i="19" s="1"/>
  <c r="U154" i="19" s="1"/>
  <c r="W154" i="19" s="1"/>
  <c r="Z154" i="19" s="1"/>
  <c r="AB154" i="19" s="1"/>
  <c r="AE154" i="19" s="1"/>
  <c r="AG154" i="19" s="1"/>
  <c r="AJ154" i="19" s="1"/>
  <c r="AL154" i="19" s="1"/>
  <c r="F154" i="19"/>
  <c r="F153" i="19"/>
  <c r="H153" i="19" s="1"/>
  <c r="K153" i="19" s="1"/>
  <c r="M153" i="19" s="1"/>
  <c r="P153" i="19" s="1"/>
  <c r="R153" i="19" s="1"/>
  <c r="U153" i="19" s="1"/>
  <c r="W153" i="19" s="1"/>
  <c r="Z153" i="19" s="1"/>
  <c r="AB153" i="19" s="1"/>
  <c r="AE153" i="19" s="1"/>
  <c r="AG153" i="19" s="1"/>
  <c r="AJ153" i="19" s="1"/>
  <c r="AL153" i="19" s="1"/>
  <c r="F152" i="19"/>
  <c r="H152" i="19" s="1"/>
  <c r="K152" i="19" s="1"/>
  <c r="M152" i="19" s="1"/>
  <c r="P152" i="19" s="1"/>
  <c r="R152" i="19" s="1"/>
  <c r="U152" i="19" s="1"/>
  <c r="W152" i="19" s="1"/>
  <c r="Z152" i="19" s="1"/>
  <c r="AB152" i="19" s="1"/>
  <c r="AE152" i="19" s="1"/>
  <c r="AG152" i="19" s="1"/>
  <c r="AJ152" i="19" s="1"/>
  <c r="AL152" i="19" s="1"/>
  <c r="F151" i="19"/>
  <c r="H151" i="19" s="1"/>
  <c r="K151" i="19" s="1"/>
  <c r="M151" i="19" s="1"/>
  <c r="P151" i="19" s="1"/>
  <c r="R151" i="19" s="1"/>
  <c r="U151" i="19" s="1"/>
  <c r="W151" i="19" s="1"/>
  <c r="Z151" i="19" s="1"/>
  <c r="AB151" i="19" s="1"/>
  <c r="AE151" i="19" s="1"/>
  <c r="AG151" i="19" s="1"/>
  <c r="AJ151" i="19" s="1"/>
  <c r="AL151" i="19" s="1"/>
  <c r="F150" i="19"/>
  <c r="H150" i="19" s="1"/>
  <c r="K150" i="19" s="1"/>
  <c r="M150" i="19" s="1"/>
  <c r="P150" i="19" s="1"/>
  <c r="R150" i="19" s="1"/>
  <c r="U150" i="19" s="1"/>
  <c r="W150" i="19" s="1"/>
  <c r="Z150" i="19" s="1"/>
  <c r="AB150" i="19" s="1"/>
  <c r="AE150" i="19" s="1"/>
  <c r="AG150" i="19" s="1"/>
  <c r="AJ150" i="19" s="1"/>
  <c r="AL150" i="19" s="1"/>
  <c r="F149" i="19"/>
  <c r="H149" i="19" s="1"/>
  <c r="K149" i="19" s="1"/>
  <c r="M149" i="19" s="1"/>
  <c r="P149" i="19" s="1"/>
  <c r="R149" i="19" s="1"/>
  <c r="U149" i="19" s="1"/>
  <c r="W149" i="19" s="1"/>
  <c r="Z149" i="19" s="1"/>
  <c r="AB149" i="19" s="1"/>
  <c r="AE149" i="19" s="1"/>
  <c r="AG149" i="19" s="1"/>
  <c r="AJ149" i="19" s="1"/>
  <c r="AL149" i="19" s="1"/>
  <c r="F148" i="19"/>
  <c r="H148" i="19" s="1"/>
  <c r="K148" i="19" s="1"/>
  <c r="M148" i="19" s="1"/>
  <c r="P148" i="19" s="1"/>
  <c r="R148" i="19" s="1"/>
  <c r="U148" i="19" s="1"/>
  <c r="W148" i="19" s="1"/>
  <c r="Z148" i="19" s="1"/>
  <c r="AB148" i="19" s="1"/>
  <c r="AE148" i="19" s="1"/>
  <c r="AG148" i="19" s="1"/>
  <c r="AJ148" i="19" s="1"/>
  <c r="AL148" i="19" s="1"/>
  <c r="F147" i="19"/>
  <c r="H147" i="19" s="1"/>
  <c r="K147" i="19" s="1"/>
  <c r="M147" i="19" s="1"/>
  <c r="P147" i="19" s="1"/>
  <c r="R147" i="19" s="1"/>
  <c r="U147" i="19" s="1"/>
  <c r="W147" i="19" s="1"/>
  <c r="Z147" i="19" s="1"/>
  <c r="AB147" i="19" s="1"/>
  <c r="AE147" i="19" s="1"/>
  <c r="AG147" i="19" s="1"/>
  <c r="AJ147" i="19" s="1"/>
  <c r="AL147" i="19" s="1"/>
  <c r="F146" i="19"/>
  <c r="H146" i="19" s="1"/>
  <c r="K146" i="19" s="1"/>
  <c r="M146" i="19" s="1"/>
  <c r="P146" i="19" s="1"/>
  <c r="R146" i="19" s="1"/>
  <c r="U146" i="19" s="1"/>
  <c r="W146" i="19" s="1"/>
  <c r="Z146" i="19" s="1"/>
  <c r="AB146" i="19" s="1"/>
  <c r="AE146" i="19" s="1"/>
  <c r="AG146" i="19" s="1"/>
  <c r="AJ146" i="19" s="1"/>
  <c r="AL146" i="19" s="1"/>
  <c r="F145" i="19"/>
  <c r="H145" i="19" s="1"/>
  <c r="K145" i="19" s="1"/>
  <c r="M145" i="19" s="1"/>
  <c r="P145" i="19" s="1"/>
  <c r="R145" i="19" s="1"/>
  <c r="U145" i="19" s="1"/>
  <c r="W145" i="19" s="1"/>
  <c r="Z145" i="19" s="1"/>
  <c r="AB145" i="19" s="1"/>
  <c r="AE145" i="19" s="1"/>
  <c r="AG145" i="19" s="1"/>
  <c r="AJ145" i="19" s="1"/>
  <c r="AL145" i="19" s="1"/>
  <c r="F144" i="19"/>
  <c r="H144" i="19" s="1"/>
  <c r="K144" i="19" s="1"/>
  <c r="M144" i="19" s="1"/>
  <c r="P144" i="19" s="1"/>
  <c r="R144" i="19" s="1"/>
  <c r="U144" i="19" s="1"/>
  <c r="W144" i="19" s="1"/>
  <c r="Z144" i="19" s="1"/>
  <c r="AB144" i="19" s="1"/>
  <c r="AE144" i="19" s="1"/>
  <c r="AG144" i="19" s="1"/>
  <c r="AJ144" i="19" s="1"/>
  <c r="AL144" i="19" s="1"/>
  <c r="F143" i="19"/>
  <c r="H143" i="19" s="1"/>
  <c r="K143" i="19" s="1"/>
  <c r="M143" i="19" s="1"/>
  <c r="P143" i="19" s="1"/>
  <c r="R143" i="19" s="1"/>
  <c r="U143" i="19" s="1"/>
  <c r="W143" i="19" s="1"/>
  <c r="Z143" i="19" s="1"/>
  <c r="AB143" i="19" s="1"/>
  <c r="AE143" i="19" s="1"/>
  <c r="AG143" i="19" s="1"/>
  <c r="AJ143" i="19" s="1"/>
  <c r="AL143" i="19" s="1"/>
  <c r="F142" i="19"/>
  <c r="H142" i="19" s="1"/>
  <c r="K142" i="19" s="1"/>
  <c r="M142" i="19" s="1"/>
  <c r="P142" i="19" s="1"/>
  <c r="R142" i="19" s="1"/>
  <c r="U142" i="19" s="1"/>
  <c r="W142" i="19" s="1"/>
  <c r="Z142" i="19" s="1"/>
  <c r="AB142" i="19" s="1"/>
  <c r="AE142" i="19" s="1"/>
  <c r="AG142" i="19" s="1"/>
  <c r="AJ142" i="19" s="1"/>
  <c r="AL142" i="19" s="1"/>
  <c r="F141" i="19"/>
  <c r="H141" i="19" s="1"/>
  <c r="K141" i="19" s="1"/>
  <c r="M141" i="19" s="1"/>
  <c r="P141" i="19" s="1"/>
  <c r="R141" i="19" s="1"/>
  <c r="U141" i="19" s="1"/>
  <c r="W141" i="19" s="1"/>
  <c r="Z141" i="19" s="1"/>
  <c r="AB141" i="19" s="1"/>
  <c r="AE141" i="19" s="1"/>
  <c r="AG141" i="19" s="1"/>
  <c r="AJ141" i="19" s="1"/>
  <c r="AL141" i="19" s="1"/>
  <c r="F140" i="19"/>
  <c r="H140" i="19" s="1"/>
  <c r="K140" i="19" s="1"/>
  <c r="M140" i="19" s="1"/>
  <c r="P140" i="19" s="1"/>
  <c r="R140" i="19" s="1"/>
  <c r="U140" i="19" s="1"/>
  <c r="W140" i="19" s="1"/>
  <c r="Z140" i="19" s="1"/>
  <c r="AB140" i="19" s="1"/>
  <c r="AE140" i="19" s="1"/>
  <c r="AG140" i="19" s="1"/>
  <c r="AJ140" i="19" s="1"/>
  <c r="AL140" i="19" s="1"/>
  <c r="F139" i="19"/>
  <c r="H139" i="19" s="1"/>
  <c r="K139" i="19" s="1"/>
  <c r="M139" i="19" s="1"/>
  <c r="P139" i="19" s="1"/>
  <c r="R139" i="19" s="1"/>
  <c r="U139" i="19" s="1"/>
  <c r="W139" i="19" s="1"/>
  <c r="Z139" i="19" s="1"/>
  <c r="AB139" i="19" s="1"/>
  <c r="AE139" i="19" s="1"/>
  <c r="AG139" i="19" s="1"/>
  <c r="AJ139" i="19" s="1"/>
  <c r="AL139" i="19" s="1"/>
  <c r="F138" i="19"/>
  <c r="H138" i="19" s="1"/>
  <c r="K138" i="19" s="1"/>
  <c r="M138" i="19" s="1"/>
  <c r="P138" i="19" s="1"/>
  <c r="R138" i="19" s="1"/>
  <c r="U138" i="19" s="1"/>
  <c r="W138" i="19" s="1"/>
  <c r="Z138" i="19" s="1"/>
  <c r="AB138" i="19" s="1"/>
  <c r="AE138" i="19" s="1"/>
  <c r="AG138" i="19" s="1"/>
  <c r="AJ138" i="19" s="1"/>
  <c r="AL138" i="19" s="1"/>
  <c r="F137" i="19"/>
  <c r="H137" i="19" s="1"/>
  <c r="K137" i="19" s="1"/>
  <c r="M137" i="19" s="1"/>
  <c r="P137" i="19" s="1"/>
  <c r="R137" i="19" s="1"/>
  <c r="U137" i="19" s="1"/>
  <c r="W137" i="19" s="1"/>
  <c r="Z137" i="19" s="1"/>
  <c r="AB137" i="19" s="1"/>
  <c r="AE137" i="19" s="1"/>
  <c r="AG137" i="19" s="1"/>
  <c r="AJ137" i="19" s="1"/>
  <c r="AL137" i="19" s="1"/>
  <c r="F136" i="19"/>
  <c r="H136" i="19" s="1"/>
  <c r="K136" i="19" s="1"/>
  <c r="M136" i="19" s="1"/>
  <c r="P136" i="19" s="1"/>
  <c r="R136" i="19" s="1"/>
  <c r="U136" i="19" s="1"/>
  <c r="W136" i="19" s="1"/>
  <c r="Z136" i="19" s="1"/>
  <c r="AB136" i="19" s="1"/>
  <c r="AE136" i="19" s="1"/>
  <c r="AG136" i="19" s="1"/>
  <c r="AJ136" i="19" s="1"/>
  <c r="AL136" i="19" s="1"/>
  <c r="H135" i="19"/>
  <c r="K135" i="19" s="1"/>
  <c r="M135" i="19" s="1"/>
  <c r="P135" i="19" s="1"/>
  <c r="R135" i="19" s="1"/>
  <c r="U135" i="19" s="1"/>
  <c r="W135" i="19" s="1"/>
  <c r="Z135" i="19" s="1"/>
  <c r="AB135" i="19" s="1"/>
  <c r="AE135" i="19" s="1"/>
  <c r="AG135" i="19" s="1"/>
  <c r="AJ135" i="19" s="1"/>
  <c r="AL135" i="19" s="1"/>
  <c r="F135" i="19"/>
  <c r="F134" i="19"/>
  <c r="H134" i="19" s="1"/>
  <c r="K134" i="19" s="1"/>
  <c r="M134" i="19" s="1"/>
  <c r="P134" i="19" s="1"/>
  <c r="R134" i="19" s="1"/>
  <c r="U134" i="19" s="1"/>
  <c r="W134" i="19" s="1"/>
  <c r="Z134" i="19" s="1"/>
  <c r="AB134" i="19" s="1"/>
  <c r="AE134" i="19" s="1"/>
  <c r="AG134" i="19" s="1"/>
  <c r="AJ134" i="19" s="1"/>
  <c r="AL134" i="19" s="1"/>
  <c r="F133" i="19"/>
  <c r="H133" i="19" s="1"/>
  <c r="K133" i="19" s="1"/>
  <c r="M133" i="19" s="1"/>
  <c r="P133" i="19" s="1"/>
  <c r="R133" i="19" s="1"/>
  <c r="U133" i="19" s="1"/>
  <c r="W133" i="19" s="1"/>
  <c r="Z133" i="19" s="1"/>
  <c r="AB133" i="19" s="1"/>
  <c r="AE133" i="19" s="1"/>
  <c r="AG133" i="19" s="1"/>
  <c r="AJ133" i="19" s="1"/>
  <c r="AL133" i="19" s="1"/>
  <c r="F132" i="19"/>
  <c r="H132" i="19" s="1"/>
  <c r="K132" i="19" s="1"/>
  <c r="M132" i="19" s="1"/>
  <c r="P132" i="19" s="1"/>
  <c r="R132" i="19" s="1"/>
  <c r="U132" i="19" s="1"/>
  <c r="W132" i="19" s="1"/>
  <c r="Z132" i="19" s="1"/>
  <c r="AB132" i="19" s="1"/>
  <c r="AE132" i="19" s="1"/>
  <c r="AG132" i="19" s="1"/>
  <c r="AJ132" i="19" s="1"/>
  <c r="AL132" i="19" s="1"/>
  <c r="F131" i="19"/>
  <c r="H131" i="19" s="1"/>
  <c r="K131" i="19" s="1"/>
  <c r="M131" i="19" s="1"/>
  <c r="P131" i="19" s="1"/>
  <c r="R131" i="19" s="1"/>
  <c r="U131" i="19" s="1"/>
  <c r="W131" i="19" s="1"/>
  <c r="Z131" i="19" s="1"/>
  <c r="AB131" i="19" s="1"/>
  <c r="AE131" i="19" s="1"/>
  <c r="AG131" i="19" s="1"/>
  <c r="AJ131" i="19" s="1"/>
  <c r="AL131" i="19" s="1"/>
  <c r="F130" i="19"/>
  <c r="H130" i="19" s="1"/>
  <c r="K130" i="19" s="1"/>
  <c r="M130" i="19" s="1"/>
  <c r="P130" i="19" s="1"/>
  <c r="R130" i="19" s="1"/>
  <c r="U130" i="19" s="1"/>
  <c r="W130" i="19" s="1"/>
  <c r="Z130" i="19" s="1"/>
  <c r="AB130" i="19" s="1"/>
  <c r="AE130" i="19" s="1"/>
  <c r="AG130" i="19" s="1"/>
  <c r="AJ130" i="19" s="1"/>
  <c r="AL130" i="19" s="1"/>
  <c r="F129" i="19"/>
  <c r="H129" i="19" s="1"/>
  <c r="K129" i="19" s="1"/>
  <c r="M129" i="19" s="1"/>
  <c r="P129" i="19" s="1"/>
  <c r="R129" i="19" s="1"/>
  <c r="U129" i="19" s="1"/>
  <c r="W129" i="19" s="1"/>
  <c r="Z129" i="19" s="1"/>
  <c r="AB129" i="19" s="1"/>
  <c r="AE129" i="19" s="1"/>
  <c r="AG129" i="19" s="1"/>
  <c r="AJ129" i="19" s="1"/>
  <c r="AL129" i="19" s="1"/>
  <c r="F128" i="19"/>
  <c r="H128" i="19" s="1"/>
  <c r="K128" i="19" s="1"/>
  <c r="M128" i="19" s="1"/>
  <c r="P128" i="19" s="1"/>
  <c r="R128" i="19" s="1"/>
  <c r="U128" i="19" s="1"/>
  <c r="W128" i="19" s="1"/>
  <c r="Z128" i="19" s="1"/>
  <c r="AB128" i="19" s="1"/>
  <c r="AE128" i="19" s="1"/>
  <c r="AG128" i="19" s="1"/>
  <c r="AJ128" i="19" s="1"/>
  <c r="AL128" i="19" s="1"/>
  <c r="H127" i="19"/>
  <c r="K127" i="19" s="1"/>
  <c r="M127" i="19" s="1"/>
  <c r="P127" i="19" s="1"/>
  <c r="R127" i="19" s="1"/>
  <c r="U127" i="19" s="1"/>
  <c r="W127" i="19" s="1"/>
  <c r="Z127" i="19" s="1"/>
  <c r="AB127" i="19" s="1"/>
  <c r="AE127" i="19" s="1"/>
  <c r="AG127" i="19" s="1"/>
  <c r="AJ127" i="19" s="1"/>
  <c r="AL127" i="19" s="1"/>
  <c r="F127" i="19"/>
  <c r="F126" i="19"/>
  <c r="H126" i="19" s="1"/>
  <c r="K126" i="19" s="1"/>
  <c r="M126" i="19" s="1"/>
  <c r="P126" i="19" s="1"/>
  <c r="R126" i="19" s="1"/>
  <c r="U126" i="19" s="1"/>
  <c r="W126" i="19" s="1"/>
  <c r="Z126" i="19" s="1"/>
  <c r="AB126" i="19" s="1"/>
  <c r="AE126" i="19" s="1"/>
  <c r="AG126" i="19" s="1"/>
  <c r="AJ126" i="19" s="1"/>
  <c r="AL126" i="19" s="1"/>
  <c r="F125" i="19"/>
  <c r="H125" i="19" s="1"/>
  <c r="K125" i="19" s="1"/>
  <c r="M125" i="19" s="1"/>
  <c r="P125" i="19" s="1"/>
  <c r="R125" i="19" s="1"/>
  <c r="U125" i="19" s="1"/>
  <c r="W125" i="19" s="1"/>
  <c r="Z125" i="19" s="1"/>
  <c r="AB125" i="19" s="1"/>
  <c r="AE125" i="19" s="1"/>
  <c r="AG125" i="19" s="1"/>
  <c r="AJ125" i="19" s="1"/>
  <c r="AL125" i="19" s="1"/>
  <c r="F124" i="19"/>
  <c r="H124" i="19" s="1"/>
  <c r="K124" i="19" s="1"/>
  <c r="M124" i="19" s="1"/>
  <c r="P124" i="19" s="1"/>
  <c r="R124" i="19" s="1"/>
  <c r="U124" i="19" s="1"/>
  <c r="W124" i="19" s="1"/>
  <c r="Z124" i="19" s="1"/>
  <c r="AB124" i="19" s="1"/>
  <c r="AE124" i="19" s="1"/>
  <c r="AG124" i="19" s="1"/>
  <c r="AJ124" i="19" s="1"/>
  <c r="AL124" i="19" s="1"/>
  <c r="F123" i="19"/>
  <c r="H123" i="19" s="1"/>
  <c r="K123" i="19" s="1"/>
  <c r="M123" i="19" s="1"/>
  <c r="P123" i="19" s="1"/>
  <c r="R123" i="19" s="1"/>
  <c r="U123" i="19" s="1"/>
  <c r="W123" i="19" s="1"/>
  <c r="Z123" i="19" s="1"/>
  <c r="AB123" i="19" s="1"/>
  <c r="AE123" i="19" s="1"/>
  <c r="AG123" i="19" s="1"/>
  <c r="AJ123" i="19" s="1"/>
  <c r="AL123" i="19" s="1"/>
  <c r="F122" i="19"/>
  <c r="H122" i="19" s="1"/>
  <c r="K122" i="19" s="1"/>
  <c r="M122" i="19" s="1"/>
  <c r="P122" i="19" s="1"/>
  <c r="R122" i="19" s="1"/>
  <c r="U122" i="19" s="1"/>
  <c r="W122" i="19" s="1"/>
  <c r="Z122" i="19" s="1"/>
  <c r="AB122" i="19" s="1"/>
  <c r="AE122" i="19" s="1"/>
  <c r="AG122" i="19" s="1"/>
  <c r="AJ122" i="19" s="1"/>
  <c r="AL122" i="19" s="1"/>
  <c r="H121" i="19"/>
  <c r="K121" i="19" s="1"/>
  <c r="M121" i="19" s="1"/>
  <c r="P121" i="19" s="1"/>
  <c r="R121" i="19" s="1"/>
  <c r="U121" i="19" s="1"/>
  <c r="W121" i="19" s="1"/>
  <c r="Z121" i="19" s="1"/>
  <c r="AB121" i="19" s="1"/>
  <c r="AE121" i="19" s="1"/>
  <c r="AG121" i="19" s="1"/>
  <c r="AJ121" i="19" s="1"/>
  <c r="AL121" i="19" s="1"/>
  <c r="F121" i="19"/>
  <c r="H120" i="19"/>
  <c r="K120" i="19" s="1"/>
  <c r="M120" i="19" s="1"/>
  <c r="P120" i="19" s="1"/>
  <c r="R120" i="19" s="1"/>
  <c r="U120" i="19" s="1"/>
  <c r="W120" i="19" s="1"/>
  <c r="Z120" i="19" s="1"/>
  <c r="AB120" i="19" s="1"/>
  <c r="AE120" i="19" s="1"/>
  <c r="AG120" i="19" s="1"/>
  <c r="AJ120" i="19" s="1"/>
  <c r="AL120" i="19" s="1"/>
  <c r="F120" i="19"/>
  <c r="F119" i="19"/>
  <c r="H119" i="19" s="1"/>
  <c r="K119" i="19" s="1"/>
  <c r="M119" i="19" s="1"/>
  <c r="P119" i="19" s="1"/>
  <c r="R119" i="19" s="1"/>
  <c r="U119" i="19" s="1"/>
  <c r="W119" i="19" s="1"/>
  <c r="Z119" i="19" s="1"/>
  <c r="AB119" i="19" s="1"/>
  <c r="AE119" i="19" s="1"/>
  <c r="AG119" i="19" s="1"/>
  <c r="AJ119" i="19" s="1"/>
  <c r="AL119" i="19" s="1"/>
  <c r="F118" i="19"/>
  <c r="H118" i="19" s="1"/>
  <c r="K118" i="19" s="1"/>
  <c r="M118" i="19" s="1"/>
  <c r="P118" i="19" s="1"/>
  <c r="R118" i="19" s="1"/>
  <c r="U118" i="19" s="1"/>
  <c r="W118" i="19" s="1"/>
  <c r="Z118" i="19" s="1"/>
  <c r="AB118" i="19" s="1"/>
  <c r="AE118" i="19" s="1"/>
  <c r="AG118" i="19" s="1"/>
  <c r="AJ118" i="19" s="1"/>
  <c r="AL118" i="19" s="1"/>
  <c r="F117" i="19"/>
  <c r="H117" i="19" s="1"/>
  <c r="K117" i="19" s="1"/>
  <c r="M117" i="19" s="1"/>
  <c r="P117" i="19" s="1"/>
  <c r="R117" i="19" s="1"/>
  <c r="U117" i="19" s="1"/>
  <c r="W117" i="19" s="1"/>
  <c r="Z117" i="19" s="1"/>
  <c r="AB117" i="19" s="1"/>
  <c r="AE117" i="19" s="1"/>
  <c r="AG117" i="19" s="1"/>
  <c r="AJ117" i="19" s="1"/>
  <c r="AL117" i="19" s="1"/>
  <c r="F116" i="19"/>
  <c r="H116" i="19" s="1"/>
  <c r="K116" i="19" s="1"/>
  <c r="M116" i="19" s="1"/>
  <c r="P116" i="19" s="1"/>
  <c r="R116" i="19" s="1"/>
  <c r="U116" i="19" s="1"/>
  <c r="W116" i="19" s="1"/>
  <c r="Z116" i="19" s="1"/>
  <c r="AB116" i="19" s="1"/>
  <c r="AE116" i="19" s="1"/>
  <c r="AG116" i="19" s="1"/>
  <c r="AJ116" i="19" s="1"/>
  <c r="AL116" i="19" s="1"/>
  <c r="F115" i="19"/>
  <c r="H115" i="19" s="1"/>
  <c r="K115" i="19" s="1"/>
  <c r="M115" i="19" s="1"/>
  <c r="P115" i="19" s="1"/>
  <c r="R115" i="19" s="1"/>
  <c r="U115" i="19" s="1"/>
  <c r="W115" i="19" s="1"/>
  <c r="Z115" i="19" s="1"/>
  <c r="AB115" i="19" s="1"/>
  <c r="AE115" i="19" s="1"/>
  <c r="AG115" i="19" s="1"/>
  <c r="AJ115" i="19" s="1"/>
  <c r="AL115" i="19" s="1"/>
  <c r="F114" i="19"/>
  <c r="H114" i="19" s="1"/>
  <c r="K114" i="19" s="1"/>
  <c r="M114" i="19" s="1"/>
  <c r="P114" i="19" s="1"/>
  <c r="R114" i="19" s="1"/>
  <c r="U114" i="19" s="1"/>
  <c r="W114" i="19" s="1"/>
  <c r="Z114" i="19" s="1"/>
  <c r="AB114" i="19" s="1"/>
  <c r="AE114" i="19" s="1"/>
  <c r="AG114" i="19" s="1"/>
  <c r="AJ114" i="19" s="1"/>
  <c r="AL114" i="19" s="1"/>
  <c r="F113" i="19"/>
  <c r="H113" i="19" s="1"/>
  <c r="K113" i="19" s="1"/>
  <c r="M113" i="19" s="1"/>
  <c r="P113" i="19" s="1"/>
  <c r="R113" i="19" s="1"/>
  <c r="U113" i="19" s="1"/>
  <c r="W113" i="19" s="1"/>
  <c r="Z113" i="19" s="1"/>
  <c r="AB113" i="19" s="1"/>
  <c r="AE113" i="19" s="1"/>
  <c r="AG113" i="19" s="1"/>
  <c r="AJ113" i="19" s="1"/>
  <c r="AL113" i="19" s="1"/>
  <c r="F112" i="19"/>
  <c r="H112" i="19" s="1"/>
  <c r="K112" i="19" s="1"/>
  <c r="M112" i="19" s="1"/>
  <c r="P112" i="19" s="1"/>
  <c r="R112" i="19" s="1"/>
  <c r="U112" i="19" s="1"/>
  <c r="W112" i="19" s="1"/>
  <c r="Z112" i="19" s="1"/>
  <c r="AB112" i="19" s="1"/>
  <c r="AE112" i="19" s="1"/>
  <c r="AG112" i="19" s="1"/>
  <c r="AJ112" i="19" s="1"/>
  <c r="AL112" i="19" s="1"/>
  <c r="F111" i="19"/>
  <c r="H111" i="19" s="1"/>
  <c r="K111" i="19" s="1"/>
  <c r="M111" i="19" s="1"/>
  <c r="P111" i="19" s="1"/>
  <c r="R111" i="19" s="1"/>
  <c r="U111" i="19" s="1"/>
  <c r="W111" i="19" s="1"/>
  <c r="Z111" i="19" s="1"/>
  <c r="AB111" i="19" s="1"/>
  <c r="AE111" i="19" s="1"/>
  <c r="AG111" i="19" s="1"/>
  <c r="AJ111" i="19" s="1"/>
  <c r="AL111" i="19" s="1"/>
  <c r="F110" i="19"/>
  <c r="H110" i="19" s="1"/>
  <c r="K110" i="19" s="1"/>
  <c r="M110" i="19" s="1"/>
  <c r="P110" i="19" s="1"/>
  <c r="R110" i="19" s="1"/>
  <c r="U110" i="19" s="1"/>
  <c r="W110" i="19" s="1"/>
  <c r="Z110" i="19" s="1"/>
  <c r="AB110" i="19" s="1"/>
  <c r="AE110" i="19" s="1"/>
  <c r="AG110" i="19" s="1"/>
  <c r="AJ110" i="19" s="1"/>
  <c r="AL110" i="19" s="1"/>
  <c r="F109" i="19"/>
  <c r="H109" i="19" s="1"/>
  <c r="K109" i="19" s="1"/>
  <c r="M109" i="19" s="1"/>
  <c r="P109" i="19" s="1"/>
  <c r="R109" i="19" s="1"/>
  <c r="U109" i="19" s="1"/>
  <c r="W109" i="19" s="1"/>
  <c r="Z109" i="19" s="1"/>
  <c r="AB109" i="19" s="1"/>
  <c r="AE109" i="19" s="1"/>
  <c r="AG109" i="19" s="1"/>
  <c r="AJ109" i="19" s="1"/>
  <c r="AL109" i="19" s="1"/>
  <c r="F108" i="19"/>
  <c r="H108" i="19" s="1"/>
  <c r="K108" i="19" s="1"/>
  <c r="M108" i="19" s="1"/>
  <c r="P108" i="19" s="1"/>
  <c r="R108" i="19" s="1"/>
  <c r="U108" i="19" s="1"/>
  <c r="W108" i="19" s="1"/>
  <c r="Z108" i="19" s="1"/>
  <c r="AB108" i="19" s="1"/>
  <c r="AE108" i="19" s="1"/>
  <c r="AG108" i="19" s="1"/>
  <c r="AJ108" i="19" s="1"/>
  <c r="AL108" i="19" s="1"/>
  <c r="F107" i="19"/>
  <c r="H107" i="19" s="1"/>
  <c r="K107" i="19" s="1"/>
  <c r="M107" i="19" s="1"/>
  <c r="P107" i="19" s="1"/>
  <c r="R107" i="19" s="1"/>
  <c r="U107" i="19" s="1"/>
  <c r="W107" i="19" s="1"/>
  <c r="Z107" i="19" s="1"/>
  <c r="AB107" i="19" s="1"/>
  <c r="AE107" i="19" s="1"/>
  <c r="AG107" i="19" s="1"/>
  <c r="AJ107" i="19" s="1"/>
  <c r="AL107" i="19" s="1"/>
  <c r="F106" i="19"/>
  <c r="H106" i="19" s="1"/>
  <c r="K106" i="19" s="1"/>
  <c r="M106" i="19" s="1"/>
  <c r="P106" i="19" s="1"/>
  <c r="R106" i="19" s="1"/>
  <c r="U106" i="19" s="1"/>
  <c r="W106" i="19" s="1"/>
  <c r="Z106" i="19" s="1"/>
  <c r="AB106" i="19" s="1"/>
  <c r="AE106" i="19" s="1"/>
  <c r="AG106" i="19" s="1"/>
  <c r="AJ106" i="19" s="1"/>
  <c r="AL106" i="19" s="1"/>
  <c r="F105" i="19"/>
  <c r="H105" i="19" s="1"/>
  <c r="K105" i="19" s="1"/>
  <c r="M105" i="19" s="1"/>
  <c r="P105" i="19" s="1"/>
  <c r="R105" i="19" s="1"/>
  <c r="U105" i="19" s="1"/>
  <c r="W105" i="19" s="1"/>
  <c r="Z105" i="19" s="1"/>
  <c r="AB105" i="19" s="1"/>
  <c r="AE105" i="19" s="1"/>
  <c r="AG105" i="19" s="1"/>
  <c r="AJ105" i="19" s="1"/>
  <c r="AL105" i="19" s="1"/>
  <c r="H104" i="19"/>
  <c r="K104" i="19" s="1"/>
  <c r="M104" i="19" s="1"/>
  <c r="P104" i="19" s="1"/>
  <c r="R104" i="19" s="1"/>
  <c r="U104" i="19" s="1"/>
  <c r="W104" i="19" s="1"/>
  <c r="Z104" i="19" s="1"/>
  <c r="AB104" i="19" s="1"/>
  <c r="AE104" i="19" s="1"/>
  <c r="AG104" i="19" s="1"/>
  <c r="AJ104" i="19" s="1"/>
  <c r="AL104" i="19" s="1"/>
  <c r="F104" i="19"/>
  <c r="F103" i="19"/>
  <c r="H103" i="19" s="1"/>
  <c r="K103" i="19" s="1"/>
  <c r="M103" i="19" s="1"/>
  <c r="P103" i="19" s="1"/>
  <c r="R103" i="19" s="1"/>
  <c r="U103" i="19" s="1"/>
  <c r="W103" i="19" s="1"/>
  <c r="Z103" i="19" s="1"/>
  <c r="AB103" i="19" s="1"/>
  <c r="AE103" i="19" s="1"/>
  <c r="AG103" i="19" s="1"/>
  <c r="AJ103" i="19" s="1"/>
  <c r="AL103" i="19" s="1"/>
  <c r="F102" i="19"/>
  <c r="H102" i="19" s="1"/>
  <c r="K102" i="19" s="1"/>
  <c r="M102" i="19" s="1"/>
  <c r="P102" i="19" s="1"/>
  <c r="R102" i="19" s="1"/>
  <c r="U102" i="19" s="1"/>
  <c r="W102" i="19" s="1"/>
  <c r="Z102" i="19" s="1"/>
  <c r="AB102" i="19" s="1"/>
  <c r="AE102" i="19" s="1"/>
  <c r="AG102" i="19" s="1"/>
  <c r="AJ102" i="19" s="1"/>
  <c r="AL102" i="19" s="1"/>
  <c r="F101" i="19"/>
  <c r="H101" i="19" s="1"/>
  <c r="K101" i="19" s="1"/>
  <c r="M101" i="19" s="1"/>
  <c r="P101" i="19" s="1"/>
  <c r="R101" i="19" s="1"/>
  <c r="U101" i="19" s="1"/>
  <c r="W101" i="19" s="1"/>
  <c r="Z101" i="19" s="1"/>
  <c r="AB101" i="19" s="1"/>
  <c r="AE101" i="19" s="1"/>
  <c r="AG101" i="19" s="1"/>
  <c r="AJ101" i="19" s="1"/>
  <c r="AL101" i="19" s="1"/>
  <c r="F100" i="19"/>
  <c r="H100" i="19" s="1"/>
  <c r="K100" i="19" s="1"/>
  <c r="M100" i="19" s="1"/>
  <c r="P100" i="19" s="1"/>
  <c r="R100" i="19" s="1"/>
  <c r="U100" i="19" s="1"/>
  <c r="W100" i="19" s="1"/>
  <c r="Z100" i="19" s="1"/>
  <c r="AB100" i="19" s="1"/>
  <c r="AE100" i="19" s="1"/>
  <c r="AG100" i="19" s="1"/>
  <c r="AJ100" i="19" s="1"/>
  <c r="AL100" i="19" s="1"/>
  <c r="F99" i="19"/>
  <c r="H99" i="19" s="1"/>
  <c r="K99" i="19" s="1"/>
  <c r="M99" i="19" s="1"/>
  <c r="P99" i="19" s="1"/>
  <c r="R99" i="19" s="1"/>
  <c r="U99" i="19" s="1"/>
  <c r="W99" i="19" s="1"/>
  <c r="Z99" i="19" s="1"/>
  <c r="AB99" i="19" s="1"/>
  <c r="AE99" i="19" s="1"/>
  <c r="AG99" i="19" s="1"/>
  <c r="AJ99" i="19" s="1"/>
  <c r="AL99" i="19" s="1"/>
  <c r="F98" i="19"/>
  <c r="H98" i="19" s="1"/>
  <c r="K98" i="19" s="1"/>
  <c r="M98" i="19" s="1"/>
  <c r="P98" i="19" s="1"/>
  <c r="R98" i="19" s="1"/>
  <c r="U98" i="19" s="1"/>
  <c r="W98" i="19" s="1"/>
  <c r="Z98" i="19" s="1"/>
  <c r="AB98" i="19" s="1"/>
  <c r="AE98" i="19" s="1"/>
  <c r="AG98" i="19" s="1"/>
  <c r="AJ98" i="19" s="1"/>
  <c r="AL98" i="19" s="1"/>
  <c r="F97" i="19"/>
  <c r="H97" i="19" s="1"/>
  <c r="K97" i="19" s="1"/>
  <c r="M97" i="19" s="1"/>
  <c r="P97" i="19" s="1"/>
  <c r="R97" i="19" s="1"/>
  <c r="U97" i="19" s="1"/>
  <c r="W97" i="19" s="1"/>
  <c r="Z97" i="19" s="1"/>
  <c r="AB97" i="19" s="1"/>
  <c r="AE97" i="19" s="1"/>
  <c r="AG97" i="19" s="1"/>
  <c r="AJ97" i="19" s="1"/>
  <c r="AL97" i="19" s="1"/>
  <c r="F96" i="19"/>
  <c r="H96" i="19" s="1"/>
  <c r="K96" i="19" s="1"/>
  <c r="M96" i="19" s="1"/>
  <c r="P96" i="19" s="1"/>
  <c r="R96" i="19" s="1"/>
  <c r="U96" i="19" s="1"/>
  <c r="W96" i="19" s="1"/>
  <c r="Z96" i="19" s="1"/>
  <c r="AB96" i="19" s="1"/>
  <c r="AE96" i="19" s="1"/>
  <c r="AG96" i="19" s="1"/>
  <c r="AJ96" i="19" s="1"/>
  <c r="AL96" i="19" s="1"/>
  <c r="F95" i="19"/>
  <c r="H95" i="19" s="1"/>
  <c r="K95" i="19" s="1"/>
  <c r="M95" i="19" s="1"/>
  <c r="P95" i="19" s="1"/>
  <c r="R95" i="19" s="1"/>
  <c r="U95" i="19" s="1"/>
  <c r="W95" i="19" s="1"/>
  <c r="Z95" i="19" s="1"/>
  <c r="AB95" i="19" s="1"/>
  <c r="AE95" i="19" s="1"/>
  <c r="AG95" i="19" s="1"/>
  <c r="AJ95" i="19" s="1"/>
  <c r="AL95" i="19" s="1"/>
  <c r="F94" i="19"/>
  <c r="H94" i="19" s="1"/>
  <c r="K94" i="19" s="1"/>
  <c r="M94" i="19" s="1"/>
  <c r="P94" i="19" s="1"/>
  <c r="R94" i="19" s="1"/>
  <c r="U94" i="19" s="1"/>
  <c r="W94" i="19" s="1"/>
  <c r="Z94" i="19" s="1"/>
  <c r="AB94" i="19" s="1"/>
  <c r="AE94" i="19" s="1"/>
  <c r="AG94" i="19" s="1"/>
  <c r="AJ94" i="19" s="1"/>
  <c r="AL94" i="19" s="1"/>
  <c r="F93" i="19"/>
  <c r="H93" i="19" s="1"/>
  <c r="K93" i="19" s="1"/>
  <c r="M93" i="19" s="1"/>
  <c r="P93" i="19" s="1"/>
  <c r="R93" i="19" s="1"/>
  <c r="U93" i="19" s="1"/>
  <c r="W93" i="19" s="1"/>
  <c r="Z93" i="19" s="1"/>
  <c r="AB93" i="19" s="1"/>
  <c r="AE93" i="19" s="1"/>
  <c r="AG93" i="19" s="1"/>
  <c r="AJ93" i="19" s="1"/>
  <c r="AL93" i="19" s="1"/>
  <c r="F92" i="19"/>
  <c r="H92" i="19" s="1"/>
  <c r="K92" i="19" s="1"/>
  <c r="M92" i="19" s="1"/>
  <c r="P92" i="19" s="1"/>
  <c r="R92" i="19" s="1"/>
  <c r="U92" i="19" s="1"/>
  <c r="W92" i="19" s="1"/>
  <c r="Z92" i="19" s="1"/>
  <c r="AB92" i="19" s="1"/>
  <c r="AE92" i="19" s="1"/>
  <c r="AG92" i="19" s="1"/>
  <c r="AJ92" i="19" s="1"/>
  <c r="AL92" i="19" s="1"/>
  <c r="H91" i="19"/>
  <c r="K91" i="19" s="1"/>
  <c r="M91" i="19" s="1"/>
  <c r="P91" i="19" s="1"/>
  <c r="R91" i="19" s="1"/>
  <c r="U91" i="19" s="1"/>
  <c r="W91" i="19" s="1"/>
  <c r="Z91" i="19" s="1"/>
  <c r="AB91" i="19" s="1"/>
  <c r="AE91" i="19" s="1"/>
  <c r="AG91" i="19" s="1"/>
  <c r="AJ91" i="19" s="1"/>
  <c r="AL91" i="19" s="1"/>
  <c r="F91" i="19"/>
  <c r="F90" i="19"/>
  <c r="H90" i="19" s="1"/>
  <c r="K90" i="19" s="1"/>
  <c r="M90" i="19" s="1"/>
  <c r="P90" i="19" s="1"/>
  <c r="R90" i="19" s="1"/>
  <c r="U90" i="19" s="1"/>
  <c r="W90" i="19" s="1"/>
  <c r="Z90" i="19" s="1"/>
  <c r="AB90" i="19" s="1"/>
  <c r="AE90" i="19" s="1"/>
  <c r="AG90" i="19" s="1"/>
  <c r="AJ90" i="19" s="1"/>
  <c r="AL90" i="19" s="1"/>
  <c r="F89" i="19"/>
  <c r="H89" i="19" s="1"/>
  <c r="K89" i="19" s="1"/>
  <c r="M89" i="19" s="1"/>
  <c r="P89" i="19" s="1"/>
  <c r="R89" i="19" s="1"/>
  <c r="U89" i="19" s="1"/>
  <c r="W89" i="19" s="1"/>
  <c r="Z89" i="19" s="1"/>
  <c r="AB89" i="19" s="1"/>
  <c r="AE89" i="19" s="1"/>
  <c r="AG89" i="19" s="1"/>
  <c r="AJ89" i="19" s="1"/>
  <c r="AL89" i="19" s="1"/>
  <c r="F88" i="19"/>
  <c r="H88" i="19" s="1"/>
  <c r="K88" i="19" s="1"/>
  <c r="M88" i="19" s="1"/>
  <c r="P88" i="19" s="1"/>
  <c r="R88" i="19" s="1"/>
  <c r="U88" i="19" s="1"/>
  <c r="W88" i="19" s="1"/>
  <c r="Z88" i="19" s="1"/>
  <c r="AB88" i="19" s="1"/>
  <c r="AE88" i="19" s="1"/>
  <c r="AG88" i="19" s="1"/>
  <c r="AJ88" i="19" s="1"/>
  <c r="AL88" i="19" s="1"/>
  <c r="F87" i="19"/>
  <c r="H87" i="19" s="1"/>
  <c r="K87" i="19" s="1"/>
  <c r="M87" i="19" s="1"/>
  <c r="P87" i="19" s="1"/>
  <c r="R87" i="19" s="1"/>
  <c r="U87" i="19" s="1"/>
  <c r="W87" i="19" s="1"/>
  <c r="Z87" i="19" s="1"/>
  <c r="AB87" i="19" s="1"/>
  <c r="AE87" i="19" s="1"/>
  <c r="AG87" i="19" s="1"/>
  <c r="AJ87" i="19" s="1"/>
  <c r="AL87" i="19" s="1"/>
  <c r="F86" i="19"/>
  <c r="H86" i="19" s="1"/>
  <c r="K86" i="19" s="1"/>
  <c r="M86" i="19" s="1"/>
  <c r="P86" i="19" s="1"/>
  <c r="R86" i="19" s="1"/>
  <c r="U86" i="19" s="1"/>
  <c r="W86" i="19" s="1"/>
  <c r="Z86" i="19" s="1"/>
  <c r="AB86" i="19" s="1"/>
  <c r="AE86" i="19" s="1"/>
  <c r="AG86" i="19" s="1"/>
  <c r="AJ86" i="19" s="1"/>
  <c r="AL86" i="19" s="1"/>
  <c r="F85" i="19"/>
  <c r="H85" i="19" s="1"/>
  <c r="K85" i="19" s="1"/>
  <c r="M85" i="19" s="1"/>
  <c r="P85" i="19" s="1"/>
  <c r="R85" i="19" s="1"/>
  <c r="U85" i="19" s="1"/>
  <c r="W85" i="19" s="1"/>
  <c r="Z85" i="19" s="1"/>
  <c r="AB85" i="19" s="1"/>
  <c r="AE85" i="19" s="1"/>
  <c r="AG85" i="19" s="1"/>
  <c r="AJ85" i="19" s="1"/>
  <c r="AL85" i="19" s="1"/>
  <c r="F84" i="19"/>
  <c r="H84" i="19" s="1"/>
  <c r="K84" i="19" s="1"/>
  <c r="M84" i="19" s="1"/>
  <c r="P84" i="19" s="1"/>
  <c r="R84" i="19" s="1"/>
  <c r="U84" i="19" s="1"/>
  <c r="W84" i="19" s="1"/>
  <c r="Z84" i="19" s="1"/>
  <c r="AB84" i="19" s="1"/>
  <c r="AE84" i="19" s="1"/>
  <c r="AG84" i="19" s="1"/>
  <c r="AJ84" i="19" s="1"/>
  <c r="AL84" i="19" s="1"/>
  <c r="F83" i="19"/>
  <c r="H83" i="19" s="1"/>
  <c r="K83" i="19" s="1"/>
  <c r="M83" i="19" s="1"/>
  <c r="P83" i="19" s="1"/>
  <c r="R83" i="19" s="1"/>
  <c r="U83" i="19" s="1"/>
  <c r="W83" i="19" s="1"/>
  <c r="Z83" i="19" s="1"/>
  <c r="AB83" i="19" s="1"/>
  <c r="AE83" i="19" s="1"/>
  <c r="AG83" i="19" s="1"/>
  <c r="AJ83" i="19" s="1"/>
  <c r="AL83" i="19" s="1"/>
  <c r="F82" i="19"/>
  <c r="H82" i="19" s="1"/>
  <c r="K82" i="19" s="1"/>
  <c r="M82" i="19" s="1"/>
  <c r="P82" i="19" s="1"/>
  <c r="R82" i="19" s="1"/>
  <c r="U82" i="19" s="1"/>
  <c r="W82" i="19" s="1"/>
  <c r="Z82" i="19" s="1"/>
  <c r="AB82" i="19" s="1"/>
  <c r="AE82" i="19" s="1"/>
  <c r="AG82" i="19" s="1"/>
  <c r="AJ82" i="19" s="1"/>
  <c r="AL82" i="19" s="1"/>
  <c r="F81" i="19"/>
  <c r="H81" i="19" s="1"/>
  <c r="K81" i="19" s="1"/>
  <c r="M81" i="19" s="1"/>
  <c r="P81" i="19" s="1"/>
  <c r="R81" i="19" s="1"/>
  <c r="U81" i="19" s="1"/>
  <c r="W81" i="19" s="1"/>
  <c r="Z81" i="19" s="1"/>
  <c r="AB81" i="19" s="1"/>
  <c r="AE81" i="19" s="1"/>
  <c r="AG81" i="19" s="1"/>
  <c r="AJ81" i="19" s="1"/>
  <c r="AL81" i="19" s="1"/>
  <c r="F80" i="19"/>
  <c r="H80" i="19" s="1"/>
  <c r="K80" i="19" s="1"/>
  <c r="M80" i="19" s="1"/>
  <c r="P80" i="19" s="1"/>
  <c r="R80" i="19" s="1"/>
  <c r="U80" i="19" s="1"/>
  <c r="W80" i="19" s="1"/>
  <c r="Z80" i="19" s="1"/>
  <c r="AB80" i="19" s="1"/>
  <c r="AE80" i="19" s="1"/>
  <c r="AG80" i="19" s="1"/>
  <c r="AJ80" i="19" s="1"/>
  <c r="AL80" i="19" s="1"/>
  <c r="F79" i="19"/>
  <c r="H79" i="19" s="1"/>
  <c r="K79" i="19" s="1"/>
  <c r="M79" i="19" s="1"/>
  <c r="P79" i="19" s="1"/>
  <c r="R79" i="19" s="1"/>
  <c r="U79" i="19" s="1"/>
  <c r="W79" i="19" s="1"/>
  <c r="Z79" i="19" s="1"/>
  <c r="AB79" i="19" s="1"/>
  <c r="AE79" i="19" s="1"/>
  <c r="AG79" i="19" s="1"/>
  <c r="AJ79" i="19" s="1"/>
  <c r="AL79" i="19" s="1"/>
  <c r="F78" i="19"/>
  <c r="H78" i="19" s="1"/>
  <c r="K78" i="19" s="1"/>
  <c r="M78" i="19" s="1"/>
  <c r="P78" i="19" s="1"/>
  <c r="R78" i="19" s="1"/>
  <c r="U78" i="19" s="1"/>
  <c r="W78" i="19" s="1"/>
  <c r="Z78" i="19" s="1"/>
  <c r="AB78" i="19" s="1"/>
  <c r="AE78" i="19" s="1"/>
  <c r="AG78" i="19" s="1"/>
  <c r="AJ78" i="19" s="1"/>
  <c r="AL78" i="19" s="1"/>
  <c r="F77" i="19"/>
  <c r="H77" i="19" s="1"/>
  <c r="K77" i="19" s="1"/>
  <c r="M77" i="19" s="1"/>
  <c r="P77" i="19" s="1"/>
  <c r="R77" i="19" s="1"/>
  <c r="U77" i="19" s="1"/>
  <c r="W77" i="19" s="1"/>
  <c r="Z77" i="19" s="1"/>
  <c r="AB77" i="19" s="1"/>
  <c r="AE77" i="19" s="1"/>
  <c r="AG77" i="19" s="1"/>
  <c r="AJ77" i="19" s="1"/>
  <c r="AL77" i="19" s="1"/>
  <c r="F76" i="19"/>
  <c r="H76" i="19" s="1"/>
  <c r="K76" i="19" s="1"/>
  <c r="M76" i="19" s="1"/>
  <c r="P76" i="19" s="1"/>
  <c r="R76" i="19" s="1"/>
  <c r="U76" i="19" s="1"/>
  <c r="W76" i="19" s="1"/>
  <c r="Z76" i="19" s="1"/>
  <c r="AB76" i="19" s="1"/>
  <c r="AE76" i="19" s="1"/>
  <c r="AG76" i="19" s="1"/>
  <c r="AJ76" i="19" s="1"/>
  <c r="AL76" i="19" s="1"/>
  <c r="H75" i="19"/>
  <c r="K75" i="19" s="1"/>
  <c r="M75" i="19" s="1"/>
  <c r="P75" i="19" s="1"/>
  <c r="R75" i="19" s="1"/>
  <c r="U75" i="19" s="1"/>
  <c r="W75" i="19" s="1"/>
  <c r="Z75" i="19" s="1"/>
  <c r="AB75" i="19" s="1"/>
  <c r="AE75" i="19" s="1"/>
  <c r="AG75" i="19" s="1"/>
  <c r="AJ75" i="19" s="1"/>
  <c r="AL75" i="19" s="1"/>
  <c r="F75" i="19"/>
  <c r="F74" i="19"/>
  <c r="H74" i="19" s="1"/>
  <c r="K74" i="19" s="1"/>
  <c r="M74" i="19" s="1"/>
  <c r="P74" i="19" s="1"/>
  <c r="R74" i="19" s="1"/>
  <c r="U74" i="19" s="1"/>
  <c r="W74" i="19" s="1"/>
  <c r="Z74" i="19" s="1"/>
  <c r="AB74" i="19" s="1"/>
  <c r="AE74" i="19" s="1"/>
  <c r="AG74" i="19" s="1"/>
  <c r="AJ74" i="19" s="1"/>
  <c r="AL74" i="19" s="1"/>
  <c r="F73" i="19"/>
  <c r="H73" i="19" s="1"/>
  <c r="K73" i="19" s="1"/>
  <c r="M73" i="19" s="1"/>
  <c r="P73" i="19" s="1"/>
  <c r="R73" i="19" s="1"/>
  <c r="U73" i="19" s="1"/>
  <c r="W73" i="19" s="1"/>
  <c r="Z73" i="19" s="1"/>
  <c r="AB73" i="19" s="1"/>
  <c r="AE73" i="19" s="1"/>
  <c r="AG73" i="19" s="1"/>
  <c r="AJ73" i="19" s="1"/>
  <c r="AL73" i="19" s="1"/>
  <c r="F72" i="19"/>
  <c r="H72" i="19" s="1"/>
  <c r="K72" i="19" s="1"/>
  <c r="M72" i="19" s="1"/>
  <c r="P72" i="19" s="1"/>
  <c r="R72" i="19" s="1"/>
  <c r="U72" i="19" s="1"/>
  <c r="W72" i="19" s="1"/>
  <c r="Z72" i="19" s="1"/>
  <c r="AB72" i="19" s="1"/>
  <c r="AE72" i="19" s="1"/>
  <c r="AG72" i="19" s="1"/>
  <c r="AJ72" i="19" s="1"/>
  <c r="AL72" i="19" s="1"/>
  <c r="F71" i="19"/>
  <c r="H71" i="19" s="1"/>
  <c r="K71" i="19" s="1"/>
  <c r="M71" i="19" s="1"/>
  <c r="P71" i="19" s="1"/>
  <c r="R71" i="19" s="1"/>
  <c r="U71" i="19" s="1"/>
  <c r="W71" i="19" s="1"/>
  <c r="Z71" i="19" s="1"/>
  <c r="AB71" i="19" s="1"/>
  <c r="AE71" i="19" s="1"/>
  <c r="AG71" i="19" s="1"/>
  <c r="AJ71" i="19" s="1"/>
  <c r="AL71" i="19" s="1"/>
  <c r="F70" i="19"/>
  <c r="H70" i="19" s="1"/>
  <c r="K70" i="19" s="1"/>
  <c r="M70" i="19" s="1"/>
  <c r="P70" i="19" s="1"/>
  <c r="R70" i="19" s="1"/>
  <c r="U70" i="19" s="1"/>
  <c r="W70" i="19" s="1"/>
  <c r="Z70" i="19" s="1"/>
  <c r="AB70" i="19" s="1"/>
  <c r="AE70" i="19" s="1"/>
  <c r="AG70" i="19" s="1"/>
  <c r="AJ70" i="19" s="1"/>
  <c r="AL70" i="19" s="1"/>
  <c r="F69" i="19"/>
  <c r="H69" i="19" s="1"/>
  <c r="K69" i="19" s="1"/>
  <c r="M69" i="19" s="1"/>
  <c r="P69" i="19" s="1"/>
  <c r="R69" i="19" s="1"/>
  <c r="U69" i="19" s="1"/>
  <c r="W69" i="19" s="1"/>
  <c r="Z69" i="19" s="1"/>
  <c r="AB69" i="19" s="1"/>
  <c r="AE69" i="19" s="1"/>
  <c r="AG69" i="19" s="1"/>
  <c r="AJ69" i="19" s="1"/>
  <c r="AL69" i="19" s="1"/>
  <c r="F68" i="19"/>
  <c r="H68" i="19" s="1"/>
  <c r="K68" i="19" s="1"/>
  <c r="M68" i="19" s="1"/>
  <c r="P68" i="19" s="1"/>
  <c r="R68" i="19" s="1"/>
  <c r="U68" i="19" s="1"/>
  <c r="W68" i="19" s="1"/>
  <c r="Z68" i="19" s="1"/>
  <c r="AB68" i="19" s="1"/>
  <c r="AE68" i="19" s="1"/>
  <c r="AG68" i="19" s="1"/>
  <c r="AJ68" i="19" s="1"/>
  <c r="AL68" i="19" s="1"/>
  <c r="F67" i="19"/>
  <c r="H67" i="19" s="1"/>
  <c r="K67" i="19" s="1"/>
  <c r="M67" i="19" s="1"/>
  <c r="P67" i="19" s="1"/>
  <c r="R67" i="19" s="1"/>
  <c r="U67" i="19" s="1"/>
  <c r="W67" i="19" s="1"/>
  <c r="Z67" i="19" s="1"/>
  <c r="AB67" i="19" s="1"/>
  <c r="AE67" i="19" s="1"/>
  <c r="AG67" i="19" s="1"/>
  <c r="AJ67" i="19" s="1"/>
  <c r="AL67" i="19" s="1"/>
  <c r="F66" i="19"/>
  <c r="H66" i="19" s="1"/>
  <c r="K66" i="19" s="1"/>
  <c r="M66" i="19" s="1"/>
  <c r="P66" i="19" s="1"/>
  <c r="R66" i="19" s="1"/>
  <c r="U66" i="19" s="1"/>
  <c r="W66" i="19" s="1"/>
  <c r="Z66" i="19" s="1"/>
  <c r="AB66" i="19" s="1"/>
  <c r="AE66" i="19" s="1"/>
  <c r="AG66" i="19" s="1"/>
  <c r="AJ66" i="19" s="1"/>
  <c r="AL66" i="19" s="1"/>
  <c r="F65" i="19"/>
  <c r="H65" i="19" s="1"/>
  <c r="K65" i="19" s="1"/>
  <c r="M65" i="19" s="1"/>
  <c r="P65" i="19" s="1"/>
  <c r="R65" i="19" s="1"/>
  <c r="U65" i="19" s="1"/>
  <c r="W65" i="19" s="1"/>
  <c r="Z65" i="19" s="1"/>
  <c r="AB65" i="19" s="1"/>
  <c r="AE65" i="19" s="1"/>
  <c r="AG65" i="19" s="1"/>
  <c r="AJ65" i="19" s="1"/>
  <c r="AL65" i="19" s="1"/>
  <c r="F64" i="19"/>
  <c r="H64" i="19" s="1"/>
  <c r="K64" i="19" s="1"/>
  <c r="M64" i="19" s="1"/>
  <c r="P64" i="19" s="1"/>
  <c r="R64" i="19" s="1"/>
  <c r="U64" i="19" s="1"/>
  <c r="W64" i="19" s="1"/>
  <c r="Z64" i="19" s="1"/>
  <c r="AB64" i="19" s="1"/>
  <c r="AE64" i="19" s="1"/>
  <c r="AG64" i="19" s="1"/>
  <c r="AJ64" i="19" s="1"/>
  <c r="AL64" i="19" s="1"/>
  <c r="F63" i="19"/>
  <c r="H63" i="19" s="1"/>
  <c r="K63" i="19" s="1"/>
  <c r="M63" i="19" s="1"/>
  <c r="P63" i="19" s="1"/>
  <c r="R63" i="19" s="1"/>
  <c r="U63" i="19" s="1"/>
  <c r="W63" i="19" s="1"/>
  <c r="Z63" i="19" s="1"/>
  <c r="AB63" i="19" s="1"/>
  <c r="AE63" i="19" s="1"/>
  <c r="AG63" i="19" s="1"/>
  <c r="AJ63" i="19" s="1"/>
  <c r="AL63" i="19" s="1"/>
  <c r="F62" i="19"/>
  <c r="H62" i="19" s="1"/>
  <c r="K62" i="19" s="1"/>
  <c r="M62" i="19" s="1"/>
  <c r="P62" i="19" s="1"/>
  <c r="R62" i="19" s="1"/>
  <c r="U62" i="19" s="1"/>
  <c r="W62" i="19" s="1"/>
  <c r="Z62" i="19" s="1"/>
  <c r="AB62" i="19" s="1"/>
  <c r="AE62" i="19" s="1"/>
  <c r="AG62" i="19" s="1"/>
  <c r="AJ62" i="19" s="1"/>
  <c r="AL62" i="19" s="1"/>
  <c r="F61" i="19"/>
  <c r="H61" i="19" s="1"/>
  <c r="K61" i="19" s="1"/>
  <c r="M61" i="19" s="1"/>
  <c r="P61" i="19" s="1"/>
  <c r="R61" i="19" s="1"/>
  <c r="U61" i="19" s="1"/>
  <c r="W61" i="19" s="1"/>
  <c r="Z61" i="19" s="1"/>
  <c r="AB61" i="19" s="1"/>
  <c r="AE61" i="19" s="1"/>
  <c r="AG61" i="19" s="1"/>
  <c r="AJ61" i="19" s="1"/>
  <c r="AL61" i="19" s="1"/>
  <c r="F60" i="19"/>
  <c r="H60" i="19" s="1"/>
  <c r="K60" i="19" s="1"/>
  <c r="M60" i="19" s="1"/>
  <c r="P60" i="19" s="1"/>
  <c r="R60" i="19" s="1"/>
  <c r="U60" i="19" s="1"/>
  <c r="W60" i="19" s="1"/>
  <c r="Z60" i="19" s="1"/>
  <c r="AB60" i="19" s="1"/>
  <c r="AE60" i="19" s="1"/>
  <c r="AG60" i="19" s="1"/>
  <c r="AJ60" i="19" s="1"/>
  <c r="AL60" i="19" s="1"/>
  <c r="F59" i="19"/>
  <c r="H59" i="19" s="1"/>
  <c r="K59" i="19" s="1"/>
  <c r="M59" i="19" s="1"/>
  <c r="P59" i="19" s="1"/>
  <c r="R59" i="19" s="1"/>
  <c r="U59" i="19" s="1"/>
  <c r="W59" i="19" s="1"/>
  <c r="Z59" i="19" s="1"/>
  <c r="AB59" i="19" s="1"/>
  <c r="AE59" i="19" s="1"/>
  <c r="AG59" i="19" s="1"/>
  <c r="AJ59" i="19" s="1"/>
  <c r="AL59" i="19" s="1"/>
  <c r="F58" i="19"/>
  <c r="H58" i="19" s="1"/>
  <c r="K58" i="19" s="1"/>
  <c r="M58" i="19" s="1"/>
  <c r="P58" i="19" s="1"/>
  <c r="R58" i="19" s="1"/>
  <c r="U58" i="19" s="1"/>
  <c r="W58" i="19" s="1"/>
  <c r="Z58" i="19" s="1"/>
  <c r="AB58" i="19" s="1"/>
  <c r="AE58" i="19" s="1"/>
  <c r="AG58" i="19" s="1"/>
  <c r="AJ58" i="19" s="1"/>
  <c r="AL58" i="19" s="1"/>
  <c r="F57" i="19"/>
  <c r="H57" i="19" s="1"/>
  <c r="K57" i="19" s="1"/>
  <c r="M57" i="19" s="1"/>
  <c r="P57" i="19" s="1"/>
  <c r="R57" i="19" s="1"/>
  <c r="U57" i="19" s="1"/>
  <c r="W57" i="19" s="1"/>
  <c r="Z57" i="19" s="1"/>
  <c r="AB57" i="19" s="1"/>
  <c r="AE57" i="19" s="1"/>
  <c r="AG57" i="19" s="1"/>
  <c r="AJ57" i="19" s="1"/>
  <c r="AL57" i="19" s="1"/>
  <c r="F56" i="19"/>
  <c r="H56" i="19" s="1"/>
  <c r="K56" i="19" s="1"/>
  <c r="M56" i="19" s="1"/>
  <c r="P56" i="19" s="1"/>
  <c r="R56" i="19" s="1"/>
  <c r="U56" i="19" s="1"/>
  <c r="W56" i="19" s="1"/>
  <c r="Z56" i="19" s="1"/>
  <c r="AB56" i="19" s="1"/>
  <c r="AE56" i="19" s="1"/>
  <c r="AG56" i="19" s="1"/>
  <c r="AJ56" i="19" s="1"/>
  <c r="AL56" i="19" s="1"/>
  <c r="F55" i="19"/>
  <c r="H55" i="19" s="1"/>
  <c r="K55" i="19" s="1"/>
  <c r="M55" i="19" s="1"/>
  <c r="P55" i="19" s="1"/>
  <c r="R55" i="19" s="1"/>
  <c r="U55" i="19" s="1"/>
  <c r="W55" i="19" s="1"/>
  <c r="Z55" i="19" s="1"/>
  <c r="AB55" i="19" s="1"/>
  <c r="AE55" i="19" s="1"/>
  <c r="AG55" i="19" s="1"/>
  <c r="AJ55" i="19" s="1"/>
  <c r="AL55" i="19" s="1"/>
  <c r="F54" i="19"/>
  <c r="H54" i="19" s="1"/>
  <c r="K54" i="19" s="1"/>
  <c r="M54" i="19" s="1"/>
  <c r="P54" i="19" s="1"/>
  <c r="R54" i="19" s="1"/>
  <c r="U54" i="19" s="1"/>
  <c r="W54" i="19" s="1"/>
  <c r="Z54" i="19" s="1"/>
  <c r="AB54" i="19" s="1"/>
  <c r="AE54" i="19" s="1"/>
  <c r="AG54" i="19" s="1"/>
  <c r="AJ54" i="19" s="1"/>
  <c r="AL54" i="19" s="1"/>
  <c r="F53" i="19"/>
  <c r="H53" i="19" s="1"/>
  <c r="K53" i="19" s="1"/>
  <c r="M53" i="19" s="1"/>
  <c r="P53" i="19" s="1"/>
  <c r="R53" i="19" s="1"/>
  <c r="U53" i="19" s="1"/>
  <c r="W53" i="19" s="1"/>
  <c r="Z53" i="19" s="1"/>
  <c r="AB53" i="19" s="1"/>
  <c r="AE53" i="19" s="1"/>
  <c r="AG53" i="19" s="1"/>
  <c r="AJ53" i="19" s="1"/>
  <c r="AL53" i="19" s="1"/>
  <c r="K52" i="19"/>
  <c r="M52" i="19" s="1"/>
  <c r="P52" i="19" s="1"/>
  <c r="R52" i="19" s="1"/>
  <c r="U52" i="19" s="1"/>
  <c r="W52" i="19" s="1"/>
  <c r="Z52" i="19" s="1"/>
  <c r="AB52" i="19" s="1"/>
  <c r="AE52" i="19" s="1"/>
  <c r="AG52" i="19" s="1"/>
  <c r="AJ52" i="19" s="1"/>
  <c r="AL52" i="19" s="1"/>
  <c r="H52" i="19"/>
  <c r="F52" i="19"/>
  <c r="H51" i="19"/>
  <c r="K51" i="19" s="1"/>
  <c r="M51" i="19" s="1"/>
  <c r="P51" i="19" s="1"/>
  <c r="R51" i="19" s="1"/>
  <c r="U51" i="19" s="1"/>
  <c r="W51" i="19" s="1"/>
  <c r="Z51" i="19" s="1"/>
  <c r="AB51" i="19" s="1"/>
  <c r="AE51" i="19" s="1"/>
  <c r="AG51" i="19" s="1"/>
  <c r="AJ51" i="19" s="1"/>
  <c r="AL51" i="19" s="1"/>
  <c r="F51" i="19"/>
  <c r="F50" i="19"/>
  <c r="H50" i="19" s="1"/>
  <c r="K50" i="19" s="1"/>
  <c r="M50" i="19" s="1"/>
  <c r="P50" i="19" s="1"/>
  <c r="R50" i="19" s="1"/>
  <c r="U50" i="19" s="1"/>
  <c r="W50" i="19" s="1"/>
  <c r="Z50" i="19" s="1"/>
  <c r="AB50" i="19" s="1"/>
  <c r="AE50" i="19" s="1"/>
  <c r="AG50" i="19" s="1"/>
  <c r="AJ50" i="19" s="1"/>
  <c r="AL50" i="19" s="1"/>
  <c r="F49" i="19"/>
  <c r="H49" i="19" s="1"/>
  <c r="K49" i="19" s="1"/>
  <c r="M49" i="19" s="1"/>
  <c r="P49" i="19" s="1"/>
  <c r="R49" i="19" s="1"/>
  <c r="U49" i="19" s="1"/>
  <c r="W49" i="19" s="1"/>
  <c r="Z49" i="19" s="1"/>
  <c r="AB49" i="19" s="1"/>
  <c r="AE49" i="19" s="1"/>
  <c r="AG49" i="19" s="1"/>
  <c r="AJ49" i="19" s="1"/>
  <c r="AL49" i="19" s="1"/>
  <c r="F48" i="19"/>
  <c r="H48" i="19" s="1"/>
  <c r="K48" i="19" s="1"/>
  <c r="M48" i="19" s="1"/>
  <c r="P48" i="19" s="1"/>
  <c r="R48" i="19" s="1"/>
  <c r="U48" i="19" s="1"/>
  <c r="W48" i="19" s="1"/>
  <c r="Z48" i="19" s="1"/>
  <c r="AB48" i="19" s="1"/>
  <c r="AE48" i="19" s="1"/>
  <c r="AG48" i="19" s="1"/>
  <c r="AJ48" i="19" s="1"/>
  <c r="AL48" i="19" s="1"/>
  <c r="F47" i="19"/>
  <c r="H47" i="19" s="1"/>
  <c r="K47" i="19" s="1"/>
  <c r="M47" i="19" s="1"/>
  <c r="P47" i="19" s="1"/>
  <c r="R47" i="19" s="1"/>
  <c r="U47" i="19" s="1"/>
  <c r="W47" i="19" s="1"/>
  <c r="Z47" i="19" s="1"/>
  <c r="AB47" i="19" s="1"/>
  <c r="AE47" i="19" s="1"/>
  <c r="AG47" i="19" s="1"/>
  <c r="AJ47" i="19" s="1"/>
  <c r="AL47" i="19" s="1"/>
  <c r="F46" i="19"/>
  <c r="H46" i="19" s="1"/>
  <c r="K46" i="19" s="1"/>
  <c r="M46" i="19" s="1"/>
  <c r="P46" i="19" s="1"/>
  <c r="R46" i="19" s="1"/>
  <c r="U46" i="19" s="1"/>
  <c r="W46" i="19" s="1"/>
  <c r="Z46" i="19" s="1"/>
  <c r="AB46" i="19" s="1"/>
  <c r="AE46" i="19" s="1"/>
  <c r="AG46" i="19" s="1"/>
  <c r="AJ46" i="19" s="1"/>
  <c r="AL46" i="19" s="1"/>
  <c r="F45" i="19"/>
  <c r="H45" i="19" s="1"/>
  <c r="K45" i="19" s="1"/>
  <c r="M45" i="19" s="1"/>
  <c r="P45" i="19" s="1"/>
  <c r="R45" i="19" s="1"/>
  <c r="U45" i="19" s="1"/>
  <c r="W45" i="19" s="1"/>
  <c r="Z45" i="19" s="1"/>
  <c r="AB45" i="19" s="1"/>
  <c r="AE45" i="19" s="1"/>
  <c r="AG45" i="19" s="1"/>
  <c r="AJ45" i="19" s="1"/>
  <c r="AL45" i="19" s="1"/>
  <c r="F44" i="19"/>
  <c r="H44" i="19" s="1"/>
  <c r="K44" i="19" s="1"/>
  <c r="M44" i="19" s="1"/>
  <c r="P44" i="19" s="1"/>
  <c r="R44" i="19" s="1"/>
  <c r="U44" i="19" s="1"/>
  <c r="W44" i="19" s="1"/>
  <c r="Z44" i="19" s="1"/>
  <c r="AB44" i="19" s="1"/>
  <c r="AE44" i="19" s="1"/>
  <c r="AG44" i="19" s="1"/>
  <c r="AJ44" i="19" s="1"/>
  <c r="AL44" i="19" s="1"/>
  <c r="H43" i="19"/>
  <c r="K43" i="19" s="1"/>
  <c r="M43" i="19" s="1"/>
  <c r="P43" i="19" s="1"/>
  <c r="R43" i="19" s="1"/>
  <c r="U43" i="19" s="1"/>
  <c r="W43" i="19" s="1"/>
  <c r="Z43" i="19" s="1"/>
  <c r="AB43" i="19" s="1"/>
  <c r="AE43" i="19" s="1"/>
  <c r="AG43" i="19" s="1"/>
  <c r="AJ43" i="19" s="1"/>
  <c r="AL43" i="19" s="1"/>
  <c r="F43" i="19"/>
  <c r="F42" i="19"/>
  <c r="H42" i="19" s="1"/>
  <c r="K42" i="19" s="1"/>
  <c r="M42" i="19" s="1"/>
  <c r="P42" i="19" s="1"/>
  <c r="R42" i="19" s="1"/>
  <c r="U42" i="19" s="1"/>
  <c r="W42" i="19" s="1"/>
  <c r="Z42" i="19" s="1"/>
  <c r="AB42" i="19" s="1"/>
  <c r="AE42" i="19" s="1"/>
  <c r="AG42" i="19" s="1"/>
  <c r="AJ42" i="19" s="1"/>
  <c r="AL42" i="19" s="1"/>
  <c r="F41" i="19"/>
  <c r="H41" i="19" s="1"/>
  <c r="K41" i="19" s="1"/>
  <c r="M41" i="19" s="1"/>
  <c r="P41" i="19" s="1"/>
  <c r="R41" i="19" s="1"/>
  <c r="U41" i="19" s="1"/>
  <c r="W41" i="19" s="1"/>
  <c r="Z41" i="19" s="1"/>
  <c r="AB41" i="19" s="1"/>
  <c r="AE41" i="19" s="1"/>
  <c r="AG41" i="19" s="1"/>
  <c r="AJ41" i="19" s="1"/>
  <c r="AL41" i="19" s="1"/>
  <c r="F40" i="19"/>
  <c r="H40" i="19" s="1"/>
  <c r="K40" i="19" s="1"/>
  <c r="M40" i="19" s="1"/>
  <c r="P40" i="19" s="1"/>
  <c r="R40" i="19" s="1"/>
  <c r="U40" i="19" s="1"/>
  <c r="W40" i="19" s="1"/>
  <c r="Z40" i="19" s="1"/>
  <c r="AB40" i="19" s="1"/>
  <c r="AE40" i="19" s="1"/>
  <c r="AG40" i="19" s="1"/>
  <c r="AJ40" i="19" s="1"/>
  <c r="AL40" i="19" s="1"/>
  <c r="F39" i="19"/>
  <c r="H39" i="19" s="1"/>
  <c r="K39" i="19" s="1"/>
  <c r="M39" i="19" s="1"/>
  <c r="P39" i="19" s="1"/>
  <c r="R39" i="19" s="1"/>
  <c r="U39" i="19" s="1"/>
  <c r="W39" i="19" s="1"/>
  <c r="Z39" i="19" s="1"/>
  <c r="AB39" i="19" s="1"/>
  <c r="AE39" i="19" s="1"/>
  <c r="AG39" i="19" s="1"/>
  <c r="AJ39" i="19" s="1"/>
  <c r="AL39" i="19" s="1"/>
  <c r="F38" i="19"/>
  <c r="H38" i="19" s="1"/>
  <c r="K38" i="19" s="1"/>
  <c r="M38" i="19" s="1"/>
  <c r="P38" i="19" s="1"/>
  <c r="R38" i="19" s="1"/>
  <c r="U38" i="19" s="1"/>
  <c r="W38" i="19" s="1"/>
  <c r="Z38" i="19" s="1"/>
  <c r="AB38" i="19" s="1"/>
  <c r="AE38" i="19" s="1"/>
  <c r="AG38" i="19" s="1"/>
  <c r="AJ38" i="19" s="1"/>
  <c r="AL38" i="19" s="1"/>
  <c r="F37" i="19"/>
  <c r="H37" i="19" s="1"/>
  <c r="K37" i="19" s="1"/>
  <c r="M37" i="19" s="1"/>
  <c r="P37" i="19" s="1"/>
  <c r="R37" i="19" s="1"/>
  <c r="U37" i="19" s="1"/>
  <c r="W37" i="19" s="1"/>
  <c r="Z37" i="19" s="1"/>
  <c r="AB37" i="19" s="1"/>
  <c r="AE37" i="19" s="1"/>
  <c r="AG37" i="19" s="1"/>
  <c r="AJ37" i="19" s="1"/>
  <c r="AL37" i="19" s="1"/>
  <c r="F36" i="19"/>
  <c r="H36" i="19" s="1"/>
  <c r="K36" i="19" s="1"/>
  <c r="M36" i="19" s="1"/>
  <c r="P36" i="19" s="1"/>
  <c r="R36" i="19" s="1"/>
  <c r="U36" i="19" s="1"/>
  <c r="W36" i="19" s="1"/>
  <c r="Z36" i="19" s="1"/>
  <c r="AB36" i="19" s="1"/>
  <c r="AE36" i="19" s="1"/>
  <c r="AG36" i="19" s="1"/>
  <c r="AJ36" i="19" s="1"/>
  <c r="AL36" i="19" s="1"/>
  <c r="F35" i="19"/>
  <c r="H35" i="19" s="1"/>
  <c r="K35" i="19" s="1"/>
  <c r="M35" i="19" s="1"/>
  <c r="P35" i="19" s="1"/>
  <c r="R35" i="19" s="1"/>
  <c r="U35" i="19" s="1"/>
  <c r="W35" i="19" s="1"/>
  <c r="Z35" i="19" s="1"/>
  <c r="AB35" i="19" s="1"/>
  <c r="AE35" i="19" s="1"/>
  <c r="AG35" i="19" s="1"/>
  <c r="AJ35" i="19" s="1"/>
  <c r="AL35" i="19" s="1"/>
  <c r="F34" i="19"/>
  <c r="H34" i="19" s="1"/>
  <c r="K34" i="19" s="1"/>
  <c r="M34" i="19" s="1"/>
  <c r="P34" i="19" s="1"/>
  <c r="R34" i="19" s="1"/>
  <c r="U34" i="19" s="1"/>
  <c r="W34" i="19" s="1"/>
  <c r="Z34" i="19" s="1"/>
  <c r="AB34" i="19" s="1"/>
  <c r="AE34" i="19" s="1"/>
  <c r="AG34" i="19" s="1"/>
  <c r="AJ34" i="19" s="1"/>
  <c r="AL34" i="19" s="1"/>
  <c r="F33" i="19"/>
  <c r="H33" i="19" s="1"/>
  <c r="K33" i="19" s="1"/>
  <c r="M33" i="19" s="1"/>
  <c r="P33" i="19" s="1"/>
  <c r="R33" i="19" s="1"/>
  <c r="U33" i="19" s="1"/>
  <c r="W33" i="19" s="1"/>
  <c r="Z33" i="19" s="1"/>
  <c r="AB33" i="19" s="1"/>
  <c r="AE33" i="19" s="1"/>
  <c r="AG33" i="19" s="1"/>
  <c r="AJ33" i="19" s="1"/>
  <c r="AL33" i="19" s="1"/>
  <c r="F32" i="19"/>
  <c r="H32" i="19" s="1"/>
  <c r="K32" i="19" s="1"/>
  <c r="M32" i="19" s="1"/>
  <c r="P32" i="19" s="1"/>
  <c r="R32" i="19" s="1"/>
  <c r="U32" i="19" s="1"/>
  <c r="W32" i="19" s="1"/>
  <c r="Z32" i="19" s="1"/>
  <c r="AB32" i="19" s="1"/>
  <c r="AE32" i="19" s="1"/>
  <c r="AG32" i="19" s="1"/>
  <c r="AJ32" i="19" s="1"/>
  <c r="AL32" i="19" s="1"/>
  <c r="F31" i="19"/>
  <c r="H31" i="19" s="1"/>
  <c r="K31" i="19" s="1"/>
  <c r="M31" i="19" s="1"/>
  <c r="P31" i="19" s="1"/>
  <c r="R31" i="19" s="1"/>
  <c r="U31" i="19" s="1"/>
  <c r="W31" i="19" s="1"/>
  <c r="Z31" i="19" s="1"/>
  <c r="AB31" i="19" s="1"/>
  <c r="AE31" i="19" s="1"/>
  <c r="AG31" i="19" s="1"/>
  <c r="AJ31" i="19" s="1"/>
  <c r="AL31" i="19" s="1"/>
  <c r="F30" i="19"/>
  <c r="H30" i="19" s="1"/>
  <c r="K30" i="19" s="1"/>
  <c r="M30" i="19" s="1"/>
  <c r="P30" i="19" s="1"/>
  <c r="R30" i="19" s="1"/>
  <c r="U30" i="19" s="1"/>
  <c r="W30" i="19" s="1"/>
  <c r="Z30" i="19" s="1"/>
  <c r="AB30" i="19" s="1"/>
  <c r="AE30" i="19" s="1"/>
  <c r="AG30" i="19" s="1"/>
  <c r="AJ30" i="19" s="1"/>
  <c r="AL30" i="19" s="1"/>
  <c r="F29" i="19"/>
  <c r="H29" i="19" s="1"/>
  <c r="K29" i="19" s="1"/>
  <c r="M29" i="19" s="1"/>
  <c r="P29" i="19" s="1"/>
  <c r="R29" i="19" s="1"/>
  <c r="U29" i="19" s="1"/>
  <c r="W29" i="19" s="1"/>
  <c r="Z29" i="19" s="1"/>
  <c r="AB29" i="19" s="1"/>
  <c r="AE29" i="19" s="1"/>
  <c r="AG29" i="19" s="1"/>
  <c r="AJ29" i="19" s="1"/>
  <c r="AL29" i="19" s="1"/>
  <c r="H28" i="19"/>
  <c r="K28" i="19" s="1"/>
  <c r="M28" i="19" s="1"/>
  <c r="P28" i="19" s="1"/>
  <c r="R28" i="19" s="1"/>
  <c r="U28" i="19" s="1"/>
  <c r="W28" i="19" s="1"/>
  <c r="Z28" i="19" s="1"/>
  <c r="AB28" i="19" s="1"/>
  <c r="AE28" i="19" s="1"/>
  <c r="AG28" i="19" s="1"/>
  <c r="AJ28" i="19" s="1"/>
  <c r="AL28" i="19" s="1"/>
  <c r="F28" i="19"/>
  <c r="F27" i="19"/>
  <c r="H27" i="19" s="1"/>
  <c r="K27" i="19" s="1"/>
  <c r="M27" i="19" s="1"/>
  <c r="P27" i="19" s="1"/>
  <c r="R27" i="19" s="1"/>
  <c r="U27" i="19" s="1"/>
  <c r="W27" i="19" s="1"/>
  <c r="Z27" i="19" s="1"/>
  <c r="AB27" i="19" s="1"/>
  <c r="AE27" i="19" s="1"/>
  <c r="AG27" i="19" s="1"/>
  <c r="AJ27" i="19" s="1"/>
  <c r="AL27" i="19" s="1"/>
  <c r="F26" i="19"/>
  <c r="H26" i="19" s="1"/>
  <c r="K26" i="19" s="1"/>
  <c r="M26" i="19" s="1"/>
  <c r="P26" i="19" s="1"/>
  <c r="R26" i="19" s="1"/>
  <c r="U26" i="19" s="1"/>
  <c r="W26" i="19" s="1"/>
  <c r="Z26" i="19" s="1"/>
  <c r="AB26" i="19" s="1"/>
  <c r="AE26" i="19" s="1"/>
  <c r="AG26" i="19" s="1"/>
  <c r="AJ26" i="19" s="1"/>
  <c r="AL26" i="19" s="1"/>
  <c r="F25" i="19"/>
  <c r="H25" i="19" s="1"/>
  <c r="K25" i="19" s="1"/>
  <c r="M25" i="19" s="1"/>
  <c r="P25" i="19" s="1"/>
  <c r="R25" i="19" s="1"/>
  <c r="U25" i="19" s="1"/>
  <c r="W25" i="19" s="1"/>
  <c r="Z25" i="19" s="1"/>
  <c r="AB25" i="19" s="1"/>
  <c r="AE25" i="19" s="1"/>
  <c r="AG25" i="19" s="1"/>
  <c r="AJ25" i="19" s="1"/>
  <c r="AL25" i="19" s="1"/>
  <c r="F24" i="19"/>
  <c r="H24" i="19" s="1"/>
  <c r="K24" i="19" s="1"/>
  <c r="M24" i="19" s="1"/>
  <c r="P24" i="19" s="1"/>
  <c r="R24" i="19" s="1"/>
  <c r="U24" i="19" s="1"/>
  <c r="W24" i="19" s="1"/>
  <c r="Z24" i="19" s="1"/>
  <c r="AB24" i="19" s="1"/>
  <c r="AE24" i="19" s="1"/>
  <c r="AG24" i="19" s="1"/>
  <c r="AJ24" i="19" s="1"/>
  <c r="AL24" i="19" s="1"/>
  <c r="H23" i="19"/>
  <c r="K23" i="19" s="1"/>
  <c r="M23" i="19" s="1"/>
  <c r="P23" i="19" s="1"/>
  <c r="R23" i="19" s="1"/>
  <c r="U23" i="19" s="1"/>
  <c r="W23" i="19" s="1"/>
  <c r="Z23" i="19" s="1"/>
  <c r="AB23" i="19" s="1"/>
  <c r="AE23" i="19" s="1"/>
  <c r="AG23" i="19" s="1"/>
  <c r="AJ23" i="19" s="1"/>
  <c r="AL23" i="19" s="1"/>
  <c r="F23" i="19"/>
  <c r="F22" i="19"/>
  <c r="H22" i="19" s="1"/>
  <c r="K22" i="19" s="1"/>
  <c r="M22" i="19" s="1"/>
  <c r="P22" i="19" s="1"/>
  <c r="R22" i="19" s="1"/>
  <c r="U22" i="19" s="1"/>
  <c r="W22" i="19" s="1"/>
  <c r="Z22" i="19" s="1"/>
  <c r="AB22" i="19" s="1"/>
  <c r="AE22" i="19" s="1"/>
  <c r="AG22" i="19" s="1"/>
  <c r="AJ22" i="19" s="1"/>
  <c r="AL22" i="19" s="1"/>
  <c r="F21" i="19"/>
  <c r="H21" i="19" s="1"/>
  <c r="K21" i="19" s="1"/>
  <c r="M21" i="19" s="1"/>
  <c r="P21" i="19" s="1"/>
  <c r="R21" i="19" s="1"/>
  <c r="U21" i="19" s="1"/>
  <c r="W21" i="19" s="1"/>
  <c r="Z21" i="19" s="1"/>
  <c r="AB21" i="19" s="1"/>
  <c r="AE21" i="19" s="1"/>
  <c r="AG21" i="19" s="1"/>
  <c r="AJ21" i="19" s="1"/>
  <c r="AL21" i="19" s="1"/>
  <c r="F20" i="19"/>
  <c r="H20" i="19" s="1"/>
  <c r="K20" i="19" s="1"/>
  <c r="M20" i="19" s="1"/>
  <c r="P20" i="19" s="1"/>
  <c r="R20" i="19" s="1"/>
  <c r="U20" i="19" s="1"/>
  <c r="W20" i="19" s="1"/>
  <c r="Z20" i="19" s="1"/>
  <c r="AB20" i="19" s="1"/>
  <c r="AE20" i="19" s="1"/>
  <c r="AG20" i="19" s="1"/>
  <c r="AJ20" i="19" s="1"/>
  <c r="AL20" i="19" s="1"/>
  <c r="H19" i="19"/>
  <c r="K19" i="19" s="1"/>
  <c r="M19" i="19" s="1"/>
  <c r="P19" i="19" s="1"/>
  <c r="R19" i="19" s="1"/>
  <c r="U19" i="19" s="1"/>
  <c r="W19" i="19" s="1"/>
  <c r="Z19" i="19" s="1"/>
  <c r="AB19" i="19" s="1"/>
  <c r="AE19" i="19" s="1"/>
  <c r="AG19" i="19" s="1"/>
  <c r="AJ19" i="19" s="1"/>
  <c r="AL19" i="19" s="1"/>
  <c r="F19" i="19"/>
  <c r="F18" i="19"/>
  <c r="H18" i="19" s="1"/>
  <c r="K18" i="19" s="1"/>
  <c r="M18" i="19" s="1"/>
  <c r="P18" i="19" s="1"/>
  <c r="R18" i="19" s="1"/>
  <c r="U18" i="19" s="1"/>
  <c r="W18" i="19" s="1"/>
  <c r="Z18" i="19" s="1"/>
  <c r="AB18" i="19" s="1"/>
  <c r="AE18" i="19" s="1"/>
  <c r="AG18" i="19" s="1"/>
  <c r="AJ18" i="19" s="1"/>
  <c r="AL18" i="19" s="1"/>
  <c r="F17" i="19"/>
  <c r="H17" i="19" s="1"/>
  <c r="K17" i="19" s="1"/>
  <c r="M17" i="19" s="1"/>
  <c r="P17" i="19" s="1"/>
  <c r="R17" i="19" s="1"/>
  <c r="U17" i="19" s="1"/>
  <c r="W17" i="19" s="1"/>
  <c r="Z17" i="19" s="1"/>
  <c r="AB17" i="19" s="1"/>
  <c r="AE17" i="19" s="1"/>
  <c r="AG17" i="19" s="1"/>
  <c r="AJ17" i="19" s="1"/>
  <c r="AL17" i="19" s="1"/>
  <c r="F16" i="19"/>
  <c r="H16" i="19" s="1"/>
  <c r="K16" i="19" s="1"/>
  <c r="M16" i="19" s="1"/>
  <c r="P16" i="19" s="1"/>
  <c r="R16" i="19" s="1"/>
  <c r="U16" i="19" s="1"/>
  <c r="W16" i="19" s="1"/>
  <c r="Z16" i="19" s="1"/>
  <c r="AB16" i="19" s="1"/>
  <c r="AE16" i="19" s="1"/>
  <c r="AG16" i="19" s="1"/>
  <c r="AJ16" i="19" s="1"/>
  <c r="AL16" i="19" s="1"/>
  <c r="F15" i="19"/>
  <c r="H15" i="19" s="1"/>
  <c r="K15" i="19" s="1"/>
  <c r="M15" i="19" s="1"/>
  <c r="P15" i="19" s="1"/>
  <c r="R15" i="19" s="1"/>
  <c r="U15" i="19" s="1"/>
  <c r="W15" i="19" s="1"/>
  <c r="Z15" i="19" s="1"/>
  <c r="AB15" i="19" s="1"/>
  <c r="AE15" i="19" s="1"/>
  <c r="AG15" i="19" s="1"/>
  <c r="AJ15" i="19" s="1"/>
  <c r="AL15" i="19" s="1"/>
  <c r="F14" i="19"/>
  <c r="H14" i="19" s="1"/>
  <c r="K14" i="19" s="1"/>
  <c r="M14" i="19" s="1"/>
  <c r="P14" i="19" s="1"/>
  <c r="R14" i="19" s="1"/>
  <c r="U14" i="19" s="1"/>
  <c r="W14" i="19" s="1"/>
  <c r="Z14" i="19" s="1"/>
  <c r="AB14" i="19" s="1"/>
  <c r="AE14" i="19" s="1"/>
  <c r="AG14" i="19" s="1"/>
  <c r="AJ14" i="19" s="1"/>
  <c r="AL14" i="19" s="1"/>
  <c r="F13" i="19"/>
  <c r="H13" i="19" s="1"/>
  <c r="K13" i="19" s="1"/>
  <c r="M13" i="19" s="1"/>
  <c r="P13" i="19" s="1"/>
  <c r="R13" i="19" s="1"/>
  <c r="U13" i="19" s="1"/>
  <c r="W13" i="19" s="1"/>
  <c r="Z13" i="19" s="1"/>
  <c r="AB13" i="19" s="1"/>
  <c r="AE13" i="19" s="1"/>
  <c r="AG13" i="19" s="1"/>
  <c r="AJ13" i="19" s="1"/>
  <c r="AL13" i="19" s="1"/>
  <c r="F12" i="19"/>
  <c r="H12" i="19" s="1"/>
  <c r="K12" i="19" s="1"/>
  <c r="M12" i="19" s="1"/>
  <c r="P12" i="19" s="1"/>
  <c r="R12" i="19" s="1"/>
  <c r="U12" i="19" s="1"/>
  <c r="W12" i="19" s="1"/>
  <c r="Z12" i="19" s="1"/>
  <c r="AB12" i="19" s="1"/>
  <c r="AE12" i="19" s="1"/>
  <c r="AG12" i="19" s="1"/>
  <c r="AJ12" i="19" s="1"/>
  <c r="AL12" i="19" s="1"/>
  <c r="F11" i="19"/>
  <c r="H11" i="19" s="1"/>
  <c r="K11" i="19" s="1"/>
  <c r="M11" i="19" s="1"/>
  <c r="P11" i="19" s="1"/>
  <c r="R11" i="19" s="1"/>
  <c r="U11" i="19" s="1"/>
  <c r="W11" i="19" s="1"/>
  <c r="Z11" i="19" s="1"/>
  <c r="AB11" i="19" s="1"/>
  <c r="AE11" i="19" s="1"/>
  <c r="AG11" i="19" s="1"/>
  <c r="AJ11" i="19" s="1"/>
  <c r="AL11" i="19" s="1"/>
  <c r="F10" i="19"/>
  <c r="H10" i="19" s="1"/>
  <c r="K10" i="19" s="1"/>
  <c r="M10" i="19" s="1"/>
  <c r="P10" i="19" s="1"/>
  <c r="R10" i="19" s="1"/>
  <c r="U10" i="19" s="1"/>
  <c r="W10" i="19" s="1"/>
  <c r="Z10" i="19" s="1"/>
  <c r="AB10" i="19" s="1"/>
  <c r="AE10" i="19" s="1"/>
  <c r="AG10" i="19" s="1"/>
  <c r="AJ10" i="19" s="1"/>
  <c r="AL10" i="19" s="1"/>
  <c r="F9" i="19"/>
  <c r="H9" i="19" s="1"/>
  <c r="K9" i="19" s="1"/>
  <c r="M9" i="19" s="1"/>
  <c r="P9" i="19" s="1"/>
  <c r="R9" i="19" s="1"/>
  <c r="U9" i="19" s="1"/>
  <c r="W9" i="19" s="1"/>
  <c r="Z9" i="19" s="1"/>
  <c r="AB9" i="19" s="1"/>
  <c r="AE9" i="19" s="1"/>
  <c r="AG9" i="19" s="1"/>
  <c r="AJ9" i="19" s="1"/>
  <c r="AL9" i="19" s="1"/>
  <c r="F8" i="19"/>
  <c r="H8" i="19" s="1"/>
  <c r="K8" i="19" s="1"/>
  <c r="M8" i="19" s="1"/>
  <c r="P8" i="19" s="1"/>
  <c r="R8" i="19" s="1"/>
  <c r="U8" i="19" s="1"/>
  <c r="W8" i="19" s="1"/>
  <c r="Z8" i="19" s="1"/>
  <c r="AB8" i="19" s="1"/>
  <c r="AE8" i="19" s="1"/>
  <c r="AG8" i="19" s="1"/>
  <c r="AJ8" i="19" s="1"/>
  <c r="AL8" i="19" s="1"/>
  <c r="A3" i="97" l="1"/>
  <c r="K120" i="97"/>
  <c r="M120" i="97"/>
  <c r="K46" i="97"/>
  <c r="M46" i="97"/>
  <c r="K121" i="97"/>
  <c r="M121" i="97"/>
  <c r="K122" i="97"/>
  <c r="M122" i="97"/>
  <c r="K50" i="97"/>
  <c r="M50" i="97"/>
  <c r="K123" i="97"/>
  <c r="M123" i="97"/>
  <c r="K124" i="97"/>
  <c r="M124" i="97"/>
  <c r="K42" i="97"/>
  <c r="M42" i="97"/>
  <c r="K125" i="97"/>
  <c r="M125" i="97"/>
  <c r="K126" i="97"/>
  <c r="M126" i="97"/>
  <c r="K127" i="97"/>
  <c r="M127" i="97"/>
  <c r="K128" i="97"/>
  <c r="M128" i="97"/>
  <c r="K129" i="97"/>
  <c r="M129" i="97"/>
  <c r="K130" i="97"/>
  <c r="M130" i="97"/>
  <c r="K37" i="97"/>
  <c r="M37" i="97"/>
  <c r="K131" i="97"/>
  <c r="M131" i="97"/>
  <c r="K132" i="97"/>
  <c r="M132" i="97"/>
  <c r="K133" i="97"/>
  <c r="M133" i="97"/>
  <c r="K38" i="97"/>
  <c r="M38" i="97"/>
  <c r="K134" i="97"/>
  <c r="M134" i="97"/>
  <c r="K135" i="97"/>
  <c r="M135" i="97"/>
  <c r="K136" i="97"/>
  <c r="M136" i="97"/>
  <c r="K137" i="97"/>
  <c r="M137" i="97"/>
  <c r="K138" i="97"/>
  <c r="M138" i="97"/>
  <c r="K139" i="97"/>
  <c r="M139" i="97"/>
  <c r="K140" i="97"/>
  <c r="M140" i="97"/>
  <c r="K141" i="97"/>
  <c r="M141" i="97"/>
  <c r="K142" i="97"/>
  <c r="M142" i="97"/>
  <c r="K143" i="97"/>
  <c r="M143" i="97"/>
  <c r="K144" i="97"/>
  <c r="M144" i="97"/>
  <c r="K145" i="97"/>
  <c r="M145" i="97"/>
  <c r="K146" i="97"/>
  <c r="M146" i="97"/>
  <c r="K147" i="97"/>
  <c r="M147" i="97"/>
  <c r="K148" i="97"/>
  <c r="M148" i="97"/>
  <c r="K48" i="97"/>
  <c r="M48" i="97"/>
  <c r="K149" i="97"/>
  <c r="M149" i="97"/>
  <c r="K150" i="97"/>
  <c r="M150" i="97"/>
  <c r="K151" i="97"/>
  <c r="M151" i="97"/>
  <c r="K152" i="97"/>
  <c r="M152" i="97"/>
  <c r="K153" i="97"/>
  <c r="M153" i="97"/>
  <c r="K154" i="97"/>
  <c r="M154" i="97"/>
  <c r="K155" i="97"/>
  <c r="M155" i="97"/>
  <c r="K156" i="97"/>
  <c r="M156" i="97"/>
  <c r="K157" i="97"/>
  <c r="M157" i="97"/>
  <c r="K158" i="97"/>
  <c r="M158" i="97"/>
  <c r="K159" i="97"/>
  <c r="M159" i="97"/>
  <c r="K160" i="97"/>
  <c r="M160" i="97"/>
  <c r="K161" i="97"/>
  <c r="M161" i="97"/>
  <c r="K162" i="97"/>
  <c r="M162" i="97"/>
  <c r="K163" i="97"/>
  <c r="M163" i="97"/>
  <c r="K164" i="97"/>
  <c r="M164" i="97"/>
  <c r="K165" i="97"/>
  <c r="M165" i="97"/>
  <c r="K166" i="97"/>
  <c r="M166" i="97"/>
  <c r="K167" i="97"/>
  <c r="M167" i="97"/>
  <c r="K168" i="97"/>
  <c r="M168" i="97"/>
  <c r="K39" i="97"/>
  <c r="M39" i="97"/>
  <c r="K40" i="97"/>
  <c r="M40" i="97"/>
  <c r="K41" i="97"/>
  <c r="M41" i="97"/>
  <c r="K169" i="97"/>
  <c r="M169" i="97"/>
  <c r="K170" i="97"/>
  <c r="M170" i="97"/>
  <c r="K171" i="97"/>
  <c r="M171" i="97"/>
  <c r="K172" i="97"/>
  <c r="M172" i="97"/>
  <c r="K173" i="97"/>
  <c r="M173" i="97"/>
  <c r="K174" i="97"/>
  <c r="M174" i="97"/>
  <c r="K175" i="97"/>
  <c r="M175" i="97"/>
  <c r="K176" i="97"/>
  <c r="M176" i="97"/>
  <c r="K82" i="97" l="1"/>
  <c r="M82" i="97"/>
  <c r="K83" i="97"/>
  <c r="M83" i="97"/>
  <c r="K26" i="97"/>
  <c r="M26" i="97"/>
  <c r="K11" i="97"/>
  <c r="M11" i="97"/>
  <c r="K84" i="97"/>
  <c r="M84" i="97"/>
  <c r="K12" i="97"/>
  <c r="M12" i="97"/>
  <c r="K85" i="97"/>
  <c r="M85" i="97"/>
  <c r="K56" i="97"/>
  <c r="M56" i="97"/>
  <c r="K86" i="97"/>
  <c r="M86" i="97"/>
  <c r="K14" i="97"/>
  <c r="M14" i="97"/>
  <c r="K87" i="97"/>
  <c r="M87" i="97"/>
  <c r="K88" i="97"/>
  <c r="M88" i="97"/>
  <c r="K89" i="97"/>
  <c r="M89" i="97"/>
  <c r="K90" i="97"/>
  <c r="M90" i="97"/>
  <c r="K91" i="97"/>
  <c r="M91" i="97"/>
  <c r="K92" i="97"/>
  <c r="M92" i="97"/>
  <c r="K93" i="97"/>
  <c r="M93" i="97"/>
  <c r="K94" i="97"/>
  <c r="M94" i="97"/>
  <c r="K95" i="97"/>
  <c r="M95" i="97"/>
  <c r="K96" i="97"/>
  <c r="M96" i="97"/>
  <c r="K97" i="97"/>
  <c r="M97" i="97"/>
  <c r="K98" i="97"/>
  <c r="M98" i="97"/>
  <c r="K99" i="97"/>
  <c r="M99" i="97"/>
  <c r="K100" i="97"/>
  <c r="M100" i="97"/>
  <c r="K27" i="97"/>
  <c r="M27" i="97"/>
  <c r="K101" i="97"/>
  <c r="M101" i="97"/>
  <c r="K102" i="97"/>
  <c r="M102" i="97"/>
  <c r="K28" i="97"/>
  <c r="M28" i="97"/>
  <c r="K103" i="97"/>
  <c r="M103" i="97"/>
  <c r="K104" i="97"/>
  <c r="M104" i="97"/>
  <c r="K29" i="97"/>
  <c r="M29" i="97"/>
  <c r="K105" i="97"/>
  <c r="M105" i="97"/>
  <c r="K30" i="97"/>
  <c r="M30" i="97"/>
  <c r="K106" i="97"/>
  <c r="M106" i="97"/>
  <c r="K107" i="97"/>
  <c r="M107" i="97"/>
  <c r="K31" i="97"/>
  <c r="M31" i="97"/>
  <c r="K108" i="97"/>
  <c r="M108" i="97"/>
  <c r="K109" i="97"/>
  <c r="M109" i="97"/>
  <c r="K110" i="97"/>
  <c r="M110" i="97"/>
  <c r="K32" i="97"/>
  <c r="M32" i="97"/>
  <c r="K111" i="97"/>
  <c r="M111" i="97"/>
  <c r="K33" i="97"/>
  <c r="M33" i="97"/>
  <c r="K112" i="97"/>
  <c r="M112" i="97"/>
  <c r="K113" i="97"/>
  <c r="M113" i="97"/>
  <c r="K34" i="97"/>
  <c r="M34" i="97"/>
  <c r="K114" i="97"/>
  <c r="M114" i="97"/>
  <c r="K35" i="97"/>
  <c r="M35" i="97"/>
  <c r="K115" i="97"/>
  <c r="M115" i="97"/>
  <c r="K116" i="97"/>
  <c r="M116" i="97"/>
  <c r="K117" i="97"/>
  <c r="M117" i="97"/>
  <c r="K36" i="97"/>
  <c r="M36" i="97"/>
  <c r="K118" i="97"/>
  <c r="M118" i="97"/>
  <c r="K45" i="97"/>
  <c r="M45" i="97"/>
  <c r="K119" i="97"/>
  <c r="M119" i="97"/>
  <c r="K49" i="97"/>
  <c r="M49" i="97"/>
  <c r="K67" i="97" l="1"/>
  <c r="M67" i="97"/>
  <c r="K21" i="97"/>
  <c r="M21" i="97"/>
  <c r="K68" i="97"/>
  <c r="M68" i="97"/>
  <c r="K69" i="97"/>
  <c r="M69" i="97"/>
  <c r="K70" i="97"/>
  <c r="M70" i="97"/>
  <c r="K71" i="97"/>
  <c r="M71" i="97"/>
  <c r="K47" i="97"/>
  <c r="M47" i="97"/>
  <c r="K22" i="97"/>
  <c r="M22" i="97"/>
  <c r="K72" i="97"/>
  <c r="M72" i="97"/>
  <c r="K73" i="97"/>
  <c r="M73" i="97"/>
  <c r="K74" i="97"/>
  <c r="M74" i="97"/>
  <c r="K23" i="97"/>
  <c r="M23" i="97"/>
  <c r="K75" i="97"/>
  <c r="M75" i="97"/>
  <c r="K24" i="97"/>
  <c r="M24" i="97"/>
  <c r="K76" i="97"/>
  <c r="M76" i="97"/>
  <c r="K77" i="97"/>
  <c r="M77" i="97"/>
  <c r="K78" i="97"/>
  <c r="M78" i="97"/>
  <c r="K9" i="97"/>
  <c r="M9" i="97"/>
  <c r="K10" i="97"/>
  <c r="M10" i="97"/>
  <c r="K43" i="97"/>
  <c r="M43" i="97"/>
  <c r="K79" i="97"/>
  <c r="M79" i="97"/>
  <c r="K44" i="97"/>
  <c r="M44" i="97"/>
  <c r="K80" i="97"/>
  <c r="M80" i="97"/>
  <c r="K25" i="97"/>
  <c r="M25" i="97"/>
  <c r="K81" i="97"/>
  <c r="M81" i="97"/>
  <c r="K55" i="97"/>
  <c r="M55" i="97"/>
  <c r="K57" i="97" l="1"/>
  <c r="M57" i="97"/>
  <c r="K7" i="97"/>
  <c r="M7" i="97"/>
  <c r="K51" i="97"/>
  <c r="M51" i="97"/>
  <c r="K53" i="97"/>
  <c r="M53" i="97"/>
  <c r="K5" i="97"/>
  <c r="M5" i="97"/>
  <c r="K64" i="97"/>
  <c r="M64" i="97"/>
  <c r="K8" i="97"/>
  <c r="M8" i="97"/>
  <c r="K65" i="97"/>
  <c r="M65" i="97"/>
  <c r="K13" i="97"/>
  <c r="M13" i="97"/>
  <c r="K66" i="97"/>
  <c r="M66" i="97"/>
  <c r="K54" i="97"/>
  <c r="M54" i="97"/>
  <c r="K61" i="97" l="1"/>
  <c r="M61" i="97"/>
  <c r="K15" i="97"/>
  <c r="M15" i="97"/>
  <c r="K6" i="97"/>
  <c r="M6" i="97"/>
  <c r="K19" i="97"/>
  <c r="M19" i="97"/>
  <c r="K52" i="97"/>
  <c r="M52" i="97"/>
  <c r="K20" i="97"/>
  <c r="M20" i="97"/>
  <c r="K62" i="97"/>
  <c r="M62" i="97"/>
  <c r="K63" i="97"/>
  <c r="M63" i="97"/>
  <c r="K16" i="97" l="1"/>
  <c r="M16" i="97"/>
  <c r="K17" i="97"/>
  <c r="M17" i="97"/>
  <c r="K58" i="97"/>
  <c r="M58" i="97"/>
  <c r="K18" i="97"/>
  <c r="M18" i="97"/>
  <c r="K59" i="97"/>
  <c r="M59" i="97"/>
  <c r="K60" i="97"/>
  <c r="M60" i="97"/>
  <c r="E39" i="49" l="1"/>
  <c r="F39" i="49"/>
  <c r="G39" i="49"/>
  <c r="H39" i="49"/>
  <c r="I39" i="49"/>
  <c r="J39" i="49"/>
  <c r="K39" i="49"/>
  <c r="L39" i="49"/>
  <c r="M39" i="49"/>
  <c r="N39" i="49"/>
  <c r="O39" i="49"/>
  <c r="P39" i="49"/>
  <c r="Q39" i="49"/>
  <c r="R39" i="49"/>
  <c r="S39" i="49"/>
  <c r="T39" i="49"/>
  <c r="U39" i="49"/>
  <c r="V39" i="49"/>
  <c r="W39" i="49"/>
  <c r="Y39" i="49"/>
  <c r="X39" i="49"/>
  <c r="Z39" i="49"/>
  <c r="AA39" i="49"/>
  <c r="AD39" i="49"/>
  <c r="AB39" i="49"/>
  <c r="AE39" i="49"/>
  <c r="AC39" i="49"/>
  <c r="AF39" i="49"/>
  <c r="D39" i="49"/>
  <c r="E16" i="29" l="1"/>
  <c r="F16" i="29"/>
  <c r="G16" i="29"/>
  <c r="H16" i="29"/>
  <c r="I16" i="29"/>
  <c r="J16" i="29"/>
  <c r="K16" i="29"/>
  <c r="L16" i="29"/>
  <c r="M16" i="29"/>
  <c r="N16" i="29"/>
  <c r="O16" i="29"/>
  <c r="P16" i="29"/>
  <c r="Q16" i="29"/>
  <c r="R16" i="29"/>
  <c r="S16" i="29"/>
  <c r="T16" i="29"/>
  <c r="U16" i="29"/>
  <c r="V16" i="29"/>
  <c r="W16" i="29"/>
  <c r="X16" i="29"/>
  <c r="Y16" i="29"/>
  <c r="Z16" i="29"/>
  <c r="AA16" i="29"/>
  <c r="AB16" i="29"/>
  <c r="AC16" i="29"/>
  <c r="AD16" i="29"/>
  <c r="AE16" i="29"/>
  <c r="AF16" i="29"/>
  <c r="AG16" i="29"/>
  <c r="AH16" i="29"/>
  <c r="AI16" i="29"/>
  <c r="AJ16" i="29"/>
  <c r="AK16" i="29"/>
  <c r="AL16" i="29"/>
  <c r="AM16" i="29"/>
  <c r="AN16" i="29"/>
  <c r="AO16" i="29"/>
  <c r="AP16" i="29"/>
  <c r="AQ16" i="29"/>
  <c r="AR16" i="29"/>
  <c r="AS16" i="29"/>
  <c r="AT16" i="29"/>
  <c r="AU16" i="29"/>
  <c r="AV16" i="29"/>
  <c r="AW16" i="29"/>
  <c r="D16" i="29"/>
  <c r="I5" i="190" l="1"/>
  <c r="I31" i="190"/>
  <c r="I12" i="190"/>
  <c r="I23" i="190"/>
  <c r="I8" i="190"/>
  <c r="I30" i="190"/>
  <c r="I29" i="190"/>
  <c r="I11" i="190"/>
  <c r="I10" i="190"/>
  <c r="I43" i="190"/>
  <c r="I22" i="190"/>
  <c r="I17" i="190"/>
  <c r="I28" i="190"/>
  <c r="I36" i="190"/>
  <c r="I6" i="190"/>
  <c r="I39" i="190"/>
  <c r="I42" i="190"/>
  <c r="I34" i="190"/>
  <c r="I18" i="190"/>
  <c r="I33" i="190"/>
  <c r="I21" i="190"/>
  <c r="I32" i="190"/>
  <c r="I27" i="190"/>
  <c r="I26" i="190"/>
  <c r="I16" i="190"/>
  <c r="I15" i="190"/>
  <c r="I7" i="190"/>
  <c r="I41" i="190"/>
  <c r="I14" i="190"/>
  <c r="I13" i="190"/>
  <c r="I25" i="190"/>
  <c r="I38" i="190"/>
  <c r="I9" i="190"/>
  <c r="I40" i="190"/>
  <c r="I37" i="190"/>
  <c r="I24" i="190"/>
  <c r="I20" i="190"/>
  <c r="I19" i="190"/>
  <c r="I2" i="190"/>
  <c r="I3" i="190"/>
  <c r="I4" i="190"/>
  <c r="D1" i="27" l="1"/>
  <c r="E2" i="27" s="1"/>
  <c r="D2" i="27" s="1"/>
  <c r="D1" i="26"/>
  <c r="E2" i="26" s="1"/>
  <c r="D2"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nuk1</author>
  </authors>
  <commentList>
    <comment ref="A3" authorId="0" shapeId="0" xr:uid="{00000000-0006-0000-0200-000001000000}">
      <text>
        <r>
          <rPr>
            <b/>
            <sz val="9"/>
            <color indexed="81"/>
            <rFont val="ＭＳ Ｐゴシック"/>
            <family val="3"/>
            <charset val="128"/>
          </rPr>
          <t>当日昼はtodayにする</t>
        </r>
      </text>
    </comment>
    <comment ref="B3" authorId="0" shapeId="0" xr:uid="{5BC2A3A1-BFE5-4809-9C53-3EA0D081F792}">
      <text>
        <r>
          <rPr>
            <b/>
            <sz val="9"/>
            <color indexed="81"/>
            <rFont val="ＭＳ Ｐゴシック"/>
            <family val="3"/>
            <charset val="128"/>
          </rPr>
          <t>当日昼はtodayにする</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接続" type="7" refreshedVersion="2"/>
  <connection id="2" xr16:uid="{00000000-0015-0000-FFFF-FFFF01000000}" name="接続1" type="7" refreshedVersion="4"/>
  <connection id="3" xr16:uid="{00000000-0015-0000-FFFF-FFFF02000000}" name="接続10" type="7" refreshedVersion="3"/>
  <connection id="4" xr16:uid="{00000000-0015-0000-FFFF-FFFF03000000}" name="接続100" type="7" refreshedVersion="4"/>
  <connection id="5" xr16:uid="{00000000-0015-0000-FFFF-FFFF04000000}" name="接続1000" type="7" refreshedVersion="4"/>
  <connection id="6" xr16:uid="{00000000-0015-0000-FFFF-FFFF05000000}" name="接続10000" type="7" refreshedVersion="4"/>
  <connection id="7" xr16:uid="{00000000-0015-0000-FFFF-FFFF06000000}" name="接続10001" type="7" refreshedVersion="4"/>
  <connection id="8" xr16:uid="{00000000-0015-0000-FFFF-FFFF07000000}" name="接続10002" type="7" refreshedVersion="4"/>
  <connection id="9" xr16:uid="{00000000-0015-0000-FFFF-FFFF08000000}" name="接続10003" type="7" refreshedVersion="4"/>
  <connection id="10" xr16:uid="{00000000-0015-0000-FFFF-FFFF09000000}" name="接続10004" type="7" refreshedVersion="4"/>
  <connection id="11" xr16:uid="{00000000-0015-0000-FFFF-FFFF0A000000}" name="接続10005" type="7" refreshedVersion="4"/>
  <connection id="12" xr16:uid="{00000000-0015-0000-FFFF-FFFF0B000000}" name="接続10006" type="7" refreshedVersion="4"/>
  <connection id="13" xr16:uid="{00000000-0015-0000-FFFF-FFFF0C000000}" name="接続10007" type="7" refreshedVersion="4"/>
  <connection id="14" xr16:uid="{00000000-0015-0000-FFFF-FFFF0D000000}" name="接続10008" type="7" refreshedVersion="4"/>
  <connection id="15" xr16:uid="{00000000-0015-0000-FFFF-FFFF0E000000}" name="接続10009" type="7" refreshedVersion="4"/>
  <connection id="16" xr16:uid="{00000000-0015-0000-FFFF-FFFF0F000000}" name="接続1001" type="7" refreshedVersion="4"/>
  <connection id="17" xr16:uid="{00000000-0015-0000-FFFF-FFFF10000000}" name="接続10010" type="7" refreshedVersion="4"/>
  <connection id="18" xr16:uid="{00000000-0015-0000-FFFF-FFFF11000000}" name="接続10011" type="7" refreshedVersion="4"/>
  <connection id="19" xr16:uid="{00000000-0015-0000-FFFF-FFFF12000000}" name="接続10012" type="7" refreshedVersion="4"/>
  <connection id="20" xr16:uid="{00000000-0015-0000-FFFF-FFFF13000000}" name="接続10013" type="7" refreshedVersion="4"/>
  <connection id="21" xr16:uid="{00000000-0015-0000-FFFF-FFFF14000000}" name="接続10014" type="7" refreshedVersion="4"/>
  <connection id="22" xr16:uid="{00000000-0015-0000-FFFF-FFFF15000000}" name="接続10015" type="7" refreshedVersion="4"/>
  <connection id="23" xr16:uid="{00000000-0015-0000-FFFF-FFFF16000000}" name="接続10016" type="7" refreshedVersion="4"/>
  <connection id="24" xr16:uid="{00000000-0015-0000-FFFF-FFFF17000000}" name="接続10017" type="7" refreshedVersion="4"/>
  <connection id="25" xr16:uid="{00000000-0015-0000-FFFF-FFFF18000000}" name="接続10018" type="7" refreshedVersion="4"/>
  <connection id="26" xr16:uid="{00000000-0015-0000-FFFF-FFFF19000000}" name="接続10019" type="7" refreshedVersion="4"/>
  <connection id="27" xr16:uid="{00000000-0015-0000-FFFF-FFFF1A000000}" name="接続1002" type="7" refreshedVersion="4"/>
  <connection id="28" xr16:uid="{00000000-0015-0000-FFFF-FFFF1B000000}" name="接続10020" type="7" refreshedVersion="4"/>
  <connection id="29" xr16:uid="{00000000-0015-0000-FFFF-FFFF1C000000}" name="接続10021" type="7" refreshedVersion="4"/>
  <connection id="30" xr16:uid="{00000000-0015-0000-FFFF-FFFF1D000000}" name="接続10022" type="7" refreshedVersion="4"/>
  <connection id="31" xr16:uid="{00000000-0015-0000-FFFF-FFFF1E000000}" name="接続10023" type="7" refreshedVersion="4"/>
  <connection id="32" xr16:uid="{00000000-0015-0000-FFFF-FFFF1F000000}" name="接続10024" type="7" refreshedVersion="4"/>
  <connection id="33" xr16:uid="{00000000-0015-0000-FFFF-FFFF20000000}" name="接続10025" type="7" refreshedVersion="4"/>
  <connection id="34" xr16:uid="{00000000-0015-0000-FFFF-FFFF21000000}" name="接続10026" type="7" refreshedVersion="4"/>
  <connection id="35" xr16:uid="{00000000-0015-0000-FFFF-FFFF22000000}" name="接続10027" type="7" refreshedVersion="4"/>
  <connection id="36" xr16:uid="{00000000-0015-0000-FFFF-FFFF23000000}" name="接続10028" type="7" refreshedVersion="4"/>
  <connection id="37" xr16:uid="{00000000-0015-0000-FFFF-FFFF24000000}" name="接続10029" type="7" refreshedVersion="4"/>
  <connection id="38" xr16:uid="{00000000-0015-0000-FFFF-FFFF25000000}" name="接続1003" type="7" refreshedVersion="4"/>
  <connection id="39" xr16:uid="{00000000-0015-0000-FFFF-FFFF26000000}" name="接続10030" type="7" refreshedVersion="4"/>
  <connection id="40" xr16:uid="{00000000-0015-0000-FFFF-FFFF27000000}" name="接続10031" type="7" refreshedVersion="4"/>
  <connection id="41" xr16:uid="{00000000-0015-0000-FFFF-FFFF28000000}" name="接続10032" type="7" refreshedVersion="4"/>
  <connection id="42" xr16:uid="{00000000-0015-0000-FFFF-FFFF29000000}" name="接続10033" type="7" refreshedVersion="4"/>
  <connection id="43" xr16:uid="{00000000-0015-0000-FFFF-FFFF2A000000}" name="接続10034" type="7" refreshedVersion="4"/>
  <connection id="44" xr16:uid="{00000000-0015-0000-FFFF-FFFF2B000000}" name="接続10035" type="7" refreshedVersion="4"/>
  <connection id="45" xr16:uid="{00000000-0015-0000-FFFF-FFFF2C000000}" name="接続10036" type="7" refreshedVersion="4"/>
  <connection id="46" xr16:uid="{00000000-0015-0000-FFFF-FFFF2D000000}" name="接続10037" type="7" refreshedVersion="4"/>
  <connection id="47" xr16:uid="{00000000-0015-0000-FFFF-FFFF2E000000}" name="接続10038" type="7" refreshedVersion="4"/>
  <connection id="48" xr16:uid="{00000000-0015-0000-FFFF-FFFF2F000000}" name="接続10039" type="7" refreshedVersion="4"/>
  <connection id="49" xr16:uid="{00000000-0015-0000-FFFF-FFFF30000000}" name="接続1004" type="7" refreshedVersion="4"/>
  <connection id="50" xr16:uid="{00000000-0015-0000-FFFF-FFFF31000000}" name="接続10040" type="7" refreshedVersion="4"/>
  <connection id="51" xr16:uid="{00000000-0015-0000-FFFF-FFFF32000000}" name="接続10041" type="7" refreshedVersion="4"/>
  <connection id="52" xr16:uid="{00000000-0015-0000-FFFF-FFFF33000000}" name="接続10042" type="7" refreshedVersion="4"/>
  <connection id="53" xr16:uid="{00000000-0015-0000-FFFF-FFFF34000000}" name="接続10043" type="7" refreshedVersion="4"/>
  <connection id="54" xr16:uid="{00000000-0015-0000-FFFF-FFFF35000000}" name="接続10044" type="7" refreshedVersion="4"/>
  <connection id="55" xr16:uid="{00000000-0015-0000-FFFF-FFFF36000000}" name="接続10045" type="7" refreshedVersion="4"/>
  <connection id="56" xr16:uid="{00000000-0015-0000-FFFF-FFFF37000000}" name="接続10046" type="7" refreshedVersion="4"/>
  <connection id="57" xr16:uid="{00000000-0015-0000-FFFF-FFFF38000000}" name="接続10047" type="7" refreshedVersion="4"/>
  <connection id="58" xr16:uid="{00000000-0015-0000-FFFF-FFFF39000000}" name="接続10048" type="7" refreshedVersion="4"/>
  <connection id="59" xr16:uid="{00000000-0015-0000-FFFF-FFFF3A000000}" name="接続10049" type="7" refreshedVersion="4"/>
  <connection id="60" xr16:uid="{00000000-0015-0000-FFFF-FFFF3B000000}" name="接続1005" type="7" refreshedVersion="4"/>
  <connection id="61" xr16:uid="{00000000-0015-0000-FFFF-FFFF3C000000}" name="接続10050" type="7" refreshedVersion="4"/>
  <connection id="62" xr16:uid="{00000000-0015-0000-FFFF-FFFF3D000000}" name="接続10051" type="7" refreshedVersion="4"/>
  <connection id="63" xr16:uid="{00000000-0015-0000-FFFF-FFFF3E000000}" name="接続10052" type="7" refreshedVersion="4"/>
  <connection id="64" xr16:uid="{00000000-0015-0000-FFFF-FFFF3F000000}" name="接続10053" type="7" refreshedVersion="4"/>
  <connection id="65" xr16:uid="{00000000-0015-0000-FFFF-FFFF40000000}" name="接続10054" type="7" refreshedVersion="4"/>
  <connection id="66" xr16:uid="{00000000-0015-0000-FFFF-FFFF41000000}" name="接続10055" type="7" refreshedVersion="4"/>
  <connection id="67" xr16:uid="{00000000-0015-0000-FFFF-FFFF42000000}" name="接続10056" type="7" refreshedVersion="4"/>
  <connection id="68" xr16:uid="{00000000-0015-0000-FFFF-FFFF43000000}" name="接続10057" type="7" refreshedVersion="4"/>
  <connection id="69" xr16:uid="{00000000-0015-0000-FFFF-FFFF44000000}" name="接続10058" type="7" refreshedVersion="4"/>
  <connection id="70" xr16:uid="{00000000-0015-0000-FFFF-FFFF45000000}" name="接続10059" type="7" refreshedVersion="4"/>
  <connection id="71" xr16:uid="{00000000-0015-0000-FFFF-FFFF46000000}" name="接続1006" type="7" refreshedVersion="4"/>
  <connection id="72" xr16:uid="{00000000-0015-0000-FFFF-FFFF47000000}" name="接続10060" type="7" refreshedVersion="4"/>
  <connection id="73" xr16:uid="{00000000-0015-0000-FFFF-FFFF48000000}" name="接続10061" type="7" refreshedVersion="4"/>
  <connection id="74" xr16:uid="{00000000-0015-0000-FFFF-FFFF49000000}" name="接続10062" type="7" refreshedVersion="4"/>
  <connection id="75" xr16:uid="{00000000-0015-0000-FFFF-FFFF4A000000}" name="接続10063" type="7" refreshedVersion="4"/>
  <connection id="76" xr16:uid="{00000000-0015-0000-FFFF-FFFF4B000000}" name="接続10064" type="7" refreshedVersion="4"/>
  <connection id="77" xr16:uid="{00000000-0015-0000-FFFF-FFFF4C000000}" name="接続10065" type="7" refreshedVersion="4"/>
  <connection id="78" xr16:uid="{00000000-0015-0000-FFFF-FFFF4D000000}" name="接続10066" type="7" refreshedVersion="4"/>
  <connection id="79" xr16:uid="{00000000-0015-0000-FFFF-FFFF4E000000}" name="接続10067" type="7" refreshedVersion="4"/>
  <connection id="80" xr16:uid="{00000000-0015-0000-FFFF-FFFF4F000000}" name="接続10068" type="7" refreshedVersion="4"/>
  <connection id="81" xr16:uid="{00000000-0015-0000-FFFF-FFFF50000000}" name="接続10069" type="7" refreshedVersion="4"/>
  <connection id="82" xr16:uid="{00000000-0015-0000-FFFF-FFFF51000000}" name="接続1007" type="7" refreshedVersion="4"/>
  <connection id="83" xr16:uid="{00000000-0015-0000-FFFF-FFFF52000000}" name="接続10070" type="7" refreshedVersion="4"/>
  <connection id="84" xr16:uid="{00000000-0015-0000-FFFF-FFFF53000000}" name="接続10071" type="7" refreshedVersion="4"/>
  <connection id="85" xr16:uid="{00000000-0015-0000-FFFF-FFFF54000000}" name="接続10072" type="7" refreshedVersion="4"/>
  <connection id="86" xr16:uid="{00000000-0015-0000-FFFF-FFFF55000000}" name="接続10073" type="7" refreshedVersion="4"/>
  <connection id="87" xr16:uid="{00000000-0015-0000-FFFF-FFFF56000000}" name="接続10074" type="7" refreshedVersion="4"/>
  <connection id="88" xr16:uid="{00000000-0015-0000-FFFF-FFFF57000000}" name="接続10075" type="7" refreshedVersion="4"/>
  <connection id="89" xr16:uid="{00000000-0015-0000-FFFF-FFFF58000000}" name="接続10076" type="7" refreshedVersion="4"/>
  <connection id="90" xr16:uid="{00000000-0015-0000-FFFF-FFFF59000000}" name="接続10077" type="7" refreshedVersion="4"/>
  <connection id="91" xr16:uid="{00000000-0015-0000-FFFF-FFFF5A000000}" name="接続10078" type="7" refreshedVersion="4"/>
  <connection id="92" xr16:uid="{00000000-0015-0000-FFFF-FFFF5B000000}" name="接続10079" type="7" refreshedVersion="4"/>
  <connection id="93" xr16:uid="{00000000-0015-0000-FFFF-FFFF5C000000}" name="接続1008" type="7" refreshedVersion="4"/>
  <connection id="94" xr16:uid="{00000000-0015-0000-FFFF-FFFF5D000000}" name="接続10080" type="7" refreshedVersion="4"/>
  <connection id="95" xr16:uid="{00000000-0015-0000-FFFF-FFFF5E000000}" name="接続10081" type="7" refreshedVersion="4"/>
  <connection id="96" xr16:uid="{00000000-0015-0000-FFFF-FFFF5F000000}" name="接続10082" type="7" refreshedVersion="4"/>
  <connection id="97" xr16:uid="{00000000-0015-0000-FFFF-FFFF60000000}" name="接続10083" type="7" refreshedVersion="4"/>
  <connection id="98" xr16:uid="{00000000-0015-0000-FFFF-FFFF61000000}" name="接続10084" type="7" refreshedVersion="4"/>
  <connection id="99" xr16:uid="{00000000-0015-0000-FFFF-FFFF62000000}" name="接続10085" type="7" refreshedVersion="4"/>
  <connection id="100" xr16:uid="{00000000-0015-0000-FFFF-FFFF63000000}" name="接続10086" type="7" refreshedVersion="4"/>
  <connection id="101" xr16:uid="{00000000-0015-0000-FFFF-FFFF64000000}" name="接続10087" type="7" refreshedVersion="4"/>
  <connection id="102" xr16:uid="{00000000-0015-0000-FFFF-FFFF65000000}" name="接続10088" type="7" refreshedVersion="4"/>
  <connection id="103" xr16:uid="{00000000-0015-0000-FFFF-FFFF66000000}" name="接続10089" type="7" refreshedVersion="4"/>
  <connection id="104" xr16:uid="{00000000-0015-0000-FFFF-FFFF67000000}" name="接続1009" type="7" refreshedVersion="4"/>
  <connection id="105" xr16:uid="{00000000-0015-0000-FFFF-FFFF68000000}" name="接続10090" type="7" refreshedVersion="4"/>
  <connection id="106" xr16:uid="{00000000-0015-0000-FFFF-FFFF69000000}" name="接続10091" type="7" refreshedVersion="4"/>
  <connection id="107" xr16:uid="{00000000-0015-0000-FFFF-FFFF6A000000}" name="接続10092" type="7" refreshedVersion="4"/>
  <connection id="108" xr16:uid="{00000000-0015-0000-FFFF-FFFF6B000000}" name="接続10093" type="7" refreshedVersion="4"/>
  <connection id="109" xr16:uid="{00000000-0015-0000-FFFF-FFFF6C000000}" name="接続10094" type="7" refreshedVersion="4"/>
  <connection id="110" xr16:uid="{00000000-0015-0000-FFFF-FFFF6D000000}" name="接続10095" type="7" refreshedVersion="4"/>
  <connection id="111" xr16:uid="{00000000-0015-0000-FFFF-FFFF6E000000}" name="接続10096" type="7" refreshedVersion="4"/>
  <connection id="112" xr16:uid="{00000000-0015-0000-FFFF-FFFF6F000000}" name="接続10097" type="7" refreshedVersion="4"/>
  <connection id="113" xr16:uid="{00000000-0015-0000-FFFF-FFFF70000000}" name="接続10098" type="7" refreshedVersion="4"/>
  <connection id="114" xr16:uid="{00000000-0015-0000-FFFF-FFFF71000000}" name="接続10099" type="7" refreshedVersion="4"/>
  <connection id="115" xr16:uid="{00000000-0015-0000-FFFF-FFFF72000000}" name="接続101" type="7" refreshedVersion="4"/>
  <connection id="116" xr16:uid="{00000000-0015-0000-FFFF-FFFF73000000}" name="接続1010" type="7" refreshedVersion="4"/>
  <connection id="117" xr16:uid="{00000000-0015-0000-FFFF-FFFF74000000}" name="接続10100" type="7" refreshedVersion="4"/>
  <connection id="118" xr16:uid="{00000000-0015-0000-FFFF-FFFF75000000}" name="接続10101" type="7" refreshedVersion="4"/>
  <connection id="119" xr16:uid="{00000000-0015-0000-FFFF-FFFF76000000}" name="接続10102" type="7" refreshedVersion="4"/>
  <connection id="120" xr16:uid="{00000000-0015-0000-FFFF-FFFF77000000}" name="接続10103" type="7" refreshedVersion="4"/>
  <connection id="121" xr16:uid="{00000000-0015-0000-FFFF-FFFF78000000}" name="接続10104" type="7" refreshedVersion="4"/>
  <connection id="122" xr16:uid="{00000000-0015-0000-FFFF-FFFF79000000}" name="接続10105" type="7" refreshedVersion="4"/>
  <connection id="123" xr16:uid="{00000000-0015-0000-FFFF-FFFF7A000000}" name="接続10106" type="7" refreshedVersion="4"/>
  <connection id="124" xr16:uid="{00000000-0015-0000-FFFF-FFFF7B000000}" name="接続10107" type="7" refreshedVersion="4"/>
  <connection id="125" xr16:uid="{00000000-0015-0000-FFFF-FFFF7C000000}" name="接続10108" type="7" refreshedVersion="4"/>
  <connection id="126" xr16:uid="{00000000-0015-0000-FFFF-FFFF7D000000}" name="接続10109" type="7" refreshedVersion="4"/>
  <connection id="127" xr16:uid="{00000000-0015-0000-FFFF-FFFF7E000000}" name="接続1011" type="7" refreshedVersion="4"/>
  <connection id="128" xr16:uid="{00000000-0015-0000-FFFF-FFFF7F000000}" name="接続10110" type="7" refreshedVersion="4"/>
  <connection id="129" xr16:uid="{00000000-0015-0000-FFFF-FFFF80000000}" name="接続10111" type="7" refreshedVersion="4"/>
  <connection id="130" xr16:uid="{00000000-0015-0000-FFFF-FFFF81000000}" name="接続10112" type="7" refreshedVersion="4"/>
  <connection id="131" xr16:uid="{00000000-0015-0000-FFFF-FFFF82000000}" name="接続10113" type="7" refreshedVersion="4"/>
  <connection id="132" xr16:uid="{00000000-0015-0000-FFFF-FFFF83000000}" name="接続10114" type="7" refreshedVersion="4"/>
  <connection id="133" xr16:uid="{00000000-0015-0000-FFFF-FFFF84000000}" name="接続10115" type="7" refreshedVersion="4"/>
  <connection id="134" xr16:uid="{00000000-0015-0000-FFFF-FFFF85000000}" name="接続10116" type="7" refreshedVersion="4"/>
  <connection id="135" xr16:uid="{00000000-0015-0000-FFFF-FFFF86000000}" name="接続10117" type="7" refreshedVersion="4"/>
  <connection id="136" xr16:uid="{00000000-0015-0000-FFFF-FFFF87000000}" name="接続10118" type="7" refreshedVersion="4"/>
  <connection id="137" xr16:uid="{00000000-0015-0000-FFFF-FFFF88000000}" name="接続10119" type="7" refreshedVersion="4"/>
  <connection id="138" xr16:uid="{00000000-0015-0000-FFFF-FFFF89000000}" name="接続1012" type="7" refreshedVersion="4"/>
  <connection id="139" xr16:uid="{00000000-0015-0000-FFFF-FFFF8A000000}" name="接続10120" type="7" refreshedVersion="4"/>
  <connection id="140" xr16:uid="{00000000-0015-0000-FFFF-FFFF8B000000}" name="接続10121" type="7" refreshedVersion="4"/>
  <connection id="141" xr16:uid="{00000000-0015-0000-FFFF-FFFF8C000000}" name="接続10122" type="7" refreshedVersion="4"/>
  <connection id="142" xr16:uid="{00000000-0015-0000-FFFF-FFFF8D000000}" name="接続10123" type="7" refreshedVersion="4"/>
  <connection id="143" xr16:uid="{00000000-0015-0000-FFFF-FFFF8E000000}" name="接続10124" type="7" refreshedVersion="4"/>
  <connection id="144" xr16:uid="{00000000-0015-0000-FFFF-FFFF8F000000}" name="接続10125" type="7" refreshedVersion="4"/>
  <connection id="145" xr16:uid="{00000000-0015-0000-FFFF-FFFF90000000}" name="接続10126" type="7" refreshedVersion="4"/>
  <connection id="146" xr16:uid="{00000000-0015-0000-FFFF-FFFF91000000}" name="接続10127" type="7" refreshedVersion="4"/>
  <connection id="147" xr16:uid="{00000000-0015-0000-FFFF-FFFF92000000}" name="接続10128" type="7" refreshedVersion="4"/>
  <connection id="148" xr16:uid="{00000000-0015-0000-FFFF-FFFF93000000}" name="接続10129" type="7" refreshedVersion="4"/>
  <connection id="149" xr16:uid="{00000000-0015-0000-FFFF-FFFF94000000}" name="接続1013" type="7" refreshedVersion="4"/>
  <connection id="150" xr16:uid="{00000000-0015-0000-FFFF-FFFF95000000}" name="接続10130" type="7" refreshedVersion="4"/>
  <connection id="151" xr16:uid="{00000000-0015-0000-FFFF-FFFF96000000}" name="接続10131" type="7" refreshedVersion="4"/>
  <connection id="152" xr16:uid="{00000000-0015-0000-FFFF-FFFF97000000}" name="接続10132" type="7" refreshedVersion="4"/>
  <connection id="153" xr16:uid="{00000000-0015-0000-FFFF-FFFF98000000}" name="接続10133" type="7" refreshedVersion="4"/>
  <connection id="154" xr16:uid="{00000000-0015-0000-FFFF-FFFF99000000}" name="接続10134" type="7" refreshedVersion="4"/>
  <connection id="155" xr16:uid="{00000000-0015-0000-FFFF-FFFF9A000000}" name="接続10135" type="7" refreshedVersion="4"/>
  <connection id="156" xr16:uid="{00000000-0015-0000-FFFF-FFFF9B000000}" name="接続10136" type="7" refreshedVersion="4"/>
  <connection id="157" xr16:uid="{00000000-0015-0000-FFFF-FFFF9C000000}" name="接続10137" type="7" refreshedVersion="4"/>
  <connection id="158" xr16:uid="{00000000-0015-0000-FFFF-FFFF9D000000}" name="接続10138" type="7" refreshedVersion="4"/>
  <connection id="159" xr16:uid="{00000000-0015-0000-FFFF-FFFF9E000000}" name="接続10139" type="7" refreshedVersion="4"/>
  <connection id="160" xr16:uid="{00000000-0015-0000-FFFF-FFFF9F000000}" name="接続1014" type="7" refreshedVersion="4"/>
  <connection id="161" xr16:uid="{00000000-0015-0000-FFFF-FFFFA0000000}" name="接続10140" type="7" refreshedVersion="4"/>
  <connection id="162" xr16:uid="{00000000-0015-0000-FFFF-FFFFA1000000}" name="接続10141" type="7" refreshedVersion="4"/>
  <connection id="163" xr16:uid="{00000000-0015-0000-FFFF-FFFFA2000000}" name="接続10142" type="7" refreshedVersion="4"/>
  <connection id="164" xr16:uid="{00000000-0015-0000-FFFF-FFFFA3000000}" name="接続10143" type="7" refreshedVersion="4"/>
  <connection id="165" xr16:uid="{00000000-0015-0000-FFFF-FFFFA4000000}" name="接続10144" type="7" refreshedVersion="4"/>
  <connection id="166" xr16:uid="{00000000-0015-0000-FFFF-FFFFA5000000}" name="接続10145" type="7" refreshedVersion="4"/>
  <connection id="167" xr16:uid="{00000000-0015-0000-FFFF-FFFFA6000000}" name="接続10146" type="7" refreshedVersion="4"/>
  <connection id="168" xr16:uid="{00000000-0015-0000-FFFF-FFFFA7000000}" name="接続10147" type="7" refreshedVersion="4"/>
  <connection id="169" xr16:uid="{00000000-0015-0000-FFFF-FFFFA8000000}" name="接続10148" type="7" refreshedVersion="4"/>
  <connection id="170" xr16:uid="{00000000-0015-0000-FFFF-FFFFA9000000}" name="接続10149" type="7" refreshedVersion="4"/>
  <connection id="171" xr16:uid="{00000000-0015-0000-FFFF-FFFFAA000000}" name="接続1015" type="7" refreshedVersion="4"/>
  <connection id="172" xr16:uid="{00000000-0015-0000-FFFF-FFFFAB000000}" name="接続10150" type="7" refreshedVersion="4"/>
  <connection id="173" xr16:uid="{00000000-0015-0000-FFFF-FFFFAC000000}" name="接続10151" type="7" refreshedVersion="4"/>
  <connection id="174" xr16:uid="{00000000-0015-0000-FFFF-FFFFAD000000}" name="接続10152" type="7" refreshedVersion="4"/>
  <connection id="175" xr16:uid="{00000000-0015-0000-FFFF-FFFFAE000000}" name="接続10153" type="7" refreshedVersion="4"/>
  <connection id="176" xr16:uid="{00000000-0015-0000-FFFF-FFFFAF000000}" name="接続10154" type="7" refreshedVersion="4"/>
  <connection id="177" xr16:uid="{00000000-0015-0000-FFFF-FFFFB0000000}" name="接続10155" type="7" refreshedVersion="4"/>
  <connection id="178" xr16:uid="{00000000-0015-0000-FFFF-FFFFB1000000}" name="接続10156" type="7" refreshedVersion="4"/>
  <connection id="179" xr16:uid="{00000000-0015-0000-FFFF-FFFFB2000000}" name="接続10157" type="7" refreshedVersion="4"/>
  <connection id="180" xr16:uid="{00000000-0015-0000-FFFF-FFFFB3000000}" name="接続10158" type="7" refreshedVersion="4"/>
  <connection id="181" xr16:uid="{00000000-0015-0000-FFFF-FFFFB4000000}" name="接続10159" type="7" refreshedVersion="4"/>
  <connection id="182" xr16:uid="{00000000-0015-0000-FFFF-FFFFB5000000}" name="接続1016" type="7" refreshedVersion="4"/>
  <connection id="183" xr16:uid="{00000000-0015-0000-FFFF-FFFFB6000000}" name="接続10160" type="7" refreshedVersion="4"/>
  <connection id="184" xr16:uid="{00000000-0015-0000-FFFF-FFFFB7000000}" name="接続10161" type="7" refreshedVersion="4"/>
  <connection id="185" xr16:uid="{00000000-0015-0000-FFFF-FFFFB8000000}" name="接続10162" type="7" refreshedVersion="4"/>
  <connection id="186" xr16:uid="{00000000-0015-0000-FFFF-FFFFB9000000}" name="接続10163" type="7" refreshedVersion="4"/>
  <connection id="187" xr16:uid="{00000000-0015-0000-FFFF-FFFFBA000000}" name="接続10164" type="7" refreshedVersion="4"/>
  <connection id="188" xr16:uid="{00000000-0015-0000-FFFF-FFFFBB000000}" name="接続10165" type="7" refreshedVersion="4"/>
  <connection id="189" xr16:uid="{00000000-0015-0000-FFFF-FFFFBC000000}" name="接続10166" type="7" refreshedVersion="4"/>
  <connection id="190" xr16:uid="{00000000-0015-0000-FFFF-FFFFBD000000}" name="接続10167" type="7" refreshedVersion="4"/>
  <connection id="191" xr16:uid="{00000000-0015-0000-FFFF-FFFFBE000000}" name="接続10168" type="7" refreshedVersion="4"/>
  <connection id="192" xr16:uid="{00000000-0015-0000-FFFF-FFFFBF000000}" name="接続10169" type="7" refreshedVersion="4"/>
  <connection id="193" xr16:uid="{00000000-0015-0000-FFFF-FFFFC0000000}" name="接続1017" type="7" refreshedVersion="4"/>
  <connection id="194" xr16:uid="{00000000-0015-0000-FFFF-FFFFC1000000}" name="接続10170" type="7" refreshedVersion="4"/>
  <connection id="195" xr16:uid="{00000000-0015-0000-FFFF-FFFFC2000000}" name="接続10171" type="7" refreshedVersion="4"/>
  <connection id="196" xr16:uid="{00000000-0015-0000-FFFF-FFFFC3000000}" name="接続10172" type="7" refreshedVersion="4"/>
  <connection id="197" xr16:uid="{00000000-0015-0000-FFFF-FFFFC4000000}" name="接続10173" type="7" refreshedVersion="4"/>
  <connection id="198" xr16:uid="{00000000-0015-0000-FFFF-FFFFC5000000}" name="接続10174" type="7" refreshedVersion="4"/>
  <connection id="199" xr16:uid="{00000000-0015-0000-FFFF-FFFFC6000000}" name="接続10175" type="7" refreshedVersion="4"/>
  <connection id="200" xr16:uid="{00000000-0015-0000-FFFF-FFFFC7000000}" name="接続10176" type="7" refreshedVersion="4"/>
  <connection id="201" xr16:uid="{00000000-0015-0000-FFFF-FFFFC8000000}" name="接続10177" type="7" refreshedVersion="4"/>
  <connection id="202" xr16:uid="{00000000-0015-0000-FFFF-FFFFC9000000}" name="接続10178" type="7" refreshedVersion="4"/>
  <connection id="203" xr16:uid="{00000000-0015-0000-FFFF-FFFFCA000000}" name="接続10179" type="7" refreshedVersion="4"/>
  <connection id="204" xr16:uid="{00000000-0015-0000-FFFF-FFFFCB000000}" name="接続1018" type="7" refreshedVersion="4"/>
  <connection id="205" xr16:uid="{00000000-0015-0000-FFFF-FFFFCC000000}" name="接続10180" type="7" refreshedVersion="4"/>
  <connection id="206" xr16:uid="{00000000-0015-0000-FFFF-FFFFCD000000}" name="接続10181" type="7" refreshedVersion="4"/>
  <connection id="207" xr16:uid="{00000000-0015-0000-FFFF-FFFFCE000000}" name="接続10182" type="7" refreshedVersion="4"/>
  <connection id="208" xr16:uid="{00000000-0015-0000-FFFF-FFFFCF000000}" name="接続10183" type="7" refreshedVersion="4"/>
  <connection id="209" xr16:uid="{00000000-0015-0000-FFFF-FFFFD0000000}" name="接続10184" type="7" refreshedVersion="4"/>
  <connection id="210" xr16:uid="{00000000-0015-0000-FFFF-FFFFD1000000}" name="接続10185" type="7" refreshedVersion="4"/>
  <connection id="211" xr16:uid="{00000000-0015-0000-FFFF-FFFFD2000000}" name="接続10186" type="7" refreshedVersion="4"/>
  <connection id="212" xr16:uid="{00000000-0015-0000-FFFF-FFFFD3000000}" name="接続10187" type="7" refreshedVersion="4"/>
  <connection id="213" xr16:uid="{00000000-0015-0000-FFFF-FFFFD4000000}" name="接続10188" type="7" refreshedVersion="4"/>
  <connection id="214" xr16:uid="{00000000-0015-0000-FFFF-FFFFD5000000}" name="接続10189" type="7" refreshedVersion="4"/>
  <connection id="215" xr16:uid="{00000000-0015-0000-FFFF-FFFFD6000000}" name="接続1019" type="7" refreshedVersion="4"/>
  <connection id="216" xr16:uid="{00000000-0015-0000-FFFF-FFFFD7000000}" name="接続10190" type="7" refreshedVersion="4"/>
  <connection id="217" xr16:uid="{00000000-0015-0000-FFFF-FFFFD8000000}" name="接続10191" type="7" refreshedVersion="4"/>
  <connection id="218" xr16:uid="{00000000-0015-0000-FFFF-FFFFD9000000}" name="接続10192" type="7" refreshedVersion="4"/>
  <connection id="219" xr16:uid="{00000000-0015-0000-FFFF-FFFFDA000000}" name="接続10193" type="7" refreshedVersion="4"/>
  <connection id="220" xr16:uid="{00000000-0015-0000-FFFF-FFFFDB000000}" name="接続10194" type="7" refreshedVersion="4"/>
  <connection id="221" xr16:uid="{00000000-0015-0000-FFFF-FFFFDC000000}" name="接続10195" type="7" refreshedVersion="4"/>
  <connection id="222" xr16:uid="{00000000-0015-0000-FFFF-FFFFDD000000}" name="接続10196" type="7" refreshedVersion="4"/>
  <connection id="223" xr16:uid="{00000000-0015-0000-FFFF-FFFFDE000000}" name="接続10197" type="7" refreshedVersion="4"/>
  <connection id="224" xr16:uid="{00000000-0015-0000-FFFF-FFFFDF000000}" name="接続10198" type="7" refreshedVersion="4"/>
  <connection id="225" xr16:uid="{00000000-0015-0000-FFFF-FFFFE0000000}" name="接続10199" type="7" refreshedVersion="4"/>
  <connection id="226" xr16:uid="{00000000-0015-0000-FFFF-FFFFE1000000}" name="接続102" type="7" refreshedVersion="4"/>
  <connection id="227" xr16:uid="{00000000-0015-0000-FFFF-FFFFE2000000}" name="接続1020" type="7" refreshedVersion="4"/>
  <connection id="228" xr16:uid="{00000000-0015-0000-FFFF-FFFFE3000000}" name="接続10200" type="7" refreshedVersion="4"/>
  <connection id="229" xr16:uid="{00000000-0015-0000-FFFF-FFFFE4000000}" name="接続10201" type="7" refreshedVersion="4"/>
  <connection id="230" xr16:uid="{00000000-0015-0000-FFFF-FFFFE5000000}" name="接続10202" type="7" refreshedVersion="4"/>
  <connection id="231" xr16:uid="{00000000-0015-0000-FFFF-FFFFE6000000}" name="接続10203" type="7" refreshedVersion="4"/>
  <connection id="232" xr16:uid="{00000000-0015-0000-FFFF-FFFFE7000000}" name="接続10204" type="7" refreshedVersion="4"/>
  <connection id="233" xr16:uid="{00000000-0015-0000-FFFF-FFFFE8000000}" name="接続10205" type="7" refreshedVersion="4"/>
  <connection id="234" xr16:uid="{00000000-0015-0000-FFFF-FFFFE9000000}" name="接続10206" type="7" refreshedVersion="4"/>
  <connection id="235" xr16:uid="{00000000-0015-0000-FFFF-FFFFEA000000}" name="接続10207" type="7" refreshedVersion="4"/>
  <connection id="236" xr16:uid="{00000000-0015-0000-FFFF-FFFFEB000000}" name="接続10208" type="7" refreshedVersion="4"/>
  <connection id="237" xr16:uid="{00000000-0015-0000-FFFF-FFFFEC000000}" name="接続10209" type="7" refreshedVersion="4"/>
  <connection id="238" xr16:uid="{00000000-0015-0000-FFFF-FFFFED000000}" name="接続1021" type="7" refreshedVersion="4"/>
  <connection id="239" xr16:uid="{00000000-0015-0000-FFFF-FFFFEE000000}" name="接続10210" type="7" refreshedVersion="4"/>
  <connection id="240" xr16:uid="{00000000-0015-0000-FFFF-FFFFEF000000}" name="接続10211" type="7" refreshedVersion="4"/>
  <connection id="241" xr16:uid="{00000000-0015-0000-FFFF-FFFFF0000000}" name="接続10212" type="7" refreshedVersion="4"/>
  <connection id="242" xr16:uid="{00000000-0015-0000-FFFF-FFFFF1000000}" name="接続10213" type="7" refreshedVersion="4"/>
  <connection id="243" xr16:uid="{00000000-0015-0000-FFFF-FFFFF2000000}" name="接続10214" type="7" refreshedVersion="4"/>
  <connection id="244" xr16:uid="{00000000-0015-0000-FFFF-FFFFF3000000}" name="接続10215" type="7" refreshedVersion="4"/>
  <connection id="245" xr16:uid="{00000000-0015-0000-FFFF-FFFFF4000000}" name="接続10216" type="7" refreshedVersion="4"/>
  <connection id="246" xr16:uid="{00000000-0015-0000-FFFF-FFFFF5000000}" name="接続10217" type="7" refreshedVersion="4"/>
  <connection id="247" xr16:uid="{00000000-0015-0000-FFFF-FFFFF6000000}" name="接続10218" type="7" refreshedVersion="4"/>
  <connection id="248" xr16:uid="{00000000-0015-0000-FFFF-FFFFF7000000}" name="接続10219" type="7" refreshedVersion="4"/>
  <connection id="249" xr16:uid="{00000000-0015-0000-FFFF-FFFFF8000000}" name="接続1022" type="7" refreshedVersion="4"/>
  <connection id="250" xr16:uid="{00000000-0015-0000-FFFF-FFFFF9000000}" name="接続10220" type="7" refreshedVersion="4"/>
  <connection id="251" xr16:uid="{00000000-0015-0000-FFFF-FFFFFA000000}" name="接続10221" type="7" refreshedVersion="4"/>
  <connection id="252" xr16:uid="{00000000-0015-0000-FFFF-FFFFFB000000}" name="接続10222" type="7" refreshedVersion="4"/>
  <connection id="253" xr16:uid="{00000000-0015-0000-FFFF-FFFFFC000000}" name="接続10223" type="7" refreshedVersion="4"/>
  <connection id="254" xr16:uid="{00000000-0015-0000-FFFF-FFFFFD000000}" name="接続10224" type="7" refreshedVersion="4"/>
  <connection id="255" xr16:uid="{00000000-0015-0000-FFFF-FFFFFE000000}" name="接続10225" type="7" refreshedVersion="4"/>
  <connection id="256" xr16:uid="{00000000-0015-0000-FFFF-FFFFFF000000}" name="接続10226" type="7" refreshedVersion="4"/>
  <connection id="257" xr16:uid="{00000000-0015-0000-FFFF-FFFF00010000}" name="接続10227" type="7" refreshedVersion="4"/>
  <connection id="258" xr16:uid="{00000000-0015-0000-FFFF-FFFF01010000}" name="接続10228" type="7" refreshedVersion="4"/>
  <connection id="259" xr16:uid="{00000000-0015-0000-FFFF-FFFF02010000}" name="接続10229" type="7" refreshedVersion="4"/>
  <connection id="260" xr16:uid="{00000000-0015-0000-FFFF-FFFF03010000}" name="接続1023" type="7" refreshedVersion="4"/>
  <connection id="261" xr16:uid="{00000000-0015-0000-FFFF-FFFF04010000}" name="接続10230" type="7" refreshedVersion="4"/>
  <connection id="262" xr16:uid="{00000000-0015-0000-FFFF-FFFF05010000}" name="接続10231" type="7" refreshedVersion="4"/>
  <connection id="263" xr16:uid="{00000000-0015-0000-FFFF-FFFF06010000}" name="接続10232" type="7" refreshedVersion="4"/>
  <connection id="264" xr16:uid="{00000000-0015-0000-FFFF-FFFF07010000}" name="接続10233" type="7" refreshedVersion="4"/>
  <connection id="265" xr16:uid="{00000000-0015-0000-FFFF-FFFF08010000}" name="接続10234" type="7" refreshedVersion="4"/>
  <connection id="266" xr16:uid="{00000000-0015-0000-FFFF-FFFF09010000}" name="接続10235" type="7" refreshedVersion="4"/>
  <connection id="267" xr16:uid="{00000000-0015-0000-FFFF-FFFF0A010000}" name="接続10236" type="7" refreshedVersion="4"/>
  <connection id="268" xr16:uid="{00000000-0015-0000-FFFF-FFFF0B010000}" name="接続10237" type="7" refreshedVersion="4"/>
  <connection id="269" xr16:uid="{00000000-0015-0000-FFFF-FFFF0C010000}" name="接続10238" type="7" refreshedVersion="4"/>
  <connection id="270" xr16:uid="{00000000-0015-0000-FFFF-FFFF0D010000}" name="接続10239" type="7" refreshedVersion="4"/>
  <connection id="271" xr16:uid="{00000000-0015-0000-FFFF-FFFF0E010000}" name="接続1024" type="7" refreshedVersion="4"/>
  <connection id="272" xr16:uid="{00000000-0015-0000-FFFF-FFFF0F010000}" name="接続10240" type="7" refreshedVersion="4"/>
  <connection id="273" xr16:uid="{00000000-0015-0000-FFFF-FFFF10010000}" name="接続10241" type="7" refreshedVersion="4"/>
  <connection id="274" xr16:uid="{00000000-0015-0000-FFFF-FFFF11010000}" name="接続10242" type="7" refreshedVersion="4"/>
  <connection id="275" xr16:uid="{00000000-0015-0000-FFFF-FFFF12010000}" name="接続10243" type="7" refreshedVersion="4"/>
  <connection id="276" xr16:uid="{00000000-0015-0000-FFFF-FFFF13010000}" name="接続10244" type="7" refreshedVersion="4"/>
  <connection id="277" xr16:uid="{00000000-0015-0000-FFFF-FFFF14010000}" name="接続10245" type="7" refreshedVersion="4"/>
  <connection id="278" xr16:uid="{00000000-0015-0000-FFFF-FFFF15010000}" name="接続10246" type="7" refreshedVersion="4"/>
  <connection id="279" xr16:uid="{00000000-0015-0000-FFFF-FFFF16010000}" name="接続10247" type="7" refreshedVersion="4"/>
  <connection id="280" xr16:uid="{00000000-0015-0000-FFFF-FFFF17010000}" name="接続10248" type="7" refreshedVersion="4"/>
  <connection id="281" xr16:uid="{00000000-0015-0000-FFFF-FFFF18010000}" name="接続10249" type="7" refreshedVersion="4"/>
  <connection id="282" xr16:uid="{00000000-0015-0000-FFFF-FFFF19010000}" name="接続1025" type="7" refreshedVersion="4"/>
  <connection id="283" xr16:uid="{00000000-0015-0000-FFFF-FFFF1A010000}" name="接続10250" type="7" refreshedVersion="4"/>
  <connection id="284" xr16:uid="{00000000-0015-0000-FFFF-FFFF1B010000}" name="接続10251" type="7" refreshedVersion="4"/>
  <connection id="285" xr16:uid="{00000000-0015-0000-FFFF-FFFF1C010000}" name="接続10252" type="7" refreshedVersion="4"/>
  <connection id="286" xr16:uid="{00000000-0015-0000-FFFF-FFFF1D010000}" name="接続10253" type="7" refreshedVersion="4"/>
  <connection id="287" xr16:uid="{00000000-0015-0000-FFFF-FFFF1E010000}" name="接続10254" type="7" refreshedVersion="4"/>
  <connection id="288" xr16:uid="{00000000-0015-0000-FFFF-FFFF1F010000}" name="接続10255" type="7" refreshedVersion="4"/>
  <connection id="289" xr16:uid="{00000000-0015-0000-FFFF-FFFF20010000}" name="接続10256" type="7" refreshedVersion="4"/>
  <connection id="290" xr16:uid="{00000000-0015-0000-FFFF-FFFF21010000}" name="接続10257" type="7" refreshedVersion="4"/>
  <connection id="291" xr16:uid="{00000000-0015-0000-FFFF-FFFF22010000}" name="接続10258" type="7" refreshedVersion="4"/>
  <connection id="292" xr16:uid="{00000000-0015-0000-FFFF-FFFF23010000}" name="接続10259" type="7" refreshedVersion="4"/>
  <connection id="293" xr16:uid="{00000000-0015-0000-FFFF-FFFF24010000}" name="接続1026" type="7" refreshedVersion="4"/>
  <connection id="294" xr16:uid="{00000000-0015-0000-FFFF-FFFF25010000}" name="接続10260" type="7" refreshedVersion="4"/>
  <connection id="295" xr16:uid="{00000000-0015-0000-FFFF-FFFF26010000}" name="接続10261" type="7" refreshedVersion="4"/>
  <connection id="296" xr16:uid="{00000000-0015-0000-FFFF-FFFF27010000}" name="接続10262" type="7" refreshedVersion="4"/>
  <connection id="297" xr16:uid="{00000000-0015-0000-FFFF-FFFF28010000}" name="接続10263" type="7" refreshedVersion="4"/>
  <connection id="298" xr16:uid="{00000000-0015-0000-FFFF-FFFF29010000}" name="接続10264" type="7" refreshedVersion="4"/>
  <connection id="299" xr16:uid="{00000000-0015-0000-FFFF-FFFF2A010000}" name="接続10265" type="7" refreshedVersion="4"/>
  <connection id="300" xr16:uid="{00000000-0015-0000-FFFF-FFFF2B010000}" name="接続10266" type="7" refreshedVersion="4"/>
  <connection id="301" xr16:uid="{00000000-0015-0000-FFFF-FFFF2C010000}" name="接続10267" type="7" refreshedVersion="4"/>
  <connection id="302" xr16:uid="{00000000-0015-0000-FFFF-FFFF2D010000}" name="接続10268" type="7" refreshedVersion="4"/>
  <connection id="303" xr16:uid="{00000000-0015-0000-FFFF-FFFF2E010000}" name="接続10269" type="7" refreshedVersion="4"/>
  <connection id="304" xr16:uid="{00000000-0015-0000-FFFF-FFFF2F010000}" name="接続1027" type="7" refreshedVersion="4"/>
  <connection id="305" xr16:uid="{00000000-0015-0000-FFFF-FFFF30010000}" name="接続10270" type="7" refreshedVersion="4"/>
  <connection id="306" xr16:uid="{00000000-0015-0000-FFFF-FFFF31010000}" name="接続10271" type="7" refreshedVersion="4"/>
  <connection id="307" xr16:uid="{00000000-0015-0000-FFFF-FFFF32010000}" name="接続10272" type="7" refreshedVersion="4"/>
  <connection id="308" xr16:uid="{00000000-0015-0000-FFFF-FFFF33010000}" name="接続10273" type="7" refreshedVersion="4"/>
  <connection id="309" xr16:uid="{00000000-0015-0000-FFFF-FFFF34010000}" name="接続10274" type="7" refreshedVersion="4"/>
  <connection id="310" xr16:uid="{00000000-0015-0000-FFFF-FFFF35010000}" name="接続10275" type="7" refreshedVersion="4"/>
  <connection id="311" xr16:uid="{00000000-0015-0000-FFFF-FFFF36010000}" name="接続10276" type="7" refreshedVersion="4"/>
  <connection id="312" xr16:uid="{00000000-0015-0000-FFFF-FFFF37010000}" name="接続10277" type="7" refreshedVersion="4"/>
  <connection id="313" xr16:uid="{00000000-0015-0000-FFFF-FFFF38010000}" name="接続10278" type="7" refreshedVersion="4"/>
  <connection id="314" xr16:uid="{00000000-0015-0000-FFFF-FFFF39010000}" name="接続10279" type="7" refreshedVersion="4"/>
  <connection id="315" xr16:uid="{00000000-0015-0000-FFFF-FFFF3A010000}" name="接続1028" type="7" refreshedVersion="4"/>
  <connection id="316" xr16:uid="{00000000-0015-0000-FFFF-FFFF3B010000}" name="接続10280" type="7" refreshedVersion="4"/>
  <connection id="317" xr16:uid="{00000000-0015-0000-FFFF-FFFF3C010000}" name="接続10281" type="7" refreshedVersion="4"/>
  <connection id="318" xr16:uid="{00000000-0015-0000-FFFF-FFFF3D010000}" name="接続10282" type="7" refreshedVersion="4"/>
  <connection id="319" xr16:uid="{00000000-0015-0000-FFFF-FFFF3E010000}" name="接続10283" type="7" refreshedVersion="4"/>
  <connection id="320" xr16:uid="{00000000-0015-0000-FFFF-FFFF3F010000}" name="接続10284" type="7" refreshedVersion="4"/>
  <connection id="321" xr16:uid="{00000000-0015-0000-FFFF-FFFF40010000}" name="接続10285" type="7" refreshedVersion="4"/>
  <connection id="322" xr16:uid="{00000000-0015-0000-FFFF-FFFF41010000}" name="接続10286" type="7" refreshedVersion="4"/>
  <connection id="323" xr16:uid="{00000000-0015-0000-FFFF-FFFF42010000}" name="接続10287" type="7" refreshedVersion="4"/>
  <connection id="324" xr16:uid="{00000000-0015-0000-FFFF-FFFF43010000}" name="接続10288" type="7" refreshedVersion="4"/>
  <connection id="325" xr16:uid="{00000000-0015-0000-FFFF-FFFF44010000}" name="接続10289" type="7" refreshedVersion="4"/>
  <connection id="326" xr16:uid="{00000000-0015-0000-FFFF-FFFF45010000}" name="接続1029" type="7" refreshedVersion="4"/>
  <connection id="327" xr16:uid="{00000000-0015-0000-FFFF-FFFF46010000}" name="接続10290" type="7" refreshedVersion="4"/>
  <connection id="328" xr16:uid="{00000000-0015-0000-FFFF-FFFF47010000}" name="接続10291" type="7" refreshedVersion="4"/>
  <connection id="329" xr16:uid="{00000000-0015-0000-FFFF-FFFF48010000}" name="接続10292" type="7" refreshedVersion="4"/>
  <connection id="330" xr16:uid="{00000000-0015-0000-FFFF-FFFF49010000}" name="接続10293" type="7" refreshedVersion="4"/>
  <connection id="331" xr16:uid="{00000000-0015-0000-FFFF-FFFF4A010000}" name="接続10294" type="7" refreshedVersion="4"/>
  <connection id="332" xr16:uid="{00000000-0015-0000-FFFF-FFFF4B010000}" name="接続10295" type="7" refreshedVersion="4"/>
  <connection id="333" xr16:uid="{00000000-0015-0000-FFFF-FFFF4C010000}" name="接続10296" type="7" refreshedVersion="4"/>
  <connection id="334" xr16:uid="{00000000-0015-0000-FFFF-FFFF4D010000}" name="接続10297" type="7" refreshedVersion="4"/>
  <connection id="335" xr16:uid="{00000000-0015-0000-FFFF-FFFF4E010000}" name="接続10298" type="7" refreshedVersion="4"/>
  <connection id="336" xr16:uid="{00000000-0015-0000-FFFF-FFFF4F010000}" name="接続10299" type="7" refreshedVersion="4"/>
  <connection id="337" xr16:uid="{00000000-0015-0000-FFFF-FFFF50010000}" name="接続103" type="7" refreshedVersion="4"/>
  <connection id="338" xr16:uid="{00000000-0015-0000-FFFF-FFFF51010000}" name="接続1030" type="7" refreshedVersion="4"/>
  <connection id="339" xr16:uid="{00000000-0015-0000-FFFF-FFFF52010000}" name="接続10300" type="7" refreshedVersion="4"/>
  <connection id="340" xr16:uid="{00000000-0015-0000-FFFF-FFFF53010000}" name="接続10301" type="7" refreshedVersion="4"/>
  <connection id="341" xr16:uid="{00000000-0015-0000-FFFF-FFFF54010000}" name="接続10302" type="7" refreshedVersion="4"/>
  <connection id="342" xr16:uid="{00000000-0015-0000-FFFF-FFFF55010000}" name="接続10303" type="7" refreshedVersion="4"/>
  <connection id="343" xr16:uid="{00000000-0015-0000-FFFF-FFFF56010000}" name="接続10304" type="7" refreshedVersion="4"/>
  <connection id="344" xr16:uid="{00000000-0015-0000-FFFF-FFFF57010000}" name="接続10305" type="7" refreshedVersion="4"/>
  <connection id="345" xr16:uid="{00000000-0015-0000-FFFF-FFFF58010000}" name="接続10306" type="7" refreshedVersion="4"/>
  <connection id="346" xr16:uid="{00000000-0015-0000-FFFF-FFFF59010000}" name="接続10307" type="7" refreshedVersion="4"/>
  <connection id="347" xr16:uid="{00000000-0015-0000-FFFF-FFFF5A010000}" name="接続10308" type="7" refreshedVersion="4"/>
  <connection id="348" xr16:uid="{00000000-0015-0000-FFFF-FFFF5B010000}" name="接続10309" type="7" refreshedVersion="4"/>
  <connection id="349" xr16:uid="{00000000-0015-0000-FFFF-FFFF5C010000}" name="接続1031" type="7" refreshedVersion="4"/>
  <connection id="350" xr16:uid="{00000000-0015-0000-FFFF-FFFF5D010000}" name="接続10310" type="7" refreshedVersion="4"/>
  <connection id="351" xr16:uid="{00000000-0015-0000-FFFF-FFFF5E010000}" name="接続10311" type="7" refreshedVersion="4"/>
  <connection id="352" xr16:uid="{00000000-0015-0000-FFFF-FFFF5F010000}" name="接続10312" type="7" refreshedVersion="4"/>
  <connection id="353" xr16:uid="{00000000-0015-0000-FFFF-FFFF60010000}" name="接続10313" type="7" refreshedVersion="4"/>
  <connection id="354" xr16:uid="{00000000-0015-0000-FFFF-FFFF61010000}" name="接続10314" type="7" refreshedVersion="4"/>
  <connection id="355" xr16:uid="{00000000-0015-0000-FFFF-FFFF62010000}" name="接続10315" type="7" refreshedVersion="4"/>
  <connection id="356" xr16:uid="{00000000-0015-0000-FFFF-FFFF63010000}" name="接続10316" type="7" refreshedVersion="4"/>
  <connection id="357" xr16:uid="{00000000-0015-0000-FFFF-FFFF64010000}" name="接続10317" type="7" refreshedVersion="4"/>
  <connection id="358" xr16:uid="{00000000-0015-0000-FFFF-FFFF65010000}" name="接続10318" type="7" refreshedVersion="4"/>
  <connection id="359" xr16:uid="{00000000-0015-0000-FFFF-FFFF66010000}" name="接続10319" type="7" refreshedVersion="4"/>
  <connection id="360" xr16:uid="{00000000-0015-0000-FFFF-FFFF67010000}" name="接続1032" type="7" refreshedVersion="4"/>
  <connection id="361" xr16:uid="{00000000-0015-0000-FFFF-FFFF68010000}" name="接続10320" type="7" refreshedVersion="4"/>
  <connection id="362" xr16:uid="{00000000-0015-0000-FFFF-FFFF69010000}" name="接続10321" type="7" refreshedVersion="4"/>
  <connection id="363" xr16:uid="{00000000-0015-0000-FFFF-FFFF6A010000}" name="接続10322" type="7" refreshedVersion="4"/>
  <connection id="364" xr16:uid="{00000000-0015-0000-FFFF-FFFF6B010000}" name="接続10323" type="7" refreshedVersion="4"/>
  <connection id="365" xr16:uid="{00000000-0015-0000-FFFF-FFFF6C010000}" name="接続10324" type="7" refreshedVersion="4"/>
  <connection id="366" xr16:uid="{00000000-0015-0000-FFFF-FFFF6D010000}" name="接続10325" type="7" refreshedVersion="4"/>
  <connection id="367" xr16:uid="{00000000-0015-0000-FFFF-FFFF6E010000}" name="接続10326" type="7" refreshedVersion="4"/>
  <connection id="368" xr16:uid="{00000000-0015-0000-FFFF-FFFF6F010000}" name="接続10327" type="7" refreshedVersion="4"/>
  <connection id="369" xr16:uid="{00000000-0015-0000-FFFF-FFFF70010000}" name="接続10328" type="7" refreshedVersion="4"/>
  <connection id="370" xr16:uid="{00000000-0015-0000-FFFF-FFFF71010000}" name="接続10329" type="7" refreshedVersion="4"/>
  <connection id="371" xr16:uid="{00000000-0015-0000-FFFF-FFFF72010000}" name="接続1033" type="7" refreshedVersion="4"/>
  <connection id="372" xr16:uid="{00000000-0015-0000-FFFF-FFFF73010000}" name="接続10330" type="7" refreshedVersion="4"/>
  <connection id="373" xr16:uid="{00000000-0015-0000-FFFF-FFFF74010000}" name="接続10331" type="7" refreshedVersion="4"/>
  <connection id="374" xr16:uid="{00000000-0015-0000-FFFF-FFFF75010000}" name="接続10332" type="7" refreshedVersion="4"/>
  <connection id="375" xr16:uid="{00000000-0015-0000-FFFF-FFFF76010000}" name="接続10333" type="7" refreshedVersion="4"/>
  <connection id="376" xr16:uid="{00000000-0015-0000-FFFF-FFFF77010000}" name="接続10334" type="7" refreshedVersion="4"/>
  <connection id="377" xr16:uid="{00000000-0015-0000-FFFF-FFFF78010000}" name="接続10335" type="7" refreshedVersion="4"/>
  <connection id="378" xr16:uid="{00000000-0015-0000-FFFF-FFFF79010000}" name="接続10336" type="7" refreshedVersion="4"/>
  <connection id="379" xr16:uid="{00000000-0015-0000-FFFF-FFFF7A010000}" name="接続10337" type="7" refreshedVersion="4"/>
  <connection id="380" xr16:uid="{00000000-0015-0000-FFFF-FFFF7B010000}" name="接続10338" type="7" refreshedVersion="4"/>
  <connection id="381" xr16:uid="{00000000-0015-0000-FFFF-FFFF7C010000}" name="接続10339" type="7" refreshedVersion="4"/>
  <connection id="382" xr16:uid="{00000000-0015-0000-FFFF-FFFF7D010000}" name="接続1034" type="7" refreshedVersion="4"/>
  <connection id="383" xr16:uid="{00000000-0015-0000-FFFF-FFFF7E010000}" name="接続10340" type="7" refreshedVersion="4"/>
  <connection id="384" xr16:uid="{00000000-0015-0000-FFFF-FFFF7F010000}" name="接続10341" type="7" refreshedVersion="4"/>
  <connection id="385" xr16:uid="{00000000-0015-0000-FFFF-FFFF80010000}" name="接続10342" type="7" refreshedVersion="4"/>
  <connection id="386" xr16:uid="{00000000-0015-0000-FFFF-FFFF81010000}" name="接続10343" type="7" refreshedVersion="4"/>
  <connection id="387" xr16:uid="{00000000-0015-0000-FFFF-FFFF82010000}" name="接続10344" type="7" refreshedVersion="4"/>
  <connection id="388" xr16:uid="{00000000-0015-0000-FFFF-FFFF83010000}" name="接続10345" type="7" refreshedVersion="4"/>
  <connection id="389" xr16:uid="{00000000-0015-0000-FFFF-FFFF84010000}" name="接続10346" type="7" refreshedVersion="4"/>
  <connection id="390" xr16:uid="{00000000-0015-0000-FFFF-FFFF85010000}" name="接続10347" type="7" refreshedVersion="4"/>
  <connection id="391" xr16:uid="{00000000-0015-0000-FFFF-FFFF86010000}" name="接続10348" type="7" refreshedVersion="4"/>
  <connection id="392" xr16:uid="{00000000-0015-0000-FFFF-FFFF87010000}" name="接続10349" type="7" refreshedVersion="4"/>
  <connection id="393" xr16:uid="{00000000-0015-0000-FFFF-FFFF88010000}" name="接続1035" type="7" refreshedVersion="4"/>
  <connection id="394" xr16:uid="{00000000-0015-0000-FFFF-FFFF89010000}" name="接続10350" type="7" refreshedVersion="4"/>
  <connection id="395" xr16:uid="{00000000-0015-0000-FFFF-FFFF8A010000}" name="接続10351" type="7" refreshedVersion="4"/>
  <connection id="396" xr16:uid="{00000000-0015-0000-FFFF-FFFF8B010000}" name="接続10352" type="7" refreshedVersion="4"/>
  <connection id="397" xr16:uid="{00000000-0015-0000-FFFF-FFFF8C010000}" name="接続10353" type="7" refreshedVersion="4"/>
  <connection id="398" xr16:uid="{00000000-0015-0000-FFFF-FFFF8D010000}" name="接続10354" type="7" refreshedVersion="4"/>
  <connection id="399" xr16:uid="{00000000-0015-0000-FFFF-FFFF8E010000}" name="接続10355" type="7" refreshedVersion="4"/>
  <connection id="400" xr16:uid="{00000000-0015-0000-FFFF-FFFF8F010000}" name="接続10356" type="7" refreshedVersion="4"/>
  <connection id="401" xr16:uid="{00000000-0015-0000-FFFF-FFFF90010000}" name="接続10357" type="7" refreshedVersion="4"/>
  <connection id="402" xr16:uid="{00000000-0015-0000-FFFF-FFFF91010000}" name="接続10358" type="7" refreshedVersion="4"/>
  <connection id="403" xr16:uid="{00000000-0015-0000-FFFF-FFFF92010000}" name="接続10359" type="7" refreshedVersion="4"/>
  <connection id="404" xr16:uid="{00000000-0015-0000-FFFF-FFFF93010000}" name="接続1036" type="7" refreshedVersion="4"/>
  <connection id="405" xr16:uid="{00000000-0015-0000-FFFF-FFFF94010000}" name="接続10360" type="7" refreshedVersion="4"/>
  <connection id="406" xr16:uid="{00000000-0015-0000-FFFF-FFFF95010000}" name="接続10361" type="7" refreshedVersion="4"/>
  <connection id="407" xr16:uid="{00000000-0015-0000-FFFF-FFFF96010000}" name="接続10362" type="7" refreshedVersion="4"/>
  <connection id="408" xr16:uid="{00000000-0015-0000-FFFF-FFFF97010000}" name="接続10363" type="7" refreshedVersion="4"/>
  <connection id="409" xr16:uid="{00000000-0015-0000-FFFF-FFFF98010000}" name="接続10364" type="7" refreshedVersion="4"/>
  <connection id="410" xr16:uid="{00000000-0015-0000-FFFF-FFFF99010000}" name="接続10365" type="7" refreshedVersion="4"/>
  <connection id="411" xr16:uid="{00000000-0015-0000-FFFF-FFFF9A010000}" name="接続10366" type="7" refreshedVersion="4"/>
  <connection id="412" xr16:uid="{00000000-0015-0000-FFFF-FFFF9B010000}" name="接続10367" type="7" refreshedVersion="4"/>
  <connection id="413" xr16:uid="{00000000-0015-0000-FFFF-FFFF9C010000}" name="接続10368" type="7" refreshedVersion="4"/>
  <connection id="414" xr16:uid="{00000000-0015-0000-FFFF-FFFF9D010000}" name="接続10369" type="7" refreshedVersion="4"/>
  <connection id="415" xr16:uid="{00000000-0015-0000-FFFF-FFFF9E010000}" name="接続1037" type="7" refreshedVersion="4"/>
  <connection id="416" xr16:uid="{00000000-0015-0000-FFFF-FFFF9F010000}" name="接続10370" type="7" refreshedVersion="4"/>
  <connection id="417" xr16:uid="{00000000-0015-0000-FFFF-FFFFA0010000}" name="接続10371" type="7" refreshedVersion="4"/>
  <connection id="418" xr16:uid="{00000000-0015-0000-FFFF-FFFFA1010000}" name="接続10372" type="7" refreshedVersion="4"/>
  <connection id="419" xr16:uid="{00000000-0015-0000-FFFF-FFFFA2010000}" name="接続10373" type="7" refreshedVersion="4"/>
  <connection id="420" xr16:uid="{00000000-0015-0000-FFFF-FFFFA3010000}" name="接続10374" type="7" refreshedVersion="4"/>
  <connection id="421" xr16:uid="{00000000-0015-0000-FFFF-FFFFA4010000}" name="接続10375" type="7" refreshedVersion="4"/>
  <connection id="422" xr16:uid="{00000000-0015-0000-FFFF-FFFFA5010000}" name="接続10376" type="7" refreshedVersion="4"/>
  <connection id="423" xr16:uid="{00000000-0015-0000-FFFF-FFFFA6010000}" name="接続10377" type="7" refreshedVersion="4"/>
  <connection id="424" xr16:uid="{00000000-0015-0000-FFFF-FFFFA7010000}" name="接続10378" type="7" refreshedVersion="4"/>
  <connection id="425" xr16:uid="{00000000-0015-0000-FFFF-FFFFA8010000}" name="接続10379" type="7" refreshedVersion="4"/>
  <connection id="426" xr16:uid="{00000000-0015-0000-FFFF-FFFFA9010000}" name="接続1038" type="7" refreshedVersion="4"/>
  <connection id="427" xr16:uid="{00000000-0015-0000-FFFF-FFFFAA010000}" name="接続10380" type="7" refreshedVersion="4"/>
  <connection id="428" xr16:uid="{00000000-0015-0000-FFFF-FFFFAB010000}" name="接続10381" type="7" refreshedVersion="4"/>
  <connection id="429" xr16:uid="{00000000-0015-0000-FFFF-FFFFAC010000}" name="接続10382" type="7" refreshedVersion="4"/>
  <connection id="430" xr16:uid="{00000000-0015-0000-FFFF-FFFFAD010000}" name="接続10383" type="7" refreshedVersion="4"/>
  <connection id="431" xr16:uid="{00000000-0015-0000-FFFF-FFFFAE010000}" name="接続10384" type="7" refreshedVersion="4"/>
  <connection id="432" xr16:uid="{00000000-0015-0000-FFFF-FFFFAF010000}" name="接続10385" type="7" refreshedVersion="4"/>
  <connection id="433" xr16:uid="{00000000-0015-0000-FFFF-FFFFB0010000}" name="接続10386" type="7" refreshedVersion="4"/>
  <connection id="434" xr16:uid="{00000000-0015-0000-FFFF-FFFFB1010000}" name="接続10387" type="7" refreshedVersion="4"/>
  <connection id="435" xr16:uid="{00000000-0015-0000-FFFF-FFFFB2010000}" name="接続10388" type="7" refreshedVersion="4"/>
  <connection id="436" xr16:uid="{00000000-0015-0000-FFFF-FFFFB3010000}" name="接続10389" type="7" refreshedVersion="4"/>
  <connection id="437" xr16:uid="{00000000-0015-0000-FFFF-FFFFB4010000}" name="接続1039" type="7" refreshedVersion="4"/>
  <connection id="438" xr16:uid="{00000000-0015-0000-FFFF-FFFFB5010000}" name="接続10390" type="7" refreshedVersion="4"/>
  <connection id="439" xr16:uid="{00000000-0015-0000-FFFF-FFFFB6010000}" name="接続10391" type="7" refreshedVersion="4"/>
  <connection id="440" xr16:uid="{00000000-0015-0000-FFFF-FFFFB7010000}" name="接続10392" type="7" refreshedVersion="4"/>
  <connection id="441" xr16:uid="{00000000-0015-0000-FFFF-FFFFB8010000}" name="接続10393" type="7" refreshedVersion="4"/>
  <connection id="442" xr16:uid="{00000000-0015-0000-FFFF-FFFFB9010000}" name="接続10394" type="7" refreshedVersion="4"/>
  <connection id="443" xr16:uid="{00000000-0015-0000-FFFF-FFFFBA010000}" name="接続10395" type="7" refreshedVersion="4"/>
  <connection id="444" xr16:uid="{00000000-0015-0000-FFFF-FFFFBB010000}" name="接続10396" type="7" refreshedVersion="4"/>
  <connection id="445" xr16:uid="{00000000-0015-0000-FFFF-FFFFBC010000}" name="接続10397" type="7" refreshedVersion="4"/>
  <connection id="446" xr16:uid="{00000000-0015-0000-FFFF-FFFFBD010000}" name="接続10398" type="7" refreshedVersion="4"/>
  <connection id="447" xr16:uid="{00000000-0015-0000-FFFF-FFFFBE010000}" name="接続10399" type="7" refreshedVersion="4"/>
  <connection id="448" xr16:uid="{00000000-0015-0000-FFFF-FFFFBF010000}" name="接続104" type="7" refreshedVersion="4"/>
  <connection id="449" xr16:uid="{00000000-0015-0000-FFFF-FFFFC0010000}" name="接続1040" type="7" refreshedVersion="4"/>
  <connection id="450" xr16:uid="{00000000-0015-0000-FFFF-FFFFC1010000}" name="接続10400" type="7" refreshedVersion="4"/>
  <connection id="451" xr16:uid="{00000000-0015-0000-FFFF-FFFFC2010000}" name="接続10401" type="7" refreshedVersion="4"/>
  <connection id="452" xr16:uid="{00000000-0015-0000-FFFF-FFFFC3010000}" name="接続10402" type="7" refreshedVersion="4"/>
  <connection id="453" xr16:uid="{00000000-0015-0000-FFFF-FFFFC4010000}" name="接続10403" type="7" refreshedVersion="4"/>
  <connection id="454" xr16:uid="{00000000-0015-0000-FFFF-FFFFC5010000}" name="接続10404" type="7" refreshedVersion="4"/>
  <connection id="455" xr16:uid="{00000000-0015-0000-FFFF-FFFFC6010000}" name="接続10405" type="7" refreshedVersion="4"/>
  <connection id="456" xr16:uid="{00000000-0015-0000-FFFF-FFFFC7010000}" name="接続10406" type="7" refreshedVersion="4"/>
  <connection id="457" xr16:uid="{00000000-0015-0000-FFFF-FFFFC8010000}" name="接続10407" type="7" refreshedVersion="4"/>
  <connection id="458" xr16:uid="{00000000-0015-0000-FFFF-FFFFC9010000}" name="接続10408" type="7" refreshedVersion="4"/>
  <connection id="459" xr16:uid="{00000000-0015-0000-FFFF-FFFFCA010000}" name="接続10409" type="7" refreshedVersion="4"/>
  <connection id="460" xr16:uid="{00000000-0015-0000-FFFF-FFFFCB010000}" name="接続1041" type="7" refreshedVersion="4"/>
  <connection id="461" xr16:uid="{00000000-0015-0000-FFFF-FFFFCC010000}" name="接続10410" type="7" refreshedVersion="4"/>
  <connection id="462" xr16:uid="{00000000-0015-0000-FFFF-FFFFCD010000}" name="接続10411" type="7" refreshedVersion="4"/>
  <connection id="463" xr16:uid="{00000000-0015-0000-FFFF-FFFFCE010000}" name="接続10412" type="7" refreshedVersion="4"/>
  <connection id="464" xr16:uid="{00000000-0015-0000-FFFF-FFFFCF010000}" name="接続10413" type="7" refreshedVersion="4"/>
  <connection id="465" xr16:uid="{00000000-0015-0000-FFFF-FFFFD0010000}" name="接続10414" type="7" refreshedVersion="4"/>
  <connection id="466" xr16:uid="{00000000-0015-0000-FFFF-FFFFD1010000}" name="接続10415" type="7" refreshedVersion="4"/>
  <connection id="467" xr16:uid="{00000000-0015-0000-FFFF-FFFFD2010000}" name="接続10416" type="7" refreshedVersion="4"/>
  <connection id="468" xr16:uid="{00000000-0015-0000-FFFF-FFFFD3010000}" name="接続10417" type="7" refreshedVersion="4"/>
  <connection id="469" xr16:uid="{00000000-0015-0000-FFFF-FFFFD4010000}" name="接続10418" type="7" refreshedVersion="4"/>
  <connection id="470" xr16:uid="{00000000-0015-0000-FFFF-FFFFD5010000}" name="接続10419" type="7" refreshedVersion="4"/>
  <connection id="471" xr16:uid="{00000000-0015-0000-FFFF-FFFFD6010000}" name="接続1042" type="7" refreshedVersion="4"/>
  <connection id="472" xr16:uid="{00000000-0015-0000-FFFF-FFFFD7010000}" name="接続10420" type="7" refreshedVersion="4"/>
  <connection id="473" xr16:uid="{00000000-0015-0000-FFFF-FFFFD8010000}" name="接続10421" type="7" refreshedVersion="4"/>
  <connection id="474" xr16:uid="{00000000-0015-0000-FFFF-FFFFD9010000}" name="接続10422" type="7" refreshedVersion="4"/>
  <connection id="475" xr16:uid="{00000000-0015-0000-FFFF-FFFFDA010000}" name="接続10423" type="7" refreshedVersion="4"/>
  <connection id="476" xr16:uid="{00000000-0015-0000-FFFF-FFFFDB010000}" name="接続10424" type="7" refreshedVersion="4"/>
  <connection id="477" xr16:uid="{00000000-0015-0000-FFFF-FFFFDC010000}" name="接続10425" type="7" refreshedVersion="4"/>
  <connection id="478" xr16:uid="{00000000-0015-0000-FFFF-FFFFDD010000}" name="接続10426" type="7" refreshedVersion="4"/>
  <connection id="479" xr16:uid="{00000000-0015-0000-FFFF-FFFFDE010000}" name="接続10427" type="7" refreshedVersion="4"/>
  <connection id="480" xr16:uid="{00000000-0015-0000-FFFF-FFFFDF010000}" name="接続10428" type="7" refreshedVersion="4"/>
  <connection id="481" xr16:uid="{00000000-0015-0000-FFFF-FFFFE0010000}" name="接続10429" type="7" refreshedVersion="4"/>
  <connection id="482" xr16:uid="{00000000-0015-0000-FFFF-FFFFE1010000}" name="接続1043" type="7" refreshedVersion="4"/>
  <connection id="483" xr16:uid="{00000000-0015-0000-FFFF-FFFFE2010000}" name="接続10430" type="7" refreshedVersion="4"/>
  <connection id="484" xr16:uid="{00000000-0015-0000-FFFF-FFFFE3010000}" name="接続10431" type="7" refreshedVersion="4"/>
  <connection id="485" xr16:uid="{00000000-0015-0000-FFFF-FFFFE4010000}" name="接続10432" type="7" refreshedVersion="4"/>
  <connection id="486" xr16:uid="{00000000-0015-0000-FFFF-FFFFE5010000}" name="接続10433" type="7" refreshedVersion="4"/>
  <connection id="487" xr16:uid="{00000000-0015-0000-FFFF-FFFFE6010000}" name="接続10434" type="7" refreshedVersion="4"/>
  <connection id="488" xr16:uid="{00000000-0015-0000-FFFF-FFFFE7010000}" name="接続10435" type="7" refreshedVersion="4"/>
  <connection id="489" xr16:uid="{00000000-0015-0000-FFFF-FFFFE8010000}" name="接続10436" type="7" refreshedVersion="4"/>
  <connection id="490" xr16:uid="{00000000-0015-0000-FFFF-FFFFE9010000}" name="接続10437" type="7" refreshedVersion="4"/>
  <connection id="491" xr16:uid="{00000000-0015-0000-FFFF-FFFFEA010000}" name="接続10438" type="7" refreshedVersion="4"/>
  <connection id="492" xr16:uid="{00000000-0015-0000-FFFF-FFFFEB010000}" name="接続10439" type="7" refreshedVersion="4"/>
  <connection id="493" xr16:uid="{00000000-0015-0000-FFFF-FFFFEC010000}" name="接続1044" type="7" refreshedVersion="4"/>
  <connection id="494" xr16:uid="{00000000-0015-0000-FFFF-FFFFED010000}" name="接続10440" type="7" refreshedVersion="4"/>
  <connection id="495" xr16:uid="{00000000-0015-0000-FFFF-FFFFEE010000}" name="接続10441" type="7" refreshedVersion="4"/>
  <connection id="496" xr16:uid="{00000000-0015-0000-FFFF-FFFFEF010000}" name="接続10442" type="7" refreshedVersion="4"/>
  <connection id="497" xr16:uid="{00000000-0015-0000-FFFF-FFFFF0010000}" name="接続10443" type="7" refreshedVersion="4"/>
  <connection id="498" xr16:uid="{00000000-0015-0000-FFFF-FFFFF1010000}" name="接続10444" type="7" refreshedVersion="4"/>
  <connection id="499" xr16:uid="{00000000-0015-0000-FFFF-FFFFF2010000}" name="接続10445" type="7" refreshedVersion="4"/>
  <connection id="500" xr16:uid="{00000000-0015-0000-FFFF-FFFFF3010000}" name="接続10446" type="7" refreshedVersion="4"/>
  <connection id="501" xr16:uid="{00000000-0015-0000-FFFF-FFFFF4010000}" name="接続10447" type="7" refreshedVersion="4"/>
  <connection id="502" xr16:uid="{00000000-0015-0000-FFFF-FFFFF5010000}" name="接続10448" type="7" refreshedVersion="4"/>
  <connection id="503" xr16:uid="{00000000-0015-0000-FFFF-FFFFF6010000}" name="接続10449" type="7" refreshedVersion="4"/>
  <connection id="504" xr16:uid="{00000000-0015-0000-FFFF-FFFFF7010000}" name="接続1045" type="7" refreshedVersion="4"/>
  <connection id="505" xr16:uid="{00000000-0015-0000-FFFF-FFFFF8010000}" name="接続10450" type="7" refreshedVersion="4"/>
  <connection id="506" xr16:uid="{00000000-0015-0000-FFFF-FFFFF9010000}" name="接続10451" type="7" refreshedVersion="4"/>
  <connection id="507" xr16:uid="{00000000-0015-0000-FFFF-FFFFFA010000}" name="接続10452" type="7" refreshedVersion="4"/>
  <connection id="508" xr16:uid="{00000000-0015-0000-FFFF-FFFFFB010000}" name="接続10453" type="7" refreshedVersion="4"/>
  <connection id="509" xr16:uid="{00000000-0015-0000-FFFF-FFFFFC010000}" name="接続10454" type="7" refreshedVersion="4"/>
  <connection id="510" xr16:uid="{00000000-0015-0000-FFFF-FFFFFD010000}" name="接続10455" type="7" refreshedVersion="4"/>
  <connection id="511" xr16:uid="{00000000-0015-0000-FFFF-FFFFFE010000}" name="接続10456" type="7" refreshedVersion="4"/>
  <connection id="512" xr16:uid="{00000000-0015-0000-FFFF-FFFFFF010000}" name="接続10457" type="7" refreshedVersion="4"/>
  <connection id="513" xr16:uid="{00000000-0015-0000-FFFF-FFFF00020000}" name="接続10458" type="7" refreshedVersion="4"/>
  <connection id="514" xr16:uid="{00000000-0015-0000-FFFF-FFFF01020000}" name="接続10459" type="7" refreshedVersion="4"/>
  <connection id="515" xr16:uid="{00000000-0015-0000-FFFF-FFFF02020000}" name="接続1046" type="7" refreshedVersion="4"/>
  <connection id="516" xr16:uid="{00000000-0015-0000-FFFF-FFFF03020000}" name="接続10460" type="7" refreshedVersion="4"/>
  <connection id="517" xr16:uid="{00000000-0015-0000-FFFF-FFFF04020000}" name="接続10461" type="7" refreshedVersion="4"/>
  <connection id="518" xr16:uid="{00000000-0015-0000-FFFF-FFFF05020000}" name="接続10462" type="7" refreshedVersion="4"/>
  <connection id="519" xr16:uid="{00000000-0015-0000-FFFF-FFFF06020000}" name="接続10463" type="7" refreshedVersion="4"/>
  <connection id="520" xr16:uid="{00000000-0015-0000-FFFF-FFFF07020000}" name="接続10464" type="7" refreshedVersion="4"/>
  <connection id="521" xr16:uid="{00000000-0015-0000-FFFF-FFFF08020000}" name="接続10465" type="7" refreshedVersion="4"/>
  <connection id="522" xr16:uid="{00000000-0015-0000-FFFF-FFFF09020000}" name="接続10466" type="7" refreshedVersion="4"/>
  <connection id="523" xr16:uid="{00000000-0015-0000-FFFF-FFFF0A020000}" name="接続10467" type="7" refreshedVersion="4"/>
  <connection id="524" xr16:uid="{00000000-0015-0000-FFFF-FFFF0B020000}" name="接続10468" type="7" refreshedVersion="4"/>
  <connection id="525" xr16:uid="{00000000-0015-0000-FFFF-FFFF0C020000}" name="接続10469" type="7" refreshedVersion="4"/>
  <connection id="526" xr16:uid="{00000000-0015-0000-FFFF-FFFF0D020000}" name="接続1047" type="7" refreshedVersion="4"/>
  <connection id="527" xr16:uid="{00000000-0015-0000-FFFF-FFFF0E020000}" name="接続10470" type="7" refreshedVersion="4"/>
  <connection id="528" xr16:uid="{00000000-0015-0000-FFFF-FFFF0F020000}" name="接続10471" type="7" refreshedVersion="4"/>
  <connection id="529" xr16:uid="{00000000-0015-0000-FFFF-FFFF10020000}" name="接続10472" type="7" refreshedVersion="4"/>
  <connection id="530" xr16:uid="{00000000-0015-0000-FFFF-FFFF11020000}" name="接続10473" type="7" refreshedVersion="4"/>
  <connection id="531" xr16:uid="{00000000-0015-0000-FFFF-FFFF12020000}" name="接続10474" type="7" refreshedVersion="4"/>
  <connection id="532" xr16:uid="{00000000-0015-0000-FFFF-FFFF13020000}" name="接続10475" type="7" refreshedVersion="4"/>
  <connection id="533" xr16:uid="{00000000-0015-0000-FFFF-FFFF14020000}" name="接続10476" type="7" refreshedVersion="4"/>
  <connection id="534" xr16:uid="{00000000-0015-0000-FFFF-FFFF15020000}" name="接続10477" type="7" refreshedVersion="4"/>
  <connection id="535" xr16:uid="{00000000-0015-0000-FFFF-FFFF16020000}" name="接続10478" type="7" refreshedVersion="4"/>
  <connection id="536" xr16:uid="{00000000-0015-0000-FFFF-FFFF17020000}" name="接続10479" type="7" refreshedVersion="4"/>
  <connection id="537" xr16:uid="{00000000-0015-0000-FFFF-FFFF18020000}" name="接続1048" type="7" refreshedVersion="4"/>
  <connection id="538" xr16:uid="{00000000-0015-0000-FFFF-FFFF19020000}" name="接続10480" type="7" refreshedVersion="4"/>
  <connection id="539" xr16:uid="{00000000-0015-0000-FFFF-FFFF1A020000}" name="接続10481" type="7" refreshedVersion="4"/>
  <connection id="540" xr16:uid="{00000000-0015-0000-FFFF-FFFF1B020000}" name="接続10482" type="7" refreshedVersion="4"/>
  <connection id="541" xr16:uid="{00000000-0015-0000-FFFF-FFFF1C020000}" name="接続10483" type="7" refreshedVersion="4"/>
  <connection id="542" xr16:uid="{00000000-0015-0000-FFFF-FFFF1D020000}" name="接続10484" type="7" refreshedVersion="4"/>
  <connection id="543" xr16:uid="{00000000-0015-0000-FFFF-FFFF1E020000}" name="接続10485" type="7" refreshedVersion="4"/>
  <connection id="544" xr16:uid="{00000000-0015-0000-FFFF-FFFF1F020000}" name="接続10486" type="7" refreshedVersion="4"/>
  <connection id="545" xr16:uid="{00000000-0015-0000-FFFF-FFFF20020000}" name="接続10487" type="7" refreshedVersion="4"/>
  <connection id="546" xr16:uid="{00000000-0015-0000-FFFF-FFFF21020000}" name="接続10488" type="7" refreshedVersion="4"/>
  <connection id="547" xr16:uid="{00000000-0015-0000-FFFF-FFFF22020000}" name="接続10489" type="7" refreshedVersion="4"/>
  <connection id="548" xr16:uid="{00000000-0015-0000-FFFF-FFFF23020000}" name="接続1049" type="7" refreshedVersion="4"/>
  <connection id="549" xr16:uid="{00000000-0015-0000-FFFF-FFFF24020000}" name="接続10490" type="7" refreshedVersion="4"/>
  <connection id="550" xr16:uid="{00000000-0015-0000-FFFF-FFFF25020000}" name="接続10491" type="7" refreshedVersion="4"/>
  <connection id="551" xr16:uid="{00000000-0015-0000-FFFF-FFFF26020000}" name="接続10492" type="7" refreshedVersion="4"/>
  <connection id="552" xr16:uid="{00000000-0015-0000-FFFF-FFFF27020000}" name="接続10493" type="7" refreshedVersion="4"/>
  <connection id="553" xr16:uid="{00000000-0015-0000-FFFF-FFFF28020000}" name="接続10494" type="7" refreshedVersion="4"/>
  <connection id="554" xr16:uid="{00000000-0015-0000-FFFF-FFFF29020000}" name="接続10495" type="7" refreshedVersion="4"/>
  <connection id="555" xr16:uid="{00000000-0015-0000-FFFF-FFFF2A020000}" name="接続10496" type="7" refreshedVersion="4"/>
  <connection id="556" xr16:uid="{00000000-0015-0000-FFFF-FFFF2B020000}" name="接続10497" type="7" refreshedVersion="4"/>
  <connection id="557" xr16:uid="{00000000-0015-0000-FFFF-FFFF2C020000}" name="接続10498" type="7" refreshedVersion="4"/>
  <connection id="558" xr16:uid="{00000000-0015-0000-FFFF-FFFF2D020000}" name="接続10499" type="7" refreshedVersion="4"/>
  <connection id="559" xr16:uid="{00000000-0015-0000-FFFF-FFFF2E020000}" name="接続105" type="7" refreshedVersion="4"/>
  <connection id="560" xr16:uid="{00000000-0015-0000-FFFF-FFFF2F020000}" name="接続1050" type="7" refreshedVersion="4"/>
  <connection id="561" xr16:uid="{00000000-0015-0000-FFFF-FFFF30020000}" name="接続10500" type="7" refreshedVersion="4"/>
  <connection id="562" xr16:uid="{00000000-0015-0000-FFFF-FFFF31020000}" name="接続10501" type="7" refreshedVersion="4"/>
  <connection id="563" xr16:uid="{00000000-0015-0000-FFFF-FFFF32020000}" name="接続10502" type="7" refreshedVersion="4"/>
  <connection id="564" xr16:uid="{00000000-0015-0000-FFFF-FFFF33020000}" name="接続10503" type="7" refreshedVersion="4"/>
  <connection id="565" xr16:uid="{00000000-0015-0000-FFFF-FFFF34020000}" name="接続10504" type="7" refreshedVersion="4"/>
  <connection id="566" xr16:uid="{00000000-0015-0000-FFFF-FFFF35020000}" name="接続10505" type="7" refreshedVersion="4"/>
  <connection id="567" xr16:uid="{00000000-0015-0000-FFFF-FFFF36020000}" name="接続10506" type="7" refreshedVersion="4"/>
  <connection id="568" xr16:uid="{00000000-0015-0000-FFFF-FFFF37020000}" name="接続10507" type="7" refreshedVersion="4"/>
  <connection id="569" xr16:uid="{00000000-0015-0000-FFFF-FFFF38020000}" name="接続10508" type="7" refreshedVersion="4"/>
  <connection id="570" xr16:uid="{00000000-0015-0000-FFFF-FFFF39020000}" name="接続10509" type="7" refreshedVersion="4"/>
  <connection id="571" xr16:uid="{00000000-0015-0000-FFFF-FFFF3A020000}" name="接続1051" type="7" refreshedVersion="4"/>
  <connection id="572" xr16:uid="{00000000-0015-0000-FFFF-FFFF3B020000}" name="接続10510" type="7" refreshedVersion="4"/>
  <connection id="573" xr16:uid="{00000000-0015-0000-FFFF-FFFF3C020000}" name="接続10511" type="7" refreshedVersion="4"/>
  <connection id="574" xr16:uid="{00000000-0015-0000-FFFF-FFFF3D020000}" name="接続10512" type="7" refreshedVersion="4"/>
  <connection id="575" xr16:uid="{00000000-0015-0000-FFFF-FFFF3E020000}" name="接続10513" type="7" refreshedVersion="4"/>
  <connection id="576" xr16:uid="{00000000-0015-0000-FFFF-FFFF3F020000}" name="接続10514" type="7" refreshedVersion="4"/>
  <connection id="577" xr16:uid="{00000000-0015-0000-FFFF-FFFF40020000}" name="接続10515" type="7" refreshedVersion="4"/>
  <connection id="578" xr16:uid="{00000000-0015-0000-FFFF-FFFF41020000}" name="接続10516" type="7" refreshedVersion="4"/>
  <connection id="579" xr16:uid="{00000000-0015-0000-FFFF-FFFF42020000}" name="接続10517" type="7" refreshedVersion="4"/>
  <connection id="580" xr16:uid="{00000000-0015-0000-FFFF-FFFF43020000}" name="接続10518" type="7" refreshedVersion="4"/>
  <connection id="581" xr16:uid="{00000000-0015-0000-FFFF-FFFF44020000}" name="接続10519" type="7" refreshedVersion="4"/>
  <connection id="582" xr16:uid="{00000000-0015-0000-FFFF-FFFF45020000}" name="接続1052" type="7" refreshedVersion="4"/>
  <connection id="583" xr16:uid="{00000000-0015-0000-FFFF-FFFF46020000}" name="接続10520" type="7" refreshedVersion="4"/>
  <connection id="584" xr16:uid="{00000000-0015-0000-FFFF-FFFF47020000}" name="接続10521" type="7" refreshedVersion="4"/>
  <connection id="585" xr16:uid="{00000000-0015-0000-FFFF-FFFF48020000}" name="接続10522" type="7" refreshedVersion="4"/>
  <connection id="586" xr16:uid="{00000000-0015-0000-FFFF-FFFF49020000}" name="接続10523" type="7" refreshedVersion="4"/>
  <connection id="587" xr16:uid="{00000000-0015-0000-FFFF-FFFF4A020000}" name="接続10524" type="7" refreshedVersion="4"/>
  <connection id="588" xr16:uid="{00000000-0015-0000-FFFF-FFFF4B020000}" name="接続10525" type="7" refreshedVersion="4"/>
  <connection id="589" xr16:uid="{00000000-0015-0000-FFFF-FFFF4C020000}" name="接続10526" type="7" refreshedVersion="4"/>
  <connection id="590" xr16:uid="{00000000-0015-0000-FFFF-FFFF4D020000}" name="接続10527" type="7" refreshedVersion="4"/>
  <connection id="591" xr16:uid="{00000000-0015-0000-FFFF-FFFF4E020000}" name="接続10528" type="7" refreshedVersion="4"/>
  <connection id="592" xr16:uid="{00000000-0015-0000-FFFF-FFFF4F020000}" name="接続10529" type="7" refreshedVersion="4"/>
  <connection id="593" xr16:uid="{00000000-0015-0000-FFFF-FFFF50020000}" name="接続1053" type="7" refreshedVersion="4"/>
  <connection id="594" xr16:uid="{00000000-0015-0000-FFFF-FFFF51020000}" name="接続10530" type="7" refreshedVersion="4"/>
  <connection id="595" xr16:uid="{00000000-0015-0000-FFFF-FFFF52020000}" name="接続10531" type="7" refreshedVersion="4"/>
  <connection id="596" xr16:uid="{00000000-0015-0000-FFFF-FFFF53020000}" name="接続10532" type="7" refreshedVersion="4"/>
  <connection id="597" xr16:uid="{00000000-0015-0000-FFFF-FFFF54020000}" name="接続10533" type="7" refreshedVersion="4"/>
  <connection id="598" xr16:uid="{00000000-0015-0000-FFFF-FFFF55020000}" name="接続10534" type="7" refreshedVersion="4"/>
  <connection id="599" xr16:uid="{00000000-0015-0000-FFFF-FFFF56020000}" name="接続10535" type="7" refreshedVersion="4"/>
  <connection id="600" xr16:uid="{00000000-0015-0000-FFFF-FFFF57020000}" name="接続10536" type="7" refreshedVersion="4"/>
  <connection id="601" xr16:uid="{00000000-0015-0000-FFFF-FFFF58020000}" name="接続10537" type="7" refreshedVersion="4"/>
  <connection id="602" xr16:uid="{00000000-0015-0000-FFFF-FFFF59020000}" name="接続10538" type="7" refreshedVersion="4"/>
  <connection id="603" xr16:uid="{00000000-0015-0000-FFFF-FFFF5A020000}" name="接続10539" type="7" refreshedVersion="4"/>
  <connection id="604" xr16:uid="{00000000-0015-0000-FFFF-FFFF5B020000}" name="接続1054" type="7" refreshedVersion="4"/>
  <connection id="605" xr16:uid="{00000000-0015-0000-FFFF-FFFF5C020000}" name="接続10540" type="7" refreshedVersion="4"/>
  <connection id="606" xr16:uid="{00000000-0015-0000-FFFF-FFFF5D020000}" name="接続10541" type="7" refreshedVersion="4"/>
  <connection id="607" xr16:uid="{00000000-0015-0000-FFFF-FFFF5E020000}" name="接続10542" type="7" refreshedVersion="4"/>
  <connection id="608" xr16:uid="{00000000-0015-0000-FFFF-FFFF5F020000}" name="接続10543" type="7" refreshedVersion="4"/>
  <connection id="609" xr16:uid="{00000000-0015-0000-FFFF-FFFF60020000}" name="接続10544" type="7" refreshedVersion="4"/>
  <connection id="610" xr16:uid="{00000000-0015-0000-FFFF-FFFF61020000}" name="接続10545" type="7" refreshedVersion="4"/>
  <connection id="611" xr16:uid="{00000000-0015-0000-FFFF-FFFF62020000}" name="接続10546" type="7" refreshedVersion="4"/>
  <connection id="612" xr16:uid="{00000000-0015-0000-FFFF-FFFF63020000}" name="接続10547" type="7" refreshedVersion="4"/>
  <connection id="613" xr16:uid="{00000000-0015-0000-FFFF-FFFF64020000}" name="接続10548" type="7" refreshedVersion="4"/>
  <connection id="614" xr16:uid="{00000000-0015-0000-FFFF-FFFF65020000}" name="接続10549" type="7" refreshedVersion="4"/>
  <connection id="615" xr16:uid="{00000000-0015-0000-FFFF-FFFF66020000}" name="接続1055" type="7" refreshedVersion="4"/>
  <connection id="616" xr16:uid="{00000000-0015-0000-FFFF-FFFF67020000}" name="接続10550" type="7" refreshedVersion="4"/>
  <connection id="617" xr16:uid="{00000000-0015-0000-FFFF-FFFF68020000}" name="接続10551" type="7" refreshedVersion="4"/>
  <connection id="618" xr16:uid="{00000000-0015-0000-FFFF-FFFF69020000}" name="接続10552" type="7" refreshedVersion="4"/>
  <connection id="619" xr16:uid="{00000000-0015-0000-FFFF-FFFF6A020000}" name="接続10553" type="7" refreshedVersion="8"/>
  <connection id="620" xr16:uid="{00000000-0015-0000-FFFF-FFFF6B020000}" name="接続10554" type="7" refreshedVersion="8"/>
  <connection id="621" xr16:uid="{00000000-0015-0000-FFFF-FFFF6C020000}" name="接続10555" type="7" refreshedVersion="8"/>
  <connection id="622" xr16:uid="{00000000-0015-0000-FFFF-FFFF6D020000}" name="接続10556" type="7" refreshedVersion="8"/>
  <connection id="623" xr16:uid="{00000000-0015-0000-FFFF-FFFF6E020000}" name="接続10557" type="7" refreshedVersion="8"/>
  <connection id="624" xr16:uid="{00000000-0015-0000-FFFF-FFFF6F020000}" name="接続10558" type="7" refreshedVersion="8"/>
  <connection id="625" xr16:uid="{00000000-0015-0000-FFFF-FFFF70020000}" name="接続10559" type="7" refreshedVersion="8"/>
  <connection id="626" xr16:uid="{00000000-0015-0000-FFFF-FFFF71020000}" name="接続1056" type="7" refreshedVersion="4"/>
  <connection id="627" xr16:uid="{00000000-0015-0000-FFFF-FFFF72020000}" name="接続10560" type="7" refreshedVersion="8"/>
  <connection id="628" xr16:uid="{00000000-0015-0000-FFFF-FFFF73020000}" name="接続10561" type="7" refreshedVersion="8"/>
  <connection id="629" xr16:uid="{00000000-0015-0000-FFFF-FFFF74020000}" name="接続10562" type="7" refreshedVersion="8"/>
  <connection id="630" xr16:uid="{00000000-0015-0000-FFFF-FFFF75020000}" name="接続10563" type="7" refreshedVersion="8"/>
  <connection id="631" xr16:uid="{00000000-0015-0000-FFFF-FFFF76020000}" name="接続10564" type="7" refreshedVersion="8"/>
  <connection id="632" xr16:uid="{00000000-0015-0000-FFFF-FFFF77020000}" name="接続10565" type="7" refreshedVersion="8"/>
  <connection id="633" xr16:uid="{00000000-0015-0000-FFFF-FFFF78020000}" name="接続10566" type="7" refreshedVersion="8"/>
  <connection id="634" xr16:uid="{00000000-0015-0000-FFFF-FFFF79020000}" name="接続10567" type="7" refreshedVersion="8"/>
  <connection id="635" xr16:uid="{00000000-0015-0000-FFFF-FFFF7A020000}" name="接続10568" type="7" refreshedVersion="8"/>
  <connection id="636" xr16:uid="{00000000-0015-0000-FFFF-FFFF7B020000}" name="接続10569" type="7" refreshedVersion="8"/>
  <connection id="637" xr16:uid="{00000000-0015-0000-FFFF-FFFF7C020000}" name="接続1057" type="7" refreshedVersion="4"/>
  <connection id="638" xr16:uid="{00000000-0015-0000-FFFF-FFFF7D020000}" name="接続10570" type="7" refreshedVersion="8"/>
  <connection id="639" xr16:uid="{00000000-0015-0000-FFFF-FFFF7E020000}" name="接続10571" type="7" refreshedVersion="8"/>
  <connection id="640" xr16:uid="{00000000-0015-0000-FFFF-FFFF7F020000}" name="接続10572" type="7" refreshedVersion="8"/>
  <connection id="641" xr16:uid="{00000000-0015-0000-FFFF-FFFF80020000}" name="接続10573" type="7" refreshedVersion="8"/>
  <connection id="642" xr16:uid="{00000000-0015-0000-FFFF-FFFF81020000}" name="接続10574" type="7" refreshedVersion="8"/>
  <connection id="643" xr16:uid="{00000000-0015-0000-FFFF-FFFF82020000}" name="接続10575" type="7" refreshedVersion="8"/>
  <connection id="644" xr16:uid="{00000000-0015-0000-FFFF-FFFF83020000}" name="接続10576" type="7" refreshedVersion="8"/>
  <connection id="645" xr16:uid="{00000000-0015-0000-FFFF-FFFF84020000}" name="接続10577" type="7" refreshedVersion="8"/>
  <connection id="646" xr16:uid="{00000000-0015-0000-FFFF-FFFF85020000}" name="接続10578" type="7" refreshedVersion="8"/>
  <connection id="647" xr16:uid="{00000000-0015-0000-FFFF-FFFF86020000}" name="接続10579" type="7" refreshedVersion="8"/>
  <connection id="648" xr16:uid="{00000000-0015-0000-FFFF-FFFF87020000}" name="接続1058" type="7" refreshedVersion="4"/>
  <connection id="649" xr16:uid="{00000000-0015-0000-FFFF-FFFF88020000}" name="接続10580" type="7" refreshedVersion="8"/>
  <connection id="650" xr16:uid="{00000000-0015-0000-FFFF-FFFF89020000}" name="接続10581" type="7" refreshedVersion="8"/>
  <connection id="651" xr16:uid="{00000000-0015-0000-FFFF-FFFF8A020000}" name="接続10582" type="7" refreshedVersion="8"/>
  <connection id="652" xr16:uid="{00000000-0015-0000-FFFF-FFFF8B020000}" name="接続10583" type="7" refreshedVersion="8"/>
  <connection id="653" xr16:uid="{00000000-0015-0000-FFFF-FFFF8C020000}" name="接続10584" type="7" refreshedVersion="8"/>
  <connection id="654" xr16:uid="{00000000-0015-0000-FFFF-FFFF8D020000}" name="接続10585" type="7" refreshedVersion="8"/>
  <connection id="655" xr16:uid="{00000000-0015-0000-FFFF-FFFF8E020000}" name="接続10586" type="7" refreshedVersion="8"/>
  <connection id="656" xr16:uid="{00000000-0015-0000-FFFF-FFFF8F020000}" name="接続10587" type="7" refreshedVersion="8"/>
  <connection id="657" xr16:uid="{00000000-0015-0000-FFFF-FFFF90020000}" name="接続10588" type="7" refreshedVersion="8"/>
  <connection id="658" xr16:uid="{00000000-0015-0000-FFFF-FFFF91020000}" name="接続10589" type="7" refreshedVersion="8"/>
  <connection id="659" xr16:uid="{00000000-0015-0000-FFFF-FFFF92020000}" name="接続1059" type="7" refreshedVersion="4"/>
  <connection id="660" xr16:uid="{00000000-0015-0000-FFFF-FFFF93020000}" name="接続10590" type="7" refreshedVersion="8"/>
  <connection id="661" xr16:uid="{00000000-0015-0000-FFFF-FFFF94020000}" name="接続10591" type="7" refreshedVersion="8"/>
  <connection id="662" xr16:uid="{00000000-0015-0000-FFFF-FFFF95020000}" name="接続10592" type="7" refreshedVersion="8"/>
  <connection id="663" xr16:uid="{00000000-0015-0000-FFFF-FFFF96020000}" name="接続10593" type="7" refreshedVersion="8"/>
  <connection id="664" xr16:uid="{00000000-0015-0000-FFFF-FFFF97020000}" name="接続10594" type="7" refreshedVersion="8"/>
  <connection id="665" xr16:uid="{00000000-0015-0000-FFFF-FFFF98020000}" name="接続10595" type="7" refreshedVersion="8"/>
  <connection id="666" xr16:uid="{00000000-0015-0000-FFFF-FFFF99020000}" name="接続10596" type="7" refreshedVersion="8"/>
  <connection id="667" xr16:uid="{00000000-0015-0000-FFFF-FFFF9A020000}" name="接続10597" type="7" refreshedVersion="8"/>
  <connection id="668" xr16:uid="{00000000-0015-0000-FFFF-FFFF9B020000}" name="接続10598" type="7" refreshedVersion="8"/>
  <connection id="669" xr16:uid="{00000000-0015-0000-FFFF-FFFF9C020000}" name="接続10599" type="7" refreshedVersion="8"/>
  <connection id="670" xr16:uid="{00000000-0015-0000-FFFF-FFFF9D020000}" name="接続106" type="7" refreshedVersion="4"/>
  <connection id="671" xr16:uid="{00000000-0015-0000-FFFF-FFFF9E020000}" name="接続1060" type="7" refreshedVersion="4"/>
  <connection id="672" xr16:uid="{00000000-0015-0000-FFFF-FFFF9F020000}" name="接続10600" type="7" refreshedVersion="8"/>
  <connection id="673" xr16:uid="{00000000-0015-0000-FFFF-FFFFA0020000}" name="接続10601" type="7" refreshedVersion="8"/>
  <connection id="674" xr16:uid="{00000000-0015-0000-FFFF-FFFFA1020000}" name="接続10602" type="7" refreshedVersion="8"/>
  <connection id="675" xr16:uid="{00000000-0015-0000-FFFF-FFFFA2020000}" name="接続10603" type="7" refreshedVersion="8"/>
  <connection id="676" xr16:uid="{00000000-0015-0000-FFFF-FFFFA3020000}" name="接続10604" type="7" refreshedVersion="8"/>
  <connection id="677" xr16:uid="{00000000-0015-0000-FFFF-FFFFA4020000}" name="接続10605" type="7" refreshedVersion="8"/>
  <connection id="678" xr16:uid="{00000000-0015-0000-FFFF-FFFFA5020000}" name="接続10606" type="7" refreshedVersion="8"/>
  <connection id="679" xr16:uid="{00000000-0015-0000-FFFF-FFFFA6020000}" name="接続10607" type="7" refreshedVersion="8"/>
  <connection id="680" xr16:uid="{00000000-0015-0000-FFFF-FFFFA7020000}" name="接続10608" type="7" refreshedVersion="8"/>
  <connection id="681" xr16:uid="{00000000-0015-0000-FFFF-FFFFA8020000}" name="接続10609" type="7" refreshedVersion="8"/>
  <connection id="682" xr16:uid="{00000000-0015-0000-FFFF-FFFFA9020000}" name="接続1061" type="7" refreshedVersion="4"/>
  <connection id="683" xr16:uid="{00000000-0015-0000-FFFF-FFFFAA020000}" name="接続10610" type="7" refreshedVersion="8"/>
  <connection id="684" xr16:uid="{00000000-0015-0000-FFFF-FFFFAB020000}" name="接続10611" type="7" refreshedVersion="8"/>
  <connection id="685" xr16:uid="{00000000-0015-0000-FFFF-FFFFAC020000}" name="接続10612" type="7" refreshedVersion="8"/>
  <connection id="686" xr16:uid="{00000000-0015-0000-FFFF-FFFFAD020000}" name="接続10613" type="7" refreshedVersion="8"/>
  <connection id="687" xr16:uid="{00000000-0015-0000-FFFF-FFFFAE020000}" name="接続10614" type="7" refreshedVersion="8"/>
  <connection id="688" xr16:uid="{00000000-0015-0000-FFFF-FFFFAF020000}" name="接続10615" type="7" refreshedVersion="8"/>
  <connection id="689" xr16:uid="{00000000-0015-0000-FFFF-FFFFB0020000}" name="接続10616" type="7" refreshedVersion="8"/>
  <connection id="690" xr16:uid="{00000000-0015-0000-FFFF-FFFFB1020000}" name="接続10617" type="7" refreshedVersion="8"/>
  <connection id="691" xr16:uid="{00000000-0015-0000-FFFF-FFFFB2020000}" name="接続10618" type="7" refreshedVersion="8"/>
  <connection id="692" xr16:uid="{00000000-0015-0000-FFFF-FFFFB3020000}" name="接続10619" type="7" refreshedVersion="8"/>
  <connection id="693" xr16:uid="{00000000-0015-0000-FFFF-FFFFB4020000}" name="接続1062" type="7" refreshedVersion="4"/>
  <connection id="694" xr16:uid="{00000000-0015-0000-FFFF-FFFFB5020000}" name="接続10620" type="7" refreshedVersion="8"/>
  <connection id="695" xr16:uid="{00000000-0015-0000-FFFF-FFFFB6020000}" name="接続10621" type="7" refreshedVersion="8"/>
  <connection id="696" xr16:uid="{00000000-0015-0000-FFFF-FFFFB7020000}" name="接続10622" type="7" refreshedVersion="8"/>
  <connection id="697" xr16:uid="{00000000-0015-0000-FFFF-FFFFB8020000}" name="接続10623" type="7" refreshedVersion="8"/>
  <connection id="698" xr16:uid="{00000000-0015-0000-FFFF-FFFFB9020000}" name="接続10624" type="7" refreshedVersion="8"/>
  <connection id="699" xr16:uid="{00000000-0015-0000-FFFF-FFFFBA020000}" name="接続10625" type="7" refreshedVersion="8"/>
  <connection id="700" xr16:uid="{00000000-0015-0000-FFFF-FFFFBB020000}" name="接続10626" type="7" refreshedVersion="8"/>
  <connection id="701" xr16:uid="{00000000-0015-0000-FFFF-FFFFBC020000}" name="接続10627" type="7" refreshedVersion="8"/>
  <connection id="702" xr16:uid="{00000000-0015-0000-FFFF-FFFFBD020000}" name="接続10628" type="7" refreshedVersion="8"/>
  <connection id="703" xr16:uid="{00000000-0015-0000-FFFF-FFFFBE020000}" name="接続10629" type="7" refreshedVersion="8"/>
  <connection id="704" xr16:uid="{00000000-0015-0000-FFFF-FFFFBF020000}" name="接続1063" type="7" refreshedVersion="4"/>
  <connection id="705" xr16:uid="{00000000-0015-0000-FFFF-FFFFC0020000}" name="接続10630" type="7" refreshedVersion="8"/>
  <connection id="706" xr16:uid="{00000000-0015-0000-FFFF-FFFFC1020000}" name="接続10631" type="7" refreshedVersion="8"/>
  <connection id="707" xr16:uid="{00000000-0015-0000-FFFF-FFFFC2020000}" name="接続10632" type="7" refreshedVersion="8"/>
  <connection id="708" xr16:uid="{00000000-0015-0000-FFFF-FFFFC3020000}" name="接続10633" type="7" refreshedVersion="8"/>
  <connection id="709" xr16:uid="{00000000-0015-0000-FFFF-FFFFC4020000}" name="接続10634" type="7" refreshedVersion="8"/>
  <connection id="710" xr16:uid="{00000000-0015-0000-FFFF-FFFFC5020000}" name="接続10635" type="7" refreshedVersion="8"/>
  <connection id="711" xr16:uid="{00000000-0015-0000-FFFF-FFFFC6020000}" name="接続10636" type="7" refreshedVersion="8"/>
  <connection id="712" xr16:uid="{00000000-0015-0000-FFFF-FFFFC7020000}" name="接続10637" type="7" refreshedVersion="8"/>
  <connection id="713" xr16:uid="{00000000-0015-0000-FFFF-FFFFC8020000}" name="接続10638" type="7" refreshedVersion="8"/>
  <connection id="714" xr16:uid="{00000000-0015-0000-FFFF-FFFFC9020000}" name="接続10639" type="7" refreshedVersion="8"/>
  <connection id="715" xr16:uid="{00000000-0015-0000-FFFF-FFFFCA020000}" name="接続1064" type="7" refreshedVersion="4"/>
  <connection id="716" xr16:uid="{00000000-0015-0000-FFFF-FFFFCB020000}" name="接続10640" type="7" refreshedVersion="8"/>
  <connection id="717" xr16:uid="{00000000-0015-0000-FFFF-FFFFCC020000}" name="接続10641" type="7" refreshedVersion="8"/>
  <connection id="718" xr16:uid="{00000000-0015-0000-FFFF-FFFFCD020000}" name="接続10642" type="7" refreshedVersion="8"/>
  <connection id="719" xr16:uid="{00000000-0015-0000-FFFF-FFFFCE020000}" name="接続10643" type="7" refreshedVersion="8"/>
  <connection id="720" xr16:uid="{00000000-0015-0000-FFFF-FFFFCF020000}" name="接続10644" type="7" refreshedVersion="8"/>
  <connection id="721" xr16:uid="{00000000-0015-0000-FFFF-FFFFD0020000}" name="接続10645" type="7" refreshedVersion="8"/>
  <connection id="722" xr16:uid="{00000000-0015-0000-FFFF-FFFFD1020000}" name="接続10646" type="7" refreshedVersion="8"/>
  <connection id="723" xr16:uid="{00000000-0015-0000-FFFF-FFFFD2020000}" name="接続10647" type="7" refreshedVersion="8"/>
  <connection id="724" xr16:uid="{00000000-0015-0000-FFFF-FFFFD3020000}" name="接続10648" type="7" refreshedVersion="8"/>
  <connection id="725" xr16:uid="{00000000-0015-0000-FFFF-FFFFD4020000}" name="接続10649" type="7" refreshedVersion="8"/>
  <connection id="726" xr16:uid="{00000000-0015-0000-FFFF-FFFFD5020000}" name="接続1065" type="7" refreshedVersion="4"/>
  <connection id="727" xr16:uid="{00000000-0015-0000-FFFF-FFFFD6020000}" name="接続10650" type="7" refreshedVersion="8"/>
  <connection id="728" xr16:uid="{00000000-0015-0000-FFFF-FFFFD7020000}" name="接続10651" type="7" refreshedVersion="8"/>
  <connection id="729" xr16:uid="{00000000-0015-0000-FFFF-FFFFD8020000}" name="接続10652" type="7" refreshedVersion="8"/>
  <connection id="730" xr16:uid="{00000000-0015-0000-FFFF-FFFFD9020000}" name="接続10653" type="7" refreshedVersion="8"/>
  <connection id="731" xr16:uid="{00000000-0015-0000-FFFF-FFFFDA020000}" name="接続10654" type="7" refreshedVersion="8"/>
  <connection id="732" xr16:uid="{00000000-0015-0000-FFFF-FFFFDB020000}" name="接続10655" type="7" refreshedVersion="8"/>
  <connection id="733" xr16:uid="{00000000-0015-0000-FFFF-FFFFDC020000}" name="接続10656" type="7" refreshedVersion="8"/>
  <connection id="734" xr16:uid="{00000000-0015-0000-FFFF-FFFFDD020000}" name="接続10657" type="7" refreshedVersion="8"/>
  <connection id="735" xr16:uid="{00000000-0015-0000-FFFF-FFFFDE020000}" name="接続10658" type="7" refreshedVersion="8"/>
  <connection id="736" xr16:uid="{00000000-0015-0000-FFFF-FFFFDF020000}" name="接続10659" type="7" refreshedVersion="8"/>
  <connection id="737" xr16:uid="{00000000-0015-0000-FFFF-FFFFE0020000}" name="接続1066" type="7" refreshedVersion="4"/>
  <connection id="738" xr16:uid="{00000000-0015-0000-FFFF-FFFFE1020000}" name="接続10660" type="7" refreshedVersion="8"/>
  <connection id="739" xr16:uid="{00000000-0015-0000-FFFF-FFFFE2020000}" name="接続10661" type="7" refreshedVersion="8"/>
  <connection id="740" xr16:uid="{00000000-0015-0000-FFFF-FFFFE3020000}" name="接続10662" type="7" refreshedVersion="8"/>
  <connection id="741" xr16:uid="{00000000-0015-0000-FFFF-FFFFE4020000}" name="接続10663" type="7" refreshedVersion="8"/>
  <connection id="742" xr16:uid="{00000000-0015-0000-FFFF-FFFFE5020000}" name="接続10664" type="7" refreshedVersion="8"/>
  <connection id="743" xr16:uid="{00000000-0015-0000-FFFF-FFFFE6020000}" name="接続10665" type="7" refreshedVersion="8"/>
  <connection id="744" xr16:uid="{00000000-0015-0000-FFFF-FFFFE7020000}" name="接続10666" type="7" refreshedVersion="8"/>
  <connection id="745" xr16:uid="{00000000-0015-0000-FFFF-FFFFE8020000}" name="接続10667" type="7" refreshedVersion="8"/>
  <connection id="746" xr16:uid="{00000000-0015-0000-FFFF-FFFFE9020000}" name="接続10668" type="7" refreshedVersion="8"/>
  <connection id="747" xr16:uid="{00000000-0015-0000-FFFF-FFFFEA020000}" name="接続10669" type="7" refreshedVersion="8"/>
  <connection id="748" xr16:uid="{00000000-0015-0000-FFFF-FFFFEB020000}" name="接続1067" type="7" refreshedVersion="4"/>
  <connection id="749" xr16:uid="{00000000-0015-0000-FFFF-FFFFEC020000}" name="接続10670" type="7" refreshedVersion="8"/>
  <connection id="750" xr16:uid="{00000000-0015-0000-FFFF-FFFFED020000}" name="接続10671" type="7" refreshedVersion="8"/>
  <connection id="751" xr16:uid="{00000000-0015-0000-FFFF-FFFFEE020000}" name="接続10672" type="7" refreshedVersion="8"/>
  <connection id="752" xr16:uid="{00000000-0015-0000-FFFF-FFFFEF020000}" name="接続10673" type="7" refreshedVersion="8"/>
  <connection id="753" xr16:uid="{00000000-0015-0000-FFFF-FFFFF0020000}" name="接続10674" type="7" refreshedVersion="8"/>
  <connection id="754" xr16:uid="{00000000-0015-0000-FFFF-FFFFF1020000}" name="接続10675" type="7" refreshedVersion="8"/>
  <connection id="755" xr16:uid="{00000000-0015-0000-FFFF-FFFFF2020000}" name="接続10676" type="7" refreshedVersion="8"/>
  <connection id="756" xr16:uid="{00000000-0015-0000-FFFF-FFFFF3020000}" name="接続10677" type="7" refreshedVersion="8"/>
  <connection id="757" xr16:uid="{00000000-0015-0000-FFFF-FFFFF4020000}" name="接続10678" type="7" refreshedVersion="8"/>
  <connection id="758" xr16:uid="{00000000-0015-0000-FFFF-FFFFF5020000}" name="接続10679" type="7" refreshedVersion="8"/>
  <connection id="759" xr16:uid="{00000000-0015-0000-FFFF-FFFFF6020000}" name="接続1068" type="7" refreshedVersion="4"/>
  <connection id="760" xr16:uid="{00000000-0015-0000-FFFF-FFFFF7020000}" name="接続10680" type="7" refreshedVersion="8"/>
  <connection id="761" xr16:uid="{00000000-0015-0000-FFFF-FFFFF8020000}" name="接続10681" type="7" refreshedVersion="8"/>
  <connection id="762" xr16:uid="{00000000-0015-0000-FFFF-FFFFF9020000}" name="接続10682" type="7" refreshedVersion="8"/>
  <connection id="763" xr16:uid="{00000000-0015-0000-FFFF-FFFFFA020000}" name="接続10683" type="7" refreshedVersion="8"/>
  <connection id="764" xr16:uid="{00000000-0015-0000-FFFF-FFFFFB020000}" name="接続10684" type="7" refreshedVersion="8"/>
  <connection id="765" xr16:uid="{00000000-0015-0000-FFFF-FFFFFC020000}" name="接続10685" type="7" refreshedVersion="8"/>
  <connection id="766" xr16:uid="{00000000-0015-0000-FFFF-FFFFFD020000}" name="接続10686" type="7" refreshedVersion="8"/>
  <connection id="767" xr16:uid="{00000000-0015-0000-FFFF-FFFFFE020000}" name="接続10687" type="7" refreshedVersion="8"/>
  <connection id="768" xr16:uid="{00000000-0015-0000-FFFF-FFFFFF020000}" name="接続10688" type="7" refreshedVersion="8"/>
  <connection id="769" xr16:uid="{00000000-0015-0000-FFFF-FFFF00030000}" name="接続10689" type="7" refreshedVersion="8"/>
  <connection id="770" xr16:uid="{00000000-0015-0000-FFFF-FFFF01030000}" name="接続1069" type="7" refreshedVersion="4"/>
  <connection id="771" xr16:uid="{00000000-0015-0000-FFFF-FFFF02030000}" name="接続10690" type="7" refreshedVersion="8"/>
  <connection id="772" xr16:uid="{00000000-0015-0000-FFFF-FFFF03030000}" name="接続10691" type="7" refreshedVersion="8"/>
  <connection id="773" xr16:uid="{00000000-0015-0000-FFFF-FFFF04030000}" name="接続10692" type="7" refreshedVersion="8"/>
  <connection id="774" xr16:uid="{00000000-0015-0000-FFFF-FFFF05030000}" name="接続10693" type="7" refreshedVersion="8"/>
  <connection id="775" xr16:uid="{00000000-0015-0000-FFFF-FFFF06030000}" name="接続10694" type="7" refreshedVersion="8"/>
  <connection id="776" xr16:uid="{00000000-0015-0000-FFFF-FFFF07030000}" name="接続10695" type="7" refreshedVersion="8"/>
  <connection id="777" xr16:uid="{00000000-0015-0000-FFFF-FFFF08030000}" name="接続10696" type="7" refreshedVersion="8"/>
  <connection id="778" xr16:uid="{00000000-0015-0000-FFFF-FFFF09030000}" name="接続10697" type="7" refreshedVersion="8"/>
  <connection id="779" xr16:uid="{00000000-0015-0000-FFFF-FFFF0A030000}" name="接続10698" type="7" refreshedVersion="8"/>
  <connection id="780" xr16:uid="{00000000-0015-0000-FFFF-FFFF0B030000}" name="接続10699" type="7" refreshedVersion="8"/>
  <connection id="781" xr16:uid="{00000000-0015-0000-FFFF-FFFF0C030000}" name="接続107" type="7" refreshedVersion="4"/>
  <connection id="782" xr16:uid="{00000000-0015-0000-FFFF-FFFF0D030000}" name="接続1070" type="7" refreshedVersion="4"/>
  <connection id="783" xr16:uid="{00000000-0015-0000-FFFF-FFFF0E030000}" name="接続10700" type="7" refreshedVersion="8"/>
  <connection id="784" xr16:uid="{00000000-0015-0000-FFFF-FFFF0F030000}" name="接続10701" type="7" refreshedVersion="8"/>
  <connection id="785" xr16:uid="{00000000-0015-0000-FFFF-FFFF10030000}" name="接続10702" type="7" refreshedVersion="8"/>
  <connection id="786" xr16:uid="{00000000-0015-0000-FFFF-FFFF11030000}" name="接続10703" type="7" refreshedVersion="8"/>
  <connection id="787" xr16:uid="{00000000-0015-0000-FFFF-FFFF12030000}" name="接続10704" type="7" refreshedVersion="8"/>
  <connection id="788" xr16:uid="{00000000-0015-0000-FFFF-FFFF13030000}" name="接続10705" type="7" refreshedVersion="8"/>
  <connection id="789" xr16:uid="{00000000-0015-0000-FFFF-FFFF14030000}" name="接続10706" type="7" refreshedVersion="8"/>
  <connection id="790" xr16:uid="{00000000-0015-0000-FFFF-FFFF15030000}" name="接続10707" type="7" refreshedVersion="8"/>
  <connection id="791" xr16:uid="{00000000-0015-0000-FFFF-FFFF16030000}" name="接続10708" type="7" refreshedVersion="8"/>
  <connection id="792" xr16:uid="{00000000-0015-0000-FFFF-FFFF17030000}" name="接続10709" type="7" refreshedVersion="8"/>
  <connection id="793" xr16:uid="{00000000-0015-0000-FFFF-FFFF18030000}" name="接続1071" type="7" refreshedVersion="4"/>
  <connection id="794" xr16:uid="{00000000-0015-0000-FFFF-FFFF19030000}" name="接続10710" type="7" refreshedVersion="8"/>
  <connection id="795" xr16:uid="{00000000-0015-0000-FFFF-FFFF1A030000}" name="接続10711" type="7" refreshedVersion="8"/>
  <connection id="796" xr16:uid="{00000000-0015-0000-FFFF-FFFF1B030000}" name="接続10712" type="7" refreshedVersion="8"/>
  <connection id="797" xr16:uid="{00000000-0015-0000-FFFF-FFFF1C030000}" name="接続10713" type="7" refreshedVersion="8"/>
  <connection id="798" xr16:uid="{00000000-0015-0000-FFFF-FFFF1D030000}" name="接続10714" type="7" refreshedVersion="8"/>
  <connection id="799" xr16:uid="{00000000-0015-0000-FFFF-FFFF1E030000}" name="接続10715" type="7" refreshedVersion="8"/>
  <connection id="800" xr16:uid="{00000000-0015-0000-FFFF-FFFF1F030000}" name="接続10716" type="7" refreshedVersion="8"/>
  <connection id="801" xr16:uid="{00000000-0015-0000-FFFF-FFFF20030000}" name="接続10717" type="7" refreshedVersion="8"/>
  <connection id="802" xr16:uid="{00000000-0015-0000-FFFF-FFFF21030000}" name="接続10718" type="7" refreshedVersion="8"/>
  <connection id="803" xr16:uid="{00000000-0015-0000-FFFF-FFFF22030000}" name="接続10719" type="7" refreshedVersion="8"/>
  <connection id="804" xr16:uid="{00000000-0015-0000-FFFF-FFFF23030000}" name="接続1072" type="7" refreshedVersion="4"/>
  <connection id="805" xr16:uid="{00000000-0015-0000-FFFF-FFFF24030000}" name="接続10720" type="7" refreshedVersion="8"/>
  <connection id="806" xr16:uid="{00000000-0015-0000-FFFF-FFFF25030000}" name="接続10721" type="7" refreshedVersion="8"/>
  <connection id="807" xr16:uid="{00000000-0015-0000-FFFF-FFFF26030000}" name="接続10722" type="7" refreshedVersion="8"/>
  <connection id="808" xr16:uid="{00000000-0015-0000-FFFF-FFFF27030000}" name="接続10723" type="7" refreshedVersion="8"/>
  <connection id="809" xr16:uid="{00000000-0015-0000-FFFF-FFFF28030000}" name="接続10724" type="7" refreshedVersion="8"/>
  <connection id="810" xr16:uid="{00000000-0015-0000-FFFF-FFFF29030000}" name="接続10725" type="7" refreshedVersion="8"/>
  <connection id="811" xr16:uid="{00000000-0015-0000-FFFF-FFFF2A030000}" name="接続10726" type="7" refreshedVersion="8"/>
  <connection id="812" xr16:uid="{00000000-0015-0000-FFFF-FFFF2B030000}" name="接続10727" type="7" refreshedVersion="8"/>
  <connection id="813" xr16:uid="{00000000-0015-0000-FFFF-FFFF2C030000}" name="接続10728" type="7" refreshedVersion="8"/>
  <connection id="814" xr16:uid="{00000000-0015-0000-FFFF-FFFF2D030000}" name="接続10729" type="7" refreshedVersion="8"/>
  <connection id="815" xr16:uid="{00000000-0015-0000-FFFF-FFFF2E030000}" name="接続1073" type="7" refreshedVersion="4"/>
  <connection id="816" xr16:uid="{00000000-0015-0000-FFFF-FFFF2F030000}" name="接続10730" type="7" refreshedVersion="8"/>
  <connection id="817" xr16:uid="{00000000-0015-0000-FFFF-FFFF30030000}" name="接続10731" type="7" refreshedVersion="8"/>
  <connection id="818" xr16:uid="{00000000-0015-0000-FFFF-FFFF31030000}" name="接続10732" type="7" refreshedVersion="8"/>
  <connection id="819" xr16:uid="{00000000-0015-0000-FFFF-FFFF32030000}" name="接続10733" type="7" refreshedVersion="8"/>
  <connection id="820" xr16:uid="{00000000-0015-0000-FFFF-FFFF33030000}" name="接続10734" type="7" refreshedVersion="8"/>
  <connection id="821" xr16:uid="{00000000-0015-0000-FFFF-FFFF34030000}" name="接続10735" type="7" refreshedVersion="8"/>
  <connection id="822" xr16:uid="{00000000-0015-0000-FFFF-FFFF35030000}" name="接続10736" type="7" refreshedVersion="8"/>
  <connection id="823" xr16:uid="{00000000-0015-0000-FFFF-FFFF36030000}" name="接続10737" type="7" refreshedVersion="8"/>
  <connection id="824" xr16:uid="{00000000-0015-0000-FFFF-FFFF37030000}" name="接続10738" type="7" refreshedVersion="8"/>
  <connection id="825" xr16:uid="{00000000-0015-0000-FFFF-FFFF38030000}" name="接続10739" type="7" refreshedVersion="8"/>
  <connection id="826" xr16:uid="{00000000-0015-0000-FFFF-FFFF39030000}" name="接続1074" type="7" refreshedVersion="4"/>
  <connection id="827" xr16:uid="{00000000-0015-0000-FFFF-FFFF3A030000}" name="接続10740" type="7" refreshedVersion="8"/>
  <connection id="828" xr16:uid="{00000000-0015-0000-FFFF-FFFF3B030000}" name="接続10741" type="7" refreshedVersion="8"/>
  <connection id="829" xr16:uid="{00000000-0015-0000-FFFF-FFFF3C030000}" name="接続10742" type="7" refreshedVersion="8"/>
  <connection id="830" xr16:uid="{00000000-0015-0000-FFFF-FFFF3D030000}" name="接続10743" type="7" refreshedVersion="8"/>
  <connection id="831" xr16:uid="{00000000-0015-0000-FFFF-FFFF3E030000}" name="接続10744" type="7" refreshedVersion="8"/>
  <connection id="832" xr16:uid="{00000000-0015-0000-FFFF-FFFF3F030000}" name="接続10745" type="7" refreshedVersion="8"/>
  <connection id="833" xr16:uid="{00000000-0015-0000-FFFF-FFFF40030000}" name="接続10746" type="7" refreshedVersion="8"/>
  <connection id="834" xr16:uid="{00000000-0015-0000-FFFF-FFFF41030000}" name="接続10747" type="7" refreshedVersion="8"/>
  <connection id="835" xr16:uid="{00000000-0015-0000-FFFF-FFFF42030000}" name="接続10748" type="7" refreshedVersion="8"/>
  <connection id="836" xr16:uid="{00000000-0015-0000-FFFF-FFFF43030000}" name="接続10749" type="7" refreshedVersion="8"/>
  <connection id="837" xr16:uid="{00000000-0015-0000-FFFF-FFFF44030000}" name="接続1075" type="7" refreshedVersion="4"/>
  <connection id="838" xr16:uid="{00000000-0015-0000-FFFF-FFFF45030000}" name="接続10750" type="7" refreshedVersion="8"/>
  <connection id="839" xr16:uid="{00000000-0015-0000-FFFF-FFFF46030000}" name="接続10751" type="7" refreshedVersion="8"/>
  <connection id="840" xr16:uid="{00000000-0015-0000-FFFF-FFFF47030000}" name="接続10752" type="7" refreshedVersion="8"/>
  <connection id="841" xr16:uid="{00000000-0015-0000-FFFF-FFFF48030000}" name="接続10753" type="7" refreshedVersion="8"/>
  <connection id="842" xr16:uid="{00000000-0015-0000-FFFF-FFFF49030000}" name="接続10754" type="7" refreshedVersion="8"/>
  <connection id="843" xr16:uid="{00000000-0015-0000-FFFF-FFFF4A030000}" name="接続10755" type="7" refreshedVersion="8"/>
  <connection id="844" xr16:uid="{00000000-0015-0000-FFFF-FFFF4B030000}" name="接続10756" type="7" refreshedVersion="8"/>
  <connection id="845" xr16:uid="{00000000-0015-0000-FFFF-FFFF4C030000}" name="接続10757" type="7" refreshedVersion="8"/>
  <connection id="846" xr16:uid="{00000000-0015-0000-FFFF-FFFF4D030000}" name="接続10758" type="7" refreshedVersion="8"/>
  <connection id="847" xr16:uid="{00000000-0015-0000-FFFF-FFFF4E030000}" name="接続10759" type="7" refreshedVersion="8"/>
  <connection id="848" xr16:uid="{00000000-0015-0000-FFFF-FFFF4F030000}" name="接続1076" type="7" refreshedVersion="4"/>
  <connection id="849" xr16:uid="{00000000-0015-0000-FFFF-FFFF50030000}" name="接続10760" type="7" refreshedVersion="8"/>
  <connection id="850" xr16:uid="{00000000-0015-0000-FFFF-FFFF51030000}" name="接続10761" type="7" refreshedVersion="8"/>
  <connection id="851" xr16:uid="{00000000-0015-0000-FFFF-FFFF52030000}" name="接続10762" type="7" refreshedVersion="8"/>
  <connection id="852" xr16:uid="{00000000-0015-0000-FFFF-FFFF53030000}" name="接続10763" type="7" refreshedVersion="8"/>
  <connection id="853" xr16:uid="{00000000-0015-0000-FFFF-FFFF54030000}" name="接続10764" type="7" refreshedVersion="8"/>
  <connection id="854" xr16:uid="{00000000-0015-0000-FFFF-FFFF55030000}" name="接続10765" type="7" refreshedVersion="8"/>
  <connection id="855" xr16:uid="{00000000-0015-0000-FFFF-FFFF56030000}" name="接続10766" type="7" refreshedVersion="8"/>
  <connection id="856" xr16:uid="{00000000-0015-0000-FFFF-FFFF57030000}" name="接続10767" type="7" refreshedVersion="8"/>
  <connection id="857" xr16:uid="{00000000-0015-0000-FFFF-FFFF58030000}" name="接続10768" type="7" refreshedVersion="8"/>
  <connection id="858" xr16:uid="{00000000-0015-0000-FFFF-FFFF59030000}" name="接続10769" type="7" refreshedVersion="8"/>
  <connection id="859" xr16:uid="{00000000-0015-0000-FFFF-FFFF5A030000}" name="接続1077" type="7" refreshedVersion="4"/>
  <connection id="860" xr16:uid="{00000000-0015-0000-FFFF-FFFF5B030000}" name="接続10770" type="7" refreshedVersion="8"/>
  <connection id="861" xr16:uid="{00000000-0015-0000-FFFF-FFFF5C030000}" name="接続10771" type="7" refreshedVersion="8"/>
  <connection id="862" xr16:uid="{00000000-0015-0000-FFFF-FFFF5D030000}" name="接続10772" type="7" refreshedVersion="8"/>
  <connection id="863" xr16:uid="{00000000-0015-0000-FFFF-FFFF5E030000}" name="接続10773" type="7" refreshedVersion="8"/>
  <connection id="864" xr16:uid="{00000000-0015-0000-FFFF-FFFF5F030000}" name="接続10774" type="7" refreshedVersion="8"/>
  <connection id="865" xr16:uid="{00000000-0015-0000-FFFF-FFFF60030000}" name="接続10775" type="7" refreshedVersion="8"/>
  <connection id="866" xr16:uid="{00000000-0015-0000-FFFF-FFFF61030000}" name="接続10776" type="7" refreshedVersion="8"/>
  <connection id="867" xr16:uid="{00000000-0015-0000-FFFF-FFFF62030000}" name="接続10777" type="7" refreshedVersion="8"/>
  <connection id="868" xr16:uid="{00000000-0015-0000-FFFF-FFFF63030000}" name="接続10778" type="7" refreshedVersion="8"/>
  <connection id="869" xr16:uid="{00000000-0015-0000-FFFF-FFFF64030000}" name="接続10779" type="7" refreshedVersion="8"/>
  <connection id="870" xr16:uid="{00000000-0015-0000-FFFF-FFFF65030000}" name="接続1078" type="7" refreshedVersion="4"/>
  <connection id="871" xr16:uid="{00000000-0015-0000-FFFF-FFFF66030000}" name="接続10780" type="7" refreshedVersion="8"/>
  <connection id="872" xr16:uid="{00000000-0015-0000-FFFF-FFFF67030000}" name="接続10781" type="7" refreshedVersion="8"/>
  <connection id="873" xr16:uid="{00000000-0015-0000-FFFF-FFFF68030000}" name="接続10782" type="7" refreshedVersion="8"/>
  <connection id="874" xr16:uid="{00000000-0015-0000-FFFF-FFFF69030000}" name="接続10783" type="7" refreshedVersion="8"/>
  <connection id="875" xr16:uid="{00000000-0015-0000-FFFF-FFFF6A030000}" name="接続10784" type="7" refreshedVersion="8"/>
  <connection id="876" xr16:uid="{00000000-0015-0000-FFFF-FFFF6B030000}" name="接続10785" type="7" refreshedVersion="8"/>
  <connection id="877" xr16:uid="{00000000-0015-0000-FFFF-FFFF6C030000}" name="接続10786" type="7" refreshedVersion="8"/>
  <connection id="878" xr16:uid="{00000000-0015-0000-FFFF-FFFF6D030000}" name="接続10787" type="7" refreshedVersion="8"/>
  <connection id="879" xr16:uid="{00000000-0015-0000-FFFF-FFFF6E030000}" name="接続10788" type="7" refreshedVersion="8"/>
  <connection id="880" xr16:uid="{00000000-0015-0000-FFFF-FFFF6F030000}" name="接続10789" type="7" refreshedVersion="8"/>
  <connection id="881" xr16:uid="{00000000-0015-0000-FFFF-FFFF70030000}" name="接続1079" type="7" refreshedVersion="4"/>
  <connection id="882" xr16:uid="{00000000-0015-0000-FFFF-FFFF71030000}" name="接続10790" type="7" refreshedVersion="8"/>
  <connection id="883" xr16:uid="{00000000-0015-0000-FFFF-FFFF72030000}" name="接続10791" type="7" refreshedVersion="8"/>
  <connection id="884" xr16:uid="{00000000-0015-0000-FFFF-FFFF73030000}" name="接続10792" type="7" refreshedVersion="8"/>
  <connection id="885" xr16:uid="{00000000-0015-0000-FFFF-FFFF74030000}" name="接続10793" type="7" refreshedVersion="8"/>
  <connection id="886" xr16:uid="{00000000-0015-0000-FFFF-FFFF75030000}" name="接続10794" type="7" refreshedVersion="8"/>
  <connection id="887" xr16:uid="{00000000-0015-0000-FFFF-FFFF76030000}" name="接続10795" type="7" refreshedVersion="8"/>
  <connection id="888" xr16:uid="{00000000-0015-0000-FFFF-FFFF77030000}" name="接続10796" type="7" refreshedVersion="8"/>
  <connection id="889" xr16:uid="{00000000-0015-0000-FFFF-FFFF78030000}" name="接続10797" type="7" refreshedVersion="8"/>
  <connection id="890" xr16:uid="{00000000-0015-0000-FFFF-FFFF79030000}" name="接続10798" type="7" refreshedVersion="8"/>
  <connection id="891" xr16:uid="{00000000-0015-0000-FFFF-FFFF7A030000}" name="接続10799" type="7" refreshedVersion="8"/>
  <connection id="892" xr16:uid="{00000000-0015-0000-FFFF-FFFF7B030000}" name="接続108" type="7" refreshedVersion="4"/>
  <connection id="893" xr16:uid="{00000000-0015-0000-FFFF-FFFF7C030000}" name="接続1080" type="7" refreshedVersion="4"/>
  <connection id="894" xr16:uid="{00000000-0015-0000-FFFF-FFFF7D030000}" name="接続10800" type="7" refreshedVersion="8"/>
  <connection id="895" xr16:uid="{00000000-0015-0000-FFFF-FFFF7E030000}" name="接続10801" type="7" refreshedVersion="8"/>
  <connection id="896" xr16:uid="{00000000-0015-0000-FFFF-FFFF7F030000}" name="接続10802" type="7" refreshedVersion="8"/>
  <connection id="897" xr16:uid="{00000000-0015-0000-FFFF-FFFF80030000}" name="接続10803" type="7" refreshedVersion="8"/>
  <connection id="898" xr16:uid="{00000000-0015-0000-FFFF-FFFF81030000}" name="接続10804" type="7" refreshedVersion="8"/>
  <connection id="899" xr16:uid="{00000000-0015-0000-FFFF-FFFF82030000}" name="接続10805" type="7" refreshedVersion="8"/>
  <connection id="900" xr16:uid="{00000000-0015-0000-FFFF-FFFF83030000}" name="接続10806" type="7" refreshedVersion="8"/>
  <connection id="901" xr16:uid="{00000000-0015-0000-FFFF-FFFF84030000}" name="接続10807" type="7" refreshedVersion="8"/>
  <connection id="902" xr16:uid="{00000000-0015-0000-FFFF-FFFF85030000}" name="接続10808" type="7" refreshedVersion="8"/>
  <connection id="903" xr16:uid="{00000000-0015-0000-FFFF-FFFF86030000}" name="接続10809" type="7" refreshedVersion="8"/>
  <connection id="904" xr16:uid="{00000000-0015-0000-FFFF-FFFF87030000}" name="接続1081" type="7" refreshedVersion="4"/>
  <connection id="905" xr16:uid="{00000000-0015-0000-FFFF-FFFF88030000}" name="接続10810" type="7" refreshedVersion="8"/>
  <connection id="906" xr16:uid="{00000000-0015-0000-FFFF-FFFF89030000}" name="接続10811" type="7" refreshedVersion="8"/>
  <connection id="907" xr16:uid="{00000000-0015-0000-FFFF-FFFF8A030000}" name="接続10812" type="7" refreshedVersion="8"/>
  <connection id="908" xr16:uid="{00000000-0015-0000-FFFF-FFFF8B030000}" name="接続10813" type="7" refreshedVersion="8"/>
  <connection id="909" xr16:uid="{00000000-0015-0000-FFFF-FFFF8C030000}" name="接続10814" type="7" refreshedVersion="8"/>
  <connection id="910" xr16:uid="{00000000-0015-0000-FFFF-FFFF8D030000}" name="接続10815" type="7" refreshedVersion="8"/>
  <connection id="911" xr16:uid="{00000000-0015-0000-FFFF-FFFF8E030000}" name="接続10816" type="7" refreshedVersion="8"/>
  <connection id="912" xr16:uid="{00000000-0015-0000-FFFF-FFFF8F030000}" name="接続10817" type="7" refreshedVersion="8"/>
  <connection id="913" xr16:uid="{00000000-0015-0000-FFFF-FFFF90030000}" name="接続10818" type="7" refreshedVersion="8"/>
  <connection id="914" xr16:uid="{00000000-0015-0000-FFFF-FFFF91030000}" name="接続10819" type="7" refreshedVersion="8"/>
  <connection id="915" xr16:uid="{00000000-0015-0000-FFFF-FFFF92030000}" name="接続1082" type="7" refreshedVersion="4"/>
  <connection id="916" xr16:uid="{00000000-0015-0000-FFFF-FFFF93030000}" name="接続10820" type="7" refreshedVersion="8"/>
  <connection id="917" xr16:uid="{00000000-0015-0000-FFFF-FFFF94030000}" name="接続10821" type="7" refreshedVersion="8"/>
  <connection id="918" xr16:uid="{00000000-0015-0000-FFFF-FFFF95030000}" name="接続10822" type="7" refreshedVersion="8"/>
  <connection id="919" xr16:uid="{00000000-0015-0000-FFFF-FFFF96030000}" name="接続10823" type="7" refreshedVersion="8"/>
  <connection id="920" xr16:uid="{00000000-0015-0000-FFFF-FFFF97030000}" name="接続10824" type="7" refreshedVersion="8"/>
  <connection id="921" xr16:uid="{00000000-0015-0000-FFFF-FFFF98030000}" name="接続10825" type="7" refreshedVersion="8"/>
  <connection id="922" xr16:uid="{00000000-0015-0000-FFFF-FFFF99030000}" name="接続10826" type="7" refreshedVersion="8"/>
  <connection id="923" xr16:uid="{00000000-0015-0000-FFFF-FFFF9A030000}" name="接続10827" type="7" refreshedVersion="8"/>
  <connection id="924" xr16:uid="{00000000-0015-0000-FFFF-FFFF9B030000}" name="接続10828" type="7" refreshedVersion="8"/>
  <connection id="925" xr16:uid="{00000000-0015-0000-FFFF-FFFF9C030000}" name="接続10829" type="7" refreshedVersion="8"/>
  <connection id="926" xr16:uid="{00000000-0015-0000-FFFF-FFFF9D030000}" name="接続1083" type="7" refreshedVersion="4"/>
  <connection id="927" xr16:uid="{00000000-0015-0000-FFFF-FFFF9E030000}" name="接続10830" type="7" refreshedVersion="8"/>
  <connection id="928" xr16:uid="{00000000-0015-0000-FFFF-FFFF9F030000}" name="接続10831" type="7" refreshedVersion="8"/>
  <connection id="929" xr16:uid="{00000000-0015-0000-FFFF-FFFFA0030000}" name="接続10832" type="7" refreshedVersion="8"/>
  <connection id="930" xr16:uid="{00000000-0015-0000-FFFF-FFFFA1030000}" name="接続10833" type="7" refreshedVersion="8"/>
  <connection id="931" xr16:uid="{00000000-0015-0000-FFFF-FFFFA2030000}" name="接続10834" type="7" refreshedVersion="8"/>
  <connection id="932" xr16:uid="{00000000-0015-0000-FFFF-FFFFA3030000}" name="接続10835" type="7" refreshedVersion="4"/>
  <connection id="933" xr16:uid="{00000000-0015-0000-FFFF-FFFFA4030000}" name="接続10836" type="7" refreshedVersion="4"/>
  <connection id="934" xr16:uid="{00000000-0015-0000-FFFF-FFFFA5030000}" name="接続10837" type="7" refreshedVersion="4"/>
  <connection id="935" xr16:uid="{00000000-0015-0000-FFFF-FFFFA6030000}" name="接続10838" type="7" refreshedVersion="4"/>
  <connection id="936" xr16:uid="{00000000-0015-0000-FFFF-FFFFA7030000}" name="接続10839" type="7" refreshedVersion="4"/>
  <connection id="937" xr16:uid="{00000000-0015-0000-FFFF-FFFFA8030000}" name="接続1084" type="7" refreshedVersion="4"/>
  <connection id="938" xr16:uid="{00000000-0015-0000-FFFF-FFFFA9030000}" name="接続10840" type="7" refreshedVersion="4"/>
  <connection id="939" xr16:uid="{00000000-0015-0000-FFFF-FFFFAA030000}" name="接続10841" type="7" refreshedVersion="4"/>
  <connection id="940" xr16:uid="{00000000-0015-0000-FFFF-FFFFAB030000}" name="接続10842" type="7" refreshedVersion="4"/>
  <connection id="941" xr16:uid="{00000000-0015-0000-FFFF-FFFFAC030000}" name="接続10843" type="7" refreshedVersion="4"/>
  <connection id="942" xr16:uid="{00000000-0015-0000-FFFF-FFFFAD030000}" name="接続10844" type="7" refreshedVersion="4"/>
  <connection id="943" xr16:uid="{00000000-0015-0000-FFFF-FFFFAE030000}" name="接続10845" type="7" refreshedVersion="4"/>
  <connection id="944" xr16:uid="{00000000-0015-0000-FFFF-FFFFAF030000}" name="接続10846" type="7" refreshedVersion="4"/>
  <connection id="945" xr16:uid="{00000000-0015-0000-FFFF-FFFFB0030000}" name="接続10847" type="7" refreshedVersion="4"/>
  <connection id="946" xr16:uid="{00000000-0015-0000-FFFF-FFFFB1030000}" name="接続10848" type="7" refreshedVersion="4"/>
  <connection id="947" xr16:uid="{00000000-0015-0000-FFFF-FFFFB2030000}" name="接続10849" type="7" refreshedVersion="4"/>
  <connection id="948" xr16:uid="{00000000-0015-0000-FFFF-FFFFB3030000}" name="接続1085" type="7" refreshedVersion="4"/>
  <connection id="949" xr16:uid="{00000000-0015-0000-FFFF-FFFFB4030000}" name="接続10850" type="7" refreshedVersion="4"/>
  <connection id="950" xr16:uid="{00000000-0015-0000-FFFF-FFFFB5030000}" name="接続10851" type="7" refreshedVersion="4"/>
  <connection id="951" xr16:uid="{00000000-0015-0000-FFFF-FFFFB6030000}" name="接続10852" type="7" refreshedVersion="4"/>
  <connection id="952" xr16:uid="{00000000-0015-0000-FFFF-FFFFB7030000}" name="接続10853" type="7" refreshedVersion="4"/>
  <connection id="953" xr16:uid="{00000000-0015-0000-FFFF-FFFFB8030000}" name="接続10854" type="7" refreshedVersion="4"/>
  <connection id="954" xr16:uid="{00000000-0015-0000-FFFF-FFFFB9030000}" name="接続10855" type="7" refreshedVersion="8"/>
  <connection id="955" xr16:uid="{00000000-0015-0000-FFFF-FFFFBA030000}" name="接続10856" type="7" refreshedVersion="8"/>
  <connection id="956" xr16:uid="{00000000-0015-0000-FFFF-FFFFBB030000}" name="接続10857" type="7" refreshedVersion="8"/>
  <connection id="957" xr16:uid="{00000000-0015-0000-FFFF-FFFFBC030000}" name="接続10858" type="7" refreshedVersion="8"/>
  <connection id="958" xr16:uid="{00000000-0015-0000-FFFF-FFFFBD030000}" name="接続10859" type="7" refreshedVersion="8"/>
  <connection id="959" xr16:uid="{00000000-0015-0000-FFFF-FFFFBE030000}" name="接続1086" type="7" refreshedVersion="4"/>
  <connection id="960" xr16:uid="{00000000-0015-0000-FFFF-FFFFBF030000}" name="接続10860" type="7" refreshedVersion="8"/>
  <connection id="961" xr16:uid="{00000000-0015-0000-FFFF-FFFFC0030000}" name="接続10861" type="7" refreshedVersion="8"/>
  <connection id="962" xr16:uid="{00000000-0015-0000-FFFF-FFFFC1030000}" name="接続10862" type="7" refreshedVersion="8"/>
  <connection id="963" xr16:uid="{00000000-0015-0000-FFFF-FFFFC2030000}" name="接続10863" type="7" refreshedVersion="8"/>
  <connection id="964" xr16:uid="{00000000-0015-0000-FFFF-FFFFC3030000}" name="接続10864" type="7" refreshedVersion="8"/>
  <connection id="965" xr16:uid="{00000000-0015-0000-FFFF-FFFFC4030000}" name="接続10865" type="7" refreshedVersion="8"/>
  <connection id="966" xr16:uid="{00000000-0015-0000-FFFF-FFFFC5030000}" name="接続10866" type="7" refreshedVersion="8"/>
  <connection id="967" xr16:uid="{00000000-0015-0000-FFFF-FFFFC6030000}" name="接続10867" type="7" refreshedVersion="8"/>
  <connection id="968" xr16:uid="{00000000-0015-0000-FFFF-FFFFC7030000}" name="接続10868" type="7" refreshedVersion="8"/>
  <connection id="969" xr16:uid="{00000000-0015-0000-FFFF-FFFFC8030000}" name="接続10869" type="7" refreshedVersion="8"/>
  <connection id="970" xr16:uid="{00000000-0015-0000-FFFF-FFFFC9030000}" name="接続1087" type="7" refreshedVersion="4"/>
  <connection id="971" xr16:uid="{00000000-0015-0000-FFFF-FFFFCA030000}" name="接続10870" type="7" refreshedVersion="8"/>
  <connection id="972" xr16:uid="{00000000-0015-0000-FFFF-FFFFCB030000}" name="接続10871" type="7" refreshedVersion="8"/>
  <connection id="973" xr16:uid="{00000000-0015-0000-FFFF-FFFFCC030000}" name="接続10872" type="7" refreshedVersion="8"/>
  <connection id="974" xr16:uid="{00000000-0015-0000-FFFF-FFFFCD030000}" name="接続10873" type="7" refreshedVersion="8"/>
  <connection id="975" xr16:uid="{00000000-0015-0000-FFFF-FFFFCE030000}" name="接続10874" type="7" refreshedVersion="8"/>
  <connection id="976" xr16:uid="{00000000-0015-0000-FFFF-FFFFCF030000}" name="接続10875" type="7" refreshedVersion="8"/>
  <connection id="977" xr16:uid="{00000000-0015-0000-FFFF-FFFFD0030000}" name="接続10876" type="7" refreshedVersion="8"/>
  <connection id="978" xr16:uid="{00000000-0015-0000-FFFF-FFFFD1030000}" name="接続10877" type="7" refreshedVersion="8"/>
  <connection id="979" xr16:uid="{00000000-0015-0000-FFFF-FFFFD2030000}" name="接続10878" type="7" refreshedVersion="8"/>
  <connection id="980" xr16:uid="{00000000-0015-0000-FFFF-FFFFD3030000}" name="接続10879" type="7" refreshedVersion="8"/>
  <connection id="981" xr16:uid="{00000000-0015-0000-FFFF-FFFFD4030000}" name="接続1088" type="7" refreshedVersion="4"/>
  <connection id="982" xr16:uid="{00000000-0015-0000-FFFF-FFFFD5030000}" name="接続10880" type="7" refreshedVersion="8"/>
  <connection id="983" xr16:uid="{00000000-0015-0000-FFFF-FFFFD6030000}" name="接続10881" type="7" refreshedVersion="8"/>
  <connection id="984" xr16:uid="{00000000-0015-0000-FFFF-FFFFD7030000}" name="接続10882" type="7" refreshedVersion="8"/>
  <connection id="985" xr16:uid="{00000000-0015-0000-FFFF-FFFFD8030000}" name="接続10883" type="7" refreshedVersion="8"/>
  <connection id="986" xr16:uid="{00000000-0015-0000-FFFF-FFFFD9030000}" name="接続10884" type="7" refreshedVersion="4"/>
  <connection id="987" xr16:uid="{00000000-0015-0000-FFFF-FFFFDA030000}" name="接続10885" type="7" refreshedVersion="8"/>
  <connection id="988" xr16:uid="{00000000-0015-0000-FFFF-FFFFDB030000}" name="接続10886" type="7" refreshedVersion="8"/>
  <connection id="989" xr16:uid="{00000000-0015-0000-FFFF-FFFFDC030000}" name="接続10887" type="7" refreshedVersion="8"/>
  <connection id="990" xr16:uid="{00000000-0015-0000-FFFF-FFFFDD030000}" name="接続10888" type="7" refreshedVersion="8"/>
  <connection id="991" xr16:uid="{00000000-0015-0000-FFFF-FFFFDE030000}" name="接続10889" type="7" refreshedVersion="8"/>
  <connection id="992" xr16:uid="{00000000-0015-0000-FFFF-FFFFDF030000}" name="接続1089" type="7" refreshedVersion="4"/>
  <connection id="993" xr16:uid="{00000000-0015-0000-FFFF-FFFFE0030000}" name="接続10890" type="7" refreshedVersion="8"/>
  <connection id="994" xr16:uid="{00000000-0015-0000-FFFF-FFFFE1030000}" name="接続10891" type="7" refreshedVersion="8"/>
  <connection id="995" xr16:uid="{00000000-0015-0000-FFFF-FFFFE2030000}" name="接続10892" type="7" refreshedVersion="8"/>
  <connection id="996" xr16:uid="{00000000-0015-0000-FFFF-FFFFE3030000}" name="接続10893" type="7" refreshedVersion="8"/>
  <connection id="997" xr16:uid="{00000000-0015-0000-FFFF-FFFFE4030000}" name="接続10894" type="7" refreshedVersion="8"/>
  <connection id="998" xr16:uid="{00000000-0015-0000-FFFF-FFFFE5030000}" name="接続10895" type="7" refreshedVersion="8"/>
  <connection id="999" xr16:uid="{00000000-0015-0000-FFFF-FFFFE6030000}" name="接続10896" type="7" refreshedVersion="8"/>
  <connection id="1000" xr16:uid="{00000000-0015-0000-FFFF-FFFFE7030000}" name="接続10897" type="7" refreshedVersion="8"/>
  <connection id="1001" xr16:uid="{00000000-0015-0000-FFFF-FFFFE8030000}" name="接続10898" type="7" refreshedVersion="8"/>
  <connection id="1002" xr16:uid="{00000000-0015-0000-FFFF-FFFFE9030000}" name="接続10899" type="7" refreshedVersion="8"/>
  <connection id="1003" xr16:uid="{00000000-0015-0000-FFFF-FFFFEA030000}" name="接続109" type="7" refreshedVersion="4"/>
  <connection id="1004" xr16:uid="{00000000-0015-0000-FFFF-FFFFEB030000}" name="接続1090" type="7" refreshedVersion="4"/>
  <connection id="1005" xr16:uid="{00000000-0015-0000-FFFF-FFFFEC030000}" name="接続10900" type="7" refreshedVersion="8"/>
  <connection id="1006" xr16:uid="{00000000-0015-0000-FFFF-FFFFED030000}" name="接続10901" type="7" refreshedVersion="8"/>
  <connection id="1007" xr16:uid="{00000000-0015-0000-FFFF-FFFFEE030000}" name="接続10902" type="7" refreshedVersion="8"/>
  <connection id="1008" xr16:uid="{00000000-0015-0000-FFFF-FFFFEF030000}" name="接続10903" type="7" refreshedVersion="8"/>
  <connection id="1009" xr16:uid="{00000000-0015-0000-FFFF-FFFFF0030000}" name="接続10904" type="7" refreshedVersion="8"/>
  <connection id="1010" xr16:uid="{00000000-0015-0000-FFFF-FFFFF1030000}" name="接続10905" type="7" refreshedVersion="8"/>
  <connection id="1011" xr16:uid="{00000000-0015-0000-FFFF-FFFFF2030000}" name="接続10906" type="7" refreshedVersion="8"/>
  <connection id="1012" xr16:uid="{00000000-0015-0000-FFFF-FFFFF3030000}" name="接続10907" type="7" refreshedVersion="8"/>
  <connection id="1013" xr16:uid="{00000000-0015-0000-FFFF-FFFFF4030000}" name="接続10908" type="7" refreshedVersion="8"/>
  <connection id="1014" xr16:uid="{00000000-0015-0000-FFFF-FFFFF5030000}" name="接続10909" type="7" refreshedVersion="8"/>
  <connection id="1015" xr16:uid="{00000000-0015-0000-FFFF-FFFFF6030000}" name="接続1091" type="7" refreshedVersion="4"/>
  <connection id="1016" xr16:uid="{00000000-0015-0000-FFFF-FFFFF7030000}" name="接続10910" type="7" refreshedVersion="8"/>
  <connection id="1017" xr16:uid="{00000000-0015-0000-FFFF-FFFFF8030000}" name="接続10911" type="7" refreshedVersion="8"/>
  <connection id="1018" xr16:uid="{00000000-0015-0000-FFFF-FFFFF9030000}" name="接続10912" type="7" refreshedVersion="8"/>
  <connection id="1019" xr16:uid="{00000000-0015-0000-FFFF-FFFFFA030000}" name="接続10913" type="7" refreshedVersion="8"/>
  <connection id="1020" xr16:uid="{00000000-0015-0000-FFFF-FFFFFB030000}" name="接続10914" type="7" refreshedVersion="8"/>
  <connection id="1021" xr16:uid="{00000000-0015-0000-FFFF-FFFFFC030000}" name="接続10915" type="7" refreshedVersion="8"/>
  <connection id="1022" xr16:uid="{00000000-0015-0000-FFFF-FFFFFD030000}" name="接続10916" type="7" refreshedVersion="8"/>
  <connection id="1023" xr16:uid="{00000000-0015-0000-FFFF-FFFFFE030000}" name="接続10917" type="7" refreshedVersion="8"/>
  <connection id="1024" xr16:uid="{00000000-0015-0000-FFFF-FFFFFF030000}" name="接続10918" type="7" refreshedVersion="8"/>
  <connection id="1025" xr16:uid="{00000000-0015-0000-FFFF-FFFF00040000}" name="接続10919" type="7" refreshedVersion="8"/>
  <connection id="1026" xr16:uid="{00000000-0015-0000-FFFF-FFFF01040000}" name="接続1092" type="7" refreshedVersion="4"/>
  <connection id="1027" xr16:uid="{00000000-0015-0000-FFFF-FFFF02040000}" name="接続10920" type="7" refreshedVersion="8"/>
  <connection id="1028" xr16:uid="{00000000-0015-0000-FFFF-FFFF03040000}" name="接続10921" type="7" refreshedVersion="8"/>
  <connection id="1029" xr16:uid="{00000000-0015-0000-FFFF-FFFF04040000}" name="接続10922" type="7" refreshedVersion="8"/>
  <connection id="1030" xr16:uid="{00000000-0015-0000-FFFF-FFFF05040000}" name="接続10923" type="7" refreshedVersion="8"/>
  <connection id="1031" xr16:uid="{00000000-0015-0000-FFFF-FFFF06040000}" name="接続10924" type="7" refreshedVersion="8"/>
  <connection id="1032" xr16:uid="{00000000-0015-0000-FFFF-FFFF07040000}" name="接続10925" type="7" refreshedVersion="8"/>
  <connection id="1033" xr16:uid="{00000000-0015-0000-FFFF-FFFF08040000}" name="接続10926" type="7" refreshedVersion="8"/>
  <connection id="1034" xr16:uid="{00000000-0015-0000-FFFF-FFFF09040000}" name="接続10927" type="7" refreshedVersion="8"/>
  <connection id="1035" xr16:uid="{00000000-0015-0000-FFFF-FFFF0A040000}" name="接続10928" type="7" refreshedVersion="8"/>
  <connection id="1036" xr16:uid="{00000000-0015-0000-FFFF-FFFF0B040000}" name="接続10929" type="7" refreshedVersion="8"/>
  <connection id="1037" xr16:uid="{00000000-0015-0000-FFFF-FFFF0C040000}" name="接続1093" type="7" refreshedVersion="4"/>
  <connection id="1038" xr16:uid="{00000000-0015-0000-FFFF-FFFF0D040000}" name="接続10930" type="7" refreshedVersion="8"/>
  <connection id="1039" xr16:uid="{00000000-0015-0000-FFFF-FFFF0E040000}" name="接続10931" type="7" refreshedVersion="8"/>
  <connection id="1040" xr16:uid="{00000000-0015-0000-FFFF-FFFF0F040000}" name="接続10932" type="7" refreshedVersion="8"/>
  <connection id="1041" xr16:uid="{00000000-0015-0000-FFFF-FFFF10040000}" name="接続10933" type="7" refreshedVersion="8"/>
  <connection id="1042" xr16:uid="{00000000-0015-0000-FFFF-FFFF11040000}" name="接続10934" type="7" refreshedVersion="8"/>
  <connection id="1043" xr16:uid="{00000000-0015-0000-FFFF-FFFF12040000}" name="接続10935" type="7" refreshedVersion="8"/>
  <connection id="1044" xr16:uid="{00000000-0015-0000-FFFF-FFFF13040000}" name="接続10936" type="7" refreshedVersion="8"/>
  <connection id="1045" xr16:uid="{00000000-0015-0000-FFFF-FFFF14040000}" name="接続10937" type="7" refreshedVersion="8"/>
  <connection id="1046" xr16:uid="{00000000-0015-0000-FFFF-FFFF15040000}" name="接続10938" type="7" refreshedVersion="8"/>
  <connection id="1047" xr16:uid="{00000000-0015-0000-FFFF-FFFF16040000}" name="接続10939" type="7" refreshedVersion="8"/>
  <connection id="1048" xr16:uid="{00000000-0015-0000-FFFF-FFFF17040000}" name="接続1094" type="7" refreshedVersion="4"/>
  <connection id="1049" xr16:uid="{00000000-0015-0000-FFFF-FFFF18040000}" name="接続10940" type="7" refreshedVersion="8"/>
  <connection id="1050" xr16:uid="{00000000-0015-0000-FFFF-FFFF19040000}" name="接続10941" type="7" refreshedVersion="8"/>
  <connection id="1051" xr16:uid="{00000000-0015-0000-FFFF-FFFF1A040000}" name="接続10942" type="7" refreshedVersion="8"/>
  <connection id="1052" xr16:uid="{00000000-0015-0000-FFFF-FFFF1B040000}" name="接続10943" type="7" refreshedVersion="8"/>
  <connection id="1053" xr16:uid="{00000000-0015-0000-FFFF-FFFF1C040000}" name="接続10944" type="7" refreshedVersion="8"/>
  <connection id="1054" xr16:uid="{00000000-0015-0000-FFFF-FFFF1D040000}" name="接続10945" type="7" refreshedVersion="8"/>
  <connection id="1055" xr16:uid="{00000000-0015-0000-FFFF-FFFF1E040000}" name="接続10946" type="7" refreshedVersion="8"/>
  <connection id="1056" xr16:uid="{00000000-0015-0000-FFFF-FFFF1F040000}" name="接続10947" type="7" refreshedVersion="8"/>
  <connection id="1057" xr16:uid="{00000000-0015-0000-FFFF-FFFF20040000}" name="接続10948" type="7" refreshedVersion="8"/>
  <connection id="1058" xr16:uid="{00000000-0015-0000-FFFF-FFFF21040000}" name="接続10949" type="7" refreshedVersion="8"/>
  <connection id="1059" xr16:uid="{00000000-0015-0000-FFFF-FFFF22040000}" name="接続1095" type="7" refreshedVersion="4"/>
  <connection id="1060" xr16:uid="{00000000-0015-0000-FFFF-FFFF23040000}" name="接続10950" type="7" refreshedVersion="8"/>
  <connection id="1061" xr16:uid="{00000000-0015-0000-FFFF-FFFF24040000}" name="接続10951" type="7" refreshedVersion="8"/>
  <connection id="1062" xr16:uid="{00000000-0015-0000-FFFF-FFFF25040000}" name="接続10952" type="7" refreshedVersion="8"/>
  <connection id="1063" xr16:uid="{00000000-0015-0000-FFFF-FFFF26040000}" name="接続10953" type="7" refreshedVersion="8"/>
  <connection id="1064" xr16:uid="{00000000-0015-0000-FFFF-FFFF27040000}" name="接続10954" type="7" refreshedVersion="8"/>
  <connection id="1065" xr16:uid="{00000000-0015-0000-FFFF-FFFF28040000}" name="接続10955" type="7" refreshedVersion="8"/>
  <connection id="1066" xr16:uid="{00000000-0015-0000-FFFF-FFFF29040000}" name="接続10956" type="7" refreshedVersion="8"/>
  <connection id="1067" xr16:uid="{00000000-0015-0000-FFFF-FFFF2A040000}" name="接続10957" type="7" refreshedVersion="8"/>
  <connection id="1068" xr16:uid="{00000000-0015-0000-FFFF-FFFF2B040000}" name="接続10958" type="7" refreshedVersion="8"/>
  <connection id="1069" xr16:uid="{00000000-0015-0000-FFFF-FFFF2C040000}" name="接続10959" type="7" refreshedVersion="8"/>
  <connection id="1070" xr16:uid="{00000000-0015-0000-FFFF-FFFF2D040000}" name="接続1096" type="7" refreshedVersion="4"/>
  <connection id="1071" xr16:uid="{00000000-0015-0000-FFFF-FFFF2E040000}" name="接続10960" type="7" refreshedVersion="8"/>
  <connection id="1072" xr16:uid="{00000000-0015-0000-FFFF-FFFF2F040000}" name="接続10961" type="7" refreshedVersion="8"/>
  <connection id="1073" xr16:uid="{00000000-0015-0000-FFFF-FFFF30040000}" name="接続10962" type="7" refreshedVersion="8"/>
  <connection id="1074" xr16:uid="{00000000-0015-0000-FFFF-FFFF31040000}" name="接続10963" type="7" refreshedVersion="8"/>
  <connection id="1075" xr16:uid="{00000000-0015-0000-FFFF-FFFF32040000}" name="接続10964" type="7" refreshedVersion="8"/>
  <connection id="1076" xr16:uid="{00000000-0015-0000-FFFF-FFFF33040000}" name="接続10965" type="7" refreshedVersion="8"/>
  <connection id="1077" xr16:uid="{00000000-0015-0000-FFFF-FFFF34040000}" name="接続10966" type="7" refreshedVersion="8"/>
  <connection id="1078" xr16:uid="{00000000-0015-0000-FFFF-FFFF35040000}" name="接続10967" type="7" refreshedVersion="8"/>
  <connection id="1079" xr16:uid="{00000000-0015-0000-FFFF-FFFF36040000}" name="接続10968" type="7" refreshedVersion="8"/>
  <connection id="1080" xr16:uid="{00000000-0015-0000-FFFF-FFFF37040000}" name="接続10969" type="7" refreshedVersion="8"/>
  <connection id="1081" xr16:uid="{00000000-0015-0000-FFFF-FFFF38040000}" name="接続1097" type="7" refreshedVersion="4"/>
  <connection id="1082" xr16:uid="{00000000-0015-0000-FFFF-FFFF39040000}" name="接続10970" type="7" refreshedVersion="8"/>
  <connection id="1083" xr16:uid="{00000000-0015-0000-FFFF-FFFF3A040000}" name="接続10971" type="7" refreshedVersion="8"/>
  <connection id="1084" xr16:uid="{00000000-0015-0000-FFFF-FFFF3B040000}" name="接続10972" type="7" refreshedVersion="8"/>
  <connection id="1085" xr16:uid="{00000000-0015-0000-FFFF-FFFF3C040000}" name="接続10973" type="7" refreshedVersion="8"/>
  <connection id="1086" xr16:uid="{00000000-0015-0000-FFFF-FFFF3D040000}" name="接続10974" type="7" refreshedVersion="8"/>
  <connection id="1087" xr16:uid="{00000000-0015-0000-FFFF-FFFF3E040000}" name="接続10975" type="7" refreshedVersion="8"/>
  <connection id="1088" xr16:uid="{00000000-0015-0000-FFFF-FFFF3F040000}" name="接続10976" type="7" refreshedVersion="8"/>
  <connection id="1089" xr16:uid="{00000000-0015-0000-FFFF-FFFF40040000}" name="接続10977" type="7" refreshedVersion="8"/>
  <connection id="1090" xr16:uid="{00000000-0015-0000-FFFF-FFFF41040000}" name="接続10978" type="7" refreshedVersion="8"/>
  <connection id="1091" xr16:uid="{00000000-0015-0000-FFFF-FFFF42040000}" name="接続10979" type="7" refreshedVersion="8"/>
  <connection id="1092" xr16:uid="{00000000-0015-0000-FFFF-FFFF43040000}" name="接続1098" type="7" refreshedVersion="4"/>
  <connection id="1093" xr16:uid="{00000000-0015-0000-FFFF-FFFF44040000}" name="接続10980" type="7" refreshedVersion="8"/>
  <connection id="1094" xr16:uid="{00000000-0015-0000-FFFF-FFFF45040000}" name="接続10981" type="7" refreshedVersion="8"/>
  <connection id="1095" xr16:uid="{00000000-0015-0000-FFFF-FFFF46040000}" name="接続10982" type="7" refreshedVersion="8"/>
  <connection id="1096" xr16:uid="{00000000-0015-0000-FFFF-FFFF47040000}" name="接続10983" type="7" refreshedVersion="8"/>
  <connection id="1097" xr16:uid="{00000000-0015-0000-FFFF-FFFF48040000}" name="接続10984" type="7" refreshedVersion="8"/>
  <connection id="1098" xr16:uid="{00000000-0015-0000-FFFF-FFFF49040000}" name="接続10985" type="7" refreshedVersion="8"/>
  <connection id="1099" xr16:uid="{00000000-0015-0000-FFFF-FFFF4A040000}" name="接続10986" type="7" refreshedVersion="8"/>
  <connection id="1100" xr16:uid="{00000000-0015-0000-FFFF-FFFF4B040000}" name="接続10987" type="7" refreshedVersion="8"/>
  <connection id="1101" xr16:uid="{00000000-0015-0000-FFFF-FFFF4C040000}" name="接続10988" type="7" refreshedVersion="8"/>
  <connection id="1102" xr16:uid="{00000000-0015-0000-FFFF-FFFF4D040000}" name="接続10989" type="7" refreshedVersion="8"/>
  <connection id="1103" xr16:uid="{00000000-0015-0000-FFFF-FFFF4E040000}" name="接続1099" type="7" refreshedVersion="4"/>
  <connection id="1104" xr16:uid="{00000000-0015-0000-FFFF-FFFF4F040000}" name="接続10990" type="7" refreshedVersion="8"/>
  <connection id="1105" xr16:uid="{00000000-0015-0000-FFFF-FFFF50040000}" name="接続10991" type="7" refreshedVersion="8"/>
  <connection id="1106" xr16:uid="{00000000-0015-0000-FFFF-FFFF51040000}" name="接続10992" type="7" refreshedVersion="8"/>
  <connection id="1107" xr16:uid="{00000000-0015-0000-FFFF-FFFF52040000}" name="接続10993" type="7" refreshedVersion="8"/>
  <connection id="1108" xr16:uid="{00000000-0015-0000-FFFF-FFFF53040000}" name="接続10994" type="7" refreshedVersion="8"/>
  <connection id="1109" xr16:uid="{00000000-0015-0000-FFFF-FFFF54040000}" name="接続10995" type="7" refreshedVersion="8"/>
  <connection id="1110" xr16:uid="{00000000-0015-0000-FFFF-FFFF55040000}" name="接続10996" type="7" refreshedVersion="8"/>
  <connection id="1111" xr16:uid="{00000000-0015-0000-FFFF-FFFF56040000}" name="接続10997" type="7" refreshedVersion="8"/>
  <connection id="1112" xr16:uid="{00000000-0015-0000-FFFF-FFFF57040000}" name="接続10998" type="7" refreshedVersion="8"/>
  <connection id="1113" xr16:uid="{00000000-0015-0000-FFFF-FFFF58040000}" name="接続10999" type="7" refreshedVersion="8"/>
  <connection id="1114" xr16:uid="{00000000-0015-0000-FFFF-FFFF59040000}" name="接続11" type="7" refreshedVersion="3"/>
  <connection id="1115" xr16:uid="{00000000-0015-0000-FFFF-FFFF5A040000}" name="接続110" type="7" refreshedVersion="4"/>
  <connection id="1116" xr16:uid="{00000000-0015-0000-FFFF-FFFF5B040000}" name="接続1100" type="7" refreshedVersion="4"/>
  <connection id="1117" xr16:uid="{00000000-0015-0000-FFFF-FFFF5C040000}" name="接続11000" type="7" refreshedVersion="8"/>
  <connection id="1118" xr16:uid="{00000000-0015-0000-FFFF-FFFF5D040000}" name="接続11001" type="7" refreshedVersion="8"/>
  <connection id="1119" xr16:uid="{00000000-0015-0000-FFFF-FFFF5E040000}" name="接続11002" type="7" refreshedVersion="8"/>
  <connection id="1120" xr16:uid="{00000000-0015-0000-FFFF-FFFF5F040000}" name="接続11003" type="7" refreshedVersion="8"/>
  <connection id="1121" xr16:uid="{00000000-0015-0000-FFFF-FFFF60040000}" name="接続11004" type="7" refreshedVersion="8"/>
  <connection id="1122" xr16:uid="{00000000-0015-0000-FFFF-FFFF61040000}" name="接続11005" type="7" refreshedVersion="8"/>
  <connection id="1123" xr16:uid="{00000000-0015-0000-FFFF-FFFF62040000}" name="接続11006" type="7" refreshedVersion="8"/>
  <connection id="1124" xr16:uid="{00000000-0015-0000-FFFF-FFFF63040000}" name="接続11007" type="7" refreshedVersion="8"/>
  <connection id="1125" xr16:uid="{00000000-0015-0000-FFFF-FFFF64040000}" name="接続11008" type="7" refreshedVersion="8"/>
  <connection id="1126" xr16:uid="{00000000-0015-0000-FFFF-FFFF65040000}" name="接続11009" type="7" refreshedVersion="8"/>
  <connection id="1127" xr16:uid="{00000000-0015-0000-FFFF-FFFF66040000}" name="接続1101" type="7" refreshedVersion="4"/>
  <connection id="1128" xr16:uid="{00000000-0015-0000-FFFF-FFFF67040000}" name="接続11010" type="7" refreshedVersion="8"/>
  <connection id="1129" xr16:uid="{00000000-0015-0000-FFFF-FFFF68040000}" name="接続11011" type="7" refreshedVersion="8"/>
  <connection id="1130" xr16:uid="{00000000-0015-0000-FFFF-FFFF69040000}" name="接続11012" type="7" refreshedVersion="8"/>
  <connection id="1131" xr16:uid="{00000000-0015-0000-FFFF-FFFF6A040000}" name="接続11013" type="7" refreshedVersion="8"/>
  <connection id="1132" xr16:uid="{00000000-0015-0000-FFFF-FFFF6B040000}" name="接続11014" type="7" refreshedVersion="8"/>
  <connection id="1133" xr16:uid="{00000000-0015-0000-FFFF-FFFF6C040000}" name="接続11015" type="7" refreshedVersion="8"/>
  <connection id="1134" xr16:uid="{00000000-0015-0000-FFFF-FFFF6D040000}" name="接続11016" type="7" refreshedVersion="8"/>
  <connection id="1135" xr16:uid="{00000000-0015-0000-FFFF-FFFF6E040000}" name="接続11017" type="7" refreshedVersion="8"/>
  <connection id="1136" xr16:uid="{00000000-0015-0000-FFFF-FFFF6F040000}" name="接続11018" type="7" refreshedVersion="8"/>
  <connection id="1137" xr16:uid="{00000000-0015-0000-FFFF-FFFF70040000}" name="接続11019" type="7" refreshedVersion="8"/>
  <connection id="1138" xr16:uid="{00000000-0015-0000-FFFF-FFFF71040000}" name="接続1102" type="7" refreshedVersion="4"/>
  <connection id="1139" xr16:uid="{00000000-0015-0000-FFFF-FFFF72040000}" name="接続11020" type="7" refreshedVersion="8"/>
  <connection id="1140" xr16:uid="{00000000-0015-0000-FFFF-FFFF73040000}" name="接続11021" type="7" refreshedVersion="8"/>
  <connection id="1141" xr16:uid="{00000000-0015-0000-FFFF-FFFF74040000}" name="接続11022" type="7" refreshedVersion="8"/>
  <connection id="1142" xr16:uid="{00000000-0015-0000-FFFF-FFFF75040000}" name="接続11023" type="7" refreshedVersion="8"/>
  <connection id="1143" xr16:uid="{00000000-0015-0000-FFFF-FFFF76040000}" name="接続11024" type="7" refreshedVersion="8"/>
  <connection id="1144" xr16:uid="{00000000-0015-0000-FFFF-FFFF77040000}" name="接続11025" type="7" refreshedVersion="8"/>
  <connection id="1145" xr16:uid="{00000000-0015-0000-FFFF-FFFF78040000}" name="接続11026" type="7" refreshedVersion="8"/>
  <connection id="1146" xr16:uid="{00000000-0015-0000-FFFF-FFFF79040000}" name="接続11027" type="7" refreshedVersion="8"/>
  <connection id="1147" xr16:uid="{00000000-0015-0000-FFFF-FFFF7A040000}" name="接続11028" type="7" refreshedVersion="8"/>
  <connection id="1148" xr16:uid="{00000000-0015-0000-FFFF-FFFF7B040000}" name="接続11029" type="7" refreshedVersion="8"/>
  <connection id="1149" xr16:uid="{00000000-0015-0000-FFFF-FFFF7C040000}" name="接続1103" type="7" refreshedVersion="4"/>
  <connection id="1150" xr16:uid="{00000000-0015-0000-FFFF-FFFF7D040000}" name="接続11030" type="7" refreshedVersion="8"/>
  <connection id="1151" xr16:uid="{00000000-0015-0000-FFFF-FFFF7E040000}" name="接続11031" type="7" refreshedVersion="8"/>
  <connection id="1152" xr16:uid="{00000000-0015-0000-FFFF-FFFF7F040000}" name="接続11032" type="7" refreshedVersion="8"/>
  <connection id="1153" xr16:uid="{00000000-0015-0000-FFFF-FFFF80040000}" name="接続11033" type="7" refreshedVersion="8"/>
  <connection id="1154" xr16:uid="{00000000-0015-0000-FFFF-FFFF81040000}" name="接続11034" type="7" refreshedVersion="8"/>
  <connection id="1155" xr16:uid="{00000000-0015-0000-FFFF-FFFF82040000}" name="接続11035" type="7" refreshedVersion="8"/>
  <connection id="1156" xr16:uid="{00000000-0015-0000-FFFF-FFFF83040000}" name="接続11036" type="7" refreshedVersion="8"/>
  <connection id="1157" xr16:uid="{00000000-0015-0000-FFFF-FFFF84040000}" name="接続11037" type="7" refreshedVersion="8"/>
  <connection id="1158" xr16:uid="{00000000-0015-0000-FFFF-FFFF85040000}" name="接続11038" type="7" refreshedVersion="8"/>
  <connection id="1159" xr16:uid="{00000000-0015-0000-FFFF-FFFF86040000}" name="接続11039" type="7" refreshedVersion="8"/>
  <connection id="1160" xr16:uid="{00000000-0015-0000-FFFF-FFFF87040000}" name="接続1104" type="7" refreshedVersion="4"/>
  <connection id="1161" xr16:uid="{00000000-0015-0000-FFFF-FFFF88040000}" name="接続11040" type="7" refreshedVersion="8"/>
  <connection id="1162" xr16:uid="{00000000-0015-0000-FFFF-FFFF89040000}" name="接続11041" type="7" refreshedVersion="8"/>
  <connection id="1163" xr16:uid="{00000000-0015-0000-FFFF-FFFF8A040000}" name="接続11042" type="7" refreshedVersion="8"/>
  <connection id="1164" xr16:uid="{00000000-0015-0000-FFFF-FFFF8B040000}" name="接続11043" type="7" refreshedVersion="8"/>
  <connection id="1165" xr16:uid="{00000000-0015-0000-FFFF-FFFF8C040000}" name="接続11044" type="7" refreshedVersion="8"/>
  <connection id="1166" xr16:uid="{00000000-0015-0000-FFFF-FFFF8D040000}" name="接続11045" type="7" refreshedVersion="8"/>
  <connection id="1167" xr16:uid="{00000000-0015-0000-FFFF-FFFF8E040000}" name="接続11046" type="7" refreshedVersion="8"/>
  <connection id="1168" xr16:uid="{00000000-0015-0000-FFFF-FFFF8F040000}" name="接続11047" type="7" refreshedVersion="8"/>
  <connection id="1169" xr16:uid="{00000000-0015-0000-FFFF-FFFF90040000}" name="接続11048" type="7" refreshedVersion="8"/>
  <connection id="1170" xr16:uid="{00000000-0015-0000-FFFF-FFFF91040000}" name="接続11049" type="7" refreshedVersion="8"/>
  <connection id="1171" xr16:uid="{00000000-0015-0000-FFFF-FFFF92040000}" name="接続1105" type="7" refreshedVersion="4"/>
  <connection id="1172" xr16:uid="{00000000-0015-0000-FFFF-FFFF93040000}" name="接続11050" type="7" refreshedVersion="8"/>
  <connection id="1173" xr16:uid="{00000000-0015-0000-FFFF-FFFF94040000}" name="接続11051" type="7" refreshedVersion="8"/>
  <connection id="1174" xr16:uid="{00000000-0015-0000-FFFF-FFFF95040000}" name="接続11052" type="7" refreshedVersion="8"/>
  <connection id="1175" xr16:uid="{00000000-0015-0000-FFFF-FFFF96040000}" name="接続11053" type="7" refreshedVersion="8"/>
  <connection id="1176" xr16:uid="{00000000-0015-0000-FFFF-FFFF97040000}" name="接続11054" type="7" refreshedVersion="8"/>
  <connection id="1177" xr16:uid="{00000000-0015-0000-FFFF-FFFF98040000}" name="接続11055" type="7" refreshedVersion="8"/>
  <connection id="1178" xr16:uid="{00000000-0015-0000-FFFF-FFFF99040000}" name="接続11056" type="7" refreshedVersion="8"/>
  <connection id="1179" xr16:uid="{00000000-0015-0000-FFFF-FFFF9A040000}" name="接続11057" type="7" refreshedVersion="8"/>
  <connection id="1180" xr16:uid="{00000000-0015-0000-FFFF-FFFF9B040000}" name="接続11058" type="7" refreshedVersion="8"/>
  <connection id="1181" xr16:uid="{00000000-0015-0000-FFFF-FFFF9C040000}" name="接続11059" type="7" refreshedVersion="8"/>
  <connection id="1182" xr16:uid="{00000000-0015-0000-FFFF-FFFF9D040000}" name="接続1106" type="7" refreshedVersion="4"/>
  <connection id="1183" xr16:uid="{00000000-0015-0000-FFFF-FFFF9E040000}" name="接続11060" type="7" refreshedVersion="8"/>
  <connection id="1184" xr16:uid="{00000000-0015-0000-FFFF-FFFF9F040000}" name="接続11061" type="7" refreshedVersion="8"/>
  <connection id="1185" xr16:uid="{00000000-0015-0000-FFFF-FFFFA0040000}" name="接続11062" type="7" refreshedVersion="8"/>
  <connection id="1186" xr16:uid="{00000000-0015-0000-FFFF-FFFFA1040000}" name="接続11063" type="7" refreshedVersion="8"/>
  <connection id="1187" xr16:uid="{00000000-0015-0000-FFFF-FFFFA2040000}" name="接続11064" type="7" refreshedVersion="8"/>
  <connection id="1188" xr16:uid="{00000000-0015-0000-FFFF-FFFFA3040000}" name="接続11065" type="7" refreshedVersion="8"/>
  <connection id="1189" xr16:uid="{00000000-0015-0000-FFFF-FFFFA4040000}" name="接続11066" type="7" refreshedVersion="8"/>
  <connection id="1190" xr16:uid="{00000000-0015-0000-FFFF-FFFFA5040000}" name="接続11067" type="7" refreshedVersion="8"/>
  <connection id="1191" xr16:uid="{00000000-0015-0000-FFFF-FFFFA6040000}" name="接続11068" type="7" refreshedVersion="8"/>
  <connection id="1192" xr16:uid="{00000000-0015-0000-FFFF-FFFFA7040000}" name="接続11069" type="7" refreshedVersion="8"/>
  <connection id="1193" xr16:uid="{00000000-0015-0000-FFFF-FFFFA8040000}" name="接続1107" type="7" refreshedVersion="4"/>
  <connection id="1194" xr16:uid="{00000000-0015-0000-FFFF-FFFFA9040000}" name="接続11070" type="7" refreshedVersion="8"/>
  <connection id="1195" xr16:uid="{00000000-0015-0000-FFFF-FFFFAA040000}" name="接続11071" type="7" refreshedVersion="8"/>
  <connection id="1196" xr16:uid="{00000000-0015-0000-FFFF-FFFFAB040000}" name="接続11072" type="7" refreshedVersion="8"/>
  <connection id="1197" xr16:uid="{00000000-0015-0000-FFFF-FFFFAC040000}" name="接続11073" type="7" refreshedVersion="8"/>
  <connection id="1198" xr16:uid="{00000000-0015-0000-FFFF-FFFFAD040000}" name="接続11074" type="7" refreshedVersion="8"/>
  <connection id="1199" xr16:uid="{00000000-0015-0000-FFFF-FFFFAE040000}" name="接続11075" type="7" refreshedVersion="8"/>
  <connection id="1200" xr16:uid="{00000000-0015-0000-FFFF-FFFFAF040000}" name="接続11076" type="7" refreshedVersion="8"/>
  <connection id="1201" xr16:uid="{00000000-0015-0000-FFFF-FFFFB0040000}" name="接続11077" type="7" refreshedVersion="8"/>
  <connection id="1202" xr16:uid="{00000000-0015-0000-FFFF-FFFFB1040000}" name="接続11078" type="7" refreshedVersion="8"/>
  <connection id="1203" xr16:uid="{00000000-0015-0000-FFFF-FFFFB2040000}" name="接続11079" type="7" refreshedVersion="8"/>
  <connection id="1204" xr16:uid="{00000000-0015-0000-FFFF-FFFFB3040000}" name="接続1108" type="7" refreshedVersion="4"/>
  <connection id="1205" xr16:uid="{00000000-0015-0000-FFFF-FFFFB4040000}" name="接続11080" type="7" refreshedVersion="8"/>
  <connection id="1206" xr16:uid="{00000000-0015-0000-FFFF-FFFFB5040000}" name="接続11081" type="7" refreshedVersion="8"/>
  <connection id="1207" xr16:uid="{00000000-0015-0000-FFFF-FFFFB6040000}" name="接続11082" type="7" refreshedVersion="8"/>
  <connection id="1208" xr16:uid="{00000000-0015-0000-FFFF-FFFFB7040000}" name="接続11083" type="7" refreshedVersion="8"/>
  <connection id="1209" xr16:uid="{00000000-0015-0000-FFFF-FFFFB8040000}" name="接続11084" type="7" refreshedVersion="8"/>
  <connection id="1210" xr16:uid="{00000000-0015-0000-FFFF-FFFFB9040000}" name="接続11085" type="7" refreshedVersion="8"/>
  <connection id="1211" xr16:uid="{00000000-0015-0000-FFFF-FFFFBA040000}" name="接続11086" type="7" refreshedVersion="8"/>
  <connection id="1212" xr16:uid="{00000000-0015-0000-FFFF-FFFFBB040000}" name="接続11087" type="7" refreshedVersion="8"/>
  <connection id="1213" xr16:uid="{00000000-0015-0000-FFFF-FFFFBC040000}" name="接続11088" type="7" refreshedVersion="8"/>
  <connection id="1214" xr16:uid="{00000000-0015-0000-FFFF-FFFFBD040000}" name="接続11089" type="7" refreshedVersion="8"/>
  <connection id="1215" xr16:uid="{00000000-0015-0000-FFFF-FFFFBE040000}" name="接続1109" type="7" refreshedVersion="4"/>
  <connection id="1216" xr16:uid="{00000000-0015-0000-FFFF-FFFFBF040000}" name="接続11090" type="7" refreshedVersion="8"/>
  <connection id="1217" xr16:uid="{00000000-0015-0000-FFFF-FFFFC0040000}" name="接続11091" type="7" refreshedVersion="8"/>
  <connection id="1218" xr16:uid="{00000000-0015-0000-FFFF-FFFFC1040000}" name="接続11092" type="7" refreshedVersion="8"/>
  <connection id="1219" xr16:uid="{00000000-0015-0000-FFFF-FFFFC2040000}" name="接続11093" type="7" refreshedVersion="8"/>
  <connection id="1220" xr16:uid="{00000000-0015-0000-FFFF-FFFFC3040000}" name="接続11094" type="7" refreshedVersion="8"/>
  <connection id="1221" xr16:uid="{00000000-0015-0000-FFFF-FFFFC4040000}" name="接続11095" type="7" refreshedVersion="8"/>
  <connection id="1222" xr16:uid="{00000000-0015-0000-FFFF-FFFFC5040000}" name="接続11096" type="7" refreshedVersion="8"/>
  <connection id="1223" xr16:uid="{00000000-0015-0000-FFFF-FFFFC6040000}" name="接続11097" type="7" refreshedVersion="8"/>
  <connection id="1224" xr16:uid="{00000000-0015-0000-FFFF-FFFFC7040000}" name="接続11098" type="7" refreshedVersion="8"/>
  <connection id="1225" xr16:uid="{00000000-0015-0000-FFFF-FFFFC8040000}" name="接続11099" type="7" refreshedVersion="8"/>
  <connection id="1226" xr16:uid="{00000000-0015-0000-FFFF-FFFFC9040000}" name="接続111" type="7" refreshedVersion="4"/>
  <connection id="1227" xr16:uid="{00000000-0015-0000-FFFF-FFFFCA040000}" name="接続1110" type="7" refreshedVersion="4"/>
  <connection id="1228" xr16:uid="{00000000-0015-0000-FFFF-FFFFCB040000}" name="接続11100" type="7" refreshedVersion="8"/>
  <connection id="1229" xr16:uid="{00000000-0015-0000-FFFF-FFFFCC040000}" name="接続11101" type="7" refreshedVersion="8"/>
  <connection id="1230" xr16:uid="{00000000-0015-0000-FFFF-FFFFCD040000}" name="接続11102" type="7" refreshedVersion="8"/>
  <connection id="1231" xr16:uid="{00000000-0015-0000-FFFF-FFFFCE040000}" name="接続11103" type="7" refreshedVersion="8"/>
  <connection id="1232" xr16:uid="{00000000-0015-0000-FFFF-FFFFCF040000}" name="接続11104" type="7" refreshedVersion="8"/>
  <connection id="1233" xr16:uid="{00000000-0015-0000-FFFF-FFFFD0040000}" name="接続11105" type="7" refreshedVersion="8"/>
  <connection id="1234" xr16:uid="{00000000-0015-0000-FFFF-FFFFD1040000}" name="接続11106" type="7" refreshedVersion="8"/>
  <connection id="1235" xr16:uid="{00000000-0015-0000-FFFF-FFFFD2040000}" name="接続11107" type="7" refreshedVersion="8"/>
  <connection id="1236" xr16:uid="{00000000-0015-0000-FFFF-FFFFD3040000}" name="接続11108" type="7" refreshedVersion="8"/>
  <connection id="1237" xr16:uid="{00000000-0015-0000-FFFF-FFFFD4040000}" name="接続11109" type="7" refreshedVersion="8"/>
  <connection id="1238" xr16:uid="{00000000-0015-0000-FFFF-FFFFD5040000}" name="接続1111" type="7" refreshedVersion="4"/>
  <connection id="1239" xr16:uid="{00000000-0015-0000-FFFF-FFFFD6040000}" name="接続11110" type="7" refreshedVersion="8"/>
  <connection id="1240" xr16:uid="{00000000-0015-0000-FFFF-FFFFD7040000}" name="接続11111" type="7" refreshedVersion="8"/>
  <connection id="1241" xr16:uid="{00000000-0015-0000-FFFF-FFFFD8040000}" name="接続11112" type="7" refreshedVersion="8"/>
  <connection id="1242" xr16:uid="{00000000-0015-0000-FFFF-FFFFD9040000}" name="接続11113" type="7" refreshedVersion="8"/>
  <connection id="1243" xr16:uid="{00000000-0015-0000-FFFF-FFFFDA040000}" name="接続11114" type="7" refreshedVersion="8"/>
  <connection id="1244" xr16:uid="{00000000-0015-0000-FFFF-FFFFDB040000}" name="接続11115" type="7" refreshedVersion="8"/>
  <connection id="1245" xr16:uid="{00000000-0015-0000-FFFF-FFFFDC040000}" name="接続11116" type="7" refreshedVersion="8"/>
  <connection id="1246" xr16:uid="{00000000-0015-0000-FFFF-FFFFDD040000}" name="接続11117" type="7" refreshedVersion="8"/>
  <connection id="1247" xr16:uid="{00000000-0015-0000-FFFF-FFFFDE040000}" name="接続11118" type="7" refreshedVersion="8"/>
  <connection id="1248" xr16:uid="{00000000-0015-0000-FFFF-FFFFDF040000}" name="接続11119" type="7" refreshedVersion="8"/>
  <connection id="1249" xr16:uid="{00000000-0015-0000-FFFF-FFFFE0040000}" name="接続1112" type="7" refreshedVersion="4"/>
  <connection id="1250" xr16:uid="{00000000-0015-0000-FFFF-FFFFE1040000}" name="接続11120" type="7" refreshedVersion="8"/>
  <connection id="1251" xr16:uid="{00000000-0015-0000-FFFF-FFFFE2040000}" name="接続11121" type="7" refreshedVersion="8"/>
  <connection id="1252" xr16:uid="{00000000-0015-0000-FFFF-FFFFE3040000}" name="接続11122" type="7" refreshedVersion="8"/>
  <connection id="1253" xr16:uid="{00000000-0015-0000-FFFF-FFFFE4040000}" name="接続11123" type="7" refreshedVersion="8"/>
  <connection id="1254" xr16:uid="{00000000-0015-0000-FFFF-FFFFE5040000}" name="接続11124" type="7" refreshedVersion="8"/>
  <connection id="1255" xr16:uid="{00000000-0015-0000-FFFF-FFFFE6040000}" name="接続11125" type="7" refreshedVersion="8"/>
  <connection id="1256" xr16:uid="{00000000-0015-0000-FFFF-FFFFE7040000}" name="接続11126" type="7" refreshedVersion="8"/>
  <connection id="1257" xr16:uid="{00000000-0015-0000-FFFF-FFFFE8040000}" name="接続11127" type="7" refreshedVersion="8"/>
  <connection id="1258" xr16:uid="{00000000-0015-0000-FFFF-FFFFE9040000}" name="接続11128" type="7" refreshedVersion="8"/>
  <connection id="1259" xr16:uid="{00000000-0015-0000-FFFF-FFFFEA040000}" name="接続11129" type="7" refreshedVersion="8"/>
  <connection id="1260" xr16:uid="{00000000-0015-0000-FFFF-FFFFEB040000}" name="接続1113" type="7" refreshedVersion="4"/>
  <connection id="1261" xr16:uid="{00000000-0015-0000-FFFF-FFFFEC040000}" name="接続11130" type="7" refreshedVersion="8"/>
  <connection id="1262" xr16:uid="{00000000-0015-0000-FFFF-FFFFED040000}" name="接続11131" type="7" refreshedVersion="8"/>
  <connection id="1263" xr16:uid="{00000000-0015-0000-FFFF-FFFFEE040000}" name="接続11132" type="7" refreshedVersion="8"/>
  <connection id="1264" xr16:uid="{00000000-0015-0000-FFFF-FFFFEF040000}" name="接続11133" type="7" refreshedVersion="8"/>
  <connection id="1265" xr16:uid="{00000000-0015-0000-FFFF-FFFFF0040000}" name="接続11134" type="7" refreshedVersion="8"/>
  <connection id="1266" xr16:uid="{00000000-0015-0000-FFFF-FFFFF1040000}" name="接続11135" type="7" refreshedVersion="8"/>
  <connection id="1267" xr16:uid="{00000000-0015-0000-FFFF-FFFFF2040000}" name="接続11136" type="7" refreshedVersion="8"/>
  <connection id="1268" xr16:uid="{00000000-0015-0000-FFFF-FFFFF3040000}" name="接続11137" type="7" refreshedVersion="8"/>
  <connection id="1269" xr16:uid="{00000000-0015-0000-FFFF-FFFFF4040000}" name="接続11138" type="7" refreshedVersion="8"/>
  <connection id="1270" xr16:uid="{00000000-0015-0000-FFFF-FFFFF5040000}" name="接続11139" type="7" refreshedVersion="8"/>
  <connection id="1271" xr16:uid="{00000000-0015-0000-FFFF-FFFFF6040000}" name="接続1114" type="7" refreshedVersion="4"/>
  <connection id="1272" xr16:uid="{00000000-0015-0000-FFFF-FFFFF7040000}" name="接続11140" type="7" refreshedVersion="8"/>
  <connection id="1273" xr16:uid="{00000000-0015-0000-FFFF-FFFFF8040000}" name="接続11141" type="7" refreshedVersion="8"/>
  <connection id="1274" xr16:uid="{00000000-0015-0000-FFFF-FFFFF9040000}" name="接続11142" type="7" refreshedVersion="8"/>
  <connection id="1275" xr16:uid="{00000000-0015-0000-FFFF-FFFFFA040000}" name="接続11143" type="7" refreshedVersion="8"/>
  <connection id="1276" xr16:uid="{00000000-0015-0000-FFFF-FFFFFB040000}" name="接続11144" type="7" refreshedVersion="8"/>
  <connection id="1277" xr16:uid="{00000000-0015-0000-FFFF-FFFFFC040000}" name="接続11145" type="7" refreshedVersion="8"/>
  <connection id="1278" xr16:uid="{00000000-0015-0000-FFFF-FFFFFD040000}" name="接続11146" type="7" refreshedVersion="8"/>
  <connection id="1279" xr16:uid="{00000000-0015-0000-FFFF-FFFFFE040000}" name="接続11147" type="7" refreshedVersion="8"/>
  <connection id="1280" xr16:uid="{00000000-0015-0000-FFFF-FFFFFF040000}" name="接続11148" type="7" refreshedVersion="8"/>
  <connection id="1281" xr16:uid="{00000000-0015-0000-FFFF-FFFF00050000}" name="接続11149" type="7" refreshedVersion="8"/>
  <connection id="1282" xr16:uid="{00000000-0015-0000-FFFF-FFFF01050000}" name="接続1115" type="7" refreshedVersion="4"/>
  <connection id="1283" xr16:uid="{00000000-0015-0000-FFFF-FFFF02050000}" name="接続11150" type="7" refreshedVersion="8"/>
  <connection id="1284" xr16:uid="{00000000-0015-0000-FFFF-FFFF03050000}" name="接続11151" type="7" refreshedVersion="8"/>
  <connection id="1285" xr16:uid="{00000000-0015-0000-FFFF-FFFF04050000}" name="接続11152" type="7" refreshedVersion="8"/>
  <connection id="1286" xr16:uid="{00000000-0015-0000-FFFF-FFFF05050000}" name="接続11153" type="7" refreshedVersion="8"/>
  <connection id="1287" xr16:uid="{00000000-0015-0000-FFFF-FFFF06050000}" name="接続11154" type="7" refreshedVersion="8"/>
  <connection id="1288" xr16:uid="{00000000-0015-0000-FFFF-FFFF07050000}" name="接続11155" type="7" refreshedVersion="8"/>
  <connection id="1289" xr16:uid="{00000000-0015-0000-FFFF-FFFF08050000}" name="接続11156" type="7" refreshedVersion="8"/>
  <connection id="1290" xr16:uid="{00000000-0015-0000-FFFF-FFFF09050000}" name="接続11157" type="7" refreshedVersion="8"/>
  <connection id="1291" xr16:uid="{00000000-0015-0000-FFFF-FFFF0A050000}" name="接続11158" type="7" refreshedVersion="8"/>
  <connection id="1292" xr16:uid="{00000000-0015-0000-FFFF-FFFF0B050000}" name="接続11159" type="7" refreshedVersion="8"/>
  <connection id="1293" xr16:uid="{00000000-0015-0000-FFFF-FFFF0C050000}" name="接続1116" type="7" refreshedVersion="4"/>
  <connection id="1294" xr16:uid="{00000000-0015-0000-FFFF-FFFF0D050000}" name="接続11160" type="7" refreshedVersion="8"/>
  <connection id="1295" xr16:uid="{00000000-0015-0000-FFFF-FFFF0E050000}" name="接続11161" type="7" refreshedVersion="8"/>
  <connection id="1296" xr16:uid="{00000000-0015-0000-FFFF-FFFF0F050000}" name="接続11162" type="7" refreshedVersion="8"/>
  <connection id="1297" xr16:uid="{00000000-0015-0000-FFFF-FFFF10050000}" name="接続11163" type="7" refreshedVersion="8"/>
  <connection id="1298" xr16:uid="{00000000-0015-0000-FFFF-FFFF11050000}" name="接続11164" type="7" refreshedVersion="8"/>
  <connection id="1299" xr16:uid="{00000000-0015-0000-FFFF-FFFF12050000}" name="接続11165" type="7" refreshedVersion="8"/>
  <connection id="1300" xr16:uid="{00000000-0015-0000-FFFF-FFFF13050000}" name="接続11166" type="7" refreshedVersion="8"/>
  <connection id="1301" xr16:uid="{00000000-0015-0000-FFFF-FFFF14050000}" name="接続11167" type="7" refreshedVersion="8"/>
  <connection id="1302" xr16:uid="{00000000-0015-0000-FFFF-FFFF15050000}" name="接続11168" type="7" refreshedVersion="8"/>
  <connection id="1303" xr16:uid="{00000000-0015-0000-FFFF-FFFF16050000}" name="接続11169" type="7" refreshedVersion="8"/>
  <connection id="1304" xr16:uid="{00000000-0015-0000-FFFF-FFFF17050000}" name="接続1117" type="7" refreshedVersion="4"/>
  <connection id="1305" xr16:uid="{00000000-0015-0000-FFFF-FFFF18050000}" name="接続11170" type="7" refreshedVersion="8"/>
  <connection id="1306" xr16:uid="{00000000-0015-0000-FFFF-FFFF19050000}" name="接続11171" type="7" refreshedVersion="8"/>
  <connection id="1307" xr16:uid="{00000000-0015-0000-FFFF-FFFF1A050000}" name="接続11172" type="7" refreshedVersion="8"/>
  <connection id="1308" xr16:uid="{00000000-0015-0000-FFFF-FFFF1B050000}" name="接続11173" type="7" refreshedVersion="8"/>
  <connection id="1309" xr16:uid="{00000000-0015-0000-FFFF-FFFF1C050000}" name="接続11174" type="7" refreshedVersion="8"/>
  <connection id="1310" xr16:uid="{00000000-0015-0000-FFFF-FFFF1D050000}" name="接続11175" type="7" refreshedVersion="8"/>
  <connection id="1311" xr16:uid="{00000000-0015-0000-FFFF-FFFF1E050000}" name="接続11176" type="7" refreshedVersion="8"/>
  <connection id="1312" xr16:uid="{00000000-0015-0000-FFFF-FFFF1F050000}" name="接続11177" type="7" refreshedVersion="8"/>
  <connection id="1313" xr16:uid="{00000000-0015-0000-FFFF-FFFF20050000}" name="接続11178" type="7" refreshedVersion="8"/>
  <connection id="1314" xr16:uid="{00000000-0015-0000-FFFF-FFFF21050000}" name="接続11179" type="7" refreshedVersion="8"/>
  <connection id="1315" xr16:uid="{00000000-0015-0000-FFFF-FFFF22050000}" name="接続1118" type="7" refreshedVersion="4"/>
  <connection id="1316" xr16:uid="{00000000-0015-0000-FFFF-FFFF23050000}" name="接続11180" type="7" refreshedVersion="8"/>
  <connection id="1317" xr16:uid="{00000000-0015-0000-FFFF-FFFF24050000}" name="接続11181" type="7" refreshedVersion="8"/>
  <connection id="1318" xr16:uid="{00000000-0015-0000-FFFF-FFFF25050000}" name="接続11182" type="7" refreshedVersion="8"/>
  <connection id="1319" xr16:uid="{00000000-0015-0000-FFFF-FFFF26050000}" name="接続11183" type="7" refreshedVersion="8"/>
  <connection id="1320" xr16:uid="{00000000-0015-0000-FFFF-FFFF27050000}" name="接続11184" type="7" refreshedVersion="8"/>
  <connection id="1321" xr16:uid="{00000000-0015-0000-FFFF-FFFF28050000}" name="接続11185" type="7" refreshedVersion="8"/>
  <connection id="1322" xr16:uid="{00000000-0015-0000-FFFF-FFFF29050000}" name="接続11186" type="7" refreshedVersion="8"/>
  <connection id="1323" xr16:uid="{00000000-0015-0000-FFFF-FFFF2A050000}" name="接続11187" type="7" refreshedVersion="8"/>
  <connection id="1324" xr16:uid="{00000000-0015-0000-FFFF-FFFF2B050000}" name="接続11188" type="7" refreshedVersion="8"/>
  <connection id="1325" xr16:uid="{00000000-0015-0000-FFFF-FFFF2C050000}" name="接続11189" type="7" refreshedVersion="8"/>
  <connection id="1326" xr16:uid="{00000000-0015-0000-FFFF-FFFF2D050000}" name="接続1119" type="7" refreshedVersion="4"/>
  <connection id="1327" xr16:uid="{00000000-0015-0000-FFFF-FFFF2E050000}" name="接続11190" type="7" refreshedVersion="8"/>
  <connection id="1328" xr16:uid="{00000000-0015-0000-FFFF-FFFF2F050000}" name="接続11191" type="7" refreshedVersion="8"/>
  <connection id="1329" xr16:uid="{00000000-0015-0000-FFFF-FFFF30050000}" name="接続11192" type="7" refreshedVersion="8"/>
  <connection id="1330" xr16:uid="{00000000-0015-0000-FFFF-FFFF31050000}" name="接続11193" type="7" refreshedVersion="8"/>
  <connection id="1331" xr16:uid="{00000000-0015-0000-FFFF-FFFF32050000}" name="接続11194" type="7" refreshedVersion="8"/>
  <connection id="1332" xr16:uid="{00000000-0015-0000-FFFF-FFFF33050000}" name="接続11195" type="7" refreshedVersion="8"/>
  <connection id="1333" xr16:uid="{00000000-0015-0000-FFFF-FFFF34050000}" name="接続11196" type="7" refreshedVersion="8"/>
  <connection id="1334" xr16:uid="{00000000-0015-0000-FFFF-FFFF35050000}" name="接続11197" type="7" refreshedVersion="8"/>
  <connection id="1335" xr16:uid="{00000000-0015-0000-FFFF-FFFF36050000}" name="接続11198" type="7" refreshedVersion="8"/>
  <connection id="1336" xr16:uid="{00000000-0015-0000-FFFF-FFFF37050000}" name="接続11199" type="7" refreshedVersion="8"/>
  <connection id="1337" xr16:uid="{00000000-0015-0000-FFFF-FFFF38050000}" name="接続112" type="7" refreshedVersion="4"/>
  <connection id="1338" xr16:uid="{00000000-0015-0000-FFFF-FFFF39050000}" name="接続1120" type="7" refreshedVersion="4"/>
  <connection id="1339" xr16:uid="{00000000-0015-0000-FFFF-FFFF3A050000}" name="接続11200" type="7" refreshedVersion="8"/>
  <connection id="1340" xr16:uid="{00000000-0015-0000-FFFF-FFFF3B050000}" name="接続11201" type="7" refreshedVersion="8"/>
  <connection id="1341" xr16:uid="{00000000-0015-0000-FFFF-FFFF3C050000}" name="接続11202" type="7" refreshedVersion="8"/>
  <connection id="1342" xr16:uid="{00000000-0015-0000-FFFF-FFFF3D050000}" name="接続11203" type="7" refreshedVersion="8"/>
  <connection id="1343" xr16:uid="{00000000-0015-0000-FFFF-FFFF3E050000}" name="接続11204" type="7" refreshedVersion="8"/>
  <connection id="1344" xr16:uid="{00000000-0015-0000-FFFF-FFFF3F050000}" name="接続11205" type="7" refreshedVersion="8"/>
  <connection id="1345" xr16:uid="{00000000-0015-0000-FFFF-FFFF40050000}" name="接続11206" type="7" refreshedVersion="8"/>
  <connection id="1346" xr16:uid="{00000000-0015-0000-FFFF-FFFF41050000}" name="接続11207" type="7" refreshedVersion="8"/>
  <connection id="1347" xr16:uid="{00000000-0015-0000-FFFF-FFFF42050000}" name="接続11208" type="7" refreshedVersion="8"/>
  <connection id="1348" xr16:uid="{00000000-0015-0000-FFFF-FFFF43050000}" name="接続11209" type="7" refreshedVersion="8"/>
  <connection id="1349" xr16:uid="{00000000-0015-0000-FFFF-FFFF44050000}" name="接続1121" type="7" refreshedVersion="4"/>
  <connection id="1350" xr16:uid="{00000000-0015-0000-FFFF-FFFF45050000}" name="接続11210" type="7" refreshedVersion="8"/>
  <connection id="1351" xr16:uid="{00000000-0015-0000-FFFF-FFFF46050000}" name="接続11211" type="7" refreshedVersion="8"/>
  <connection id="1352" xr16:uid="{00000000-0015-0000-FFFF-FFFF47050000}" name="接続11212" type="7" refreshedVersion="8"/>
  <connection id="1353" xr16:uid="{00000000-0015-0000-FFFF-FFFF48050000}" name="接続11213" type="7" refreshedVersion="8"/>
  <connection id="1354" xr16:uid="{00000000-0015-0000-FFFF-FFFF49050000}" name="接続11214" type="7" refreshedVersion="8"/>
  <connection id="1355" xr16:uid="{00000000-0015-0000-FFFF-FFFF4A050000}" name="接続11215" type="7" refreshedVersion="8"/>
  <connection id="1356" xr16:uid="{00000000-0015-0000-FFFF-FFFF4B050000}" name="接続11216" type="7" refreshedVersion="8"/>
  <connection id="1357" xr16:uid="{00000000-0015-0000-FFFF-FFFF4C050000}" name="接続11217" type="7" refreshedVersion="8"/>
  <connection id="1358" xr16:uid="{00000000-0015-0000-FFFF-FFFF4D050000}" name="接続11218" type="7" refreshedVersion="8"/>
  <connection id="1359" xr16:uid="{00000000-0015-0000-FFFF-FFFF4E050000}" name="接続11219" type="7" refreshedVersion="8"/>
  <connection id="1360" xr16:uid="{00000000-0015-0000-FFFF-FFFF4F050000}" name="接続1122" type="7" refreshedVersion="4"/>
  <connection id="1361" xr16:uid="{00000000-0015-0000-FFFF-FFFF50050000}" name="接続11220" type="7" refreshedVersion="8"/>
  <connection id="1362" xr16:uid="{00000000-0015-0000-FFFF-FFFF51050000}" name="接続11221" type="7" refreshedVersion="8"/>
  <connection id="1363" xr16:uid="{00000000-0015-0000-FFFF-FFFF52050000}" name="接続11222" type="7" refreshedVersion="8"/>
  <connection id="1364" xr16:uid="{00000000-0015-0000-FFFF-FFFF53050000}" name="接続11223" type="7" refreshedVersion="8"/>
  <connection id="1365" xr16:uid="{00000000-0015-0000-FFFF-FFFF54050000}" name="接続11224" type="7" refreshedVersion="8"/>
  <connection id="1366" xr16:uid="{00000000-0015-0000-FFFF-FFFF55050000}" name="接続11225" type="7" refreshedVersion="8"/>
  <connection id="1367" xr16:uid="{00000000-0015-0000-FFFF-FFFF56050000}" name="接続11226" type="7" refreshedVersion="8"/>
  <connection id="1368" xr16:uid="{00000000-0015-0000-FFFF-FFFF57050000}" name="接続11227" type="7" refreshedVersion="8"/>
  <connection id="1369" xr16:uid="{00000000-0015-0000-FFFF-FFFF58050000}" name="接続11228" type="7" refreshedVersion="8"/>
  <connection id="1370" xr16:uid="{00000000-0015-0000-FFFF-FFFF59050000}" name="接続11229" type="7" refreshedVersion="8"/>
  <connection id="1371" xr16:uid="{00000000-0015-0000-FFFF-FFFF5A050000}" name="接続1123" type="7" refreshedVersion="4"/>
  <connection id="1372" xr16:uid="{00000000-0015-0000-FFFF-FFFF5B050000}" name="接続11230" type="7" refreshedVersion="8"/>
  <connection id="1373" xr16:uid="{00000000-0015-0000-FFFF-FFFF5C050000}" name="接続11231" type="7" refreshedVersion="8"/>
  <connection id="1374" xr16:uid="{00000000-0015-0000-FFFF-FFFF5D050000}" name="接続11232" type="7" refreshedVersion="8"/>
  <connection id="1375" xr16:uid="{00000000-0015-0000-FFFF-FFFF5E050000}" name="接続11233" type="7" refreshedVersion="8"/>
  <connection id="1376" xr16:uid="{00000000-0015-0000-FFFF-FFFF5F050000}" name="接続11234" type="7" refreshedVersion="8"/>
  <connection id="1377" xr16:uid="{00000000-0015-0000-FFFF-FFFF60050000}" name="接続11235" type="7" refreshedVersion="8"/>
  <connection id="1378" xr16:uid="{00000000-0015-0000-FFFF-FFFF61050000}" name="接続11236" type="7" refreshedVersion="8"/>
  <connection id="1379" xr16:uid="{00000000-0015-0000-FFFF-FFFF62050000}" name="接続11237" type="7" refreshedVersion="8"/>
  <connection id="1380" xr16:uid="{00000000-0015-0000-FFFF-FFFF63050000}" name="接続11238" type="7" refreshedVersion="8"/>
  <connection id="1381" xr16:uid="{00000000-0015-0000-FFFF-FFFF64050000}" name="接続11239" type="7" refreshedVersion="8"/>
  <connection id="1382" xr16:uid="{00000000-0015-0000-FFFF-FFFF65050000}" name="接続1124" type="7" refreshedVersion="4"/>
  <connection id="1383" xr16:uid="{00000000-0015-0000-FFFF-FFFF66050000}" name="接続11240" type="7" refreshedVersion="8"/>
  <connection id="1384" xr16:uid="{00000000-0015-0000-FFFF-FFFF67050000}" name="接続11241" type="7" refreshedVersion="8"/>
  <connection id="1385" xr16:uid="{00000000-0015-0000-FFFF-FFFF68050000}" name="接続11242" type="7" refreshedVersion="8"/>
  <connection id="1386" xr16:uid="{00000000-0015-0000-FFFF-FFFF69050000}" name="接続11243" type="7" refreshedVersion="8"/>
  <connection id="1387" xr16:uid="{00000000-0015-0000-FFFF-FFFF6A050000}" name="接続11244" type="7" refreshedVersion="8"/>
  <connection id="1388" xr16:uid="{00000000-0015-0000-FFFF-FFFF6B050000}" name="接続11245" type="7" refreshedVersion="8"/>
  <connection id="1389" xr16:uid="{00000000-0015-0000-FFFF-FFFF6C050000}" name="接続11246" type="7" refreshedVersion="8"/>
  <connection id="1390" xr16:uid="{00000000-0015-0000-FFFF-FFFF6D050000}" name="接続11247" type="7" refreshedVersion="8"/>
  <connection id="1391" xr16:uid="{00000000-0015-0000-FFFF-FFFF6E050000}" name="接続11248" type="7" refreshedVersion="8"/>
  <connection id="1392" xr16:uid="{00000000-0015-0000-FFFF-FFFF6F050000}" name="接続11249" type="7" refreshedVersion="8"/>
  <connection id="1393" xr16:uid="{00000000-0015-0000-FFFF-FFFF70050000}" name="接続1125" type="7" refreshedVersion="4"/>
  <connection id="1394" xr16:uid="{00000000-0015-0000-FFFF-FFFF71050000}" name="接続11250" type="7" refreshedVersion="8"/>
  <connection id="1395" xr16:uid="{00000000-0015-0000-FFFF-FFFF72050000}" name="接続11251" type="7" refreshedVersion="8"/>
  <connection id="1396" xr16:uid="{00000000-0015-0000-FFFF-FFFF73050000}" name="接続11252" type="7" refreshedVersion="8"/>
  <connection id="1397" xr16:uid="{00000000-0015-0000-FFFF-FFFF74050000}" name="接続11253" type="7" refreshedVersion="8"/>
  <connection id="1398" xr16:uid="{00000000-0015-0000-FFFF-FFFF75050000}" name="接続11254" type="7" refreshedVersion="8"/>
  <connection id="1399" xr16:uid="{00000000-0015-0000-FFFF-FFFF76050000}" name="接続11255" type="7" refreshedVersion="8"/>
  <connection id="1400" xr16:uid="{00000000-0015-0000-FFFF-FFFF77050000}" name="接続11256" type="7" refreshedVersion="8"/>
  <connection id="1401" xr16:uid="{00000000-0015-0000-FFFF-FFFF78050000}" name="接続11257" type="7" refreshedVersion="8"/>
  <connection id="1402" xr16:uid="{00000000-0015-0000-FFFF-FFFF79050000}" name="接続11258" type="7" refreshedVersion="8"/>
  <connection id="1403" xr16:uid="{00000000-0015-0000-FFFF-FFFF7A050000}" name="接続11259" type="7" refreshedVersion="8"/>
  <connection id="1404" xr16:uid="{00000000-0015-0000-FFFF-FFFF7B050000}" name="接続1126" type="7" refreshedVersion="4"/>
  <connection id="1405" xr16:uid="{00000000-0015-0000-FFFF-FFFF7C050000}" name="接続11260" type="7" refreshedVersion="8"/>
  <connection id="1406" xr16:uid="{00000000-0015-0000-FFFF-FFFF7D050000}" name="接続11261" type="7" refreshedVersion="8"/>
  <connection id="1407" xr16:uid="{00000000-0015-0000-FFFF-FFFF7E050000}" name="接続11262" type="7" refreshedVersion="8"/>
  <connection id="1408" xr16:uid="{00000000-0015-0000-FFFF-FFFF7F050000}" name="接続11263" type="7" refreshedVersion="8"/>
  <connection id="1409" xr16:uid="{00000000-0015-0000-FFFF-FFFF80050000}" name="接続11264" type="7" refreshedVersion="8"/>
  <connection id="1410" xr16:uid="{00000000-0015-0000-FFFF-FFFF81050000}" name="接続11265" type="7" refreshedVersion="8"/>
  <connection id="1411" xr16:uid="{00000000-0015-0000-FFFF-FFFF82050000}" name="接続11266" type="7" refreshedVersion="8"/>
  <connection id="1412" xr16:uid="{00000000-0015-0000-FFFF-FFFF83050000}" name="接続11267" type="7" refreshedVersion="8"/>
  <connection id="1413" xr16:uid="{00000000-0015-0000-FFFF-FFFF84050000}" name="接続11268" type="7" refreshedVersion="8"/>
  <connection id="1414" xr16:uid="{00000000-0015-0000-FFFF-FFFF85050000}" name="接続11269" type="7" refreshedVersion="8"/>
  <connection id="1415" xr16:uid="{00000000-0015-0000-FFFF-FFFF86050000}" name="接続1127" type="7" refreshedVersion="4"/>
  <connection id="1416" xr16:uid="{00000000-0015-0000-FFFF-FFFF87050000}" name="接続11270" type="7" refreshedVersion="8"/>
  <connection id="1417" xr16:uid="{00000000-0015-0000-FFFF-FFFF88050000}" name="接続11271" type="7" refreshedVersion="8"/>
  <connection id="1418" xr16:uid="{00000000-0015-0000-FFFF-FFFF89050000}" name="接続11272" type="7" refreshedVersion="8"/>
  <connection id="1419" xr16:uid="{00000000-0015-0000-FFFF-FFFF8A050000}" name="接続11273" type="7" refreshedVersion="8"/>
  <connection id="1420" xr16:uid="{00000000-0015-0000-FFFF-FFFF8B050000}" name="接続11274" type="7" refreshedVersion="8"/>
  <connection id="1421" xr16:uid="{00000000-0015-0000-FFFF-FFFF8C050000}" name="接続11275" type="7" refreshedVersion="8"/>
  <connection id="1422" xr16:uid="{00000000-0015-0000-FFFF-FFFF8D050000}" name="接続11276" type="7" refreshedVersion="8"/>
  <connection id="1423" xr16:uid="{00000000-0015-0000-FFFF-FFFF8E050000}" name="接続11277" type="7" refreshedVersion="8"/>
  <connection id="1424" xr16:uid="{00000000-0015-0000-FFFF-FFFF8F050000}" name="接続11278" type="7" refreshedVersion="8"/>
  <connection id="1425" xr16:uid="{00000000-0015-0000-FFFF-FFFF90050000}" name="接続11279" type="7" refreshedVersion="8"/>
  <connection id="1426" xr16:uid="{00000000-0015-0000-FFFF-FFFF91050000}" name="接続1128" type="7" refreshedVersion="4"/>
  <connection id="1427" xr16:uid="{00000000-0015-0000-FFFF-FFFF92050000}" name="接続11280" type="7" refreshedVersion="8"/>
  <connection id="1428" xr16:uid="{00000000-0015-0000-FFFF-FFFF93050000}" name="接続11281" type="7" refreshedVersion="8"/>
  <connection id="1429" xr16:uid="{00000000-0015-0000-FFFF-FFFF94050000}" name="接続11282" type="7" refreshedVersion="8"/>
  <connection id="1430" xr16:uid="{00000000-0015-0000-FFFF-FFFF95050000}" name="接続11283" type="7" refreshedVersion="8"/>
  <connection id="1431" xr16:uid="{00000000-0015-0000-FFFF-FFFF96050000}" name="接続11284" type="7" refreshedVersion="8"/>
  <connection id="1432" xr16:uid="{00000000-0015-0000-FFFF-FFFF97050000}" name="接続11285" type="7" refreshedVersion="8"/>
  <connection id="1433" xr16:uid="{00000000-0015-0000-FFFF-FFFF98050000}" name="接続11286" type="7" refreshedVersion="8"/>
  <connection id="1434" xr16:uid="{00000000-0015-0000-FFFF-FFFF99050000}" name="接続11287" type="7" refreshedVersion="8"/>
  <connection id="1435" xr16:uid="{00000000-0015-0000-FFFF-FFFF9A050000}" name="接続11288" type="7" refreshedVersion="8"/>
  <connection id="1436" xr16:uid="{00000000-0015-0000-FFFF-FFFF9B050000}" name="接続11289" type="7" refreshedVersion="8"/>
  <connection id="1437" xr16:uid="{00000000-0015-0000-FFFF-FFFF9C050000}" name="接続1129" type="7" refreshedVersion="4"/>
  <connection id="1438" xr16:uid="{D27D75B5-E1BA-4221-B557-ED8AB25C4983}" name="接続11290" type="7" refreshedVersion="8"/>
  <connection id="1439" xr16:uid="{01692FC2-7F8D-4407-8487-F530416CF727}" name="接続11291" type="7" refreshedVersion="8"/>
  <connection id="1440" xr16:uid="{4A1E8E7D-B561-4D85-935A-7247E9A28F0E}" name="接続11292" type="7" refreshedVersion="8"/>
  <connection id="1441" xr16:uid="{991C6852-B31B-4580-A421-0BDB08C3B2B9}" name="接続11293" type="7" refreshedVersion="8"/>
  <connection id="1442" xr16:uid="{9FB4495C-2179-4D9B-A568-2FED1C0C420E}" name="接続11294" type="7" refreshedVersion="8"/>
  <connection id="1443" xr16:uid="{8F0A9DEE-2739-4285-B2DA-97EDF18E65F0}" name="接続11295" type="7" refreshedVersion="8"/>
  <connection id="1444" xr16:uid="{D82F7D53-C032-49AE-BA84-332F8E377E58}" name="接続11296" type="7" refreshedVersion="8"/>
  <connection id="1445" xr16:uid="{F295CCAF-651D-4174-B577-D2F1A9D38FAE}" name="接続11297" type="7" refreshedVersion="8"/>
  <connection id="1446" xr16:uid="{9366E177-9D03-410F-8597-730226BB3A35}" name="接続11298" type="7" refreshedVersion="8"/>
  <connection id="1447" xr16:uid="{EF6B78E6-2AAC-412E-A41B-FA89286F866F}" name="接続11299" type="7" refreshedVersion="8"/>
  <connection id="1448" xr16:uid="{00000000-0015-0000-FFFF-FFFF9D050000}" name="接続113" type="7" refreshedVersion="4"/>
  <connection id="1449" xr16:uid="{00000000-0015-0000-FFFF-FFFF9E050000}" name="接続1130" type="7" refreshedVersion="4"/>
  <connection id="1450" xr16:uid="{AA6EF7A6-16CF-4DAF-BB23-26D194C1C177}" name="接続11300" type="7" refreshedVersion="8"/>
  <connection id="1451" xr16:uid="{A6863892-38D7-4F3E-8CFE-D18E5F60462D}" name="接続11301" type="7" refreshedVersion="8"/>
  <connection id="1452" xr16:uid="{97C4266D-8F5D-4129-9869-0BADD9E05927}" name="接続11302" type="7" refreshedVersion="8"/>
  <connection id="1453" xr16:uid="{5E44AA68-9036-4DE1-BD64-8039D330CD3C}" name="接続11303" type="7" refreshedVersion="8"/>
  <connection id="1454" xr16:uid="{E4882CC6-48C0-4CCD-91D4-B2C40143DC7E}" name="接続11304" type="7" refreshedVersion="8"/>
  <connection id="1455" xr16:uid="{A7AF80EB-5258-408A-8EED-E5693F7B352B}" name="接続11305" type="7" refreshedVersion="8"/>
  <connection id="1456" xr16:uid="{77540598-29DC-43C1-A0E7-19E60CC9764C}" name="接続11306" type="7" refreshedVersion="8"/>
  <connection id="1457" xr16:uid="{7E9CEC25-1714-40A7-938E-8221142813F4}" name="接続11307" type="7" refreshedVersion="8"/>
  <connection id="1458" xr16:uid="{D3D3E68F-0085-44B4-9422-4EAF36DDD143}" name="接続11308" type="7" refreshedVersion="8"/>
  <connection id="1459" xr16:uid="{AD6AB509-7467-461D-9296-F97403C6036C}" name="接続11309" type="7" refreshedVersion="8"/>
  <connection id="1460" xr16:uid="{00000000-0015-0000-FFFF-FFFF9F050000}" name="接続1131" type="7" refreshedVersion="4"/>
  <connection id="1461" xr16:uid="{9C73E0F6-01AC-4AEE-88A9-817EF700FF8D}" name="接続11310" type="7" refreshedVersion="8"/>
  <connection id="1462" xr16:uid="{B2A0F7E9-EE5F-4FF1-A348-2D0A20FB7927}" name="接続11311" type="7" refreshedVersion="8"/>
  <connection id="1463" xr16:uid="{B3D66197-C861-4F6C-AB5A-E7DB42FBB111}" name="接続11312" type="7" refreshedVersion="8"/>
  <connection id="1464" xr16:uid="{182A8CF1-472F-4070-A810-097261B94F46}" name="接続11313" type="7" refreshedVersion="8"/>
  <connection id="1465" xr16:uid="{E108A238-1C13-4DD9-B3A2-BEB98F4016D8}" name="接続11314" type="7" refreshedVersion="8"/>
  <connection id="1466" xr16:uid="{27D523B7-4579-468F-A014-81F16A5A6936}" name="接続11315" type="7" refreshedVersion="8"/>
  <connection id="1467" xr16:uid="{C15D9BA4-8D7F-4863-A2EA-009798834F42}" name="接続11316" type="7" refreshedVersion="8"/>
  <connection id="1468" xr16:uid="{38978D88-2227-44F8-AC7B-B85A09F821A0}" name="接続11317" type="7" refreshedVersion="8"/>
  <connection id="1469" xr16:uid="{2DD0B0CA-65AA-4C83-9926-4CA7056E82EF}" name="接続11318" type="7" refreshedVersion="8"/>
  <connection id="1470" xr16:uid="{6D1B5E17-5988-4A1A-A71A-4C665A819C58}" name="接続11319" type="7" refreshedVersion="8"/>
  <connection id="1471" xr16:uid="{00000000-0015-0000-FFFF-FFFFA0050000}" name="接続1132" type="7" refreshedVersion="4"/>
  <connection id="1472" xr16:uid="{CB21820A-63C5-4D88-B35C-696706AF02E3}" name="接続11320" type="7" refreshedVersion="8"/>
  <connection id="1473" xr16:uid="{2E2F4E6F-C268-4D3E-B480-DAE502A32ED8}" name="接続11321" type="7" refreshedVersion="8"/>
  <connection id="1474" xr16:uid="{B94F5A01-42F9-423A-B653-C1A6E9B109B6}" name="接続11322" type="7" refreshedVersion="8"/>
  <connection id="1475" xr16:uid="{38313A56-A9F3-4C64-B06E-1C4165814580}" name="接続11323" type="7" refreshedVersion="8"/>
  <connection id="1476" xr16:uid="{6A0DF0D8-BB87-418E-9805-EA6BB295C1E1}" name="接続11324" type="7" refreshedVersion="8"/>
  <connection id="1477" xr16:uid="{D8A3DFEC-6D1E-45E7-BB96-F08BCBA37342}" name="接続11325" type="7" refreshedVersion="8"/>
  <connection id="1478" xr16:uid="{8784549E-3FF1-4E13-A457-0E72BBF665C0}" name="接続11326" type="7" refreshedVersion="8"/>
  <connection id="1479" xr16:uid="{DD87510A-2665-45A4-AA57-A0CEAC92EAF9}" name="接続11327" type="7" refreshedVersion="8"/>
  <connection id="1480" xr16:uid="{68840F39-8012-4BA0-9A1C-E282C844AB78}" name="接続11328" type="7" refreshedVersion="8"/>
  <connection id="1481" xr16:uid="{D8EC63F9-4FAA-4958-A283-AA1A8FF0F12B}" name="接続11329" type="7" refreshedVersion="8"/>
  <connection id="1482" xr16:uid="{00000000-0015-0000-FFFF-FFFFA1050000}" name="接続1133" type="7" refreshedVersion="4"/>
  <connection id="1483" xr16:uid="{0FFE88CF-7CC7-4AF8-8086-6C1CD6FC6CBE}" name="接続11330" type="7" refreshedVersion="8"/>
  <connection id="1484" xr16:uid="{539443B5-1C2A-4431-95DE-83D37B507652}" name="接続11331" type="7" refreshedVersion="8"/>
  <connection id="1485" xr16:uid="{A137C7FD-0AF5-4A33-B964-DAC9E98299F3}" name="接続11332" type="7" refreshedVersion="8"/>
  <connection id="1486" xr16:uid="{E2B06B6E-2AF9-4722-9A13-6FB6FCDE8BC4}" name="接続11333" type="7" refreshedVersion="8"/>
  <connection id="1487" xr16:uid="{60432AC3-A6C2-4CAD-88D3-19D1B2592BA8}" name="接続11334" type="7" refreshedVersion="8"/>
  <connection id="1488" xr16:uid="{943810C8-F336-4067-8D34-B78C9E957E99}" name="接続11335" type="7" refreshedVersion="8"/>
  <connection id="1489" xr16:uid="{B484A3F7-CF24-45EB-9EF4-10DFAFA6B4A9}" name="接続11336" type="7" refreshedVersion="8"/>
  <connection id="1490" xr16:uid="{E62061E0-E49B-4AF0-9879-EA673F27FCD7}" name="接続11337" type="7" refreshedVersion="8"/>
  <connection id="1491" xr16:uid="{76498E2C-D7FF-48D5-AF75-27E1D938BD84}" name="接続11338" type="7" refreshedVersion="8"/>
  <connection id="1492" xr16:uid="{F36E983B-9C54-4C26-9482-E6A988C39BD5}" name="接続11339" type="7" refreshedVersion="8"/>
  <connection id="1493" xr16:uid="{00000000-0015-0000-FFFF-FFFFA2050000}" name="接続1134" type="7" refreshedVersion="4"/>
  <connection id="1494" xr16:uid="{895C2A9C-983A-4D2C-BC84-D7B7B4DEE4B7}" name="接続11340" type="7" refreshedVersion="8"/>
  <connection id="1495" xr16:uid="{B9A6D1B7-F277-4200-A0D5-B2D79C1DDAE6}" name="接続11341" type="7" refreshedVersion="8"/>
  <connection id="1496" xr16:uid="{CD007E78-9ACD-40D9-9D76-A4A8251711B3}" name="接続11342" type="7" refreshedVersion="8"/>
  <connection id="1497" xr16:uid="{6324660B-087F-4E6C-B086-AC6E6EA9E7EF}" name="接続11343" type="7" refreshedVersion="8"/>
  <connection id="1498" xr16:uid="{79D07CE9-501A-4117-B276-7D618520D353}" name="接続11344" type="7" refreshedVersion="8"/>
  <connection id="1499" xr16:uid="{39A1E132-7749-4588-875A-6005B9AD521C}" name="接続11345" type="7" refreshedVersion="8"/>
  <connection id="1500" xr16:uid="{3DE07033-9916-469E-BFE0-5E3D78A75B64}" name="接続11346" type="7" refreshedVersion="8"/>
  <connection id="1501" xr16:uid="{54DA15A5-E717-43B1-9297-A238AC961D93}" name="接続11347" type="7" refreshedVersion="8"/>
  <connection id="1502" xr16:uid="{E43EED7A-7DC7-43B3-B805-A4958E4D301B}" name="接続11348" type="7" refreshedVersion="8"/>
  <connection id="1503" xr16:uid="{4FD0D617-1D5E-4FD9-8494-2B89A15691E6}" name="接続11349" type="7" refreshedVersion="8"/>
  <connection id="1504" xr16:uid="{00000000-0015-0000-FFFF-FFFFA3050000}" name="接続1135" type="7" refreshedVersion="4"/>
  <connection id="1505" xr16:uid="{E4520079-CCA9-48C2-8849-6B9B3E506CCC}" name="接続11350" type="7" refreshedVersion="8"/>
  <connection id="1506" xr16:uid="{4C03841D-5E50-43B8-8E16-6D53CCDB6A34}" name="接続11351" type="7" refreshedVersion="8"/>
  <connection id="1507" xr16:uid="{D8F85DC0-5CC1-46B3-A4E9-E2820CE6997D}" name="接続11352" type="7" refreshedVersion="8"/>
  <connection id="1508" xr16:uid="{CD5489B2-E1D5-44CB-9772-0337C0A2B420}" name="接続11353" type="7" refreshedVersion="8"/>
  <connection id="1509" xr16:uid="{12083B67-0571-4577-8B56-42594C04C74B}" name="接続11354" type="7" refreshedVersion="8"/>
  <connection id="1510" xr16:uid="{FEFA76CC-C416-43E0-AE5D-420BB31D15F3}" name="接続11355" type="7" refreshedVersion="8"/>
  <connection id="1511" xr16:uid="{1FBF6FFC-4304-4B29-ADC6-16025A7636D1}" name="接続11356" type="7" refreshedVersion="8"/>
  <connection id="1512" xr16:uid="{13B1EA31-203B-4926-AA7E-89B77C310ED9}" name="接続11357" type="7" refreshedVersion="8"/>
  <connection id="1513" xr16:uid="{02CBDBEB-3138-4DE6-88F5-793E21293189}" name="接続11358" type="7" refreshedVersion="8"/>
  <connection id="1514" xr16:uid="{A8458E7F-D33F-4F3C-A84C-ACB2B6E7ECB7}" name="接続11359" type="7" refreshedVersion="8"/>
  <connection id="1515" xr16:uid="{00000000-0015-0000-FFFF-FFFFA4050000}" name="接続1136" type="7" refreshedVersion="4"/>
  <connection id="1516" xr16:uid="{600EA1FF-B5B2-408F-9BD3-07AD56CCE07A}" name="接続11360" type="7" refreshedVersion="8"/>
  <connection id="1517" xr16:uid="{AFBCF070-0B24-47E9-A463-E657C4860BA4}" name="接続11361" type="7" refreshedVersion="8"/>
  <connection id="1518" xr16:uid="{A186A3B2-EC22-498F-9B16-99D31B443454}" name="接続11362" type="7" refreshedVersion="8"/>
  <connection id="1519" xr16:uid="{CBDD99C5-F3CF-4C9D-A990-39C02BC895E5}" name="接続11363" type="7" refreshedVersion="8"/>
  <connection id="1520" xr16:uid="{E7CE4378-8B2A-47DE-9135-E35CBCAC7C57}" name="接続11364" type="7" refreshedVersion="8"/>
  <connection id="1521" xr16:uid="{A9B2AF7B-41FB-44AB-99B1-740BEA3D79B8}" name="接続11365" type="7" refreshedVersion="8"/>
  <connection id="1522" xr16:uid="{544D7935-B9CB-4A5C-AEC4-BE22161D9DC3}" name="接続11366" type="7" refreshedVersion="8"/>
  <connection id="1523" xr16:uid="{66322FB5-5343-4120-A359-49F6920CC87F}" name="接続11367" type="7" refreshedVersion="8"/>
  <connection id="1524" xr16:uid="{F81E3682-29B8-4347-BB11-0DA1F9C1A2A1}" name="接続11368" type="7" refreshedVersion="8"/>
  <connection id="1525" xr16:uid="{68457A81-2B82-40FE-A816-5F8820C44EAA}" name="接続11369" type="7" refreshedVersion="8"/>
  <connection id="1526" xr16:uid="{00000000-0015-0000-FFFF-FFFFA5050000}" name="接続1137" type="7" refreshedVersion="4"/>
  <connection id="1527" xr16:uid="{2D9C8908-9764-4E7F-8C42-45B4B67C3947}" name="接続11370" type="7" refreshedVersion="8"/>
  <connection id="1528" xr16:uid="{D5DC889B-DA5D-4A1F-B2B9-F86906F39398}" name="接続11371" type="7" refreshedVersion="8"/>
  <connection id="1529" xr16:uid="{721A1467-292B-4AC0-B511-23E3675D96BB}" name="接続11372" type="7" refreshedVersion="8"/>
  <connection id="1530" xr16:uid="{E21FCD27-0535-4606-AE72-81D2B0DB25B5}" name="接続11373" type="7" refreshedVersion="8"/>
  <connection id="1531" xr16:uid="{FAB8C020-E3CB-4489-9723-63191F88A37B}" name="接続11374" type="7" refreshedVersion="8"/>
  <connection id="1532" xr16:uid="{BE460CD3-3F0A-41D5-8641-F7A480D56FEA}" name="接続11375" type="7" refreshedVersion="8"/>
  <connection id="1533" xr16:uid="{EFDEA4B4-1BB5-48E0-B0B1-9B2D30D7C1C6}" name="接続11376" type="7" refreshedVersion="8"/>
  <connection id="1534" xr16:uid="{CFEB04E8-BF47-4249-AC91-636D0C827351}" name="接続11377" type="7" refreshedVersion="8"/>
  <connection id="1535" xr16:uid="{B2067AAF-5AE9-4716-A68B-88C2DCFDF162}" name="接続11378" type="7" refreshedVersion="8"/>
  <connection id="1536" xr16:uid="{59BE94EC-3346-41A5-A483-2D034AF731CF}" name="接続11379" type="7" refreshedVersion="8"/>
  <connection id="1537" xr16:uid="{00000000-0015-0000-FFFF-FFFFA6050000}" name="接続1138" type="7" refreshedVersion="4"/>
  <connection id="1538" xr16:uid="{B3E5BCDC-AFAE-4BD8-83CC-83FDB7D3C746}" name="接続11380" type="7" refreshedVersion="8"/>
  <connection id="1539" xr16:uid="{75413346-9462-4C62-BBAD-50969FC09FC6}" name="接続11381" type="7" refreshedVersion="8"/>
  <connection id="1540" xr16:uid="{E7974C3A-DA35-42E5-A8F5-B2583D1273A7}" name="接続11382" type="7" refreshedVersion="8"/>
  <connection id="1541" xr16:uid="{46411BD1-BC3E-4C1D-9A03-329EEEC367FE}" name="接続11383" type="7" refreshedVersion="8"/>
  <connection id="1542" xr16:uid="{C3395DD5-0AA3-4604-9BD9-D1DBF008BEFB}" name="接続11384" type="7" refreshedVersion="8"/>
  <connection id="1543" xr16:uid="{5D0D3541-7EBA-49E1-B123-A7BCA73B9547}" name="接続11385" type="7" refreshedVersion="8"/>
  <connection id="1544" xr16:uid="{F60E1030-C044-4181-B657-0065D9A8C280}" name="接続11386" type="7" refreshedVersion="8"/>
  <connection id="1545" xr16:uid="{BAE6432A-B62E-46E6-B1EA-54D593B9F8F9}" name="接続11387" type="7" refreshedVersion="8"/>
  <connection id="1546" xr16:uid="{49E5B753-AACB-4FE0-AC93-9236387C292B}" name="接続11388" type="7" refreshedVersion="8"/>
  <connection id="1547" xr16:uid="{A57FC71E-4F6C-4D5F-848C-7168A2AB319C}" name="接続11389" type="7" refreshedVersion="8"/>
  <connection id="1548" xr16:uid="{00000000-0015-0000-FFFF-FFFFA7050000}" name="接続1139" type="7" refreshedVersion="4"/>
  <connection id="1549" xr16:uid="{40D812CE-1AA8-4AE3-80D5-0D497CF22526}" name="接続11390" type="7" refreshedVersion="8"/>
  <connection id="1550" xr16:uid="{9DA15FE8-B857-46E9-A315-575BD58641B6}" name="接続11391" type="7" refreshedVersion="8"/>
  <connection id="1551" xr16:uid="{4C0C0C2B-417D-43B5-BC9C-5086D12C6D8C}" name="接続11392" type="7" refreshedVersion="8"/>
  <connection id="1552" xr16:uid="{F2C437E9-7192-4469-862A-5EABA55DC53B}" name="接続11393" type="7" refreshedVersion="8"/>
  <connection id="1553" xr16:uid="{DBE70B2E-90A5-448C-B9B4-DBB721B0E67C}" name="接続11394" type="7" refreshedVersion="8"/>
  <connection id="1554" xr16:uid="{8B0CB0EC-985C-4E81-9085-0C898ED8F028}" name="接続11395" type="7" refreshedVersion="8"/>
  <connection id="1555" xr16:uid="{75CB956C-9841-443E-B3B0-465C4D1E93EC}" name="接続11396" type="7" refreshedVersion="8"/>
  <connection id="1556" xr16:uid="{3D1D93F6-DB81-4463-B709-89BD15496A8A}" name="接続11397" type="7" refreshedVersion="8"/>
  <connection id="1557" xr16:uid="{69710FFE-438B-4B9C-8213-C04DD2351625}" name="接続11398" type="7" refreshedVersion="8"/>
  <connection id="1558" xr16:uid="{12A06087-F5D2-42CE-9660-9E9094C54A18}" name="接続11399" type="7" refreshedVersion="8"/>
  <connection id="1559" xr16:uid="{00000000-0015-0000-FFFF-FFFFA8050000}" name="接続114" type="7" refreshedVersion="4"/>
  <connection id="1560" xr16:uid="{00000000-0015-0000-FFFF-FFFFA9050000}" name="接続1140" type="7" refreshedVersion="4"/>
  <connection id="1561" xr16:uid="{4D1E58CD-57BD-4631-9A8F-53D436E5CC4B}" name="接続11400" type="7" refreshedVersion="8"/>
  <connection id="1562" xr16:uid="{89313C5D-40F8-4B65-AF1F-C14363E74242}" name="接続11401" type="7" refreshedVersion="8"/>
  <connection id="1563" xr16:uid="{D5C4C772-68D7-45C7-8E30-BE1C8880E30F}" name="接続11402" type="7" refreshedVersion="8"/>
  <connection id="1564" xr16:uid="{C3F117AA-6F5B-4FB4-B81A-2B95FB42C001}" name="接続11403" type="7" refreshedVersion="8"/>
  <connection id="1565" xr16:uid="{707EB5D6-A2D8-4ACA-A640-58DB386D06A0}" name="接続11404" type="7" refreshedVersion="8"/>
  <connection id="1566" xr16:uid="{B1B0B1EF-2C28-4FF1-99EE-B4D7CF95AA9F}" name="接続11405" type="7" refreshedVersion="8"/>
  <connection id="1567" xr16:uid="{50BE9B01-4894-4DE2-8B34-AEC1506B2C9A}" name="接続11406" type="7" refreshedVersion="8"/>
  <connection id="1568" xr16:uid="{5BA2A9B2-6354-426C-B921-76687349A003}" name="接続11407" type="7" refreshedVersion="8"/>
  <connection id="1569" xr16:uid="{A17CE2CE-E3BF-4AC9-9160-5400F264CA7F}" name="接続11408" type="7" refreshedVersion="8"/>
  <connection id="1570" xr16:uid="{C6A10EA9-5923-4FF4-9B45-44378D3B95CD}" name="接続11409" type="7" refreshedVersion="8"/>
  <connection id="1571" xr16:uid="{00000000-0015-0000-FFFF-FFFFAA050000}" name="接続1141" type="7" refreshedVersion="4"/>
  <connection id="1572" xr16:uid="{139E8977-51E3-401E-90E4-34DBCB786283}" name="接続11410" type="7" refreshedVersion="8"/>
  <connection id="1573" xr16:uid="{927F76B1-291E-4F55-B956-12C6D0218730}" name="接続11411" type="7" refreshedVersion="8"/>
  <connection id="1574" xr16:uid="{F518631E-7B86-429F-A803-F92EA7DA2CD9}" name="接続11412" type="7" refreshedVersion="8"/>
  <connection id="1575" xr16:uid="{750E52FD-65B4-489A-BDD3-C3D46041D45D}" name="接続11413" type="7" refreshedVersion="8"/>
  <connection id="1576" xr16:uid="{D7009C8B-5493-494B-9525-BB2A4A3AC810}" name="接続11414" type="7" refreshedVersion="8"/>
  <connection id="1577" xr16:uid="{BF0B8B50-53B5-4B12-9335-EDE9223ECCFA}" name="接続11415" type="7" refreshedVersion="8"/>
  <connection id="1578" xr16:uid="{3C85E6EA-29FE-40CD-9B80-F0FF8546870F}" name="接続11416" type="7" refreshedVersion="8"/>
  <connection id="1579" xr16:uid="{B1FD2D0A-ECEB-4211-95D4-5A69D3FA19C0}" name="接続11417" type="7" refreshedVersion="8"/>
  <connection id="1580" xr16:uid="{7170FAEE-06E9-47D0-9653-7D36BEC3A1F3}" name="接続11418" type="7" refreshedVersion="8"/>
  <connection id="1581" xr16:uid="{D0A5E17E-6D90-4147-9035-0124357E85F1}" name="接続11419" type="7" refreshedVersion="8"/>
  <connection id="1582" xr16:uid="{00000000-0015-0000-FFFF-FFFFAB050000}" name="接続1142" type="7" refreshedVersion="4"/>
  <connection id="1583" xr16:uid="{871CA1D3-4B31-4E6E-8BB0-99D9ABB2BAB0}" name="接続11420" type="7" refreshedVersion="8"/>
  <connection id="1584" xr16:uid="{36F90B80-02DB-4FFA-8629-689C91FF6829}" name="接続11421" type="7" refreshedVersion="8"/>
  <connection id="1585" xr16:uid="{044D34FC-CB8A-4DF4-8F3E-F65E4523D8C1}" name="接続11422" type="7" refreshedVersion="8"/>
  <connection id="1586" xr16:uid="{5926A06E-DE51-4F6D-96F6-FE38709BF21F}" name="接続11423" type="7" refreshedVersion="8"/>
  <connection id="1587" xr16:uid="{2FD951BD-B081-4674-930E-BAC6B5C9B4E9}" name="接続11424" type="7" refreshedVersion="8"/>
  <connection id="1588" xr16:uid="{ED1F3863-040C-4C5D-A2DD-AF2227E93069}" name="接続11425" type="7" refreshedVersion="8"/>
  <connection id="1589" xr16:uid="{A726B5B0-DDE3-4743-A278-CE01D00447EC}" name="接続11426" type="7" refreshedVersion="8"/>
  <connection id="1590" xr16:uid="{22CDF22C-7C12-4448-835E-8C2525249236}" name="接続11427" type="7" refreshedVersion="8"/>
  <connection id="1591" xr16:uid="{561FFDF0-647A-4837-BAD6-825C48B6186C}" name="接続11428" type="7" refreshedVersion="8"/>
  <connection id="1592" xr16:uid="{5D124B64-5C22-4077-B702-62D1486404D9}" name="接続11429" type="7" refreshedVersion="8"/>
  <connection id="1593" xr16:uid="{00000000-0015-0000-FFFF-FFFFAC050000}" name="接続1143" type="7" refreshedVersion="4"/>
  <connection id="1594" xr16:uid="{346FEA61-D0F2-4AEA-84EB-6AD981C26E88}" name="接続11430" type="7" refreshedVersion="8"/>
  <connection id="1595" xr16:uid="{F1F979B5-6B11-40E4-96E3-81E7C2664FCD}" name="接続11431" type="7" refreshedVersion="8"/>
  <connection id="1596" xr16:uid="{284748FD-3358-4BB7-A2FA-AE723859746D}" name="接続11432" type="7" refreshedVersion="8"/>
  <connection id="1597" xr16:uid="{4D0C68EF-7E87-482D-9A13-ED134AA9C410}" name="接続11433" type="7" refreshedVersion="8"/>
  <connection id="1598" xr16:uid="{02C5C103-5C2B-48A5-9888-D7246E5AFA9F}" name="接続11434" type="7" refreshedVersion="8"/>
  <connection id="1599" xr16:uid="{375D52CA-CA7C-440C-A45A-8AD0E319DFD3}" name="接続11435" type="7" refreshedVersion="8"/>
  <connection id="1600" xr16:uid="{5AA94F17-3FC4-4B37-B4FB-CDCCE56FC0EB}" name="接続11436" type="7" refreshedVersion="8"/>
  <connection id="1601" xr16:uid="{AAE5F64C-CCE8-499D-BC11-B59BC8297FC7}" name="接続11437" type="7" refreshedVersion="8"/>
  <connection id="1602" xr16:uid="{16DEDE4C-970A-4E57-88F9-6E44FBD594AA}" name="接続11438" type="7" refreshedVersion="8"/>
  <connection id="1603" xr16:uid="{3DF128D5-0145-45F3-8C49-4363DCF81B08}" name="接続11439" type="7" refreshedVersion="8"/>
  <connection id="1604" xr16:uid="{00000000-0015-0000-FFFF-FFFFAD050000}" name="接続1144" type="7" refreshedVersion="4"/>
  <connection id="1605" xr16:uid="{93FDBFEE-B3BA-4163-827A-40F5D3C00087}" name="接続11440" type="7" refreshedVersion="8"/>
  <connection id="1606" xr16:uid="{1BAF2110-9E26-4D18-8D4F-F80BEDE4D5AF}" name="接続11441" type="7" refreshedVersion="8"/>
  <connection id="1607" xr16:uid="{26DD2517-CADE-487B-9C1A-C0375FB830F9}" name="接続11442" type="7" refreshedVersion="8"/>
  <connection id="1608" xr16:uid="{075DC082-A673-45B6-812C-2173789A5CB2}" name="接続11443" type="7" refreshedVersion="8"/>
  <connection id="1609" xr16:uid="{72ECF84A-5D6F-4D52-8D09-2FDFEBA4643C}" name="接続11444" type="7" refreshedVersion="8"/>
  <connection id="1610" xr16:uid="{7566575C-5E39-4C0B-B405-6F2ED5C5FDB5}" name="接続11445" type="7" refreshedVersion="8"/>
  <connection id="1611" xr16:uid="{680994C5-0C03-4344-85FC-2EFDBFA949F6}" name="接続11446" type="7" refreshedVersion="8"/>
  <connection id="1612" xr16:uid="{3D76318C-8429-425F-947A-18C1C17E9728}" name="接続11447" type="7" refreshedVersion="8"/>
  <connection id="1613" xr16:uid="{4696DB7A-7708-4C10-9FB6-C518AA6507B0}" name="接続11448" type="7" refreshedVersion="8"/>
  <connection id="1614" xr16:uid="{C3BC1055-848C-4926-9EFD-74C792CDA6F1}" name="接続11449" type="7" refreshedVersion="8"/>
  <connection id="1615" xr16:uid="{00000000-0015-0000-FFFF-FFFFAE050000}" name="接続1145" type="7" refreshedVersion="4"/>
  <connection id="1616" xr16:uid="{D5D970B1-1642-4013-B86F-73AEBCAC81FA}" name="接続11450" type="7" refreshedVersion="8"/>
  <connection id="1617" xr16:uid="{F5BD175F-B8B8-4875-9479-C9E97394DABE}" name="接続11451" type="7" refreshedVersion="8"/>
  <connection id="1618" xr16:uid="{8A9DCA52-F838-4F14-96B9-6FF11683E013}" name="接続11452" type="7" refreshedVersion="8"/>
  <connection id="1619" xr16:uid="{69BE7C3B-6BB7-434B-BD13-EEE5452A3526}" name="接続11453" type="7" refreshedVersion="8"/>
  <connection id="1620" xr16:uid="{79D65F7B-0A42-40D1-9006-1F9EFE540259}" name="接続11454" type="7" refreshedVersion="8"/>
  <connection id="1621" xr16:uid="{D4A99950-CD20-4F24-B5E5-0E75C6A83275}" name="接続11455" type="7" refreshedVersion="8"/>
  <connection id="1622" xr16:uid="{9A774AC8-01B3-4ECB-A70E-6919282C68CD}" name="接続11456" type="7" refreshedVersion="8"/>
  <connection id="1623" xr16:uid="{A5E4E469-E795-4B3C-91D6-E9C593C75AFB}" name="接続11457" type="7" refreshedVersion="8"/>
  <connection id="1624" xr16:uid="{B08536F1-4856-4CBD-9AD8-964959497E69}" name="接続11458" type="7" refreshedVersion="8"/>
  <connection id="1625" xr16:uid="{88700217-B610-4DC3-A99D-804DEA6FB3FC}" name="接続11459" type="7" refreshedVersion="8"/>
  <connection id="1626" xr16:uid="{00000000-0015-0000-FFFF-FFFFAF050000}" name="接続1146" type="7" refreshedVersion="4"/>
  <connection id="1627" xr16:uid="{55EC2606-7D55-494C-8603-B2B1CC9F7486}" name="接続11460" type="7" refreshedVersion="8"/>
  <connection id="1628" xr16:uid="{2A0F43C1-52F0-4A29-BACC-CE4E5F5C47FA}" name="接続11461" type="7" refreshedVersion="8"/>
  <connection id="1629" xr16:uid="{8143470B-B8A8-4A80-9C8B-4A17DB92E2C5}" name="接続11462" type="7" refreshedVersion="8"/>
  <connection id="1630" xr16:uid="{A9E19C68-B53A-4B3B-AB6A-E53470002FF8}" name="接続11463" type="7" refreshedVersion="8"/>
  <connection id="1631" xr16:uid="{9FB6A014-D2C1-4189-82C9-53A7148A349E}" name="接続11464" type="7" refreshedVersion="8"/>
  <connection id="1632" xr16:uid="{BF177B7B-3574-4132-9FF4-5669CBF09846}" name="接続11465" type="7" refreshedVersion="8"/>
  <connection id="1633" xr16:uid="{BA17700A-A931-48B6-9292-7375A47B3930}" name="接続11466" type="7" refreshedVersion="8"/>
  <connection id="1634" xr16:uid="{6AA900B7-3A18-48E2-A6F5-3010A26DE5A0}" name="接続11467" type="7" refreshedVersion="8"/>
  <connection id="1635" xr16:uid="{7131D098-19CA-4E58-A140-F5138E863002}" name="接続11468" type="7" refreshedVersion="8"/>
  <connection id="1636" xr16:uid="{FA6CB75E-D79E-47F5-A824-D6B5C7EAD153}" name="接続11469" type="7" refreshedVersion="8"/>
  <connection id="1637" xr16:uid="{00000000-0015-0000-FFFF-FFFFB0050000}" name="接続1147" type="7" refreshedVersion="4"/>
  <connection id="1638" xr16:uid="{EC0F69EE-FB3A-45FD-A392-0A9FBD28C37A}" name="接続11470" type="7" refreshedVersion="8"/>
  <connection id="1639" xr16:uid="{76DE3CA5-F3B9-4877-8831-42E8368FD0C6}" name="接続11471" type="7" refreshedVersion="8"/>
  <connection id="1640" xr16:uid="{1DE2F045-F10F-4D9E-8659-ABEBBB4E0793}" name="接続11472" type="7" refreshedVersion="8"/>
  <connection id="1641" xr16:uid="{3E7EF056-88E6-4F41-9137-9CF7E26D6D51}" name="接続11473" type="7" refreshedVersion="8"/>
  <connection id="1642" xr16:uid="{F56A3539-0B22-4D3B-BA8B-242807CA1F2D}" name="接続11474" type="7" refreshedVersion="8"/>
  <connection id="1643" xr16:uid="{7080E1E1-ECF2-4CBA-8892-EC54CF1111F3}" name="接続11475" type="7" refreshedVersion="8"/>
  <connection id="1644" xr16:uid="{01A3C854-835F-49DA-B1A7-F2B31F98699E}" name="接続11476" type="7" refreshedVersion="8"/>
  <connection id="1645" xr16:uid="{8AAD02DA-C750-40DC-A771-D00065B4563E}" name="接続11477" type="7" refreshedVersion="8"/>
  <connection id="1646" xr16:uid="{5EBF4417-AC73-4D2F-8803-FE3F098F6082}" name="接続11478" type="7" refreshedVersion="8"/>
  <connection id="1647" xr16:uid="{9C2C536C-5817-4988-A47E-F00A93FC491F}" name="接続11479" type="7" refreshedVersion="8"/>
  <connection id="1648" xr16:uid="{00000000-0015-0000-FFFF-FFFFB1050000}" name="接続1148" type="7" refreshedVersion="4"/>
  <connection id="1649" xr16:uid="{84CEC18D-2256-44A9-A6FB-DC1F3679C177}" name="接続11480" type="7" refreshedVersion="8"/>
  <connection id="1650" xr16:uid="{D9FE6017-ABEE-4647-9C03-F5790977645B}" name="接続11481" type="7" refreshedVersion="8"/>
  <connection id="1651" xr16:uid="{03EA5F6C-45A0-43DD-BC32-3FA8AB34D798}" name="接続11482" type="7" refreshedVersion="8"/>
  <connection id="1652" xr16:uid="{12F963A1-A9F1-4BE6-A9FE-744E702B165C}" name="接続11483" type="7" refreshedVersion="8"/>
  <connection id="1653" xr16:uid="{5845A2E4-4A38-4878-B995-7A2A4C37368D}" name="接続11484" type="7" refreshedVersion="8"/>
  <connection id="1654" xr16:uid="{1A8AFEDC-83F8-4AE9-A9E8-8E3D7CAF4AFE}" name="接続11485" type="7" refreshedVersion="8"/>
  <connection id="1655" xr16:uid="{F81C9C9C-15D8-4B82-967B-9156CB622C46}" name="接続11486" type="7" refreshedVersion="8"/>
  <connection id="1656" xr16:uid="{0BCA2455-9E21-4B8D-BBB3-505E6F82AE81}" name="接続11487" type="7" refreshedVersion="8"/>
  <connection id="1657" xr16:uid="{44D5F809-9463-482F-ACA0-C940EE4D7FA5}" name="接続11488" type="7" refreshedVersion="8"/>
  <connection id="1658" xr16:uid="{990B44C6-8FFB-408D-BC90-09A44EFDD709}" name="接続11489" type="7" refreshedVersion="8"/>
  <connection id="1659" xr16:uid="{00000000-0015-0000-FFFF-FFFFB2050000}" name="接続1149" type="7" refreshedVersion="4"/>
  <connection id="1660" xr16:uid="{F9225E06-0D9F-46FE-AFE2-7181EAD33EE8}" name="接続11490" type="7" refreshedVersion="8"/>
  <connection id="1661" xr16:uid="{75170A09-3C35-4FF3-BA1D-313D3BC27564}" name="接続11491" type="7" refreshedVersion="8"/>
  <connection id="1662" xr16:uid="{F00CFE63-456D-4BEA-85A1-E7B4F27B1971}" name="接続11492" type="7" refreshedVersion="8"/>
  <connection id="1663" xr16:uid="{E8831287-E1C6-4C7D-BA61-82D5F7FC3273}" name="接続11493" type="7" refreshedVersion="8"/>
  <connection id="1664" xr16:uid="{3F9CC08D-E8B1-4E10-8C9C-6479C1E83A49}" name="接続11494" type="7" refreshedVersion="8"/>
  <connection id="1665" xr16:uid="{16EF60A8-1A04-412D-BE1B-7CB9E82332F8}" name="接続11495" type="7" refreshedVersion="8"/>
  <connection id="1666" xr16:uid="{A228F7A5-3953-4EC9-98F6-5982C89BEC28}" name="接続11496" type="7" refreshedVersion="8"/>
  <connection id="1667" xr16:uid="{232A9A90-E246-4620-8380-BE464A0A9996}" name="接続11497" type="7" refreshedVersion="8"/>
  <connection id="1668" xr16:uid="{0412BFE6-7A1A-462F-A469-7F21B7E3D084}" name="接続11498" type="7" refreshedVersion="8"/>
  <connection id="1669" xr16:uid="{AA515809-DECA-4CB9-BEA7-77E0656B5922}" name="接続11499" type="7" refreshedVersion="8"/>
  <connection id="1670" xr16:uid="{00000000-0015-0000-FFFF-FFFFB3050000}" name="接続115" type="7" refreshedVersion="4"/>
  <connection id="1671" xr16:uid="{00000000-0015-0000-FFFF-FFFFB4050000}" name="接続1150" type="7" refreshedVersion="4"/>
  <connection id="1672" xr16:uid="{068DB93D-6484-4425-97AA-14BB88F75186}" name="接続11500" type="7" refreshedVersion="8"/>
  <connection id="1673" xr16:uid="{9434B78A-F7ED-45CA-A823-2BADAA1D7F40}" name="接続11501" type="7" refreshedVersion="8"/>
  <connection id="1674" xr16:uid="{B73DE2D5-C377-40E4-8708-91C240F8A8A4}" name="接続11502" type="7" refreshedVersion="8"/>
  <connection id="1675" xr16:uid="{E7FC23E3-680B-4775-B1FA-5484D1D66A33}" name="接続11503" type="7" refreshedVersion="8"/>
  <connection id="1676" xr16:uid="{A8E2A4A2-21C5-4870-9C5D-82EB1E335DFA}" name="接続11504" type="7" refreshedVersion="8"/>
  <connection id="1677" xr16:uid="{4007FC42-C2A4-4F4A-8656-D21A5EFAC8D9}" name="接続11505" type="7" refreshedVersion="8"/>
  <connection id="1678" xr16:uid="{5FF9C885-6B33-4B75-B030-CE7D231AB3D2}" name="接続11506" type="7" refreshedVersion="8"/>
  <connection id="1679" xr16:uid="{85371468-9A92-4C76-B97C-6550457E2DB5}" name="接続11507" type="7" refreshedVersion="8"/>
  <connection id="1680" xr16:uid="{E5334816-72F8-4903-AABD-3F84C32E773D}" name="接続11508" type="7" refreshedVersion="8"/>
  <connection id="1681" xr16:uid="{72C56B8B-E24C-4362-9E5C-65FE64FF8F11}" name="接続11509" type="7" refreshedVersion="8"/>
  <connection id="1682" xr16:uid="{00000000-0015-0000-FFFF-FFFFB5050000}" name="接続1151" type="7" refreshedVersion="4"/>
  <connection id="1683" xr16:uid="{CE7C7252-9C88-43B0-A170-50BEC734AD52}" name="接続11510" type="7" refreshedVersion="8"/>
  <connection id="1684" xr16:uid="{9532FEAA-EC7E-4230-B3E4-804324A52EA8}" name="接続11511" type="7" refreshedVersion="8"/>
  <connection id="1685" xr16:uid="{31945A31-5A54-4BE5-95D3-B640A3FF144B}" name="接続11512" type="7" refreshedVersion="8"/>
  <connection id="1686" xr16:uid="{A24B80B2-FECB-4919-A940-CF106669DC06}" name="接続11513" type="7" refreshedVersion="8"/>
  <connection id="1687" xr16:uid="{8B68BB7B-022C-47B2-A73B-61EEE23C59E9}" name="接続11514" type="7" refreshedVersion="8"/>
  <connection id="1688" xr16:uid="{8898BF6F-DA58-4EEE-838C-887C3774762A}" name="接続11515" type="7" refreshedVersion="8"/>
  <connection id="1689" xr16:uid="{552AD4C9-81F2-4F20-B6FC-07702DE4437E}" name="接続11516" type="7" refreshedVersion="8"/>
  <connection id="1690" xr16:uid="{2AFE93DC-8B5E-4618-894C-64AD6ED29C27}" name="接続11517" type="7" refreshedVersion="8"/>
  <connection id="1691" xr16:uid="{11C082DB-1B1B-44C9-8385-CA977DBE5FDA}" name="接続11518" type="7" refreshedVersion="8"/>
  <connection id="1692" xr16:uid="{60859D2C-AD48-4B5F-B471-71335B6215F8}" name="接続11519" type="7" refreshedVersion="8"/>
  <connection id="1693" xr16:uid="{00000000-0015-0000-FFFF-FFFFB6050000}" name="接続1152" type="7" refreshedVersion="4"/>
  <connection id="1694" xr16:uid="{BFAE4326-911E-42D3-96A3-FCCDD289C2B8}" name="接続11520" type="7" refreshedVersion="8"/>
  <connection id="1695" xr16:uid="{957A3CF7-DFD9-475E-9037-4C78762DD277}" name="接続11521" type="7" refreshedVersion="8"/>
  <connection id="1696" xr16:uid="{C91570C3-76F5-4373-93F8-A17AFDD28816}" name="接続11522" type="7" refreshedVersion="8"/>
  <connection id="1697" xr16:uid="{2B590083-041F-47BE-9FFC-B85849416109}" name="接続11523" type="7" refreshedVersion="8"/>
  <connection id="1698" xr16:uid="{E95AF761-F08E-4075-8531-D81EB1D75151}" name="接続11524" type="7" refreshedVersion="8"/>
  <connection id="1699" xr16:uid="{D49D2F40-6D43-4CFF-9E9D-D9D1D065B35E}" name="接続11525" type="7" refreshedVersion="8"/>
  <connection id="1700" xr16:uid="{4B831839-0235-4C51-8E70-41107B674F13}" name="接続11526" type="7" refreshedVersion="8"/>
  <connection id="1701" xr16:uid="{8486D486-3373-4B34-BA55-A20CD63BACA6}" name="接続11527" type="7" refreshedVersion="8"/>
  <connection id="1702" xr16:uid="{65B64BBA-AAD4-49A1-8550-29699793831B}" name="接続11528" type="7" refreshedVersion="8"/>
  <connection id="1703" xr16:uid="{4768761F-1AA7-4394-97CB-D96285E71E8A}" name="接続11529" type="7" refreshedVersion="8"/>
  <connection id="1704" xr16:uid="{00000000-0015-0000-FFFF-FFFFB7050000}" name="接続1153" type="7" refreshedVersion="4"/>
  <connection id="1705" xr16:uid="{07C5C477-CBF8-4A53-95D0-DB1C4B8E8FB5}" name="接続11530" type="7" refreshedVersion="8"/>
  <connection id="1706" xr16:uid="{8999AE6E-E4A2-4A50-9AA5-FDB42AE346E0}" name="接続11531" type="7" refreshedVersion="8"/>
  <connection id="1707" xr16:uid="{684B6F5B-37B3-47E8-8351-3C5EF9CF2C5A}" name="接続11532" type="7" refreshedVersion="8"/>
  <connection id="1708" xr16:uid="{18A184ED-A995-423C-AFA9-2A331A39A7F0}" name="接続11533" type="7" refreshedVersion="8"/>
  <connection id="1709" xr16:uid="{CA9B394C-CBCF-4CAC-8680-AB3DA03D3A53}" name="接続11534" type="7" refreshedVersion="8"/>
  <connection id="1710" xr16:uid="{00C046CC-E191-4344-B863-00158D21907F}" name="接続11535" type="7" refreshedVersion="8"/>
  <connection id="1711" xr16:uid="{9E9EC60D-7CAB-4930-9E01-4F9ED916F1F2}" name="接続11536" type="7" refreshedVersion="8"/>
  <connection id="1712" xr16:uid="{DBF8A3A4-E636-4B25-BAD6-352C67BAD343}" name="接続11537" type="7" refreshedVersion="8"/>
  <connection id="1713" xr16:uid="{2AD6D9BE-1BCE-42FE-8A6A-54CE5C3AA4B4}" name="接続11538" type="7" refreshedVersion="8"/>
  <connection id="1714" xr16:uid="{E956B232-0637-45BE-8747-98DC7A0591D3}" name="接続11539" type="7" refreshedVersion="8"/>
  <connection id="1715" xr16:uid="{00000000-0015-0000-FFFF-FFFFB8050000}" name="接続1154" type="7" refreshedVersion="4"/>
  <connection id="1716" xr16:uid="{457B5F8C-228A-4D13-8C80-20A5F54DF3E9}" name="接続11540" type="7" refreshedVersion="8"/>
  <connection id="1717" xr16:uid="{BAD67BEA-ECA3-4C38-A8EC-8D39631ED5FA}" name="接続11541" type="7" refreshedVersion="8"/>
  <connection id="1718" xr16:uid="{9B4AA9E8-3D49-4942-B7EA-6B1AC4E1C70F}" name="接続11542" type="7" refreshedVersion="8"/>
  <connection id="1719" xr16:uid="{B08D64FA-32CD-4FDD-963C-FCEE08CAE71D}" name="接続11543" type="7" refreshedVersion="8"/>
  <connection id="1720" xr16:uid="{50111FF1-B8D0-421F-8BA4-040605066A50}" name="接続11544" type="7" refreshedVersion="8"/>
  <connection id="1721" xr16:uid="{7B7D6950-4960-4E13-ACA1-1A821E235A89}" name="接続11545" type="7" refreshedVersion="8"/>
  <connection id="1722" xr16:uid="{718247A1-AD93-494A-B87B-E49C5057DB5A}" name="接続11546" type="7" refreshedVersion="8"/>
  <connection id="1723" xr16:uid="{A859AB95-5C0C-43E3-BCDD-B039FEAB0FE9}" name="接続11547" type="7" refreshedVersion="8"/>
  <connection id="1724" xr16:uid="{55248D24-45E5-4D3B-B9D2-33D4DE0A51E9}" name="接続11548" type="7" refreshedVersion="8"/>
  <connection id="1725" xr16:uid="{4FCC4B04-31FD-48A7-BE7B-19EC05BBB6F3}" name="接続11549" type="7" refreshedVersion="8"/>
  <connection id="1726" xr16:uid="{00000000-0015-0000-FFFF-FFFFB9050000}" name="接続1155" type="7" refreshedVersion="4"/>
  <connection id="1727" xr16:uid="{E0319ACD-801E-4D7B-91D0-F43254FFA59D}" name="接続11550" type="7" refreshedVersion="8"/>
  <connection id="1728" xr16:uid="{F3AA70E3-CCEC-4AE2-A8DE-919489ED4C71}" name="接続11551" type="7" refreshedVersion="8"/>
  <connection id="1729" xr16:uid="{5A3C6958-0CBC-4DA5-B273-68FFB9BAE466}" name="接続11552" type="7" refreshedVersion="8"/>
  <connection id="1730" xr16:uid="{2FBFD53E-025E-4183-909D-E36C2D0A8C2A}" name="接続11553" type="7" refreshedVersion="8"/>
  <connection id="1731" xr16:uid="{F3C715CD-55EC-4664-B297-7DBC193BC671}" name="接続11554" type="7" refreshedVersion="8"/>
  <connection id="1732" xr16:uid="{BF6ECBB5-615F-4FDA-9448-4C4CE2859363}" name="接続11555" type="7" refreshedVersion="8"/>
  <connection id="1733" xr16:uid="{F6E4FE21-A392-4AD8-A062-5BB6A5F81511}" name="接続11556" type="7" refreshedVersion="8"/>
  <connection id="1734" xr16:uid="{DFCB38E3-1E65-427C-A56B-39EAF54866F4}" name="接続11557" type="7" refreshedVersion="8"/>
  <connection id="1735" xr16:uid="{CE9A9871-C5C8-4CDE-AA92-7F8E7BC35D3B}" name="接続11558" type="7" refreshedVersion="8"/>
  <connection id="1736" xr16:uid="{3EA461C0-E1F1-4CE5-B5A6-245E4D7EA2BD}" name="接続11559" type="7" refreshedVersion="8"/>
  <connection id="1737" xr16:uid="{00000000-0015-0000-FFFF-FFFFBA050000}" name="接続1156" type="7" refreshedVersion="4"/>
  <connection id="1738" xr16:uid="{5AC642B7-7AD3-4D77-81F6-C8F44A8D53A0}" name="接続11560" type="7" refreshedVersion="8"/>
  <connection id="1739" xr16:uid="{15BBCFF3-6D6C-47A2-A2F4-2ED797ECCA0A}" name="接続11561" type="7" refreshedVersion="8"/>
  <connection id="1740" xr16:uid="{5B170B08-8A85-4996-AB73-FA319DD479B6}" name="接続11562" type="7" refreshedVersion="8"/>
  <connection id="1741" xr16:uid="{3C055382-8E19-4F1A-BAF7-A31CDFE22071}" name="接続11563" type="7" refreshedVersion="8"/>
  <connection id="1742" xr16:uid="{0AED5785-D87F-4C20-AB44-60DC8A6F6F78}" name="接続11564" type="7" refreshedVersion="8"/>
  <connection id="1743" xr16:uid="{4E32FA3C-39C6-4226-AF2F-C81DCF764326}" name="接続11565" type="7" refreshedVersion="8"/>
  <connection id="1744" xr16:uid="{85CECAC2-959C-4581-B3F9-C3EFC0F17691}" name="接続11566" type="7" refreshedVersion="8"/>
  <connection id="1745" xr16:uid="{200669BF-1C47-49F0-B21A-9F3B4B32C056}" name="接続11567" type="7" refreshedVersion="8"/>
  <connection id="1746" xr16:uid="{8AC6C3BC-D0F8-4F6A-A3FF-0A6476ABDAE3}" name="接続11568" type="7" refreshedVersion="8"/>
  <connection id="1747" xr16:uid="{2076751D-EDD8-445D-9F66-0D9BF5446652}" name="接続11569" type="7" refreshedVersion="8"/>
  <connection id="1748" xr16:uid="{00000000-0015-0000-FFFF-FFFFBB050000}" name="接続1157" type="7" refreshedVersion="4"/>
  <connection id="1749" xr16:uid="{09BCD47B-1CF2-4F0B-AE63-5862472FBACA}" name="接続11570" type="7" refreshedVersion="8"/>
  <connection id="1750" xr16:uid="{4E88E48A-2255-4362-9A42-61F4A5CB2FFC}" name="接続11571" type="7" refreshedVersion="8"/>
  <connection id="1751" xr16:uid="{29F37A17-7582-4440-BAC0-985828374FCD}" name="接続11572" type="7" refreshedVersion="8"/>
  <connection id="1752" xr16:uid="{E909A133-5ACC-49F6-89DA-1AFD605B981A}" name="接続11573" type="7" refreshedVersion="8"/>
  <connection id="1753" xr16:uid="{49AC8AB4-E3B1-4ACF-925E-2D7A991670A6}" name="接続11574" type="7" refreshedVersion="8"/>
  <connection id="1754" xr16:uid="{40BB2E98-C9D5-4834-90FF-74B9B25A76F0}" name="接続11575" type="7" refreshedVersion="8"/>
  <connection id="1755" xr16:uid="{8BE4C6CE-FA02-4CAA-8C98-7F8EBAA78FC0}" name="接続11576" type="7" refreshedVersion="8"/>
  <connection id="1756" xr16:uid="{8AF4273F-4E20-4EFB-B182-D37F711529CD}" name="接続11577" type="7" refreshedVersion="8"/>
  <connection id="1757" xr16:uid="{E67DBAB2-1FE5-49DC-A8F0-41284936D278}" name="接続11578" type="7" refreshedVersion="8"/>
  <connection id="1758" xr16:uid="{5869EA12-E144-4792-A371-3EA2C826A338}" name="接続11579" type="7" refreshedVersion="8"/>
  <connection id="1759" xr16:uid="{00000000-0015-0000-FFFF-FFFFBC050000}" name="接続1158" type="7" refreshedVersion="4"/>
  <connection id="1760" xr16:uid="{EC929819-071D-499F-8EA5-0693C341258A}" name="接続11580" type="7" refreshedVersion="8"/>
  <connection id="1761" xr16:uid="{53C4C275-D0F1-4257-ADD3-86E3F0EC2CA1}" name="接続11581" type="7" refreshedVersion="8"/>
  <connection id="1762" xr16:uid="{DABCEB52-7293-4D12-9380-DF8EB19BACFB}" name="接続11582" type="7" refreshedVersion="8"/>
  <connection id="1763" xr16:uid="{FE74313D-9D26-423A-8905-D61F8A1383B9}" name="接続11583" type="7" refreshedVersion="8"/>
  <connection id="1764" xr16:uid="{D0E89DD5-9DDC-4EFD-812E-F84FD47346E6}" name="接続11584" type="7" refreshedVersion="8"/>
  <connection id="1765" xr16:uid="{2BBB6A7B-404E-4D88-9F19-01C4D9AA88C4}" name="接続11585" type="7" refreshedVersion="8"/>
  <connection id="1766" xr16:uid="{81B67E14-C293-4971-BB79-EE94F49D4B0B}" name="接続11586" type="7" refreshedVersion="8"/>
  <connection id="1767" xr16:uid="{0D857A21-4AE4-450C-9074-C9BD11E044DC}" name="接続11587" type="7" refreshedVersion="8"/>
  <connection id="1768" xr16:uid="{26CB0A53-99A0-4434-8DA6-677DBE836301}" name="接続11588" type="7" refreshedVersion="8"/>
  <connection id="1769" xr16:uid="{1F22161D-8030-461E-AB73-7AE16A7B648E}" name="接続11589" type="7" refreshedVersion="8"/>
  <connection id="1770" xr16:uid="{00000000-0015-0000-FFFF-FFFFBD050000}" name="接続1159" type="7" refreshedVersion="4"/>
  <connection id="1771" xr16:uid="{9FC74C2C-DF30-4B0F-A13B-BDEE08066A1C}" name="接続11590" type="7" refreshedVersion="8"/>
  <connection id="1772" xr16:uid="{C8D647E2-FE28-460C-9365-4E28E5707AF7}" name="接続11591" type="7" refreshedVersion="8"/>
  <connection id="1773" xr16:uid="{716E1F43-747B-464C-941A-25F8008F964D}" name="接続11592" type="7" refreshedVersion="8"/>
  <connection id="1774" xr16:uid="{7601B5B9-C3D9-46C4-BED5-28E3C1C060AB}" name="接続11593" type="7" refreshedVersion="8"/>
  <connection id="1775" xr16:uid="{5925030C-2005-4B97-9AF1-C0B29985E78A}" name="接続11594" type="7" refreshedVersion="8"/>
  <connection id="1776" xr16:uid="{55AF7C99-2761-4082-B4B4-B930E72FFC64}" name="接続11595" type="7" refreshedVersion="8"/>
  <connection id="1777" xr16:uid="{3DBF5ED3-AF2D-4AF9-A02B-59DA505779F4}" name="接続11596" type="7" refreshedVersion="8"/>
  <connection id="1778" xr16:uid="{A78EA46A-5B61-4683-B792-94FAB197237B}" name="接続11597" type="7" refreshedVersion="8"/>
  <connection id="1779" xr16:uid="{72340ECB-B731-47E7-B4E0-509F336FE8D4}" name="接続11598" type="7" refreshedVersion="8"/>
  <connection id="1780" xr16:uid="{99B9363B-275F-4D0C-8DE6-9FC1ACC008EE}" name="接続11599" type="7" refreshedVersion="8"/>
  <connection id="1781" xr16:uid="{00000000-0015-0000-FFFF-FFFFBE050000}" name="接続116" type="7" refreshedVersion="4"/>
  <connection id="1782" xr16:uid="{00000000-0015-0000-FFFF-FFFFBF050000}" name="接続1160" type="7" refreshedVersion="4"/>
  <connection id="1783" xr16:uid="{FE2FD673-66C4-43BB-8FB8-AA9E03F105F5}" name="接続11600" type="7" refreshedVersion="8"/>
  <connection id="1784" xr16:uid="{BE5E5E19-E646-4495-9ABD-3B7BD5A583F2}" name="接続11601" type="7" refreshedVersion="8"/>
  <connection id="1785" xr16:uid="{4B080F01-E255-42D0-8BF8-B65CC265B2EE}" name="接続11602" type="7" refreshedVersion="8"/>
  <connection id="1786" xr16:uid="{D76BDB1E-D95A-49F5-BA54-07E31BBF89DD}" name="接続11603" type="7" refreshedVersion="8"/>
  <connection id="1787" xr16:uid="{B8C5ACFD-6EB9-4ACE-9A0B-6568EB7EA067}" name="接続11604" type="7" refreshedVersion="8"/>
  <connection id="1788" xr16:uid="{BB9C2C05-798D-4FC1-A011-EF43B55B668C}" name="接続11605" type="7" refreshedVersion="8"/>
  <connection id="1789" xr16:uid="{0057FF49-E84B-4013-A839-2719C3D2829A}" name="接続11606" type="7" refreshedVersion="8"/>
  <connection id="1790" xr16:uid="{25B2F7DA-79A9-4CA3-BE1B-25BB9D61D359}" name="接続11607" type="7" refreshedVersion="8"/>
  <connection id="1791" xr16:uid="{80548015-4CFC-43E3-AD23-BE1653A9E677}" name="接続11608" type="7" refreshedVersion="8"/>
  <connection id="1792" xr16:uid="{095D4CB3-3CCC-43D0-AB6A-83742491B1AD}" name="接続11609" type="7" refreshedVersion="8"/>
  <connection id="1793" xr16:uid="{00000000-0015-0000-FFFF-FFFFC0050000}" name="接続1161" type="7" refreshedVersion="4"/>
  <connection id="1794" xr16:uid="{427B6AE1-4DDF-44B5-88E3-848B62F2E645}" name="接続11610" type="7" refreshedVersion="8"/>
  <connection id="1795" xr16:uid="{719E1DD7-CFBD-4859-8EBB-1F8639D7623C}" name="接続11611" type="7" refreshedVersion="8"/>
  <connection id="1796" xr16:uid="{56D62F73-E2CE-4322-9B9E-A5870EC65EAF}" name="接続11612" type="7" refreshedVersion="8"/>
  <connection id="1797" xr16:uid="{F3771412-3053-4B03-92EA-66E9C23A1367}" name="接続11613" type="7" refreshedVersion="8"/>
  <connection id="1798" xr16:uid="{969AA52D-F71F-4A10-9853-5E4DD728E37D}" name="接続11614" type="7" refreshedVersion="8"/>
  <connection id="1799" xr16:uid="{BD63CA72-8F26-42C6-8109-97CAF54414A4}" name="接続11615" type="7" refreshedVersion="8"/>
  <connection id="1800" xr16:uid="{B896F63E-E9A8-4F04-B470-5640F338D6B7}" name="接続11616" type="7" refreshedVersion="8"/>
  <connection id="1801" xr16:uid="{FB92821C-E4BA-4CBC-933B-71097FE2582D}" name="接続11617" type="7" refreshedVersion="8"/>
  <connection id="1802" xr16:uid="{2734D0C0-C3D3-43F9-B6AE-CBA90EE7CD6D}" name="接続11618" type="7" refreshedVersion="8"/>
  <connection id="1803" xr16:uid="{6712327D-60A8-4C2A-9494-0634E89F72DA}" name="接続11619" type="7" refreshedVersion="8"/>
  <connection id="1804" xr16:uid="{00000000-0015-0000-FFFF-FFFFC1050000}" name="接続1162" type="7" refreshedVersion="4"/>
  <connection id="1805" xr16:uid="{F9FA164E-B9C6-4B0E-A86F-151A8548A6A5}" name="接続11620" type="7" refreshedVersion="8"/>
  <connection id="1806" xr16:uid="{5D92669D-8E1F-4ADC-BBC6-AEF178A5A5F7}" name="接続11621" type="7" refreshedVersion="8"/>
  <connection id="1807" xr16:uid="{22B4F6EC-4E04-41F8-8732-DED0DC00297E}" name="接続11622" type="7" refreshedVersion="8"/>
  <connection id="1808" xr16:uid="{AD9DE3D2-D78B-447B-998D-C2637A7F2EE2}" name="接続11623" type="7" refreshedVersion="8"/>
  <connection id="1809" xr16:uid="{F6F3BB6C-0F44-49D8-97CE-EBC3F25EF5E4}" name="接続11624" type="7" refreshedVersion="8"/>
  <connection id="1810" xr16:uid="{BA835467-099C-460A-B01B-D4CF7478668D}" name="接続11625" type="7" refreshedVersion="8"/>
  <connection id="1811" xr16:uid="{C5F09323-AB02-4889-94BB-6233EFB0A2DB}" name="接続11626" type="7" refreshedVersion="8"/>
  <connection id="1812" xr16:uid="{D0E4AF2A-2150-4BF5-A0DC-7A6854D75FFB}" name="接続11627" type="7" refreshedVersion="8"/>
  <connection id="1813" xr16:uid="{C70F2438-BFC5-482E-AAE4-CEAF7B3FE817}" name="接続11628" type="7" refreshedVersion="8"/>
  <connection id="1814" xr16:uid="{37123424-7A70-42CC-95B7-DA288F6C6EFE}" name="接続11629" type="7" refreshedVersion="8"/>
  <connection id="1815" xr16:uid="{00000000-0015-0000-FFFF-FFFFC2050000}" name="接続1163" type="7" refreshedVersion="4"/>
  <connection id="1816" xr16:uid="{E5355D87-748E-48FC-87A9-B94EE751B307}" name="接続11630" type="7" refreshedVersion="8"/>
  <connection id="1817" xr16:uid="{2748B3B8-5435-4101-9D0F-8419FC76EA0F}" name="接続11631" type="7" refreshedVersion="8"/>
  <connection id="1818" xr16:uid="{3B4DEE69-D9F7-4966-BD72-F20691186B9C}" name="接続11632" type="7" refreshedVersion="8"/>
  <connection id="1819" xr16:uid="{9A8BBDEC-6CF8-4829-99F8-6E0A58FC8D99}" name="接続11633" type="7" refreshedVersion="8"/>
  <connection id="1820" xr16:uid="{2AEC709E-813E-465E-A421-A94D6ECF3232}" name="接続11634" type="7" refreshedVersion="8"/>
  <connection id="1821" xr16:uid="{13A12BEA-7BEE-41FC-BC85-8980C4C1C3B7}" name="接続11635" type="7" refreshedVersion="8"/>
  <connection id="1822" xr16:uid="{6C85159F-3100-4B52-99FA-28AC1218BA3B}" name="接続11636" type="7" refreshedVersion="8"/>
  <connection id="1823" xr16:uid="{3E537439-65B5-45F0-ADDD-3A91DF440875}" name="接続11637" type="7" refreshedVersion="8"/>
  <connection id="1824" xr16:uid="{8D2478DF-5D4B-4DC4-8295-5FF54A9D34B0}" name="接続11638" type="7" refreshedVersion="8"/>
  <connection id="1825" xr16:uid="{E953B90F-AE07-48F3-8303-FBAB2D831E94}" name="接続11639" type="7" refreshedVersion="8"/>
  <connection id="1826" xr16:uid="{00000000-0015-0000-FFFF-FFFFC3050000}" name="接続1164" type="7" refreshedVersion="4"/>
  <connection id="1827" xr16:uid="{B2BB1415-23B7-4E72-8731-AA4BCEB641CD}" name="接続11640" type="7" refreshedVersion="8"/>
  <connection id="1828" xr16:uid="{395C6BE9-29CA-47E4-B38E-345B276D9F6E}" name="接続11641" type="7" refreshedVersion="8"/>
  <connection id="1829" xr16:uid="{E1C57A73-0DE9-4D49-AA4A-5E31724375B4}" name="接続11642" type="7" refreshedVersion="8"/>
  <connection id="1830" xr16:uid="{16B97364-98ED-4D43-8D95-188297198942}" name="接続11643" type="7" refreshedVersion="8"/>
  <connection id="1831" xr16:uid="{3E9F331E-A23F-4C73-A040-2110CDEE6E18}" name="接続11644" type="7" refreshedVersion="8"/>
  <connection id="1832" xr16:uid="{C57BDD5E-CAA9-4155-9810-1B0496BA8028}" name="接続11645" type="7" refreshedVersion="8"/>
  <connection id="1833" xr16:uid="{1FE402D3-27C4-4DDC-ABBC-B68A40B8E9BC}" name="接続11646" type="7" refreshedVersion="8"/>
  <connection id="1834" xr16:uid="{F4A3B8D4-E80D-4B89-9507-37BC2B1B5DC2}" name="接続11647" type="7" refreshedVersion="8"/>
  <connection id="1835" xr16:uid="{F9DF96BA-70B0-412D-8B21-76117DD6472E}" name="接続11648" type="7" refreshedVersion="8"/>
  <connection id="1836" xr16:uid="{C4F75605-20D7-44E8-A14C-91131CB15BDE}" name="接続11649" type="7" refreshedVersion="8"/>
  <connection id="1837" xr16:uid="{00000000-0015-0000-FFFF-FFFFC4050000}" name="接続1165" type="7" refreshedVersion="4"/>
  <connection id="1838" xr16:uid="{89BDA8F0-3A54-4CA9-B526-3621886EE5D0}" name="接続11650" type="7" refreshedVersion="8"/>
  <connection id="1839" xr16:uid="{8A8936F5-E8CE-44EB-BC09-3CD52AD6491B}" name="接続11651" type="7" refreshedVersion="8"/>
  <connection id="1840" xr16:uid="{AA6C0033-3250-4332-8619-E7C72EC93198}" name="接続11652" type="7" refreshedVersion="8"/>
  <connection id="1841" xr16:uid="{D813D7B1-B9A1-4278-8342-258ABA0DCF5D}" name="接続11653" type="7" refreshedVersion="8"/>
  <connection id="1842" xr16:uid="{AE3E84EB-EC44-42D8-BAFC-9DA270FB32F6}" name="接続11654" type="7" refreshedVersion="8"/>
  <connection id="1843" xr16:uid="{7BB38B32-0E71-4E98-B6A3-E033F465BBCA}" name="接続11655" type="7" refreshedVersion="8"/>
  <connection id="1844" xr16:uid="{5F110382-7DC3-49E5-B79A-1E17FD4114FB}" name="接続11656" type="7" refreshedVersion="8"/>
  <connection id="1845" xr16:uid="{0AA7181F-7AA6-4CD3-B033-10DC7C55141F}" name="接続11657" type="7" refreshedVersion="8"/>
  <connection id="1846" xr16:uid="{0C026EBF-F224-4442-98D9-D56DAC96FAA8}" name="接続11658" type="7" refreshedVersion="8"/>
  <connection id="1847" xr16:uid="{C7AC42B6-D5F9-449C-8441-7BE162038A0C}" name="接続11659" type="7" refreshedVersion="8"/>
  <connection id="1848" xr16:uid="{00000000-0015-0000-FFFF-FFFFC5050000}" name="接続1166" type="7" refreshedVersion="4"/>
  <connection id="1849" xr16:uid="{93AB1F07-9E15-4A09-979B-D9158889CC7B}" name="接続11660" type="7" refreshedVersion="8"/>
  <connection id="1850" xr16:uid="{43419D6F-A149-4F71-9A4A-51CAA10E68B2}" name="接続11661" type="7" refreshedVersion="8"/>
  <connection id="1851" xr16:uid="{17F81F41-F721-42BC-9A01-F2F3E9BAD560}" name="接続11662" type="7" refreshedVersion="8"/>
  <connection id="1852" xr16:uid="{09D56D82-1781-4529-A5A0-F83D741080C9}" name="接続11663" type="7" refreshedVersion="8"/>
  <connection id="1853" xr16:uid="{53A68327-FE33-4600-8859-1E0A17BB269D}" name="接続11664" type="7" refreshedVersion="8"/>
  <connection id="1854" xr16:uid="{22C72A29-9ACD-4124-87F5-FC6EDC932879}" name="接続11665" type="7" refreshedVersion="8"/>
  <connection id="1855" xr16:uid="{E44DEA05-BC8D-4C55-B031-F0C80053B570}" name="接続11666" type="7" refreshedVersion="8"/>
  <connection id="1856" xr16:uid="{7D104A22-94C2-4105-BD2E-F983ECA364D5}" name="接続11667" type="7" refreshedVersion="8"/>
  <connection id="1857" xr16:uid="{867D0A7A-559A-447C-A333-B8E630FD8E64}" name="接続11668" type="7" refreshedVersion="8"/>
  <connection id="1858" xr16:uid="{03ED99DA-EBEB-4BB1-BB11-C72839248C34}" name="接続11669" type="7" refreshedVersion="8"/>
  <connection id="1859" xr16:uid="{00000000-0015-0000-FFFF-FFFFC6050000}" name="接続1167" type="7" refreshedVersion="4"/>
  <connection id="1860" xr16:uid="{7AA04E4F-B67A-475F-93CE-1D76031A4CA5}" name="接続11670" type="7" refreshedVersion="8"/>
  <connection id="1861" xr16:uid="{754ECDA1-FCDA-4D07-8435-84D05D68D93A}" name="接続11671" type="7" refreshedVersion="8"/>
  <connection id="1862" xr16:uid="{FC601599-57BB-49A7-89F1-2ADC9CAC002E}" name="接続11672" type="7" refreshedVersion="8"/>
  <connection id="1863" xr16:uid="{16D86161-B92F-4915-B2B8-7EAFC851151C}" name="接続11673" type="7" refreshedVersion="8"/>
  <connection id="1864" xr16:uid="{6FEF4E75-DDE7-4276-90D1-D0F1E8776252}" name="接続11674" type="7" refreshedVersion="8"/>
  <connection id="1865" xr16:uid="{7B56EB27-DC04-47C3-AF16-017371D2FE30}" name="接続11675" type="7" refreshedVersion="8"/>
  <connection id="1866" xr16:uid="{EFD90939-2E8C-4296-84F2-98A038B32E11}" name="接続11676" type="7" refreshedVersion="8"/>
  <connection id="1867" xr16:uid="{B7B9AD8A-C5DE-471F-AACE-BC13E78D5D87}" name="接続11677" type="7" refreshedVersion="8"/>
  <connection id="1868" xr16:uid="{0B4CA1EA-F16A-4879-9378-8A2CD1F6EA69}" name="接続11678" type="7" refreshedVersion="8"/>
  <connection id="1869" xr16:uid="{9ED64DAE-3B20-4D1D-99C3-96B544D0E1AA}" name="接続11679" type="7" refreshedVersion="8"/>
  <connection id="1870" xr16:uid="{00000000-0015-0000-FFFF-FFFFC7050000}" name="接続1168" type="7" refreshedVersion="4"/>
  <connection id="1871" xr16:uid="{E79425D6-407F-46C9-8656-15DCDEF5C095}" name="接続11680" type="7" refreshedVersion="8"/>
  <connection id="1872" xr16:uid="{C172298A-E2A4-4236-8E5B-29CEE026C823}" name="接続11681" type="7" refreshedVersion="8"/>
  <connection id="1873" xr16:uid="{12B69F0C-B83C-4F54-8A56-E8AB07A89183}" name="接続11682" type="7" refreshedVersion="8"/>
  <connection id="1874" xr16:uid="{7556B8EE-DE93-4B8E-B70A-846C037E0C11}" name="接続11683" type="7" refreshedVersion="8"/>
  <connection id="1875" xr16:uid="{6420C33D-6F77-4FCD-99B4-F0732F5AAFB0}" name="接続11684" type="7" refreshedVersion="8"/>
  <connection id="1876" xr16:uid="{04729919-8C14-4902-A83A-7DFA28E6D78D}" name="接続11685" type="7" refreshedVersion="8"/>
  <connection id="1877" xr16:uid="{7899296E-CC63-483B-B63A-5B216EF76F78}" name="接続11686" type="7" refreshedVersion="8"/>
  <connection id="1878" xr16:uid="{76A02C97-1EAB-4978-8A41-5BAFDA0B5747}" name="接続11687" type="7" refreshedVersion="8"/>
  <connection id="1879" xr16:uid="{EF72E0BB-A078-45DF-9823-8352289C138E}" name="接続11688" type="7" refreshedVersion="8"/>
  <connection id="1880" xr16:uid="{880CC605-B38C-4C06-93A5-1758870C1D69}" name="接続11689" type="7" refreshedVersion="8"/>
  <connection id="1881" xr16:uid="{00000000-0015-0000-FFFF-FFFFC8050000}" name="接続1169" type="7" refreshedVersion="4"/>
  <connection id="1882" xr16:uid="{840B065C-38BA-4263-9D60-786B20A31F8E}" name="接続11690" type="7" refreshedVersion="8"/>
  <connection id="1883" xr16:uid="{51DD59E1-6F93-40CA-A261-14F7D953DFB9}" name="接続11691" type="7" refreshedVersion="8"/>
  <connection id="1884" xr16:uid="{FDAC3E7C-3ADA-4F46-AC06-7430A6047833}" name="接続11692" type="7" refreshedVersion="8"/>
  <connection id="1885" xr16:uid="{90043463-347B-468C-8468-0C03C0373E74}" name="接続11693" type="7" refreshedVersion="8"/>
  <connection id="1886" xr16:uid="{11304BD1-3EEE-483D-84AA-F626BAB3FC7A}" name="接続11694" type="7" refreshedVersion="8"/>
  <connection id="1887" xr16:uid="{355FA4CE-EF28-427F-872F-70B340E31F7E}" name="接続11695" type="7" refreshedVersion="8"/>
  <connection id="1888" xr16:uid="{A428C9F2-7650-443B-AD40-E77573532DBC}" name="接続11696" type="7" refreshedVersion="8"/>
  <connection id="1889" xr16:uid="{990E4F03-4D1C-4EBF-9340-E33B7018AF0D}" name="接続11697" type="7" refreshedVersion="8"/>
  <connection id="1890" xr16:uid="{11CD8C82-52E9-402A-A94E-8083A476AC27}" name="接続11698" type="7" refreshedVersion="8"/>
  <connection id="1891" xr16:uid="{7E96C41E-B759-4AA0-8859-0B57B6925654}" name="接続11699" type="7" refreshedVersion="8"/>
  <connection id="1892" xr16:uid="{00000000-0015-0000-FFFF-FFFFC9050000}" name="接続117" type="7" refreshedVersion="4"/>
  <connection id="1893" xr16:uid="{00000000-0015-0000-FFFF-FFFFCA050000}" name="接続1170" type="7" refreshedVersion="4"/>
  <connection id="1894" xr16:uid="{1D68B608-4F86-43AC-92B6-39ADF39F715C}" name="接続11700" type="7" refreshedVersion="8"/>
  <connection id="1895" xr16:uid="{29476D00-6C02-4005-82F8-41CE8F9C2014}" name="接続11701" type="7" refreshedVersion="8"/>
  <connection id="1896" xr16:uid="{2087285F-C7A3-4DD4-8ED8-FD0DF9CD0564}" name="接続11702" type="7" refreshedVersion="8"/>
  <connection id="1897" xr16:uid="{DC182312-FB0F-4D61-A9CA-CF263F323079}" name="接続11703" type="7" refreshedVersion="8"/>
  <connection id="1898" xr16:uid="{D7C8BA28-A568-4367-B9BD-4345799622F8}" name="接続11704" type="7" refreshedVersion="8"/>
  <connection id="1899" xr16:uid="{388D243A-AE48-4ADC-A529-2608946F6F63}" name="接続11705" type="7" refreshedVersion="8"/>
  <connection id="1900" xr16:uid="{A89E777C-14A8-4C84-B0FD-0C4149A9385E}" name="接続11706" type="7" refreshedVersion="8"/>
  <connection id="1901" xr16:uid="{F0BFF375-F64F-4137-929D-F65D37F9D176}" name="接続11707" type="7" refreshedVersion="8"/>
  <connection id="1902" xr16:uid="{CA4D9932-9F2D-4BF2-8EA5-7F2A8E239297}" name="接続11708" type="7" refreshedVersion="8"/>
  <connection id="1903" xr16:uid="{BB442E30-783F-4892-A037-294AED043922}" name="接続11709" type="7" refreshedVersion="8"/>
  <connection id="1904" xr16:uid="{00000000-0015-0000-FFFF-FFFFCB050000}" name="接続1171" type="7" refreshedVersion="4"/>
  <connection id="1905" xr16:uid="{0E63619D-B93E-426C-BDAB-9182F3B83B7C}" name="接続11710" type="7" refreshedVersion="8"/>
  <connection id="1906" xr16:uid="{ED2611C5-4C0E-4631-A3F2-942A93995E18}" name="接続11711" type="7" refreshedVersion="8"/>
  <connection id="1907" xr16:uid="{5473E218-3450-49EA-AACA-33B3D308ED04}" name="接続11712" type="7" refreshedVersion="8"/>
  <connection id="1908" xr16:uid="{2EB2B145-C206-4C08-AB6D-AD25D21989D0}" name="接続11713" type="7" refreshedVersion="8"/>
  <connection id="1909" xr16:uid="{9E789CB5-5AE7-4976-9BEE-10A06700F1AA}" name="接続11714" type="7" refreshedVersion="8"/>
  <connection id="1910" xr16:uid="{B75E2B2C-752A-4097-AAB6-D7E43B033EB5}" name="接続11715" type="7" refreshedVersion="8"/>
  <connection id="1911" xr16:uid="{8F5A51A7-342F-470F-93D7-174865DDB110}" name="接続11716" type="7" refreshedVersion="8"/>
  <connection id="1912" xr16:uid="{F21B336E-C78F-4D46-848C-017593D157F4}" name="接続11717" type="7" refreshedVersion="8"/>
  <connection id="1913" xr16:uid="{B50292CB-3F6A-438A-9E05-06F87EB81296}" name="接続11718" type="7" refreshedVersion="8"/>
  <connection id="1914" xr16:uid="{B02C757A-2A0F-4836-9F8B-9A6E950C8AEB}" name="接続11719" type="7" refreshedVersion="8"/>
  <connection id="1915" xr16:uid="{00000000-0015-0000-FFFF-FFFFCC050000}" name="接続1172" type="7" refreshedVersion="4"/>
  <connection id="1916" xr16:uid="{8121135A-7C47-40A2-9A07-46E99B648D3E}" name="接続11720" type="7" refreshedVersion="8"/>
  <connection id="1917" xr16:uid="{A345599E-FCAF-4557-9E0B-8499E3335FB4}" name="接続11721" type="7" refreshedVersion="8"/>
  <connection id="1918" xr16:uid="{385029CC-7E4D-42A1-A5DE-478310151FC6}" name="接続11722" type="7" refreshedVersion="8"/>
  <connection id="1919" xr16:uid="{7CF4163A-91CD-49E7-873C-0B3CC4D14938}" name="接続11723" type="7" refreshedVersion="8"/>
  <connection id="1920" xr16:uid="{274F26AA-E4F9-4556-B548-F994CA4D2DB3}" name="接続11724" type="7" refreshedVersion="8"/>
  <connection id="1921" xr16:uid="{32E1C9D7-E0F1-48B5-A49A-B8D9E29E7C29}" name="接続11725" type="7" refreshedVersion="8"/>
  <connection id="1922" xr16:uid="{FE23266D-8A8A-4790-9B6D-8C452C4B5522}" name="接続11726" type="7" refreshedVersion="8"/>
  <connection id="1923" xr16:uid="{32728A0F-61A0-4679-AE32-A6944EBFAA81}" name="接続11727" type="7" refreshedVersion="8"/>
  <connection id="1924" xr16:uid="{BA0BCB02-818F-4900-AA12-1C8640F089D4}" name="接続11728" type="7" refreshedVersion="8"/>
  <connection id="1925" xr16:uid="{DDFEA6BE-17E2-4321-AD9A-6B61CF3620FA}" name="接続11729" type="7" refreshedVersion="8"/>
  <connection id="1926" xr16:uid="{00000000-0015-0000-FFFF-FFFFCD050000}" name="接続1173" type="7" refreshedVersion="4"/>
  <connection id="1927" xr16:uid="{B0D2A9CB-3E9A-4648-A492-28B17B99FEB2}" name="接続11730" type="7" refreshedVersion="8"/>
  <connection id="1928" xr16:uid="{A85A8E87-7C8D-452F-AAC9-91E026895620}" name="接続11731" type="7" refreshedVersion="8"/>
  <connection id="1929" xr16:uid="{3EF05054-D3AF-44B4-B876-40EFEE20FC32}" name="接続11732" type="7" refreshedVersion="8"/>
  <connection id="1930" xr16:uid="{53D6D811-6F86-48D2-A41D-B8A2E5206683}" name="接続11733" type="7" refreshedVersion="8"/>
  <connection id="1931" xr16:uid="{7DA5B87D-D8D9-490F-AE96-333EE6ADBC45}" name="接続11734" type="7" refreshedVersion="8"/>
  <connection id="1932" xr16:uid="{A4C98A93-ED1C-419F-9306-4EBE35AA066B}" name="接続11735" type="7" refreshedVersion="8"/>
  <connection id="1933" xr16:uid="{D7C5E51F-7D93-4D8B-8B94-8E030D3B679F}" name="接続11736" type="7" refreshedVersion="8"/>
  <connection id="1934" xr16:uid="{FFFE518E-D571-4010-ACB5-8D570C81F1E0}" name="接続11737" type="7" refreshedVersion="8"/>
  <connection id="1935" xr16:uid="{A49C832E-BB40-4EE4-A768-2E63CBE58AD2}" name="接続11738" type="7" refreshedVersion="8"/>
  <connection id="1936" xr16:uid="{9D19F133-8A98-4A9C-9463-A62DB74761E2}" name="接続11739" type="7" refreshedVersion="8"/>
  <connection id="1937" xr16:uid="{00000000-0015-0000-FFFF-FFFFCE050000}" name="接続1174" type="7" refreshedVersion="4"/>
  <connection id="1938" xr16:uid="{916932FB-6E91-4FFC-80AC-FECAEB3BC77D}" name="接続11740" type="7" refreshedVersion="8"/>
  <connection id="1939" xr16:uid="{A8B48C69-6AA6-4D16-8DA3-FEDBC2D42B51}" name="接続11741" type="7" refreshedVersion="8"/>
  <connection id="1940" xr16:uid="{D587E396-EB30-4F8E-82EA-EA11EA8ED252}" name="接続11742" type="7" refreshedVersion="8"/>
  <connection id="1941" xr16:uid="{13F3C136-3889-4A26-8959-11694F3E950F}" name="接続11743" type="7" refreshedVersion="8"/>
  <connection id="1942" xr16:uid="{5062FC5A-10F1-489B-AC47-609CCF2B1322}" name="接続11744" type="7" refreshedVersion="8"/>
  <connection id="1943" xr16:uid="{079D32DB-FD81-4A6C-9AA8-E8A581929D67}" name="接続11745" type="7" refreshedVersion="8"/>
  <connection id="1944" xr16:uid="{4887DE72-9443-4C7F-91BE-45046A4EF49D}" name="接続11746" type="7" refreshedVersion="8"/>
  <connection id="1945" xr16:uid="{63E1F67E-CD25-4BD6-BEE9-7409109239E7}" name="接続11747" type="7" refreshedVersion="8"/>
  <connection id="1946" xr16:uid="{D64396A3-581E-41BB-98BA-630D52A07D20}" name="接続11748" type="7" refreshedVersion="8"/>
  <connection id="1947" xr16:uid="{49133428-C1D1-4B49-A8ED-D66E2F386E9D}" name="接続11749" type="7" refreshedVersion="8"/>
  <connection id="1948" xr16:uid="{00000000-0015-0000-FFFF-FFFFCF050000}" name="接続1175" type="7" refreshedVersion="4"/>
  <connection id="1949" xr16:uid="{337E567B-9234-457F-9567-2EED4999743B}" name="接続11750" type="7" refreshedVersion="8"/>
  <connection id="1950" xr16:uid="{D124546C-C6E6-401D-AD9D-1AE10C5550CB}" name="接続11751" type="7" refreshedVersion="8"/>
  <connection id="1951" xr16:uid="{2006B508-703C-4FC6-BA45-FEF75CC7D07C}" name="接続11752" type="7" refreshedVersion="8"/>
  <connection id="1952" xr16:uid="{465053D7-3BC6-4F88-A3CC-177A5A56FD15}" name="接続11753" type="7" refreshedVersion="8"/>
  <connection id="1953" xr16:uid="{7BD64CDB-F2DF-4D32-AB37-7998FCA61220}" name="接続11754" type="7" refreshedVersion="8"/>
  <connection id="1954" xr16:uid="{BEE0D24B-B9BA-419C-A232-2423FA0FB6D3}" name="接続11755" type="7" refreshedVersion="8"/>
  <connection id="1955" xr16:uid="{C7CA4D63-0364-4CC2-87E0-4C517C273030}" name="接続11756" type="7" refreshedVersion="8"/>
  <connection id="1956" xr16:uid="{ACBF0938-D41D-4988-B65C-AA700957EBBB}" name="接続11757" type="7" refreshedVersion="8"/>
  <connection id="1957" xr16:uid="{24740210-1794-412D-9803-906E968189E4}" name="接続11758" type="7" refreshedVersion="8"/>
  <connection id="1958" xr16:uid="{8B8E3386-9503-4383-9C2C-BF30D5CC6833}" name="接続11759" type="7" refreshedVersion="8"/>
  <connection id="1959" xr16:uid="{00000000-0015-0000-FFFF-FFFFD0050000}" name="接続1176" type="7" refreshedVersion="4"/>
  <connection id="1960" xr16:uid="{A6B83679-7CFA-4706-9A7A-73E8A988C42F}" name="接続11760" type="7" refreshedVersion="8"/>
  <connection id="1961" xr16:uid="{CC9774CC-7CB6-4C74-B299-0FD6CB0F77EF}" name="接続11761" type="7" refreshedVersion="8"/>
  <connection id="1962" xr16:uid="{8B7C2A24-B020-4647-9F2E-5AFA0CA4C28E}" name="接続11762" type="7" refreshedVersion="8"/>
  <connection id="1963" xr16:uid="{6337B9FE-37A8-4277-AA88-22CFD7BD8721}" name="接続11763" type="7" refreshedVersion="8"/>
  <connection id="1964" xr16:uid="{D2A6333D-1C56-4599-B4A0-2DD5A65D813C}" name="接続11764" type="7" refreshedVersion="8"/>
  <connection id="1965" xr16:uid="{E8BDFF75-9E64-4E2A-A826-1C18A284A6D9}" name="接続11765" type="7" refreshedVersion="8"/>
  <connection id="1966" xr16:uid="{BF60128E-D4D4-4CC1-BAA5-CDDC6BC4BCD5}" name="接続11766" type="7" refreshedVersion="8"/>
  <connection id="1967" xr16:uid="{B731DA4D-B849-40D7-BA1C-E0E677AEEE97}" name="接続11767" type="7" refreshedVersion="8"/>
  <connection id="1968" xr16:uid="{D28308AE-A04C-41FB-B5BF-5E9817841EBE}" name="接続11768" type="7" refreshedVersion="8"/>
  <connection id="1969" xr16:uid="{CABDDBAB-1221-47F4-8326-2713ECA28FA5}" name="接続11769" type="7" refreshedVersion="8"/>
  <connection id="1970" xr16:uid="{00000000-0015-0000-FFFF-FFFFD1050000}" name="接続1177" type="7" refreshedVersion="4"/>
  <connection id="1971" xr16:uid="{3BF0B301-C207-4658-B4AF-75AF1E105216}" name="接続11770" type="7" refreshedVersion="8"/>
  <connection id="1972" xr16:uid="{F3443204-3024-4479-A76C-7D141D023217}" name="接続11771" type="7" refreshedVersion="8"/>
  <connection id="1973" xr16:uid="{87AA8025-302E-48A2-9F38-2DB528D7C659}" name="接続11772" type="7" refreshedVersion="8"/>
  <connection id="1974" xr16:uid="{41CD6748-24B2-4E27-9759-52BD204D38DA}" name="接続11773" type="7" refreshedVersion="8"/>
  <connection id="1975" xr16:uid="{8B0A7AA7-7C13-448F-AE93-917DAD5C9F31}" name="接続11774" type="7" refreshedVersion="8"/>
  <connection id="1976" xr16:uid="{43AAAA2C-A36D-4D31-8AD5-B9AC07EAD291}" name="接続11775" type="7" refreshedVersion="8"/>
  <connection id="1977" xr16:uid="{E3FA09DB-46A2-4ACE-9ECE-611DEF4CEDE1}" name="接続11776" type="7" refreshedVersion="8"/>
  <connection id="1978" xr16:uid="{38ABAECC-8D59-4B19-94FD-1C1B5CCFE9C0}" name="接続11777" type="7" refreshedVersion="8"/>
  <connection id="1979" xr16:uid="{2EE6DCE6-DDB6-445D-A077-12E91DF7512B}" name="接続11778" type="7" refreshedVersion="8"/>
  <connection id="1980" xr16:uid="{BA1D6CC6-D028-42ED-9FEF-E9760C7CA299}" name="接続11779" type="7" refreshedVersion="8"/>
  <connection id="1981" xr16:uid="{00000000-0015-0000-FFFF-FFFFD2050000}" name="接続1178" type="7" refreshedVersion="4"/>
  <connection id="1982" xr16:uid="{835E0DBD-5443-4240-BC82-9EE7F1B41748}" name="接続11780" type="7" refreshedVersion="8"/>
  <connection id="1983" xr16:uid="{C54C3BC8-4F51-4F21-AF2C-271A16926991}" name="接続11781" type="7" refreshedVersion="8"/>
  <connection id="1984" xr16:uid="{F9526D1F-456A-4BB3-8E9A-672EB26F359C}" name="接続11782" type="7" refreshedVersion="8"/>
  <connection id="1985" xr16:uid="{69172A49-3D38-4E11-8728-4DC54C52E754}" name="接続11783" type="7" refreshedVersion="8"/>
  <connection id="1986" xr16:uid="{3DFB8552-47A9-4530-A021-3DA61DACD19A}" name="接続11784" type="7" refreshedVersion="8"/>
  <connection id="1987" xr16:uid="{27EE6173-1EA2-4A4B-8834-62A2157CEBC2}" name="接続11785" type="7" refreshedVersion="8"/>
  <connection id="1988" xr16:uid="{A427BEEB-344C-4ABC-B4CC-C0D27F318BD5}" name="接続11786" type="7" refreshedVersion="8"/>
  <connection id="1989" xr16:uid="{44A7814F-EECE-440E-8424-29FB45E8A340}" name="接続11787" type="7" refreshedVersion="8"/>
  <connection id="1990" xr16:uid="{C6BEA387-3FE3-4A86-98E7-C1173A67A105}" name="接続11788" type="7" refreshedVersion="8"/>
  <connection id="1991" xr16:uid="{BD7F6077-53EC-40C2-97F6-70DD7A9D6021}" name="接続11789" type="7" refreshedVersion="8"/>
  <connection id="1992" xr16:uid="{00000000-0015-0000-FFFF-FFFFD3050000}" name="接続1179" type="7" refreshedVersion="4"/>
  <connection id="1993" xr16:uid="{97EB865B-2947-46DE-84B4-99D55DD7FA43}" name="接続11790" type="7" refreshedVersion="8"/>
  <connection id="1994" xr16:uid="{1BAE4E83-7662-4412-AD90-E3C28FAC1886}" name="接続11791" type="7" refreshedVersion="8"/>
  <connection id="1995" xr16:uid="{9F250143-E763-464E-8D26-11C7DD77247E}" name="接続11792" type="7" refreshedVersion="8"/>
  <connection id="1996" xr16:uid="{4E8C7FE6-0482-4B37-B81C-5CBE0F218BE0}" name="接続11793" type="7" refreshedVersion="8"/>
  <connection id="1997" xr16:uid="{798B8C0D-FDCB-4F25-8C50-2197ECE77EC7}" name="接続11794" type="7" refreshedVersion="8"/>
  <connection id="1998" xr16:uid="{89C8FF49-1911-4362-8BED-9A0C6422D553}" name="接続11795" type="7" refreshedVersion="8"/>
  <connection id="1999" xr16:uid="{091BB71B-DEA3-41D3-A9AC-562315F8C8B5}" name="接続11796" type="7" refreshedVersion="8"/>
  <connection id="2000" xr16:uid="{465E5897-655A-49B9-A57A-7067C55F6DD4}" name="接続11797" type="7" refreshedVersion="8"/>
  <connection id="2001" xr16:uid="{049152B3-E898-490A-A93A-C613DFAD4138}" name="接続11798" type="7" refreshedVersion="8"/>
  <connection id="2002" xr16:uid="{E1D6B87F-8D98-4B06-8656-761337506B60}" name="接続11799" type="7" refreshedVersion="8"/>
  <connection id="2003" xr16:uid="{00000000-0015-0000-FFFF-FFFFD4050000}" name="接続118" type="7" refreshedVersion="4"/>
  <connection id="2004" xr16:uid="{00000000-0015-0000-FFFF-FFFFD5050000}" name="接続1180" type="7" refreshedVersion="4"/>
  <connection id="2005" xr16:uid="{234FADE8-5139-4F88-8783-FF13D7411210}" name="接続11800" type="7" refreshedVersion="8"/>
  <connection id="2006" xr16:uid="{D42761FE-6015-440C-B61C-703ACE7627F4}" name="接続11801" type="7" refreshedVersion="8"/>
  <connection id="2007" xr16:uid="{D4ACE540-0666-4D1C-A621-B0D6612CFDEC}" name="接続11802" type="7" refreshedVersion="8"/>
  <connection id="2008" xr16:uid="{F0CB6066-C32F-4FB8-827C-381FA025A27F}" name="接続11803" type="7" refreshedVersion="8"/>
  <connection id="2009" xr16:uid="{16189FE0-5726-4DB2-8752-8F1F244B6906}" name="接続11804" type="7" refreshedVersion="8"/>
  <connection id="2010" xr16:uid="{42F3B88D-E634-479A-A189-4BA2E55E0244}" name="接続11805" type="7" refreshedVersion="8"/>
  <connection id="2011" xr16:uid="{B189A79C-AE79-400D-BC03-BDE900F4A7AA}" name="接続11806" type="7" refreshedVersion="8"/>
  <connection id="2012" xr16:uid="{3D8D9650-AA66-42EA-818B-C27E9E3DB85A}" name="接続11807" type="7" refreshedVersion="8"/>
  <connection id="2013" xr16:uid="{75BC8574-1118-4D99-80E8-FFB57B3B00DF}" name="接続11808" type="7" refreshedVersion="8"/>
  <connection id="2014" xr16:uid="{DBB7BB5C-3BE1-436D-9201-9BB8522978EE}" name="接続11809" type="7" refreshedVersion="8"/>
  <connection id="2015" xr16:uid="{00000000-0015-0000-FFFF-FFFFD6050000}" name="接続1181" type="7" refreshedVersion="4"/>
  <connection id="2016" xr16:uid="{54B9C85F-0ED5-45CC-B227-CFB6191B0615}" name="接続11810" type="7" refreshedVersion="8"/>
  <connection id="2017" xr16:uid="{842D5FCE-2168-4CC3-82BB-C067628277E0}" name="接続11811" type="7" refreshedVersion="8"/>
  <connection id="2018" xr16:uid="{8E52AD5B-04BF-4DF6-9C73-C51D9A736EDF}" name="接続11812" type="7" refreshedVersion="8"/>
  <connection id="2019" xr16:uid="{995CA899-3857-41D7-ACBF-6E0C233B90F1}" name="接続11813" type="7" refreshedVersion="8"/>
  <connection id="2020" xr16:uid="{C9C3D3E6-0421-447A-942F-64869E1DF036}" name="接続11814" type="7" refreshedVersion="8"/>
  <connection id="2021" xr16:uid="{B701E4C3-0DF3-4DF5-8F16-F626774A70D6}" name="接続11815" type="7" refreshedVersion="8"/>
  <connection id="2022" xr16:uid="{C4C35E83-D461-44CB-A86F-BD84B29E9438}" name="接続11816" type="7" refreshedVersion="8"/>
  <connection id="2023" xr16:uid="{5DA62EC7-21EE-4592-8EBC-2265810C345F}" name="接続11817" type="7" refreshedVersion="8"/>
  <connection id="2024" xr16:uid="{71A89220-B33D-4D89-B650-CC6FFBF4B464}" name="接続11818" type="7" refreshedVersion="8"/>
  <connection id="2025" xr16:uid="{D4CADDC0-D594-4134-A0A3-94EF5CF75185}" name="接続11819" type="7" refreshedVersion="8"/>
  <connection id="2026" xr16:uid="{00000000-0015-0000-FFFF-FFFFD7050000}" name="接続1182" type="7" refreshedVersion="4"/>
  <connection id="2027" xr16:uid="{481DDD05-1B46-4604-A0D2-CD23FFE7205C}" name="接続11820" type="7" refreshedVersion="8"/>
  <connection id="2028" xr16:uid="{594BBC94-B50E-48E0-8A23-1F80D1A6CA71}" name="接続11821" type="7" refreshedVersion="8"/>
  <connection id="2029" xr16:uid="{B27232F1-C4CA-4B50-9217-AB78662B336B}" name="接続11822" type="7" refreshedVersion="8"/>
  <connection id="2030" xr16:uid="{07198527-CE71-49D2-8CC7-4C4410B5EF81}" name="接続11823" type="7" refreshedVersion="8"/>
  <connection id="2031" xr16:uid="{E45EEDEF-3967-4F88-AC12-A8F9B7ED6C42}" name="接続11824" type="7" refreshedVersion="8"/>
  <connection id="2032" xr16:uid="{659250CD-201D-4953-AD3E-DA4F4DED42AA}" name="接続11825" type="7" refreshedVersion="8"/>
  <connection id="2033" xr16:uid="{90E41A71-5303-4346-9BCF-AB05A6FF7FC2}" name="接続11826" type="7" refreshedVersion="8"/>
  <connection id="2034" xr16:uid="{E75DCFCD-1AC1-4860-990F-0C1A082A37F8}" name="接続11827" type="7" refreshedVersion="8"/>
  <connection id="2035" xr16:uid="{B01B226E-861B-4F3C-BC2D-2763305A0B11}" name="接続11828" type="7" refreshedVersion="8"/>
  <connection id="2036" xr16:uid="{D5D03366-5A56-4607-BABC-F4942EBA4C13}" name="接続11829" type="7" refreshedVersion="8"/>
  <connection id="2037" xr16:uid="{00000000-0015-0000-FFFF-FFFFD8050000}" name="接続1183" type="7" refreshedVersion="4"/>
  <connection id="2038" xr16:uid="{B7BB9E41-8D5D-4D42-893D-573D3F0CB8FF}" name="接続11830" type="7" refreshedVersion="8"/>
  <connection id="2039" xr16:uid="{7CB768CB-8BEB-48CA-A204-AAE6B3FB7F20}" name="接続11831" type="7" refreshedVersion="8"/>
  <connection id="2040" xr16:uid="{AE32BD7C-0F3A-45FC-A225-05D0A4149BF1}" name="接続11832" type="7" refreshedVersion="8"/>
  <connection id="2041" xr16:uid="{A7524367-4FA5-4AA3-AD65-425B9515B81E}" name="接続11833" type="7" refreshedVersion="8"/>
  <connection id="2042" xr16:uid="{2FF7B819-EF3D-446C-B2B5-2E521DF15880}" name="接続11834" type="7" refreshedVersion="8"/>
  <connection id="2043" xr16:uid="{445F4418-9566-42CF-B52C-EA48176C1270}" name="接続11835" type="7" refreshedVersion="8"/>
  <connection id="2044" xr16:uid="{4752B8E3-F951-4A9A-87E8-18AF744BF567}" name="接続11836" type="7" refreshedVersion="8"/>
  <connection id="2045" xr16:uid="{A8CB5B5C-AFED-4284-B1FD-691CB2DC61A4}" name="接続11837" type="7" refreshedVersion="8"/>
  <connection id="2046" xr16:uid="{528532E7-6265-41BD-AEF8-7C74007EEC01}" name="接続11838" type="7" refreshedVersion="8"/>
  <connection id="2047" xr16:uid="{01ABE3DA-ABD5-446E-9EEA-BDF44C1ED752}" name="接続11839" type="7" refreshedVersion="8"/>
  <connection id="2048" xr16:uid="{00000000-0015-0000-FFFF-FFFFD9050000}" name="接続1184" type="7" refreshedVersion="4"/>
  <connection id="2049" xr16:uid="{FD2C1AB3-D328-4FFA-8A2D-ED5343D7CF6F}" name="接続11840" type="7" refreshedVersion="8"/>
  <connection id="2050" xr16:uid="{E68A7B14-1959-48EF-A7FD-A63175F9FF77}" name="接続11841" type="7" refreshedVersion="8"/>
  <connection id="2051" xr16:uid="{0B544C88-B148-4234-8BCC-EA9616F6A432}" name="接続11842" type="7" refreshedVersion="8"/>
  <connection id="2052" xr16:uid="{740F7F36-9347-4E03-83EE-F640D6BA9F44}" name="接続11843" type="7" refreshedVersion="8"/>
  <connection id="2053" xr16:uid="{61F2BC99-2E38-417D-AA11-FEDD76CBCD37}" name="接続11844" type="7" refreshedVersion="8"/>
  <connection id="2054" xr16:uid="{E3D888A5-B56A-498B-AFF5-008F3FCF90CE}" name="接続11845" type="7" refreshedVersion="8"/>
  <connection id="2055" xr16:uid="{8581A979-0CB9-491B-90AD-01040A7365A8}" name="接続11846" type="7" refreshedVersion="8"/>
  <connection id="2056" xr16:uid="{7CC48BB9-B42C-4F24-8E81-5C20124A194A}" name="接続11847" type="7" refreshedVersion="8"/>
  <connection id="2057" xr16:uid="{080A9CCD-26C7-436C-8906-48B00545B0D0}" name="接続11848" type="7" refreshedVersion="8"/>
  <connection id="2058" xr16:uid="{8FF1DCB7-ABB8-48D9-B6C0-6C64185D639C}" name="接続11849" type="7" refreshedVersion="8"/>
  <connection id="2059" xr16:uid="{00000000-0015-0000-FFFF-FFFFDA050000}" name="接続1185" type="7" refreshedVersion="4"/>
  <connection id="2060" xr16:uid="{EBEE1D2F-8EF4-4C67-B998-CB597746A248}" name="接続11850" type="7" refreshedVersion="8"/>
  <connection id="2061" xr16:uid="{B6FCBFAE-349F-484C-AD1D-6F509750146D}" name="接続11851" type="7" refreshedVersion="8"/>
  <connection id="2062" xr16:uid="{F5CE7B64-CD30-4BEF-A984-624557C69F5E}" name="接続11852" type="7" refreshedVersion="8"/>
  <connection id="2063" xr16:uid="{07C8CD2F-C9AE-43B9-9552-2D9F7DF757E2}" name="接続11853" type="7" refreshedVersion="8"/>
  <connection id="2064" xr16:uid="{35579E85-F76D-417E-842F-3BB4309EB931}" name="接続11854" type="7" refreshedVersion="8"/>
  <connection id="2065" xr16:uid="{817A9890-1C19-47CD-AB29-F7C4E6A4742C}" name="接続11855" type="7" refreshedVersion="8"/>
  <connection id="2066" xr16:uid="{33C55183-54FD-4F1C-A0BC-C44BF19D2293}" name="接続11856" type="7" refreshedVersion="8"/>
  <connection id="2067" xr16:uid="{5C7383EE-C1F4-42B6-80B5-BE2F29CF2212}" name="接続11857" type="7" refreshedVersion="8"/>
  <connection id="2068" xr16:uid="{F957CA0D-B68D-4A1C-B24E-535CCB970BD3}" name="接続11858" type="7" refreshedVersion="8"/>
  <connection id="2069" xr16:uid="{89B9BF80-C9DD-4A42-935D-4F519D073C15}" name="接続11859" type="7" refreshedVersion="8"/>
  <connection id="2070" xr16:uid="{00000000-0015-0000-FFFF-FFFFDB050000}" name="接続1186" type="7" refreshedVersion="4"/>
  <connection id="2071" xr16:uid="{01375183-C999-421E-B3AF-8E877D81BAD0}" name="接続11860" type="7" refreshedVersion="8"/>
  <connection id="2072" xr16:uid="{2C49865E-CB21-4066-87E9-579ABFFB1ADF}" name="接続11861" type="7" refreshedVersion="8"/>
  <connection id="2073" xr16:uid="{529D2391-C261-4E82-88A3-F239DAB9A888}" name="接続11862" type="7" refreshedVersion="8"/>
  <connection id="2074" xr16:uid="{1AE4C96A-3578-4CFE-92C4-287758F688D6}" name="接続11863" type="7" refreshedVersion="8"/>
  <connection id="2075" xr16:uid="{FA8CD962-0069-4A5C-BD79-C8662C909396}" name="接続11864" type="7" refreshedVersion="8"/>
  <connection id="2076" xr16:uid="{0E3A7C47-5FEC-4DC9-9CCE-DAB64ADD3C95}" name="接続11865" type="7" refreshedVersion="8"/>
  <connection id="2077" xr16:uid="{5E80F17B-A2BF-4E38-B0D3-DD841AA926A8}" name="接続11866" type="7" refreshedVersion="8"/>
  <connection id="2078" xr16:uid="{36367F32-F915-4A80-9293-143360A81AC3}" name="接続11867" type="7" refreshedVersion="8"/>
  <connection id="2079" xr16:uid="{C093FC6D-9D2D-44ED-A527-3016B806FA46}" name="接続11868" type="7" refreshedVersion="8"/>
  <connection id="2080" xr16:uid="{3FA4A347-5995-4559-BED7-878844FA34BF}" name="接続11869" type="7" refreshedVersion="8"/>
  <connection id="2081" xr16:uid="{00000000-0015-0000-FFFF-FFFFDC050000}" name="接続1187" type="7" refreshedVersion="4"/>
  <connection id="2082" xr16:uid="{901919A8-3DA5-4342-AD12-9E2FD48D4F84}" name="接続11870" type="7" refreshedVersion="8"/>
  <connection id="2083" xr16:uid="{557CB73A-0EDE-4DDD-B085-46FB3C67335C}" name="接続11871" type="7" refreshedVersion="8"/>
  <connection id="2084" xr16:uid="{AB19558D-6DB0-4D11-886F-0FFB9D94114E}" name="接続11872" type="7" refreshedVersion="8"/>
  <connection id="2085" xr16:uid="{F47B9C9C-1999-476C-9BE4-470886BD3977}" name="接続11873" type="7" refreshedVersion="8"/>
  <connection id="2086" xr16:uid="{321D7DB8-F832-41B5-BC58-EA46EA486E55}" name="接続11874" type="7" refreshedVersion="8"/>
  <connection id="2087" xr16:uid="{AE1D7337-8907-4426-92F8-49EE07A1ADF3}" name="接続11875" type="7" refreshedVersion="8"/>
  <connection id="2088" xr16:uid="{16E2310B-5588-4C77-A175-86A3357E116E}" name="接続11876" type="7" refreshedVersion="8"/>
  <connection id="2089" xr16:uid="{824F8C22-9206-4D02-A9E0-B408FB4B288B}" name="接続11877" type="7" refreshedVersion="8"/>
  <connection id="2090" xr16:uid="{884929B3-66ED-43D0-984F-4482CEA197BC}" name="接続11878" type="7" refreshedVersion="8"/>
  <connection id="2091" xr16:uid="{D80B346F-317D-4EB0-B40B-B30A50FFA898}" name="接続11879" type="7" refreshedVersion="8"/>
  <connection id="2092" xr16:uid="{00000000-0015-0000-FFFF-FFFFDD050000}" name="接続1188" type="7" refreshedVersion="4"/>
  <connection id="2093" xr16:uid="{939F85F7-2828-4FF1-8174-AD67CFC4A157}" name="接続11880" type="7" refreshedVersion="8"/>
  <connection id="2094" xr16:uid="{94B6DD77-FA3F-477B-B867-AAA83C93A748}" name="接続11881" type="7" refreshedVersion="8"/>
  <connection id="2095" xr16:uid="{7919A8EE-F931-47FC-80B4-9990959F8407}" name="接続11882" type="7" refreshedVersion="8"/>
  <connection id="2096" xr16:uid="{00499FC8-67A4-491C-9281-050E1FCEFBEA}" name="接続11883" type="7" refreshedVersion="8"/>
  <connection id="2097" xr16:uid="{93F9814F-EC1B-47E7-9049-BDE74ED77190}" name="接続11884" type="7" refreshedVersion="8"/>
  <connection id="2098" xr16:uid="{604960FF-C8FB-4477-B720-92D567665160}" name="接続11885" type="7" refreshedVersion="8"/>
  <connection id="2099" xr16:uid="{527C8DF8-5FF9-4C00-B300-D31D8FED56BC}" name="接続11886" type="7" refreshedVersion="8"/>
  <connection id="2100" xr16:uid="{B4A798BB-458E-406E-B5C8-9BC579F5CF9E}" name="接続11887" type="7" refreshedVersion="8"/>
  <connection id="2101" xr16:uid="{05D34601-E528-4AF5-B98C-88BC773A51F2}" name="接続11888" type="7" refreshedVersion="8"/>
  <connection id="2102" xr16:uid="{4EAF5CB9-DBC0-4423-8AAC-DBEE064FDF16}" name="接続11889" type="7" refreshedVersion="8"/>
  <connection id="2103" xr16:uid="{00000000-0015-0000-FFFF-FFFFDE050000}" name="接続1189" type="7" refreshedVersion="4"/>
  <connection id="2104" xr16:uid="{1FA24CAD-3510-4AEB-A020-8A88C996B5F3}" name="接続11890" type="7" refreshedVersion="8"/>
  <connection id="2105" xr16:uid="{FA1D62A4-17FF-4D12-8121-8E110DC607D6}" name="接続11891" type="7" refreshedVersion="8"/>
  <connection id="2106" xr16:uid="{AC77E014-C3B9-4BD4-AB74-C1EC4EC2EED5}" name="接続11892" type="7" refreshedVersion="8"/>
  <connection id="2107" xr16:uid="{B63178F8-D2D3-41E2-B938-950D1879B9E2}" name="接続11893" type="7" refreshedVersion="8"/>
  <connection id="2108" xr16:uid="{8E6E4191-9B4D-4762-86C6-F2DE0332FC9E}" name="接続11894" type="7" refreshedVersion="8"/>
  <connection id="2109" xr16:uid="{1BAFD47E-1922-493B-9180-DCD6CD70C697}" name="接続11895" type="7" refreshedVersion="8"/>
  <connection id="2110" xr16:uid="{B509E15E-322F-4A42-92A9-F6FC6EBF2859}" name="接続11896" type="7" refreshedVersion="8"/>
  <connection id="2111" xr16:uid="{2D8190B9-F695-4B49-A29D-DC44576B9626}" name="接続11897" type="7" refreshedVersion="8"/>
  <connection id="2112" xr16:uid="{267570FC-5AF5-4F1D-8C55-3D476C72B886}" name="接続11898" type="7" refreshedVersion="8"/>
  <connection id="2113" xr16:uid="{6FC37D83-27B8-4D57-80E3-39CC971D71D6}" name="接続11899" type="7" refreshedVersion="8"/>
  <connection id="2114" xr16:uid="{00000000-0015-0000-FFFF-FFFFDF050000}" name="接続119" type="7" refreshedVersion="4"/>
  <connection id="2115" xr16:uid="{00000000-0015-0000-FFFF-FFFFE0050000}" name="接続1190" type="7" refreshedVersion="4"/>
  <connection id="2116" xr16:uid="{7BD2DC76-D2F0-4759-9977-4B30A80E2E08}" name="接続11900" type="7" refreshedVersion="8"/>
  <connection id="2117" xr16:uid="{348E02E6-8291-4E8F-844E-4E909DC6CEA7}" name="接続11901" type="7" refreshedVersion="8"/>
  <connection id="2118" xr16:uid="{BC555939-61E5-4114-96D7-DABD285FF251}" name="接続11902" type="7" refreshedVersion="8"/>
  <connection id="2119" xr16:uid="{37A55B98-0D68-46AC-9B0F-F5EB7E015081}" name="接続11903" type="7" refreshedVersion="8"/>
  <connection id="2120" xr16:uid="{52199F18-7225-4042-BB3F-84896B0E9968}" name="接続11904" type="7" refreshedVersion="8"/>
  <connection id="2121" xr16:uid="{EEF26434-257A-406F-A7ED-B4F2819D359B}" name="接続11905" type="7" refreshedVersion="8"/>
  <connection id="2122" xr16:uid="{C4724903-5E98-40AD-9A28-446D6F361AE0}" name="接続11906" type="7" refreshedVersion="8"/>
  <connection id="2123" xr16:uid="{5A5AA641-FA26-43B0-B7C0-BAC5E8CE1F80}" name="接続11907" type="7" refreshedVersion="8"/>
  <connection id="2124" xr16:uid="{C90CCE90-940E-4B35-9E3F-0B4765FD48B1}" name="接続11908" type="7" refreshedVersion="8"/>
  <connection id="2125" xr16:uid="{D92E7D1B-4A01-4F1C-8688-6020E0D072A4}" name="接続11909" type="7" refreshedVersion="8"/>
  <connection id="2126" xr16:uid="{00000000-0015-0000-FFFF-FFFFE1050000}" name="接続1191" type="7" refreshedVersion="4"/>
  <connection id="2127" xr16:uid="{0E4B3D15-116A-4565-BCBB-30310FF2AFB7}" name="接続11910" type="7" refreshedVersion="8"/>
  <connection id="2128" xr16:uid="{A67D3FC5-5308-4910-B789-4CEE05CC0AC7}" name="接続11911" type="7" refreshedVersion="8"/>
  <connection id="2129" xr16:uid="{612E122D-61F7-428C-B5C8-2A3B776E404E}" name="接続11912" type="7" refreshedVersion="8"/>
  <connection id="2130" xr16:uid="{A03C3E4F-737F-4AF0-9624-87EC03B825D2}" name="接続11913" type="7" refreshedVersion="8"/>
  <connection id="2131" xr16:uid="{21B2989A-DAA4-42CD-B4FE-9F0C5F3C7AEC}" name="接続11914" type="7" refreshedVersion="8"/>
  <connection id="2132" xr16:uid="{6FC6492D-BE83-46AF-8095-9368C4814FBE}" name="接続11915" type="7" refreshedVersion="8"/>
  <connection id="2133" xr16:uid="{D573E2B9-C477-41AB-A217-4664637A32A1}" name="接続11916" type="7" refreshedVersion="8"/>
  <connection id="2134" xr16:uid="{3740EB83-6851-4F0A-B4A5-22D11228C356}" name="接続11917" type="7" refreshedVersion="8"/>
  <connection id="2135" xr16:uid="{FF9ADAA4-9269-4CB7-8B86-ED32376356CA}" name="接続11918" type="7" refreshedVersion="8"/>
  <connection id="2136" xr16:uid="{2A972619-BBCD-44CB-AF32-DC6AA47F6DCA}" name="接続11919" type="7" refreshedVersion="8"/>
  <connection id="2137" xr16:uid="{00000000-0015-0000-FFFF-FFFFE2050000}" name="接続1192" type="7" refreshedVersion="4"/>
  <connection id="2138" xr16:uid="{67E87168-4ABB-4252-99B1-FB864BF0B5BE}" name="接続11920" type="7" refreshedVersion="8"/>
  <connection id="2139" xr16:uid="{90062BA5-08FC-4BD4-8654-B68D27419F5D}" name="接続11921" type="7" refreshedVersion="8"/>
  <connection id="2140" xr16:uid="{AD4A3A89-2E45-49D9-8AF7-BEDFC07BEEBA}" name="接続11922" type="7" refreshedVersion="8"/>
  <connection id="2141" xr16:uid="{0AF5966C-2535-4A47-A42F-859D6A805214}" name="接続11923" type="7" refreshedVersion="8"/>
  <connection id="2142" xr16:uid="{A47F5E0A-EB61-43F0-BCC8-03FD800E5559}" name="接続11924" type="7" refreshedVersion="8"/>
  <connection id="2143" xr16:uid="{A1942134-0AA8-4D9D-9324-3F0D586217F5}" name="接続11925" type="7" refreshedVersion="8"/>
  <connection id="2144" xr16:uid="{AE56A370-8E8D-4D39-B3E7-CD61955B51D1}" name="接続11926" type="7" refreshedVersion="8"/>
  <connection id="2145" xr16:uid="{4792C500-47FE-4F1B-B1D1-2EED41C106F6}" name="接続11927" type="7" refreshedVersion="8"/>
  <connection id="2146" xr16:uid="{8106999D-3F4D-40DF-934C-AEAC7697B4B3}" name="接続11928" type="7" refreshedVersion="8"/>
  <connection id="2147" xr16:uid="{DFCA5EF6-0B5B-40B5-BEA9-9E146E2065EC}" name="接続11929" type="7" refreshedVersion="8"/>
  <connection id="2148" xr16:uid="{00000000-0015-0000-FFFF-FFFFE3050000}" name="接続1193" type="7" refreshedVersion="4"/>
  <connection id="2149" xr16:uid="{D1AFDA5B-74A5-4E65-BD6A-5021B6077906}" name="接続11930" type="7" refreshedVersion="8"/>
  <connection id="2150" xr16:uid="{B2CD704E-256D-4609-B592-7A0CD93F8392}" name="接続11931" type="7" refreshedVersion="8"/>
  <connection id="2151" xr16:uid="{809B2FDF-BB0C-4F2A-AE03-577CFE3D05E5}" name="接続11932" type="7" refreshedVersion="8"/>
  <connection id="2152" xr16:uid="{DAECD0B9-41EE-48EB-BBCB-5CEF3FF1A56F}" name="接続11933" type="7" refreshedVersion="8"/>
  <connection id="2153" xr16:uid="{FB052D17-3B6F-4D0E-96D3-2E95BBB0D935}" name="接続11934" type="7" refreshedVersion="8"/>
  <connection id="2154" xr16:uid="{DCACB35F-D54F-474A-AEFE-605C0C375687}" name="接続11935" type="7" refreshedVersion="8"/>
  <connection id="2155" xr16:uid="{F301E133-88E8-4923-A4F5-C9EF59409DB4}" name="接続11936" type="7" refreshedVersion="8"/>
  <connection id="2156" xr16:uid="{D59390FC-50BB-4750-9843-6040EC37A7B1}" name="接続11937" type="7" refreshedVersion="8"/>
  <connection id="2157" xr16:uid="{817B0F47-69A2-45E8-BDA3-FA4D3F915B00}" name="接続11938" type="7" refreshedVersion="8"/>
  <connection id="2158" xr16:uid="{BF621295-98D2-411A-A923-A4A3ED8EFF3A}" name="接続11939" type="7" refreshedVersion="8"/>
  <connection id="2159" xr16:uid="{00000000-0015-0000-FFFF-FFFFE4050000}" name="接続1194" type="7" refreshedVersion="4"/>
  <connection id="2160" xr16:uid="{BCA1BAF8-7D5B-43EB-BEFE-5D57773A77DD}" name="接続11940" type="7" refreshedVersion="8"/>
  <connection id="2161" xr16:uid="{73A1C180-F720-4CC3-88F2-37B71F281883}" name="接続11941" type="7" refreshedVersion="8"/>
  <connection id="2162" xr16:uid="{FE4FFDDB-7B2A-41AB-861E-7C06412B90FF}" name="接続11942" type="7" refreshedVersion="8"/>
  <connection id="2163" xr16:uid="{E71ECEFD-BCB3-4DA2-8648-B2C8F97F18A3}" name="接続11943" type="7" refreshedVersion="8"/>
  <connection id="2164" xr16:uid="{48865E8D-BF97-4794-B2E4-51F79A29D492}" name="接続11944" type="7" refreshedVersion="8"/>
  <connection id="2165" xr16:uid="{217BC0E0-1978-4E14-A2B2-6A1B4980F251}" name="接続11945" type="7" refreshedVersion="8"/>
  <connection id="2166" xr16:uid="{E99652B2-7534-4D34-A3D2-341BEA4F5C82}" name="接続11946" type="7" refreshedVersion="8"/>
  <connection id="2167" xr16:uid="{4FC6CF4E-CEB8-4F18-87E6-30D29066058E}" name="接続11947" type="7" refreshedVersion="8"/>
  <connection id="2168" xr16:uid="{07760003-242E-4551-AF53-BF7DE8F6515E}" name="接続11948" type="7" refreshedVersion="8"/>
  <connection id="2169" xr16:uid="{A50A32A5-A9A8-426A-811E-BD5B0B2916B3}" name="接続11949" type="7" refreshedVersion="8"/>
  <connection id="2170" xr16:uid="{00000000-0015-0000-FFFF-FFFFE5050000}" name="接続1195" type="7" refreshedVersion="4"/>
  <connection id="2171" xr16:uid="{96B91191-BE5E-424B-9808-E156585ADD66}" name="接続11950" type="7" refreshedVersion="8"/>
  <connection id="2172" xr16:uid="{F11025CB-A343-42EE-892F-73C7FE28C515}" name="接続11951" type="7" refreshedVersion="8"/>
  <connection id="2173" xr16:uid="{EC05868D-7997-4AF8-B5E8-C11B5A12A9F7}" name="接続11952" type="7" refreshedVersion="8"/>
  <connection id="2174" xr16:uid="{19093E5F-D219-4CE5-B355-0151F995D1CC}" name="接続11953" type="7" refreshedVersion="8"/>
  <connection id="2175" xr16:uid="{845AD032-4C0F-4DB1-B212-7D777C4095B0}" name="接続11954" type="7" refreshedVersion="8"/>
  <connection id="2176" xr16:uid="{7440A541-572D-44B4-A8F9-EBDF2B80A4B8}" name="接続11955" type="7" refreshedVersion="8"/>
  <connection id="2177" xr16:uid="{BC696974-688A-4232-AF21-6F56EA65208A}" name="接続11956" type="7" refreshedVersion="8"/>
  <connection id="2178" xr16:uid="{518838AD-94AC-4D7C-BC2E-E1ED00C7D1F1}" name="接続11957" type="7" refreshedVersion="8"/>
  <connection id="2179" xr16:uid="{A80C4B23-4BAB-49A8-83E0-87F6F6A8740E}" name="接続11958" type="7" refreshedVersion="8"/>
  <connection id="2180" xr16:uid="{0AE0D747-3100-4E2D-8A71-718A6580368E}" name="接続11959" type="7" refreshedVersion="8"/>
  <connection id="2181" xr16:uid="{00000000-0015-0000-FFFF-FFFFE6050000}" name="接続1196" type="7" refreshedVersion="4"/>
  <connection id="2182" xr16:uid="{1C4E685C-DE75-41A9-A0FA-C1EBA13248B8}" name="接続11960" type="7" refreshedVersion="8"/>
  <connection id="2183" xr16:uid="{1CCED114-7853-466B-8DE7-E687BB310877}" name="接続11961" type="7" refreshedVersion="8"/>
  <connection id="2184" xr16:uid="{B98F67BA-4C74-4091-84E0-D7932E8F509A}" name="接続11962" type="7" refreshedVersion="8"/>
  <connection id="2185" xr16:uid="{2038B0F5-55E7-490D-834C-EC8AD9D3F7D8}" name="接続11963" type="7" refreshedVersion="8"/>
  <connection id="2186" xr16:uid="{573FEF28-0D0D-4AB1-ABF5-96C6D233A0F2}" name="接続11964" type="7" refreshedVersion="8"/>
  <connection id="2187" xr16:uid="{BB543548-2FAC-46DD-9001-136B07134FEF}" name="接続11965" type="7" refreshedVersion="8"/>
  <connection id="2188" xr16:uid="{55AEE923-EAA7-42D0-B808-07CF21760BD2}" name="接続11966" type="7" refreshedVersion="8"/>
  <connection id="2189" xr16:uid="{87DEABE8-DBAB-4576-A1CD-FCBBD6294087}" name="接続11967" type="7" refreshedVersion="8"/>
  <connection id="2190" xr16:uid="{2CDBCE5B-ECC9-40B0-A314-B522A220E920}" name="接続11968" type="7" refreshedVersion="8"/>
  <connection id="2191" xr16:uid="{01C5415D-55D8-46DB-8824-385857362D0A}" name="接続11969" type="7" refreshedVersion="8"/>
  <connection id="2192" xr16:uid="{00000000-0015-0000-FFFF-FFFFE7050000}" name="接続1197" type="7" refreshedVersion="4"/>
  <connection id="2193" xr16:uid="{F283DD41-D85A-4230-BA60-0DF375819129}" name="接続11970" type="7" refreshedVersion="8"/>
  <connection id="2194" xr16:uid="{7707173C-F751-4A6A-8E16-7D63B04AC673}" name="接続11971" type="7" refreshedVersion="8"/>
  <connection id="2195" xr16:uid="{869D4FCC-610E-4CA6-B9C3-4F6A3CEBA7D6}" name="接続11972" type="7" refreshedVersion="8"/>
  <connection id="2196" xr16:uid="{9CD4148D-5D3F-4ECF-B7FB-3C42BEA5F285}" name="接続11973" type="7" refreshedVersion="8"/>
  <connection id="2197" xr16:uid="{38B865A0-149A-4181-86BF-6B4DB046E00E}" name="接続11974" type="7" refreshedVersion="8"/>
  <connection id="2198" xr16:uid="{6E6839FE-E840-4751-BEA1-8EE0B2935F0B}" name="接続11975" type="7" refreshedVersion="8"/>
  <connection id="2199" xr16:uid="{CF6DA767-E9F2-4EA9-8680-C0CC021D305E}" name="接続11976" type="7" refreshedVersion="8"/>
  <connection id="2200" xr16:uid="{321EEAD4-8071-487F-BB19-103ADD0B3A52}" name="接続11977" type="7" refreshedVersion="8"/>
  <connection id="2201" xr16:uid="{E146CBD7-8780-4C64-AF11-5C19C2B9E020}" name="接続11978" type="7" refreshedVersion="8"/>
  <connection id="2202" xr16:uid="{940A4227-6A1E-4EB7-BFF0-B4A9489B2533}" name="接続11979" type="7" refreshedVersion="8"/>
  <connection id="2203" xr16:uid="{00000000-0015-0000-FFFF-FFFFE8050000}" name="接続1198" type="7" refreshedVersion="4"/>
  <connection id="2204" xr16:uid="{B5108360-7FB9-4CD0-90B5-27A5891D373D}" name="接続11980" type="7" refreshedVersion="8"/>
  <connection id="2205" xr16:uid="{BD1C4C43-7FC9-43FA-97CF-A498B0062734}" name="接続11981" type="7" refreshedVersion="8"/>
  <connection id="2206" xr16:uid="{22B84A22-3095-4105-B96F-496059FAEB60}" name="接続11982" type="7" refreshedVersion="8"/>
  <connection id="2207" xr16:uid="{C47B8286-F11C-49B5-BAC0-789DC2EE8078}" name="接続11983" type="7" refreshedVersion="8"/>
  <connection id="2208" xr16:uid="{765C3B71-3DE3-4E62-9C1B-0203AF553A18}" name="接続11984" type="7" refreshedVersion="8"/>
  <connection id="2209" xr16:uid="{117D7B6B-06D2-4563-811E-7E30638BF9E6}" name="接続11985" type="7" refreshedVersion="8"/>
  <connection id="2210" xr16:uid="{F9BF914D-475F-41B7-A115-8E999D6BE572}" name="接続11986" type="7" refreshedVersion="8"/>
  <connection id="2211" xr16:uid="{CE8F8310-7272-49BD-B508-789C49E92E8F}" name="接続11987" type="7" refreshedVersion="8"/>
  <connection id="2212" xr16:uid="{4B66627F-6F9A-4899-BF6E-447D03A8F6F0}" name="接続11988" type="7" refreshedVersion="8"/>
  <connection id="2213" xr16:uid="{1BDC75B4-A677-433F-ACD9-E468C23EFACA}" name="接続11989" type="7" refreshedVersion="8"/>
  <connection id="2214" xr16:uid="{00000000-0015-0000-FFFF-FFFFE9050000}" name="接続1199" type="7" refreshedVersion="4"/>
  <connection id="2215" xr16:uid="{248F53BD-9F18-4C69-8E3A-936564BC17AC}" name="接続11990" type="7" refreshedVersion="8"/>
  <connection id="2216" xr16:uid="{314D4906-76EE-4BF6-BEDA-073081D24984}" name="接続11991" type="7" refreshedVersion="8"/>
  <connection id="2217" xr16:uid="{77E77D39-B2C7-4907-8E4C-B4A9156F93B0}" name="接続11992" type="7" refreshedVersion="8"/>
  <connection id="2218" xr16:uid="{C3A178EB-2888-40BA-8A32-F8E05B2157FD}" name="接続11993" type="7" refreshedVersion="8"/>
  <connection id="2219" xr16:uid="{3BBA003B-AF03-453C-A241-489C3B88A662}" name="接続11994" type="7" refreshedVersion="8"/>
  <connection id="2220" xr16:uid="{2A578C97-2111-45C6-A999-38BF5636CDBB}" name="接続11995" type="7" refreshedVersion="8"/>
  <connection id="2221" xr16:uid="{832FDFAC-14C3-4B87-B84F-4A4D2902AEA9}" name="接続11996" type="7" refreshedVersion="8"/>
  <connection id="2222" xr16:uid="{2291AF21-C86D-4F56-B765-A00822CD146D}" name="接続11997" type="7" refreshedVersion="8"/>
  <connection id="2223" xr16:uid="{E524BDE6-5424-491A-80EA-3034EB8149BE}" name="接続11998" type="7" refreshedVersion="8"/>
  <connection id="2224" xr16:uid="{72805885-5A74-485C-9641-9A64770664B3}" name="接続11999" type="7" refreshedVersion="8"/>
  <connection id="2225" xr16:uid="{00000000-0015-0000-FFFF-FFFFEA050000}" name="接続12" type="7" refreshedVersion="3"/>
  <connection id="2226" xr16:uid="{00000000-0015-0000-FFFF-FFFFEB050000}" name="接続120" type="7" refreshedVersion="4"/>
  <connection id="2227" xr16:uid="{00000000-0015-0000-FFFF-FFFFEC050000}" name="接続1200" type="7" refreshedVersion="4"/>
  <connection id="2228" xr16:uid="{3EC9A8CA-6714-4AF9-8AF1-FAF44863B7E5}" name="接続12000" type="7" refreshedVersion="8"/>
  <connection id="2229" xr16:uid="{86C92F92-B802-44E0-BA7A-A5FE38160E2C}" name="接続12001" type="7" refreshedVersion="8"/>
  <connection id="2230" xr16:uid="{CBCCDB5B-BE34-4B3D-8DD6-98469B083757}" name="接続12002" type="7" refreshedVersion="8"/>
  <connection id="2231" xr16:uid="{824A703F-FAA9-4FEA-AD38-C42B4745C132}" name="接続12003" type="7" refreshedVersion="8"/>
  <connection id="2232" xr16:uid="{CFF1E5B3-CD30-4493-AF1D-1DC3FB511B92}" name="接続12004" type="7" refreshedVersion="8"/>
  <connection id="2233" xr16:uid="{DF4185D2-B293-4246-9FDE-95BCE5D8F57F}" name="接続12005" type="7" refreshedVersion="8"/>
  <connection id="2234" xr16:uid="{63A8D863-8A4D-4BEF-A795-9B9B63929AC8}" name="接続12006" type="7" refreshedVersion="8"/>
  <connection id="2235" xr16:uid="{41D964E5-FDFE-4CB0-B5F9-4541F605A559}" name="接続12007" type="7" refreshedVersion="8"/>
  <connection id="2236" xr16:uid="{A1557FA1-4069-4BB7-987D-F19865F1305A}" name="接続12008" type="7" refreshedVersion="8"/>
  <connection id="2237" xr16:uid="{40B9A888-2365-47AB-BE58-6AF5B047DBDC}" name="接続12009" type="7" refreshedVersion="8"/>
  <connection id="2238" xr16:uid="{00000000-0015-0000-FFFF-FFFFED050000}" name="接続1201" type="7" refreshedVersion="4"/>
  <connection id="2239" xr16:uid="{B3ED1F35-95BF-4FB4-A182-5B03CB77605F}" name="接続12010" type="7" refreshedVersion="8"/>
  <connection id="2240" xr16:uid="{EC367BA7-7E33-4F0E-BA21-13AD55A79E16}" name="接続12011" type="7" refreshedVersion="8"/>
  <connection id="2241" xr16:uid="{837D8F40-0CCA-4468-9C86-6A3FC3E52670}" name="接続12012" type="7" refreshedVersion="8"/>
  <connection id="2242" xr16:uid="{6F0B5DF7-5D39-4993-9FAC-B70677568720}" name="接続12013" type="7" refreshedVersion="8"/>
  <connection id="2243" xr16:uid="{7B71FA1F-2E7E-448B-893D-AA9E6E0DC852}" name="接続12014" type="7" refreshedVersion="8"/>
  <connection id="2244" xr16:uid="{F3F21F2F-150F-4587-A930-69B0530F7A78}" name="接続12015" type="7" refreshedVersion="8"/>
  <connection id="2245" xr16:uid="{230D4186-FC37-4A3E-9014-8259D2EAA8D0}" name="接続12016" type="7" refreshedVersion="8"/>
  <connection id="2246" xr16:uid="{7D6760D2-89AA-450B-B0D5-31EB148FAE62}" name="接続12017" type="7" refreshedVersion="8"/>
  <connection id="2247" xr16:uid="{86274535-206D-4B99-9F90-5021C2DC1F86}" name="接続12018" type="7" refreshedVersion="8"/>
  <connection id="2248" xr16:uid="{96CD9A2C-AB66-4BCE-895D-845B42F566D2}" name="接続12019" type="7" refreshedVersion="8"/>
  <connection id="2249" xr16:uid="{00000000-0015-0000-FFFF-FFFFEE050000}" name="接続1202" type="7" refreshedVersion="4"/>
  <connection id="2250" xr16:uid="{A42ADAA2-F726-4A02-990D-DA593BB614C0}" name="接続12020" type="7" refreshedVersion="8"/>
  <connection id="2251" xr16:uid="{30A7E8BB-CA15-43B1-821C-D3F77CEB3B56}" name="接続12021" type="7" refreshedVersion="8"/>
  <connection id="2252" xr16:uid="{5339FF7A-9972-4488-A5A1-C3F56EDE0D96}" name="接続12022" type="7" refreshedVersion="8"/>
  <connection id="2253" xr16:uid="{460C416A-E1E3-4C2C-9CC1-A0010E940E4F}" name="接続12023" type="7" refreshedVersion="8"/>
  <connection id="2254" xr16:uid="{58A1E8CA-35E0-4F44-A428-02E88BC8164E}" name="接続12024" type="7" refreshedVersion="8"/>
  <connection id="2255" xr16:uid="{66F35DB6-6406-41BE-BB18-02B41C7634ED}" name="接続12025" type="7" refreshedVersion="8"/>
  <connection id="2256" xr16:uid="{FEC1992D-075C-454F-8E67-234A5FD2F7C0}" name="接続12026" type="7" refreshedVersion="8"/>
  <connection id="2257" xr16:uid="{0E2F0AD3-6BE1-4387-AADE-D19BA53B322D}" name="接続12027" type="7" refreshedVersion="8"/>
  <connection id="2258" xr16:uid="{D1BFAF9B-3152-4B55-9E68-F5D6A43F0B01}" name="接続12028" type="7" refreshedVersion="8"/>
  <connection id="2259" xr16:uid="{323DE596-5086-443A-B185-4E2FBC2EF74C}" name="接続12029" type="7" refreshedVersion="8"/>
  <connection id="2260" xr16:uid="{00000000-0015-0000-FFFF-FFFFEF050000}" name="接続1203" type="7" refreshedVersion="4"/>
  <connection id="2261" xr16:uid="{58019381-77B4-48DA-8540-184B45D250D0}" name="接続12030" type="7" refreshedVersion="8"/>
  <connection id="2262" xr16:uid="{515C4FC5-C359-4CEB-A9F8-1B6521AF370D}" name="接続12031" type="7" refreshedVersion="8"/>
  <connection id="2263" xr16:uid="{48CE6913-3FF5-4E35-AA84-46AF7407070F}" name="接続12032" type="7" refreshedVersion="8"/>
  <connection id="2264" xr16:uid="{DE4B2CDC-AC46-4513-B487-9335B901CF72}" name="接続12033" type="7" refreshedVersion="8"/>
  <connection id="2265" xr16:uid="{825634F0-5C2C-4C4D-9152-584E903C5150}" name="接続12034" type="7" refreshedVersion="8"/>
  <connection id="2266" xr16:uid="{FD3F7DED-5357-42AC-A093-37DB7BAD9985}" name="接続12035" type="7" refreshedVersion="8"/>
  <connection id="2267" xr16:uid="{EC5FED24-1D0A-481A-9082-835A00A47C21}" name="接続12036" type="7" refreshedVersion="8"/>
  <connection id="2268" xr16:uid="{2CB30D5B-AFC5-4069-8E1F-8072FD78F2E1}" name="接続12037" type="7" refreshedVersion="8"/>
  <connection id="2269" xr16:uid="{218ED0EE-6ED7-418C-AD6D-1CAFB5DDCD1A}" name="接続12038" type="7" refreshedVersion="8"/>
  <connection id="2270" xr16:uid="{991C9B5D-D1A0-44A0-BDE3-3480C46E3190}" name="接続12039" type="7" refreshedVersion="8"/>
  <connection id="2271" xr16:uid="{00000000-0015-0000-FFFF-FFFFF0050000}" name="接続1204" type="7" refreshedVersion="4"/>
  <connection id="2272" xr16:uid="{A7BA0DEB-0941-44C2-BF75-B8B146E5C40F}" name="接続12040" type="7" refreshedVersion="8"/>
  <connection id="2273" xr16:uid="{B3DE8CBA-EE0A-4506-8834-9FA77659E5CD}" name="接続12041" type="7" refreshedVersion="8"/>
  <connection id="2274" xr16:uid="{2B96BB2C-1DCA-4A0E-8104-A955856C081A}" name="接続12042" type="7" refreshedVersion="8"/>
  <connection id="2275" xr16:uid="{D2709FB5-2266-4178-BC3E-44F901E614D0}" name="接続12043" type="7" refreshedVersion="8"/>
  <connection id="2276" xr16:uid="{C76868B0-8DE3-4259-B90C-D40D7E933432}" name="接続12044" type="7" refreshedVersion="8"/>
  <connection id="2277" xr16:uid="{10487BF7-1184-4B8C-9D8E-9CB385DAFB9A}" name="接続12045" type="7" refreshedVersion="8"/>
  <connection id="2278" xr16:uid="{F679A49D-AB21-4C17-8B62-AA690F60A129}" name="接続12046" type="7" refreshedVersion="8"/>
  <connection id="2279" xr16:uid="{6AAD93F3-B623-4CAF-BBFA-811FE1E1109D}" name="接続12047" type="7" refreshedVersion="8"/>
  <connection id="2280" xr16:uid="{A3178179-C7FF-4AE5-9927-71BDFBFCC7AF}" name="接続12048" type="7" refreshedVersion="8"/>
  <connection id="2281" xr16:uid="{6D4B3801-0A3C-43DE-859F-1122E1A27953}" name="接続12049" type="7" refreshedVersion="8"/>
  <connection id="2282" xr16:uid="{00000000-0015-0000-FFFF-FFFFF1050000}" name="接続1205" type="7" refreshedVersion="4"/>
  <connection id="2283" xr16:uid="{C8CA7D18-4D30-47CC-8C76-93548832CEB3}" name="接続12050" type="7" refreshedVersion="8"/>
  <connection id="2284" xr16:uid="{4D017678-CE50-49DD-A046-45BC23650D55}" name="接続12051" type="7" refreshedVersion="8"/>
  <connection id="2285" xr16:uid="{DAA595C4-8955-4DE4-8CD7-459294686B25}" name="接続12052" type="7" refreshedVersion="8"/>
  <connection id="2286" xr16:uid="{C781BE5D-1918-4816-9CBF-074976B3B9CF}" name="接続12053" type="7" refreshedVersion="8"/>
  <connection id="2287" xr16:uid="{7F78CDB7-BD66-4F96-B94B-F390F1C53B7F}" name="接続12054" type="7" refreshedVersion="8"/>
  <connection id="2288" xr16:uid="{D0799D58-3E53-4CA6-8722-201F21D5A7C0}" name="接続12055" type="7" refreshedVersion="8"/>
  <connection id="2289" xr16:uid="{6815D91B-4357-4AA0-97FF-36DF2D4A2C20}" name="接続12056" type="7" refreshedVersion="8"/>
  <connection id="2290" xr16:uid="{A689ECCD-B4E2-4BF9-A344-359539F2210D}" name="接続12057" type="7" refreshedVersion="8"/>
  <connection id="2291" xr16:uid="{9E39EA95-A709-44D3-B9EA-20CFD2ACF496}" name="接続12058" type="7" refreshedVersion="8"/>
  <connection id="2292" xr16:uid="{F21A48EF-16CD-42B4-B6DB-C7F417E95FC2}" name="接続12059" type="7" refreshedVersion="8"/>
  <connection id="2293" xr16:uid="{00000000-0015-0000-FFFF-FFFFF2050000}" name="接続1206" type="7" refreshedVersion="4"/>
  <connection id="2294" xr16:uid="{DEC78EF2-1936-43B2-A373-9B343BAF0E1D}" name="接続12060" type="7" refreshedVersion="8"/>
  <connection id="2295" xr16:uid="{AED90429-8B38-4DA0-B23E-AB7DEFEF1186}" name="接続12061" type="7" refreshedVersion="8"/>
  <connection id="2296" xr16:uid="{ED510FB2-E501-4181-AC77-1E86E9A26880}" name="接続12062" type="7" refreshedVersion="8"/>
  <connection id="2297" xr16:uid="{E0B6DCBE-938C-492B-B6F5-BA6ADA36268E}" name="接続12063" type="7" refreshedVersion="8"/>
  <connection id="2298" xr16:uid="{241CB878-B5F5-4622-89C6-EE7A2843AB67}" name="接続12064" type="7" refreshedVersion="8"/>
  <connection id="2299" xr16:uid="{FFAA0D50-9775-4D44-9AE6-BFEA866747A1}" name="接続12065" type="7" refreshedVersion="8"/>
  <connection id="2300" xr16:uid="{9CA501C5-65DA-4907-AD40-626205F5BE90}" name="接続12066" type="7" refreshedVersion="8"/>
  <connection id="2301" xr16:uid="{B7DA2DD8-6F4C-4708-992F-9D00605BE2BB}" name="接続12067" type="7" refreshedVersion="8"/>
  <connection id="2302" xr16:uid="{CC95E7C8-3598-4784-8D19-384642087CEC}" name="接続12068" type="7" refreshedVersion="8"/>
  <connection id="2303" xr16:uid="{65C04478-A4F5-4443-A420-B2083258655D}" name="接続12069" type="7" refreshedVersion="8"/>
  <connection id="2304" xr16:uid="{00000000-0015-0000-FFFF-FFFFF3050000}" name="接続1207" type="7" refreshedVersion="4"/>
  <connection id="2305" xr16:uid="{CFAAF132-0D36-4AA3-AB05-F310AE8A3FE1}" name="接続12070" type="7" refreshedVersion="8"/>
  <connection id="2306" xr16:uid="{97B9C24F-CD85-42C3-AA86-57155481D3FD}" name="接続12071" type="7" refreshedVersion="8"/>
  <connection id="2307" xr16:uid="{2899A7D7-4A7B-4F37-925A-EEB2B846FAE3}" name="接続12072" type="7" refreshedVersion="8"/>
  <connection id="2308" xr16:uid="{F6DE81CA-F5EF-4FC9-8CD9-F4E4B412D447}" name="接続12073" type="7" refreshedVersion="8"/>
  <connection id="2309" xr16:uid="{49894464-8CDC-4507-B1FB-DCFAD80C8D79}" name="接続12074" type="7" refreshedVersion="8"/>
  <connection id="2310" xr16:uid="{24364528-7FA1-4DD3-B5EA-1EE4BFEEA1AC}" name="接続12075" type="7" refreshedVersion="8"/>
  <connection id="2311" xr16:uid="{628C4E84-66A8-4217-8975-04F37DA16B79}" name="接続12076" type="7" refreshedVersion="8"/>
  <connection id="2312" xr16:uid="{3AB8AEB0-0109-498C-B824-50DC6B358FC1}" name="接続12077" type="7" refreshedVersion="8"/>
  <connection id="2313" xr16:uid="{9BD2E7CF-6978-44AA-A8DF-496318D874C0}" name="接続12078" type="7" refreshedVersion="8"/>
  <connection id="2314" xr16:uid="{C9890224-DCB3-4BC6-94F3-D70A917A232A}" name="接続12079" type="7" refreshedVersion="8"/>
  <connection id="2315" xr16:uid="{00000000-0015-0000-FFFF-FFFFF4050000}" name="接続1208" type="7" refreshedVersion="4"/>
  <connection id="2316" xr16:uid="{8EF873B9-3D2E-4CBA-8B8D-8256011EFF64}" name="接続12080" type="7" refreshedVersion="8"/>
  <connection id="2317" xr16:uid="{1620921F-4CFB-4BC6-A9B1-F7FA63A9308F}" name="接続12081" type="7" refreshedVersion="8"/>
  <connection id="2318" xr16:uid="{DB1FEB60-3682-4730-95AD-4BBC9A76C9BC}" name="接続12082" type="7" refreshedVersion="8"/>
  <connection id="2319" xr16:uid="{5A017C36-19F2-41FA-9011-81102D1E600B}" name="接続12083" type="7" refreshedVersion="8"/>
  <connection id="2320" xr16:uid="{D4D0797C-C072-414F-B2E8-847E74E137F2}" name="接続12084" type="7" refreshedVersion="8"/>
  <connection id="2321" xr16:uid="{F726E229-F129-4354-9C1C-2950C71BC7F3}" name="接続12085" type="7" refreshedVersion="8"/>
  <connection id="2322" xr16:uid="{35686FDD-D25A-489C-BFCF-BF7BF30D0C13}" name="接続12086" type="7" refreshedVersion="8"/>
  <connection id="2323" xr16:uid="{41C8C3B9-7F3D-44DB-8A4D-783F08348EC0}" name="接続12087" type="7" refreshedVersion="8"/>
  <connection id="2324" xr16:uid="{63E5FBB5-19BC-4061-842B-942137E09707}" name="接続12088" type="7" refreshedVersion="8"/>
  <connection id="2325" xr16:uid="{1D26FD2C-68BC-4296-9553-7F0607F77D41}" name="接続12089" type="7" refreshedVersion="8"/>
  <connection id="2326" xr16:uid="{00000000-0015-0000-FFFF-FFFFF5050000}" name="接続1209" type="7" refreshedVersion="4"/>
  <connection id="2327" xr16:uid="{F7BF3A38-6245-4FD8-BE4D-813EEC92B785}" name="接続12090" type="7" refreshedVersion="8"/>
  <connection id="2328" xr16:uid="{042F40E0-B957-4A3B-993D-EE6BC1F59B9E}" name="接続12091" type="7" refreshedVersion="8"/>
  <connection id="2329" xr16:uid="{37C5AE5F-D72D-4E1E-A13E-F99263CA7501}" name="接続12092" type="7" refreshedVersion="8"/>
  <connection id="2330" xr16:uid="{C5426580-2B6F-4398-B19D-763EA7A22687}" name="接続12093" type="7" refreshedVersion="8"/>
  <connection id="2331" xr16:uid="{27C59BB1-79B0-495E-839F-9CBE222BE797}" name="接続12094" type="7" refreshedVersion="8"/>
  <connection id="2332" xr16:uid="{AE882A17-C5C6-4254-9661-09CB0FBB8770}" name="接続12095" type="7" refreshedVersion="8"/>
  <connection id="2333" xr16:uid="{7B529293-4669-4303-9A2B-E3B026772A5B}" name="接続12096" type="7" refreshedVersion="8"/>
  <connection id="2334" xr16:uid="{AA331C0B-4E7C-4CA9-9AD0-F9B5C4CCCB97}" name="接続12097" type="7" refreshedVersion="8"/>
  <connection id="2335" xr16:uid="{D1A79349-60AB-468A-ACEB-96BD22ECD846}" name="接続12098" type="7" refreshedVersion="8"/>
  <connection id="2336" xr16:uid="{A45E17C0-43D1-4EA8-8EB6-78680A958302}" name="接続12099" type="7" refreshedVersion="8"/>
  <connection id="2337" xr16:uid="{00000000-0015-0000-FFFF-FFFFF6050000}" name="接続121" type="7" refreshedVersion="4"/>
  <connection id="2338" xr16:uid="{00000000-0015-0000-FFFF-FFFFF7050000}" name="接続1210" type="7" refreshedVersion="4"/>
  <connection id="2339" xr16:uid="{533C2A1C-ABA2-4DEE-8371-304BDF24B1CE}" name="接続12100" type="7" refreshedVersion="8"/>
  <connection id="2340" xr16:uid="{4BD60CB7-8FEC-45BC-9255-ACE78BE07852}" name="接続12101" type="7" refreshedVersion="8"/>
  <connection id="2341" xr16:uid="{8CE5CAA9-A4D2-40C5-BE8D-5A96331B1A5E}" name="接続12102" type="7" refreshedVersion="8"/>
  <connection id="2342" xr16:uid="{7A7B8B89-E48D-4F86-A93E-301A0CD1CAE6}" name="接続12103" type="7" refreshedVersion="8"/>
  <connection id="2343" xr16:uid="{C0FD3A01-D405-4ED5-8753-989CF0C2437A}" name="接続12104" type="7" refreshedVersion="8"/>
  <connection id="2344" xr16:uid="{0EBC298D-AAD3-41BE-997A-D969FDD7BD12}" name="接続12105" type="7" refreshedVersion="8"/>
  <connection id="2345" xr16:uid="{A45A2E5F-1007-46CF-B979-E8A2627C6924}" name="接続12106" type="7" refreshedVersion="8"/>
  <connection id="2346" xr16:uid="{01EAAE0B-7D45-401A-9E7F-204CC5FD30AC}" name="接続12107" type="7" refreshedVersion="8"/>
  <connection id="2347" xr16:uid="{F320106F-5E5D-4F20-8F4A-F1417F63B9E0}" name="接続12108" type="7" refreshedVersion="8"/>
  <connection id="2348" xr16:uid="{F0C75F6E-DEEC-40E4-8738-CD6B6E14620A}" name="接続12109" type="7" refreshedVersion="8"/>
  <connection id="2349" xr16:uid="{00000000-0015-0000-FFFF-FFFFF8050000}" name="接続1211" type="7" refreshedVersion="4"/>
  <connection id="2350" xr16:uid="{BD9FB579-F2FD-428F-9177-16C85BFF2EE4}" name="接続12110" type="7" refreshedVersion="8"/>
  <connection id="2351" xr16:uid="{B56296EF-CF4D-42CC-B072-52FD14607701}" name="接続12111" type="7" refreshedVersion="8"/>
  <connection id="2352" xr16:uid="{D02B574B-853E-484F-9AD7-50274EE9D6F5}" name="接続12112" type="7" refreshedVersion="8"/>
  <connection id="2353" xr16:uid="{B0F17229-6835-4BCB-A5A8-FE1EC0CC4AC5}" name="接続12113" type="7" refreshedVersion="8"/>
  <connection id="2354" xr16:uid="{05A4E9F1-FE89-46FC-97F5-84BAD764A5CE}" name="接続12114" type="7" refreshedVersion="8"/>
  <connection id="2355" xr16:uid="{92531E15-26B9-4AD9-91F0-9DEA971CD517}" name="接続12115" type="7" refreshedVersion="8"/>
  <connection id="2356" xr16:uid="{95F3AF9A-81A3-4635-A442-CAB75C7FC4D6}" name="接続12116" type="7" refreshedVersion="8"/>
  <connection id="2357" xr16:uid="{66A7276A-D9D6-4844-8402-AC3FD36E6B88}" name="接続12117" type="7" refreshedVersion="8"/>
  <connection id="2358" xr16:uid="{5A6B4AFF-47BA-4D20-8480-5803C8055497}" name="接続12118" type="7" refreshedVersion="8"/>
  <connection id="2359" xr16:uid="{045DCA79-09D3-429F-9B64-5AD672CFAC9C}" name="接続12119" type="7" refreshedVersion="8"/>
  <connection id="2360" xr16:uid="{00000000-0015-0000-FFFF-FFFFF9050000}" name="接続1212" type="7" refreshedVersion="4"/>
  <connection id="2361" xr16:uid="{4B9BD12B-F1EA-4181-9A03-CD1677BBFD14}" name="接続12120" type="7" refreshedVersion="8"/>
  <connection id="2362" xr16:uid="{74215380-D730-4137-BE23-20878032443B}" name="接続12121" type="7" refreshedVersion="8"/>
  <connection id="2363" xr16:uid="{AB8E6A59-B018-4F1D-AA6A-8ABC6E52C3FB}" name="接続12122" type="7" refreshedVersion="8"/>
  <connection id="2364" xr16:uid="{2C289A8F-0D2C-4671-94C1-6EA14B2E5CC5}" name="接続12123" type="7" refreshedVersion="8"/>
  <connection id="2365" xr16:uid="{F11B315C-33DF-400F-BEE4-A0E5D93133BD}" name="接続12124" type="7" refreshedVersion="8"/>
  <connection id="2366" xr16:uid="{642359D2-4F8B-4286-A5F7-FBF4FC5C2B78}" name="接続12125" type="7" refreshedVersion="8"/>
  <connection id="2367" xr16:uid="{CEBC2A33-E499-4F6C-9D3D-5A18487E5B45}" name="接続12126" type="7" refreshedVersion="8"/>
  <connection id="2368" xr16:uid="{FEAD2EE2-A894-46D5-8C8F-15106E03D5C4}" name="接続12127" type="7" refreshedVersion="8"/>
  <connection id="2369" xr16:uid="{FEA1F5AD-ECE7-4B3F-8AD7-BA186648FFAF}" name="接続12128" type="7" refreshedVersion="8"/>
  <connection id="2370" xr16:uid="{A33B193D-7EEF-49C1-BF2F-EB149177DBB3}" name="接続12129" type="7" refreshedVersion="8"/>
  <connection id="2371" xr16:uid="{00000000-0015-0000-FFFF-FFFFFA050000}" name="接続1213" type="7" refreshedVersion="4"/>
  <connection id="2372" xr16:uid="{C6D9832C-BEF0-4DD1-B065-A992606638D3}" name="接続12130" type="7" refreshedVersion="8"/>
  <connection id="2373" xr16:uid="{8286FA08-8B9C-4608-B3AB-BB118670A7CC}" name="接続12131" type="7" refreshedVersion="8"/>
  <connection id="2374" xr16:uid="{0FADB383-EEC4-4A30-A9B6-EC72B61C6012}" name="接続12132" type="7" refreshedVersion="8"/>
  <connection id="2375" xr16:uid="{C31DD4ED-FE45-41E0-B436-2B2FD0499721}" name="接続12133" type="7" refreshedVersion="8"/>
  <connection id="2376" xr16:uid="{7B3A5D5A-5ADB-4821-BE74-002ADE581FDB}" name="接続12134" type="7" refreshedVersion="8"/>
  <connection id="2377" xr16:uid="{60434E6B-20B1-423B-9AD2-320BB0738089}" name="接続12135" type="7" refreshedVersion="8"/>
  <connection id="2378" xr16:uid="{553CBE82-6CB3-46BE-8963-1A698CFA0CCA}" name="接続12136" type="7" refreshedVersion="8"/>
  <connection id="2379" xr16:uid="{BC11D171-4779-4207-9541-3CACFC06E8CE}" name="接続12137" type="7" refreshedVersion="8"/>
  <connection id="2380" xr16:uid="{5D3D30B8-1652-473D-8CA3-F481EC9D2338}" name="接続12138" type="7" refreshedVersion="8"/>
  <connection id="2381" xr16:uid="{A43AD2AA-EF43-4A1E-8C76-BE505F8BC899}" name="接続12139" type="7" refreshedVersion="8"/>
  <connection id="2382" xr16:uid="{00000000-0015-0000-FFFF-FFFFFB050000}" name="接続1214" type="7" refreshedVersion="4"/>
  <connection id="2383" xr16:uid="{7E3EC122-E5D5-452D-B6DC-E4D9EE4CF8AD}" name="接続12140" type="7" refreshedVersion="8"/>
  <connection id="2384" xr16:uid="{73F8B8DC-A865-431C-9380-54B33A7A8A28}" name="接続12141" type="7" refreshedVersion="8"/>
  <connection id="2385" xr16:uid="{463657F9-457B-487C-93BF-38F84563DCB4}" name="接続12142" type="7" refreshedVersion="8"/>
  <connection id="2386" xr16:uid="{D2E1DA04-9B3C-430E-A468-AA93CD8DC2CC}" name="接続12143" type="7" refreshedVersion="8"/>
  <connection id="2387" xr16:uid="{B44C3A25-8C8D-4A48-A70E-BC2DEDB9225D}" name="接続12144" type="7" refreshedVersion="8"/>
  <connection id="2388" xr16:uid="{F8C30D87-9A77-46A0-B86B-AC16EE439AD7}" name="接続12145" type="7" refreshedVersion="8"/>
  <connection id="2389" xr16:uid="{4F5D7CCD-767E-446B-A196-5FCABB7E81EC}" name="接続12146" type="7" refreshedVersion="8"/>
  <connection id="2390" xr16:uid="{91CCF1FC-CBAA-486D-A0D5-85DC3BF6E192}" name="接続12147" type="7" refreshedVersion="8"/>
  <connection id="2391" xr16:uid="{6E18F311-D0CA-4C1B-8227-524C7F5ED030}" name="接続12148" type="7" refreshedVersion="8"/>
  <connection id="2392" xr16:uid="{785F46FB-5C09-42F8-B247-A1C5828CB20F}" name="接続12149" type="7" refreshedVersion="8"/>
  <connection id="2393" xr16:uid="{00000000-0015-0000-FFFF-FFFFFC050000}" name="接続1215" type="7" refreshedVersion="4"/>
  <connection id="2394" xr16:uid="{0861A48D-3A5A-485C-ACBA-F19D19119439}" name="接続12150" type="7" refreshedVersion="8"/>
  <connection id="2395" xr16:uid="{C192DBDC-C1D4-4850-B37C-5396E44AD5DD}" name="接続12151" type="7" refreshedVersion="8"/>
  <connection id="2396" xr16:uid="{1F018984-2A95-4750-8E83-ACDCF0EDA351}" name="接続12152" type="7" refreshedVersion="8"/>
  <connection id="2397" xr16:uid="{51B7B2B7-7814-4D94-8CB8-2E7480C382E6}" name="接続12153" type="7" refreshedVersion="8"/>
  <connection id="2398" xr16:uid="{7E9DA6AC-888F-423A-A3DF-225365FFBD89}" name="接続12154" type="7" refreshedVersion="8"/>
  <connection id="2399" xr16:uid="{2079D7AD-AC41-4DEA-8057-2C54BD74262A}" name="接続12155" type="7" refreshedVersion="8"/>
  <connection id="2400" xr16:uid="{D1480E4A-4607-4B04-BD92-2BA1F1F8BBAF}" name="接続12156" type="7" refreshedVersion="8"/>
  <connection id="2401" xr16:uid="{C71874E2-F69A-4D0B-A37E-39BAF0D77753}" name="接続12157" type="7" refreshedVersion="8"/>
  <connection id="2402" xr16:uid="{14D43CB1-5815-4380-ABC4-2E05A9CB31C7}" name="接続12158" type="7" refreshedVersion="8"/>
  <connection id="2403" xr16:uid="{6D463D54-B663-4B3F-935C-917AF3389DAA}" name="接続12159" type="7" refreshedVersion="8"/>
  <connection id="2404" xr16:uid="{00000000-0015-0000-FFFF-FFFFFD050000}" name="接続1216" type="7" refreshedVersion="4"/>
  <connection id="2405" xr16:uid="{0C4F262C-AC77-4381-A72E-375CE4D0C82C}" name="接続12160" type="7" refreshedVersion="8"/>
  <connection id="2406" xr16:uid="{D46CF001-6C9F-4D31-8737-9E0BF532320D}" name="接続12161" type="7" refreshedVersion="8"/>
  <connection id="2407" xr16:uid="{C3858C65-0E3E-4C85-B199-4690F32AB864}" name="接続12162" type="7" refreshedVersion="8"/>
  <connection id="2408" xr16:uid="{787FB5CA-5A04-4B40-B1D1-D82A294F4B52}" name="接続12163" type="7" refreshedVersion="8"/>
  <connection id="2409" xr16:uid="{7F554EC4-D159-488C-AB92-704AB475C911}" name="接続12164" type="7" refreshedVersion="8"/>
  <connection id="2410" xr16:uid="{C0E8B0EA-0AED-4E5F-9403-59A4989E9700}" name="接続12165" type="7" refreshedVersion="8"/>
  <connection id="2411" xr16:uid="{B5DA34BF-EFE0-4771-94F3-E37C19AC3A3B}" name="接続12166" type="7" refreshedVersion="8"/>
  <connection id="2412" xr16:uid="{6660386B-B0BD-4CA7-A32D-F2D66C1C1610}" name="接続12167" type="7" refreshedVersion="8"/>
  <connection id="2413" xr16:uid="{235E0D9A-60DB-4EBF-B37D-F7A97A5593DF}" name="接続12168" type="7" refreshedVersion="8"/>
  <connection id="2414" xr16:uid="{807E491A-99AF-4D39-9E6F-6EC1353E229D}" name="接続12169" type="7" refreshedVersion="8"/>
  <connection id="2415" xr16:uid="{00000000-0015-0000-FFFF-FFFFFE050000}" name="接続1217" type="7" refreshedVersion="4"/>
  <connection id="2416" xr16:uid="{36B93B57-7F2A-4AE0-B9E0-6D0A106F3EAD}" name="接続12170" type="7" refreshedVersion="8"/>
  <connection id="2417" xr16:uid="{F6FA43A7-540F-4AFF-A74B-66FFC942D418}" name="接続12171" type="7" refreshedVersion="8"/>
  <connection id="2418" xr16:uid="{6645CD74-5F08-403F-8E78-093E6BC81457}" name="接続12172" type="7" refreshedVersion="8"/>
  <connection id="2419" xr16:uid="{8172CCE7-A10C-47E3-8A5E-8CDE768C4004}" name="接続12173" type="7" refreshedVersion="8"/>
  <connection id="2420" xr16:uid="{ACDACC54-E6BC-44D0-9CAB-358027CA67B1}" name="接続12174" type="7" refreshedVersion="8"/>
  <connection id="2421" xr16:uid="{CD3C697A-A5BD-40B2-9D18-799F5E375E7A}" name="接続12175" type="7" refreshedVersion="8"/>
  <connection id="2422" xr16:uid="{86E625FC-08EE-4332-B610-18AE3B3ACC4F}" name="接続12176" type="7" refreshedVersion="8"/>
  <connection id="2423" xr16:uid="{0DD0F156-0FD9-4A56-809D-F60527A3BE05}" name="接続12177" type="7" refreshedVersion="8"/>
  <connection id="2424" xr16:uid="{A61CDB6D-0CFD-443E-84E7-3E650522C48D}" name="接続12178" type="7" refreshedVersion="8"/>
  <connection id="2425" xr16:uid="{ACF731FE-370B-462B-B4EB-A25CB1E4D3D1}" name="接続12179" type="7" refreshedVersion="8"/>
  <connection id="2426" xr16:uid="{00000000-0015-0000-FFFF-FFFFFF050000}" name="接続1218" type="7" refreshedVersion="4"/>
  <connection id="2427" xr16:uid="{1757BDC8-3363-46D7-87D3-124FFECEEBAE}" name="接続12180" type="7" refreshedVersion="8"/>
  <connection id="2428" xr16:uid="{B65E3B5B-1FF0-4846-9DA0-9609F434AB24}" name="接続12181" type="7" refreshedVersion="8"/>
  <connection id="2429" xr16:uid="{FF882DC4-38BC-49FC-A6F6-6D57C730DE32}" name="接続12182" type="7" refreshedVersion="8"/>
  <connection id="2430" xr16:uid="{0437F6E1-0B74-4245-ABCF-0D5A1C8E4262}" name="接続12183" type="7" refreshedVersion="8"/>
  <connection id="2431" xr16:uid="{8E3D957A-0062-43D2-BD97-C9450C73E24F}" name="接続12184" type="7" refreshedVersion="8"/>
  <connection id="2432" xr16:uid="{5AFBA036-9C5B-44D6-8C69-52B516753AA1}" name="接続12185" type="7" refreshedVersion="8"/>
  <connection id="2433" xr16:uid="{5B6F518B-3D4F-46F4-8784-3884046F2580}" name="接続12186" type="7" refreshedVersion="8"/>
  <connection id="2434" xr16:uid="{97BBEC5F-3297-43AF-A537-6CBC0CAC39BD}" name="接続12187" type="7" refreshedVersion="8"/>
  <connection id="2435" xr16:uid="{9D66D850-7E2C-4571-981A-7E4D1976BB8E}" name="接続12188" type="7" refreshedVersion="8"/>
  <connection id="2436" xr16:uid="{6BD360C7-FBE6-460D-A111-7FC4448F4B1A}" name="接続12189" type="7" refreshedVersion="8"/>
  <connection id="2437" xr16:uid="{00000000-0015-0000-FFFF-FFFF00060000}" name="接続1219" type="7" refreshedVersion="4"/>
  <connection id="2438" xr16:uid="{9506F277-BACD-407D-81C7-75844A4E6744}" name="接続12190" type="7" refreshedVersion="8"/>
  <connection id="2439" xr16:uid="{2906A3F3-0461-49B9-A5D9-D62557641637}" name="接続12191" type="7" refreshedVersion="8"/>
  <connection id="2440" xr16:uid="{B1629EAC-220A-4035-8CB5-1A4B4464B571}" name="接続12192" type="7" refreshedVersion="8"/>
  <connection id="2441" xr16:uid="{D089C841-15F3-4BFD-82AD-8D21222BFC8A}" name="接続12193" type="7" refreshedVersion="8"/>
  <connection id="2442" xr16:uid="{C078251C-EDA4-4326-AB99-AE1703C43747}" name="接続12194" type="7" refreshedVersion="8"/>
  <connection id="2443" xr16:uid="{52F4085C-DEEC-4217-9D8F-3BD607F6D641}" name="接続12195" type="7" refreshedVersion="8"/>
  <connection id="2444" xr16:uid="{6BA39959-A2C6-4F04-B76D-0C239A7E4176}" name="接続12196" type="7" refreshedVersion="8"/>
  <connection id="2445" xr16:uid="{64D90BC8-753A-43F9-A2CC-2C1A93754C74}" name="接続12197" type="7" refreshedVersion="8"/>
  <connection id="2446" xr16:uid="{513839DB-0DF6-46D8-BB50-DABE0DA679C3}" name="接続12198" type="7" refreshedVersion="8"/>
  <connection id="2447" xr16:uid="{3CE9C0A4-FD34-4965-8D8C-4BF03927F004}" name="接続12199" type="7" refreshedVersion="8"/>
  <connection id="2448" xr16:uid="{00000000-0015-0000-FFFF-FFFF01060000}" name="接続122" type="7" refreshedVersion="4"/>
  <connection id="2449" xr16:uid="{00000000-0015-0000-FFFF-FFFF02060000}" name="接続1220" type="7" refreshedVersion="4"/>
  <connection id="2450" xr16:uid="{A84EA2A1-68F9-4490-9D04-2FA3F48BD045}" name="接続12200" type="7" refreshedVersion="8"/>
  <connection id="2451" xr16:uid="{BD136E0B-5067-4885-9F16-A087C5FCE46D}" name="接続12201" type="7" refreshedVersion="8"/>
  <connection id="2452" xr16:uid="{C13CAE75-13B9-4130-98EE-E305379A1C1E}" name="接続12202" type="7" refreshedVersion="8"/>
  <connection id="2453" xr16:uid="{5ACA159A-5662-40ED-9BFD-7AE39416A35B}" name="接続12203" type="7" refreshedVersion="8"/>
  <connection id="2454" xr16:uid="{AF4408C2-BAD8-4DD4-A0C9-3B70006A114A}" name="接続12204" type="7" refreshedVersion="8"/>
  <connection id="2455" xr16:uid="{0AFBE1A9-8C51-48AA-8DC3-2D733BE3CACE}" name="接続12205" type="7" refreshedVersion="8"/>
  <connection id="2456" xr16:uid="{8853A77A-A9B9-4E6B-AB47-5B4C35EECA3E}" name="接続12206" type="7" refreshedVersion="8"/>
  <connection id="2457" xr16:uid="{04593518-36F2-4DE2-B87B-693CCBBD6573}" name="接続12207" type="7" refreshedVersion="8"/>
  <connection id="2458" xr16:uid="{7CF00C7F-785B-4007-858A-A226CF51F415}" name="接続12208" type="7" refreshedVersion="8"/>
  <connection id="2459" xr16:uid="{16108A68-CD21-4A07-8220-937426875283}" name="接続12209" type="7" refreshedVersion="8"/>
  <connection id="2460" xr16:uid="{00000000-0015-0000-FFFF-FFFF03060000}" name="接続1221" type="7" refreshedVersion="4"/>
  <connection id="2461" xr16:uid="{B4158FED-0B3D-43C1-B995-A06A12B0CDD2}" name="接続12210" type="7" refreshedVersion="8"/>
  <connection id="2462" xr16:uid="{D553957A-C7C9-4EDB-88BC-06CC2CD0DBB8}" name="接続12211" type="7" refreshedVersion="8"/>
  <connection id="2463" xr16:uid="{4C3BD5DF-6F9F-4214-B5CD-E812D35DEA27}" name="接続12212" type="7" refreshedVersion="8"/>
  <connection id="2464" xr16:uid="{9692B1AF-7117-4FC8-A424-5E43DC1933A5}" name="接続12213" type="7" refreshedVersion="8"/>
  <connection id="2465" xr16:uid="{FF2A92D9-B8F5-4887-B31D-C7BAFE91FF98}" name="接続12214" type="7" refreshedVersion="8"/>
  <connection id="2466" xr16:uid="{54C6A671-9CD9-4B90-A426-0E25E87CA892}" name="接続12215" type="7" refreshedVersion="8"/>
  <connection id="2467" xr16:uid="{EFA310FD-BA60-4DE6-9FAE-84D27071396B}" name="接続12216" type="7" refreshedVersion="8"/>
  <connection id="2468" xr16:uid="{8437A8D9-5E3C-4E4D-9CB2-1F3F1FE38248}" name="接続12217" type="7" refreshedVersion="8"/>
  <connection id="2469" xr16:uid="{2E44B6BE-D1D8-41B0-9EF4-8E67EBF036C7}" name="接続12218" type="7" refreshedVersion="8"/>
  <connection id="2470" xr16:uid="{8D4EABB2-5FAB-474B-9608-7B5A29EB55D7}" name="接続12219" type="7" refreshedVersion="8"/>
  <connection id="2471" xr16:uid="{00000000-0015-0000-FFFF-FFFF04060000}" name="接続1222" type="7" refreshedVersion="4"/>
  <connection id="2472" xr16:uid="{D0377CBE-611C-4020-88F9-DB7774C0237B}" name="接続12220" type="7" refreshedVersion="8"/>
  <connection id="2473" xr16:uid="{78E90019-C0B1-4A9B-A5A1-FDA34FD1CD83}" name="接続12221" type="7" refreshedVersion="8"/>
  <connection id="2474" xr16:uid="{18D977DA-8200-4C13-BAB9-AB7E24A481A4}" name="接続12222" type="7" refreshedVersion="8"/>
  <connection id="2475" xr16:uid="{A87290B9-E0F2-45B6-BBAE-3AD7935301EC}" name="接続12223" type="7" refreshedVersion="8"/>
  <connection id="2476" xr16:uid="{29DC0437-0E01-4901-82C4-5C14E2C50936}" name="接続12224" type="7" refreshedVersion="8"/>
  <connection id="2477" xr16:uid="{89D350DE-1CD4-4E11-84D9-B83CBB7BF8A8}" name="接続12225" type="7" refreshedVersion="8"/>
  <connection id="2478" xr16:uid="{BA831BD8-09CF-470E-8285-511838D5DE83}" name="接続12226" type="7" refreshedVersion="8"/>
  <connection id="2479" xr16:uid="{E6F567E4-5863-4BD9-8E31-C44200668B10}" name="接続12227" type="7" refreshedVersion="8"/>
  <connection id="2480" xr16:uid="{63668F1B-6877-4030-9E3E-E9B29521573D}" name="接続12228" type="7" refreshedVersion="8"/>
  <connection id="2481" xr16:uid="{936E28C3-E4B2-4ECD-A4E8-A0C3120D0E27}" name="接続12229" type="7" refreshedVersion="8"/>
  <connection id="2482" xr16:uid="{00000000-0015-0000-FFFF-FFFF05060000}" name="接続1223" type="7" refreshedVersion="4"/>
  <connection id="2483" xr16:uid="{2FEF26F4-0DE5-44B4-9723-FDFD2D4F3BB7}" name="接続12230" type="7" refreshedVersion="8"/>
  <connection id="2484" xr16:uid="{53F9DB06-A2D7-4E97-8881-E97BAD8C308F}" name="接続12231" type="7" refreshedVersion="8"/>
  <connection id="2485" xr16:uid="{F15BB066-0468-42BE-AE80-3E3AC575C813}" name="接続12232" type="7" refreshedVersion="8"/>
  <connection id="2486" xr16:uid="{CC67536F-7B57-4444-9A7C-7E19C7659D4E}" name="接続12233" type="7" refreshedVersion="8"/>
  <connection id="2487" xr16:uid="{F0078B7D-C64F-4BFB-8B5A-1F651639B543}" name="接続12234" type="7" refreshedVersion="8"/>
  <connection id="2488" xr16:uid="{A51067AB-94E4-4D1E-9775-5171F5BCB8E7}" name="接続12235" type="7" refreshedVersion="8"/>
  <connection id="2489" xr16:uid="{C013C3D7-2367-4C20-BF66-1A13330D50A0}" name="接続12236" type="7" refreshedVersion="8"/>
  <connection id="2490" xr16:uid="{415BF8EE-2DBA-4F5A-AE4D-7F1F6CF62F0D}" name="接続12237" type="7" refreshedVersion="8"/>
  <connection id="2491" xr16:uid="{ABC9C407-E198-4A40-AC06-820B6B3ED0D4}" name="接続12238" type="7" refreshedVersion="8"/>
  <connection id="2492" xr16:uid="{106FA96F-F086-4B79-9129-91D12D26CF00}" name="接続12239" type="7" refreshedVersion="8"/>
  <connection id="2493" xr16:uid="{00000000-0015-0000-FFFF-FFFF06060000}" name="接続1224" type="7" refreshedVersion="4"/>
  <connection id="2494" xr16:uid="{CE16CEA6-48AA-4B5D-9E10-DCB983A63288}" name="接続12240" type="7" refreshedVersion="8"/>
  <connection id="2495" xr16:uid="{6E36196A-7A4B-42EF-BA79-B4B04338E0F2}" name="接続12241" type="7" refreshedVersion="8"/>
  <connection id="2496" xr16:uid="{4323A2D3-48C3-41EF-9DE0-2914A28C9360}" name="接続12242" type="7" refreshedVersion="8"/>
  <connection id="2497" xr16:uid="{964ED137-0C2D-4F6D-AD05-4E7C1054F8AC}" name="接続12243" type="7" refreshedVersion="8"/>
  <connection id="2498" xr16:uid="{A562DB64-7904-4D27-8B3D-AC21D98CED27}" name="接続12244" type="7" refreshedVersion="8"/>
  <connection id="2499" xr16:uid="{68C75A3C-A74A-4309-B706-859C98EE7560}" name="接続12245" type="7" refreshedVersion="8"/>
  <connection id="2500" xr16:uid="{2E2517AF-4568-41F9-B136-30E01D594668}" name="接続12246" type="7" refreshedVersion="8"/>
  <connection id="2501" xr16:uid="{246A256E-B8F7-4FB0-B512-B9947034B915}" name="接続12247" type="7" refreshedVersion="8"/>
  <connection id="2502" xr16:uid="{7CD0019C-9BA7-42D9-B324-37E884427F3A}" name="接続12248" type="7" refreshedVersion="8"/>
  <connection id="2503" xr16:uid="{E1525038-9551-49EE-A733-6BC3DE1DE157}" name="接続12249" type="7" refreshedVersion="8"/>
  <connection id="2504" xr16:uid="{00000000-0015-0000-FFFF-FFFF07060000}" name="接続1225" type="7" refreshedVersion="4"/>
  <connection id="2505" xr16:uid="{890F3109-6F17-4233-A9A5-B28E6E234DA9}" name="接続12250" type="7" refreshedVersion="8"/>
  <connection id="2506" xr16:uid="{9B9EF8B8-6526-4BE7-9D9D-A373CCA3DE61}" name="接続12251" type="7" refreshedVersion="8"/>
  <connection id="2507" xr16:uid="{787F201B-BE00-4734-8DAF-E19549846167}" name="接続12252" type="7" refreshedVersion="8"/>
  <connection id="2508" xr16:uid="{6EC74AB5-2196-4E8C-A031-A8EC8FC00597}" name="接続12253" type="7" refreshedVersion="8"/>
  <connection id="2509" xr16:uid="{CE64F6B3-6248-49B5-A654-E9DA42226717}" name="接続12254" type="7" refreshedVersion="8"/>
  <connection id="2510" xr16:uid="{C5666D97-AEE4-4E6B-8623-29E226FF62B8}" name="接続12255" type="7" refreshedVersion="8"/>
  <connection id="2511" xr16:uid="{28C0F257-72BD-4A42-8DE1-44E3BD68D421}" name="接続12256" type="7" refreshedVersion="8"/>
  <connection id="2512" xr16:uid="{2428A92C-A704-4D41-B2AB-99C80C173180}" name="接続12257" type="7" refreshedVersion="8"/>
  <connection id="2513" xr16:uid="{41819CDD-E0DD-4AB6-BD66-9154BEF8C02A}" name="接続12258" type="7" refreshedVersion="8"/>
  <connection id="2514" xr16:uid="{8C8DAC3F-45BE-43BD-9C50-6014B2E59590}" name="接続12259" type="7" refreshedVersion="8"/>
  <connection id="2515" xr16:uid="{00000000-0015-0000-FFFF-FFFF08060000}" name="接続1226" type="7" refreshedVersion="4"/>
  <connection id="2516" xr16:uid="{3FAB5BB3-0C33-4F10-8048-B8BE1BB3B69E}" name="接続12260" type="7" refreshedVersion="8"/>
  <connection id="2517" xr16:uid="{88BA97FC-E13E-462F-A752-113A673EEF8E}" name="接続12261" type="7" refreshedVersion="8"/>
  <connection id="2518" xr16:uid="{8A6FEA91-0708-4FFC-BA19-031BAD79255F}" name="接続12262" type="7" refreshedVersion="8"/>
  <connection id="2519" xr16:uid="{346A7ED3-5CA7-4F46-AE8A-5EDFD699129C}" name="接続12263" type="7" refreshedVersion="8"/>
  <connection id="2520" xr16:uid="{A55A5634-AFF3-4A5F-A2DA-26DA0C1BDE2B}" name="接続12264" type="7" refreshedVersion="8"/>
  <connection id="2521" xr16:uid="{CEF4B395-873A-4EAB-B1D6-12C2189AF24C}" name="接続12265" type="7" refreshedVersion="8"/>
  <connection id="2522" xr16:uid="{B7F135E9-3DEC-41EB-9A46-8C5758A196A9}" name="接続12266" type="7" refreshedVersion="8"/>
  <connection id="2523" xr16:uid="{67112D65-1AAF-42EF-BFD4-E70AE430A18C}" name="接続12267" type="7" refreshedVersion="8"/>
  <connection id="2524" xr16:uid="{9D2E6290-47C3-4A8C-A7F8-5A087DB07BCD}" name="接続12268" type="7" refreshedVersion="8"/>
  <connection id="2525" xr16:uid="{5AB9E650-189E-4DD3-8579-B755A53F70D5}" name="接続12269" type="7" refreshedVersion="8"/>
  <connection id="2526" xr16:uid="{00000000-0015-0000-FFFF-FFFF09060000}" name="接続1227" type="7" refreshedVersion="4"/>
  <connection id="2527" xr16:uid="{244D97F8-CEE6-4E6C-B57D-59F5FC6BBE55}" name="接続12270" type="7" refreshedVersion="8"/>
  <connection id="2528" xr16:uid="{A8339A5C-F670-428B-8DD7-2714D3DF180A}" name="接続12271" type="7" refreshedVersion="8"/>
  <connection id="2529" xr16:uid="{C4DD8569-A072-4459-841E-74B56B054B8C}" name="接続12272" type="7" refreshedVersion="8"/>
  <connection id="2530" xr16:uid="{0BBAC717-FA52-4322-A899-C95EA5B5FAD7}" name="接続12273" type="7" refreshedVersion="8"/>
  <connection id="2531" xr16:uid="{AFE9F99A-8731-4C44-A042-CEF287F812AC}" name="接続12274" type="7" refreshedVersion="8"/>
  <connection id="2532" xr16:uid="{530DCDF4-0B99-4396-B98F-AB18858DF7B1}" name="接続12275" type="7" refreshedVersion="8"/>
  <connection id="2533" xr16:uid="{1EC3253C-3139-4776-AB5E-E242A99A16F8}" name="接続12276" type="7" refreshedVersion="8"/>
  <connection id="2534" xr16:uid="{3BBD67EC-E304-494E-B73E-DD7E7D9458A7}" name="接続12277" type="7" refreshedVersion="8"/>
  <connection id="2535" xr16:uid="{BCD2E126-D16B-410D-8819-1A6226FB496F}" name="接続12278" type="7" refreshedVersion="8"/>
  <connection id="2536" xr16:uid="{05B273C6-70B3-472B-B4A6-0267EE0D313D}" name="接続12279" type="7" refreshedVersion="8"/>
  <connection id="2537" xr16:uid="{00000000-0015-0000-FFFF-FFFF0A060000}" name="接続1228" type="7" refreshedVersion="4"/>
  <connection id="2538" xr16:uid="{CAD0CA05-6622-45C3-AE9D-8C6C71090D9A}" name="接続12280" type="7" refreshedVersion="8"/>
  <connection id="2539" xr16:uid="{1A29515A-C5FD-47EC-B250-FE85468DD36D}" name="接続12281" type="7" refreshedVersion="8"/>
  <connection id="2540" xr16:uid="{15B90B80-8EA9-419A-A48A-C3E24D0CACDF}" name="接続12282" type="7" refreshedVersion="8"/>
  <connection id="2541" xr16:uid="{54F072D8-DEB2-419B-A3E3-7458A7AA29A0}" name="接続12283" type="7" refreshedVersion="8"/>
  <connection id="2542" xr16:uid="{361E39C5-8AF6-4E2B-959E-A73937719443}" name="接続12284" type="7" refreshedVersion="8"/>
  <connection id="2543" xr16:uid="{E1E1A0A2-8D68-47B8-99D2-0B65813ABD82}" name="接続12285" type="7" refreshedVersion="8"/>
  <connection id="2544" xr16:uid="{AD1F4ED8-561B-43CD-B100-C6C3EB1FF9E5}" name="接続12286" type="7" refreshedVersion="8"/>
  <connection id="2545" xr16:uid="{4452F304-FF23-4055-A0AE-F95766C52AE3}" name="接続12287" type="7" refreshedVersion="8"/>
  <connection id="2546" xr16:uid="{D2F35AA8-1470-4C4D-89CC-FBE7AE1A5949}" name="接続12288" type="7" refreshedVersion="8"/>
  <connection id="2547" xr16:uid="{7AC5E0E4-32A5-476E-9663-BEA8A1E63D44}" name="接続12289" type="7" refreshedVersion="8"/>
  <connection id="2548" xr16:uid="{00000000-0015-0000-FFFF-FFFF0B060000}" name="接続1229" type="7" refreshedVersion="4"/>
  <connection id="2549" xr16:uid="{9BD35827-4CEF-499E-8DF1-22727FB97C68}" name="接続12290" type="7" refreshedVersion="8"/>
  <connection id="2550" xr16:uid="{362E34F0-AE38-42AB-8883-4289C2062CB0}" name="接続12291" type="7" refreshedVersion="8"/>
  <connection id="2551" xr16:uid="{AFE76DBF-9702-4AB6-8F9E-DA475EF371DD}" name="接続12292" type="7" refreshedVersion="8"/>
  <connection id="2552" xr16:uid="{9B39607B-7753-4F7B-A9C1-AAAA2538E2D3}" name="接続12293" type="7" refreshedVersion="8"/>
  <connection id="2553" xr16:uid="{F3F4FBCA-CFCE-4F3E-9D29-A9BD2CB4ABC5}" name="接続12294" type="7" refreshedVersion="8"/>
  <connection id="2554" xr16:uid="{7E3E66B0-5DF3-4197-BC5C-838F2FB9CDD9}" name="接続12295" type="7" refreshedVersion="8"/>
  <connection id="2555" xr16:uid="{3C489742-67A7-4BD4-8DAB-50862C2D415E}" name="接続12296" type="7" refreshedVersion="8"/>
  <connection id="2556" xr16:uid="{64810969-DE5C-4B20-8708-A675B34FC4E7}" name="接続12297" type="7" refreshedVersion="8"/>
  <connection id="2557" xr16:uid="{F2F5CCB5-CD84-4C6B-B503-406B7025C93D}" name="接続12298" type="7" refreshedVersion="8"/>
  <connection id="2558" xr16:uid="{879BB4B7-4387-4E89-9B32-3BC202545230}" name="接続12299" type="7" refreshedVersion="8"/>
  <connection id="2559" xr16:uid="{00000000-0015-0000-FFFF-FFFF0C060000}" name="接続123" type="7" refreshedVersion="4"/>
  <connection id="2560" xr16:uid="{00000000-0015-0000-FFFF-FFFF0D060000}" name="接続1230" type="7" refreshedVersion="4"/>
  <connection id="2561" xr16:uid="{74C21BCF-1A7F-4CC9-9926-0F0C93B7577F}" name="接続12300" type="7" refreshedVersion="8"/>
  <connection id="2562" xr16:uid="{5A2A7910-998A-4FA9-943B-203709710202}" name="接続12301" type="7" refreshedVersion="8"/>
  <connection id="2563" xr16:uid="{C09B86B5-E99D-4C33-84EE-2C5F3804B52A}" name="接続12302" type="7" refreshedVersion="8"/>
  <connection id="2564" xr16:uid="{E5E5A6F2-0BD5-4961-AF0F-797D9D6DB32F}" name="接続12303" type="7" refreshedVersion="8"/>
  <connection id="2565" xr16:uid="{A80DBC41-9910-4B1A-9AE1-F9C7EA9C28CE}" name="接続12304" type="7" refreshedVersion="8"/>
  <connection id="2566" xr16:uid="{71D41DB3-BCB1-4F54-AA2C-5380240A041E}" name="接続12305" type="7" refreshedVersion="8"/>
  <connection id="2567" xr16:uid="{BB284B32-F120-4506-AF91-58C42F576D6B}" name="接続12306" type="7" refreshedVersion="8"/>
  <connection id="2568" xr16:uid="{0E2640D9-FF39-4004-A277-E41F336882B8}" name="接続12307" type="7" refreshedVersion="8"/>
  <connection id="2569" xr16:uid="{6B1A875F-931D-44F5-903F-5095DB96626F}" name="接続12308" type="7" refreshedVersion="8"/>
  <connection id="2570" xr16:uid="{8E30B125-4675-446A-AC42-6D01A99438FA}" name="接続12309" type="7" refreshedVersion="8"/>
  <connection id="2571" xr16:uid="{00000000-0015-0000-FFFF-FFFF0E060000}" name="接続1231" type="7" refreshedVersion="4"/>
  <connection id="2572" xr16:uid="{511D8113-C75A-47EA-9177-749FE4F522D7}" name="接続12310" type="7" refreshedVersion="8"/>
  <connection id="2573" xr16:uid="{4E20EE5C-0AB8-4769-8160-3FB64875C312}" name="接続12311" type="7" refreshedVersion="8"/>
  <connection id="2574" xr16:uid="{EBAEA7E4-0F5E-4D21-9225-C0E1207678F3}" name="接続12312" type="7" refreshedVersion="8"/>
  <connection id="2575" xr16:uid="{CA805B54-5EE9-4FB6-8A56-AD922B5FF267}" name="接続12313" type="7" refreshedVersion="8"/>
  <connection id="2576" xr16:uid="{2E33AF67-9064-491E-8000-2D4C892747D9}" name="接続12314" type="7" refreshedVersion="8"/>
  <connection id="2577" xr16:uid="{EA5BCB0E-7CF9-433C-89A1-2CF699C2308B}" name="接続12315" type="7" refreshedVersion="8"/>
  <connection id="2578" xr16:uid="{9ACBCEAF-7123-43D9-8FCD-3E0ABD929014}" name="接続12316" type="7" refreshedVersion="8"/>
  <connection id="2579" xr16:uid="{8A3D9B10-3115-46EA-A9E9-C8E05344A6F8}" name="接続12317" type="7" refreshedVersion="8"/>
  <connection id="2580" xr16:uid="{A15FF70F-CE0D-47E5-B03F-BE22D0C7D042}" name="接続12318" type="7" refreshedVersion="8"/>
  <connection id="2581" xr16:uid="{DEB77EC8-6C35-4A59-8FC4-E409F5B793F8}" name="接続12319" type="7" refreshedVersion="8"/>
  <connection id="2582" xr16:uid="{00000000-0015-0000-FFFF-FFFF0F060000}" name="接続1232" type="7" refreshedVersion="4"/>
  <connection id="2583" xr16:uid="{14F72908-B3F6-4511-B005-6704F2712AB9}" name="接続12320" type="7" refreshedVersion="8"/>
  <connection id="2584" xr16:uid="{A36762BD-E4CD-4AA1-996D-1B086D7392B1}" name="接続12321" type="7" refreshedVersion="8"/>
  <connection id="2585" xr16:uid="{81B422E9-9F34-4001-ACBA-2530CF5CADC0}" name="接続12322" type="7" refreshedVersion="8"/>
  <connection id="2586" xr16:uid="{24529932-2940-41B5-9AB0-D99D7CF093DB}" name="接続12323" type="7" refreshedVersion="8"/>
  <connection id="2587" xr16:uid="{E34088CE-740E-4DAC-9985-47D683268CFD}" name="接続12324" type="7" refreshedVersion="8"/>
  <connection id="2588" xr16:uid="{6BCF9680-9920-4433-A4F8-71B704688D9B}" name="接続12325" type="7" refreshedVersion="8"/>
  <connection id="2589" xr16:uid="{0427D762-ABCC-4732-9CBA-033FBEA8275C}" name="接続12326" type="7" refreshedVersion="8"/>
  <connection id="2590" xr16:uid="{7762B54F-F3D4-431B-86E7-D59F7D8802E4}" name="接続12327" type="7" refreshedVersion="8"/>
  <connection id="2591" xr16:uid="{D0FCDC86-FADF-411A-84EB-AFB465B05600}" name="接続12328" type="7" refreshedVersion="8"/>
  <connection id="2592" xr16:uid="{3BB92907-18E6-4371-86C3-1032C9D2CF31}" name="接続12329" type="7" refreshedVersion="8"/>
  <connection id="2593" xr16:uid="{00000000-0015-0000-FFFF-FFFF10060000}" name="接続1233" type="7" refreshedVersion="4"/>
  <connection id="2594" xr16:uid="{1EDF45CF-9578-4691-84F6-1F8870E92653}" name="接続12330" type="7" refreshedVersion="8"/>
  <connection id="2595" xr16:uid="{B65D6194-4937-4AAE-9AE0-4835339F91B6}" name="接続12331" type="7" refreshedVersion="8"/>
  <connection id="2596" xr16:uid="{724F4062-1A98-4501-BDD2-64F487EE887F}" name="接続12332" type="7" refreshedVersion="8"/>
  <connection id="2597" xr16:uid="{D39919A2-8A0D-4912-A7FF-FDD88AD673C0}" name="接続12333" type="7" refreshedVersion="8"/>
  <connection id="2598" xr16:uid="{F86C3B3C-595D-48D2-9E80-484CD249616F}" name="接続12334" type="7" refreshedVersion="8"/>
  <connection id="2599" xr16:uid="{2DC27E69-0B57-44D0-A9EC-3CDB20B16B22}" name="接続12335" type="7" refreshedVersion="8"/>
  <connection id="2600" xr16:uid="{9700C7DA-B425-49D8-AAD0-BD356B28FE21}" name="接続12336" type="7" refreshedVersion="8"/>
  <connection id="2601" xr16:uid="{E05ADF3F-CD2F-4F69-A12F-C26CE5B06179}" name="接続12337" type="7" refreshedVersion="8"/>
  <connection id="2602" xr16:uid="{74AF22AC-8CCE-454D-B820-AE5603F6B686}" name="接続12338" type="7" refreshedVersion="8"/>
  <connection id="2603" xr16:uid="{D2491BCC-085F-4B80-B77B-4AB9BD6E8D9D}" name="接続12339" type="7" refreshedVersion="8"/>
  <connection id="2604" xr16:uid="{00000000-0015-0000-FFFF-FFFF11060000}" name="接続1234" type="7" refreshedVersion="4"/>
  <connection id="2605" xr16:uid="{74C0EDAE-CDA5-40F8-9927-1135E1B39D88}" name="接続12340" type="7" refreshedVersion="8"/>
  <connection id="2606" xr16:uid="{A5EE3E46-CBDF-4EF7-89DF-B44829E1445D}" name="接続12341" type="7" refreshedVersion="8"/>
  <connection id="2607" xr16:uid="{409BCCB2-7DC0-4749-ADD0-98CE0C8FC3DA}" name="接続12342" type="7" refreshedVersion="8"/>
  <connection id="2608" xr16:uid="{01EA8650-899F-4D6E-854A-4575573DEB4D}" name="接続12343" type="7" refreshedVersion="8"/>
  <connection id="2609" xr16:uid="{232082B4-7245-4D97-9E75-EE1CEBB1100D}" name="接続12344" type="7" refreshedVersion="8"/>
  <connection id="2610" xr16:uid="{2EDD8F5C-C8D9-4068-9881-E9D309D24866}" name="接続12345" type="7" refreshedVersion="8"/>
  <connection id="2611" xr16:uid="{73D1D691-4DD9-48C6-A6DE-C73F2879728B}" name="接続12346" type="7" refreshedVersion="8"/>
  <connection id="2612" xr16:uid="{6AC1DEE7-1E45-4B2E-9762-4A0EC770A29E}" name="接続12347" type="7" refreshedVersion="8"/>
  <connection id="2613" xr16:uid="{BA8DFCE7-FD7C-4295-9671-04A170A79455}" name="接続12348" type="7" refreshedVersion="8"/>
  <connection id="2614" xr16:uid="{C51BE9B2-413E-4F8E-A315-8378EA62FBA7}" name="接続12349" type="7" refreshedVersion="8"/>
  <connection id="2615" xr16:uid="{00000000-0015-0000-FFFF-FFFF12060000}" name="接続1235" type="7" refreshedVersion="4"/>
  <connection id="2616" xr16:uid="{6BBEF28E-A3DB-40AF-B36D-F86474440293}" name="接続12350" type="7" refreshedVersion="8"/>
  <connection id="2617" xr16:uid="{285057EC-D628-4F72-90CD-D8D2D2733CAA}" name="接続12351" type="7" refreshedVersion="8"/>
  <connection id="2618" xr16:uid="{835DAA10-DBD2-4389-B763-086558BFAB7D}" name="接続12352" type="7" refreshedVersion="8"/>
  <connection id="2619" xr16:uid="{ABF383BC-7F18-47B1-993F-2688452908FB}" name="接続12353" type="7" refreshedVersion="8"/>
  <connection id="2620" xr16:uid="{B6436D80-F154-4F34-AC25-40AF3C000838}" name="接続12354" type="7" refreshedVersion="8"/>
  <connection id="2621" xr16:uid="{94C9FD4B-ECCB-4394-8B6F-92AC8EB8CE40}" name="接続12355" type="7" refreshedVersion="8"/>
  <connection id="2622" xr16:uid="{29F0F0CE-95E0-4644-99A0-08933B7C58B0}" name="接続12356" type="7" refreshedVersion="8"/>
  <connection id="2623" xr16:uid="{11CCBDA8-78B2-490C-89A8-A75C74C15181}" name="接続12357" type="7" refreshedVersion="8"/>
  <connection id="2624" xr16:uid="{A0348714-DFFE-49F3-8A18-5AE9D892A018}" name="接続12358" type="7" refreshedVersion="8"/>
  <connection id="2625" xr16:uid="{796D9857-ABC9-46E0-A28E-0DC23A8B9BA2}" name="接続12359" type="7" refreshedVersion="8"/>
  <connection id="2626" xr16:uid="{00000000-0015-0000-FFFF-FFFF13060000}" name="接続1236" type="7" refreshedVersion="4"/>
  <connection id="2627" xr16:uid="{3FAECEE6-E127-4257-BA69-A28982DF6C9E}" name="接続12360" type="7" refreshedVersion="8"/>
  <connection id="2628" xr16:uid="{4F143874-C0A0-4DF5-88D0-BB984D6AAE46}" name="接続12361" type="7" refreshedVersion="8"/>
  <connection id="2629" xr16:uid="{355A2F9D-3583-45EE-85A2-36D8718056A0}" name="接続12362" type="7" refreshedVersion="8"/>
  <connection id="2630" xr16:uid="{5D412FF9-7515-43AE-98E3-D047DF1E4B43}" name="接続12363" type="7" refreshedVersion="8"/>
  <connection id="2631" xr16:uid="{E266E056-75D1-4F70-9A4B-575E4E3A0B36}" name="接続12364" type="7" refreshedVersion="8"/>
  <connection id="2632" xr16:uid="{DBB889FC-505A-4629-8720-FC41E3B37231}" name="接続12365" type="7" refreshedVersion="8"/>
  <connection id="2633" xr16:uid="{BBF2868F-EBD7-429C-9EF8-D1E4DA552810}" name="接続12366" type="7" refreshedVersion="8"/>
  <connection id="2634" xr16:uid="{00247725-AEFC-4DC1-915E-659CA0EBD07F}" name="接続12367" type="7" refreshedVersion="8"/>
  <connection id="2635" xr16:uid="{48C3DB5E-5847-4A8C-92A0-F69520C56BE4}" name="接続12368" type="7" refreshedVersion="8"/>
  <connection id="2636" xr16:uid="{D6207F72-353C-4A63-8A28-FB5D5AA9172E}" name="接続12369" type="7" refreshedVersion="8"/>
  <connection id="2637" xr16:uid="{00000000-0015-0000-FFFF-FFFF14060000}" name="接続1237" type="7" refreshedVersion="4"/>
  <connection id="2638" xr16:uid="{BA25C00D-745C-408B-AF04-910580FDF9B8}" name="接続12370" type="7" refreshedVersion="8"/>
  <connection id="2639" xr16:uid="{2705DDC9-C186-4D91-9623-EEFAF88FBE5F}" name="接続12371" type="7" refreshedVersion="8"/>
  <connection id="2640" xr16:uid="{2A6A4A85-431B-48DD-ABF2-0FA10EF0E793}" name="接続12372" type="7" refreshedVersion="8"/>
  <connection id="2641" xr16:uid="{DDE80FDE-A667-483B-AB4A-4CD72DBA2F95}" name="接続12373" type="7" refreshedVersion="8"/>
  <connection id="2642" xr16:uid="{90FEFBA1-A225-4FDF-8B5F-4E257A8CA950}" name="接続12374" type="7" refreshedVersion="8"/>
  <connection id="2643" xr16:uid="{68FAC237-9EDB-4D46-BBC1-CA470B968C81}" name="接続12375" type="7" refreshedVersion="8"/>
  <connection id="2644" xr16:uid="{4878237F-E7BA-4901-9DA3-81EF080D2825}" name="接続12376" type="7" refreshedVersion="8"/>
  <connection id="2645" xr16:uid="{6D9B039D-F6FB-49B0-8D49-E03B93E3CD95}" name="接続12377" type="7" refreshedVersion="8"/>
  <connection id="2646" xr16:uid="{1A384ACB-CF0E-49A6-94EC-5D578A61DE89}" name="接続12378" type="7" refreshedVersion="8"/>
  <connection id="2647" xr16:uid="{FEF5C506-1979-4352-BFAB-82F6E46908D3}" name="接続12379" type="7" refreshedVersion="8"/>
  <connection id="2648" xr16:uid="{00000000-0015-0000-FFFF-FFFF15060000}" name="接続1238" type="7" refreshedVersion="4"/>
  <connection id="2649" xr16:uid="{ADDBEC26-ABD0-4D55-A462-D41291C9AB09}" name="接続12380" type="7" refreshedVersion="8"/>
  <connection id="2650" xr16:uid="{90FC9614-6753-4AE0-BA7C-F454E73D0C25}" name="接続12381" type="7" refreshedVersion="8"/>
  <connection id="2651" xr16:uid="{D2F48BE4-BA19-4518-B976-CF0BC6D3D4FA}" name="接続12382" type="7" refreshedVersion="8"/>
  <connection id="2652" xr16:uid="{CEAAB414-51DD-4CF5-B203-148AD2532EA1}" name="接続12383" type="7" refreshedVersion="8"/>
  <connection id="2653" xr16:uid="{65E27094-AFC0-4E47-97FC-FB16A76414C7}" name="接続12384" type="7" refreshedVersion="8"/>
  <connection id="2654" xr16:uid="{716B8DE0-9ABF-45E8-8AD5-2440D8A0D858}" name="接続12385" type="7" refreshedVersion="8"/>
  <connection id="2655" xr16:uid="{1C3F5488-E63A-49B5-B3CC-078F681CF6A8}" name="接続12386" type="7" refreshedVersion="8"/>
  <connection id="2656" xr16:uid="{C9B096F6-DEBB-4822-8E55-0D91210B61A7}" name="接続12387" type="7" refreshedVersion="8"/>
  <connection id="2657" xr16:uid="{C74F3B85-5D7E-4A58-83C8-5043EC809E91}" name="接続12388" type="7" refreshedVersion="8"/>
  <connection id="2658" xr16:uid="{981790EA-9A48-4F01-870F-F59CEB570BB5}" name="接続12389" type="7" refreshedVersion="8"/>
  <connection id="2659" xr16:uid="{00000000-0015-0000-FFFF-FFFF16060000}" name="接続1239" type="7" refreshedVersion="4"/>
  <connection id="2660" xr16:uid="{71583CC2-2B78-46A4-A36A-E4194A23A30E}" name="接続12390" type="7" refreshedVersion="8"/>
  <connection id="2661" xr16:uid="{A8E8642A-4588-42A9-88F5-A72DB42975D1}" name="接続12391" type="7" refreshedVersion="8"/>
  <connection id="2662" xr16:uid="{398B927D-8FA8-442F-9180-F66564E04FB0}" name="接続12392" type="7" refreshedVersion="8"/>
  <connection id="2663" xr16:uid="{70EC0886-E3BA-48FC-9066-3CB403042823}" name="接続12393" type="7" refreshedVersion="8"/>
  <connection id="2664" xr16:uid="{C5718672-9DFE-4C95-AF5A-22D8733506F4}" name="接続12394" type="7" refreshedVersion="8"/>
  <connection id="2665" xr16:uid="{FB46528E-D4B0-4C7F-9F9A-9412F4B048B4}" name="接続12395" type="7" refreshedVersion="8"/>
  <connection id="2666" xr16:uid="{E1B059CA-3EB7-4A9A-9E82-75741CC2DA94}" name="接続12396" type="7" refreshedVersion="8"/>
  <connection id="2667" xr16:uid="{DFC32D4B-AF1B-4E79-8D8A-8D57FA05115E}" name="接続12397" type="7" refreshedVersion="8"/>
  <connection id="2668" xr16:uid="{F24CA538-987A-4BE2-BA00-154F234516A1}" name="接続12398" type="7" refreshedVersion="8"/>
  <connection id="2669" xr16:uid="{7E361810-6396-4FF7-A7D6-3022E6A01B27}" name="接続12399" type="7" refreshedVersion="8"/>
  <connection id="2670" xr16:uid="{00000000-0015-0000-FFFF-FFFF17060000}" name="接続124" type="7" refreshedVersion="4"/>
  <connection id="2671" xr16:uid="{00000000-0015-0000-FFFF-FFFF18060000}" name="接続1240" type="7" refreshedVersion="4"/>
  <connection id="2672" xr16:uid="{8127FDE1-4E04-43AA-BD99-8E32F89B9DB9}" name="接続12400" type="7" refreshedVersion="8"/>
  <connection id="2673" xr16:uid="{D5985C29-3729-4BD2-9F65-227EA64E35D7}" name="接続12401" type="7" refreshedVersion="8"/>
  <connection id="2674" xr16:uid="{A035C4C4-8A7C-485B-81B9-8629ECFC98F2}" name="接続12402" type="7" refreshedVersion="8"/>
  <connection id="2675" xr16:uid="{FF3CD349-AD05-414D-85B0-791AAAD01A73}" name="接続12403" type="7" refreshedVersion="8"/>
  <connection id="2676" xr16:uid="{00746C9E-F87A-47D6-AD59-B51376411842}" name="接続12404" type="7" refreshedVersion="8"/>
  <connection id="2677" xr16:uid="{E90AC3A0-9CC0-4BE3-9274-66C979AE80D3}" name="接続12405" type="7" refreshedVersion="8"/>
  <connection id="2678" xr16:uid="{8399A177-3B06-45B2-95D7-ADC30E2F4462}" name="接続12406" type="7" refreshedVersion="8"/>
  <connection id="2679" xr16:uid="{EADDC724-4045-4339-B878-12D501FA498D}" name="接続12407" type="7" refreshedVersion="8"/>
  <connection id="2680" xr16:uid="{8D460337-4161-4A4A-AC2E-10DF59342E0A}" name="接続12408" type="7" refreshedVersion="8"/>
  <connection id="2681" xr16:uid="{005BC599-C02D-472A-A0D3-2E13259C079D}" name="接続12409" type="7" refreshedVersion="8"/>
  <connection id="2682" xr16:uid="{00000000-0015-0000-FFFF-FFFF19060000}" name="接続1241" type="7" refreshedVersion="4"/>
  <connection id="2683" xr16:uid="{999D5D9D-0F28-4BDE-AADF-129EB414EB89}" name="接続12410" type="7" refreshedVersion="8"/>
  <connection id="2684" xr16:uid="{680CF6EF-1C2C-4C15-955B-F4E03A7811CF}" name="接続12411" type="7" refreshedVersion="8"/>
  <connection id="2685" xr16:uid="{6943E544-2430-4564-8249-C415A0652CA3}" name="接続12412" type="7" refreshedVersion="8"/>
  <connection id="2686" xr16:uid="{68EA3B1D-1982-446E-B5C7-2426A342AC9B}" name="接続12413" type="7" refreshedVersion="8"/>
  <connection id="2687" xr16:uid="{5A67ED96-E063-47EA-82E8-A60F22488793}" name="接続12414" type="7" refreshedVersion="8"/>
  <connection id="2688" xr16:uid="{C94DFE61-6C66-4BA5-A56D-0702C1D33FD2}" name="接続12415" type="7" refreshedVersion="8"/>
  <connection id="2689" xr16:uid="{7CD233E1-60C2-43CF-95F4-4A0D1C74CCB8}" name="接続12416" type="7" refreshedVersion="8"/>
  <connection id="2690" xr16:uid="{9ED25A94-5E5B-4DF1-B84B-4B00E7614E8D}" name="接続12417" type="7" refreshedVersion="8"/>
  <connection id="2691" xr16:uid="{5A5BECB4-3562-4929-861C-0D05675A69AF}" name="接続12418" type="7" refreshedVersion="8"/>
  <connection id="2692" xr16:uid="{F448FF39-7D0F-4200-A2DE-28818B51C3F0}" name="接続12419" type="7" refreshedVersion="8"/>
  <connection id="2693" xr16:uid="{00000000-0015-0000-FFFF-FFFF1A060000}" name="接続1242" type="7" refreshedVersion="4"/>
  <connection id="2694" xr16:uid="{F35774B9-40B3-473E-8F9C-1F71F8B33EDC}" name="接続12420" type="7" refreshedVersion="8"/>
  <connection id="2695" xr16:uid="{FD0C30CA-CC18-402A-8A30-C4A6C272BEBD}" name="接続12421" type="7" refreshedVersion="8"/>
  <connection id="2696" xr16:uid="{B046188F-AD0D-4214-90EC-425279C125C2}" name="接続12422" type="7" refreshedVersion="8"/>
  <connection id="2697" xr16:uid="{9BB903DE-D11A-4618-A536-D405298D61FB}" name="接続12423" type="7" refreshedVersion="8"/>
  <connection id="2698" xr16:uid="{0C604CD9-6D30-44CF-9D51-3B72904B9ECB}" name="接続12424" type="7" refreshedVersion="8"/>
  <connection id="2699" xr16:uid="{1E367D57-E757-4FBE-B2DA-21714C1CB687}" name="接続12425" type="7" refreshedVersion="8"/>
  <connection id="2700" xr16:uid="{80C29298-3015-40C1-9A48-CE2F4BDC57AE}" name="接続12426" type="7" refreshedVersion="8"/>
  <connection id="2701" xr16:uid="{DB5F5A45-F0DC-4115-8AC5-047C830CC9B1}" name="接続12427" type="7" refreshedVersion="8"/>
  <connection id="2702" xr16:uid="{4E4D202A-F591-489F-AE4A-6F8C661398DF}" name="接続12428" type="7" refreshedVersion="8"/>
  <connection id="2703" xr16:uid="{1BE14193-BA40-46C5-936B-3C0AAB06D4E9}" name="接続12429" type="7" refreshedVersion="8"/>
  <connection id="2704" xr16:uid="{00000000-0015-0000-FFFF-FFFF1B060000}" name="接続1243" type="7" refreshedVersion="4"/>
  <connection id="2705" xr16:uid="{BA7BE807-8929-4B0C-A5D1-A25773E443F2}" name="接続12430" type="7" refreshedVersion="8"/>
  <connection id="2706" xr16:uid="{1213DA54-2811-4B10-8648-F94E63BD6AB9}" name="接続12431" type="7" refreshedVersion="8"/>
  <connection id="2707" xr16:uid="{A133DC54-DFDC-45B1-ACEB-8324654C2E3D}" name="接続12432" type="7" refreshedVersion="8"/>
  <connection id="2708" xr16:uid="{6B101583-902F-48B6-AD32-4B943596E223}" name="接続12433" type="7" refreshedVersion="8"/>
  <connection id="2709" xr16:uid="{FF64CC82-F35D-497F-87C8-492067074CBE}" name="接続12434" type="7" refreshedVersion="8"/>
  <connection id="2710" xr16:uid="{75D82546-7F80-42F3-BEFF-12A2E13057A1}" name="接続12435" type="7" refreshedVersion="8"/>
  <connection id="2711" xr16:uid="{9EAF04DE-F810-479E-8556-883B7BC040B6}" name="接続12436" type="7" refreshedVersion="8"/>
  <connection id="2712" xr16:uid="{08083134-26FD-4130-AB0F-9188286D3B4B}" name="接続12437" type="7" refreshedVersion="8"/>
  <connection id="2713" xr16:uid="{02236636-51C6-41DE-B56B-ECAF154546F1}" name="接続12438" type="7" refreshedVersion="8"/>
  <connection id="2714" xr16:uid="{DF631BC6-523E-4E2B-A99B-1EBBAD738000}" name="接続12439" type="7" refreshedVersion="8"/>
  <connection id="2715" xr16:uid="{00000000-0015-0000-FFFF-FFFF1C060000}" name="接続1244" type="7" refreshedVersion="4"/>
  <connection id="2716" xr16:uid="{8357D6E2-805A-4099-9AE8-63F7EB2CFD18}" name="接続12440" type="7" refreshedVersion="8"/>
  <connection id="2717" xr16:uid="{54CAFE46-2050-4343-9FFF-80B7E3B85B7C}" name="接続12441" type="7" refreshedVersion="8"/>
  <connection id="2718" xr16:uid="{65666DF2-48C7-4307-9108-58EB022544CC}" name="接続12442" type="7" refreshedVersion="8"/>
  <connection id="2719" xr16:uid="{3270B693-9075-4468-B5FC-60B069F1ADB1}" name="接続12443" type="7" refreshedVersion="8"/>
  <connection id="2720" xr16:uid="{B2141CBA-2903-496E-A652-3F1CE06BAA30}" name="接続12444" type="7" refreshedVersion="8"/>
  <connection id="2721" xr16:uid="{032913BA-8D0F-48C9-AC09-77EC8592E3FE}" name="接続12445" type="7" refreshedVersion="8"/>
  <connection id="2722" xr16:uid="{B02692C8-E495-496D-92EA-EC50CB57DDAE}" name="接続12446" type="7" refreshedVersion="8"/>
  <connection id="2723" xr16:uid="{58E33205-FDA0-4FB1-8DC0-0DE082AB4E9A}" name="接続12447" type="7" refreshedVersion="8"/>
  <connection id="2724" xr16:uid="{A07F179B-DD63-45A5-8D1A-180980E7F335}" name="接続12448" type="7" refreshedVersion="8"/>
  <connection id="2725" xr16:uid="{EA5C051D-5A93-4A88-AE36-704207768326}" name="接続12449" type="7" refreshedVersion="8"/>
  <connection id="2726" xr16:uid="{00000000-0015-0000-FFFF-FFFF1D060000}" name="接続1245" type="7" refreshedVersion="4"/>
  <connection id="2727" xr16:uid="{620F098E-892C-4DF6-8167-38A77139BBD0}" name="接続12450" type="7" refreshedVersion="8"/>
  <connection id="2728" xr16:uid="{FBA0F760-1B9E-4F21-B150-81BF5FD002FC}" name="接続12451" type="7" refreshedVersion="8"/>
  <connection id="2729" xr16:uid="{2544B161-EDB2-4838-BD65-7D9902421AE7}" name="接続12452" type="7" refreshedVersion="8"/>
  <connection id="2730" xr16:uid="{AA610051-B0CF-4A84-8BBC-9A492DA4A20D}" name="接続12453" type="7" refreshedVersion="8"/>
  <connection id="2731" xr16:uid="{1FD3DB3E-58BB-4A4F-B1E4-D14E097754E6}" name="接続12454" type="7" refreshedVersion="8"/>
  <connection id="2732" xr16:uid="{E45DF095-0CE4-4867-A4C1-EA9BE4983A63}" name="接続12455" type="7" refreshedVersion="8"/>
  <connection id="2733" xr16:uid="{EA05EE84-8808-4C13-A986-A53554F34313}" name="接続12456" type="7" refreshedVersion="8"/>
  <connection id="2734" xr16:uid="{417C8F0B-F320-48B3-BFEA-C834BB3C10E4}" name="接続12457" type="7" refreshedVersion="8"/>
  <connection id="2735" xr16:uid="{CCCF3D28-574A-4607-83C1-E98D4A456BDD}" name="接続12458" type="7" refreshedVersion="8"/>
  <connection id="2736" xr16:uid="{3A569E57-BB92-4756-BCE4-4D6569B404E5}" name="接続12459" type="7" refreshedVersion="8"/>
  <connection id="2737" xr16:uid="{00000000-0015-0000-FFFF-FFFF1E060000}" name="接続1246" type="7" refreshedVersion="4"/>
  <connection id="2738" xr16:uid="{1B67592C-EE26-4048-BCB4-A62609113F97}" name="接続12460" type="7" refreshedVersion="8"/>
  <connection id="2739" xr16:uid="{3294334B-057A-485A-B437-D5540FB5FBAD}" name="接続12461" type="7" refreshedVersion="8"/>
  <connection id="2740" xr16:uid="{63FB33D1-0402-4725-9DD4-A62612A4391F}" name="接続12462" type="7" refreshedVersion="8"/>
  <connection id="2741" xr16:uid="{0E17BE6A-918D-4378-86B6-517F7B0ABD4F}" name="接続12463" type="7" refreshedVersion="8"/>
  <connection id="2742" xr16:uid="{345B3ABC-2A6D-4188-AD46-09F94B554091}" name="接続12464" type="7" refreshedVersion="8"/>
  <connection id="2743" xr16:uid="{A6656E5F-ABF7-4C78-86DE-830CA575D3F9}" name="接続12465" type="7" refreshedVersion="8"/>
  <connection id="2744" xr16:uid="{824F888A-8B6A-40F3-877B-746EB8036E4B}" name="接続12466" type="7" refreshedVersion="8"/>
  <connection id="2745" xr16:uid="{3FD1A4F1-3909-4165-83C1-DE60EB26D66C}" name="接続12467" type="7" refreshedVersion="8"/>
  <connection id="2746" xr16:uid="{8B7A826D-6956-4F94-B905-00BFB072D244}" name="接続12468" type="7" refreshedVersion="8"/>
  <connection id="2747" xr16:uid="{69F258C0-F0AD-46DE-A1E4-9C831F8343C2}" name="接続12469" type="7" refreshedVersion="8"/>
  <connection id="2748" xr16:uid="{00000000-0015-0000-FFFF-FFFF1F060000}" name="接続1247" type="7" refreshedVersion="4"/>
  <connection id="2749" xr16:uid="{9E385705-5597-4D70-BEF9-7B45A9FFCF75}" name="接続12470" type="7" refreshedVersion="8"/>
  <connection id="2750" xr16:uid="{B71039EF-1BA1-4586-96FD-001096A14718}" name="接続12471" type="7" refreshedVersion="8"/>
  <connection id="2751" xr16:uid="{FF468A2D-6F60-4D2A-ABB7-CC3E76392A22}" name="接続12472" type="7" refreshedVersion="8"/>
  <connection id="2752" xr16:uid="{AADFECCC-5E5F-4B55-B150-9B6598B79249}" name="接続12473" type="7" refreshedVersion="8"/>
  <connection id="2753" xr16:uid="{3B8E59E1-E637-4B9A-90F2-D4222DDFF707}" name="接続12474" type="7" refreshedVersion="8"/>
  <connection id="2754" xr16:uid="{262FA94A-18EE-4669-B3A6-A46DE1C11D70}" name="接続12475" type="7" refreshedVersion="8"/>
  <connection id="2755" xr16:uid="{9655A97A-D7FE-4398-B0CE-0F9F4EA3E9F3}" name="接続12476" type="7" refreshedVersion="8"/>
  <connection id="2756" xr16:uid="{978F89CA-CE50-4F9A-8295-00460ED34253}" name="接続12477" type="7" refreshedVersion="8"/>
  <connection id="2757" xr16:uid="{BB7B012C-163D-40B8-8DBD-48E73333AABC}" name="接続12478" type="7" refreshedVersion="8"/>
  <connection id="2758" xr16:uid="{92ACFE80-6D37-4D7C-9711-FB146CD4DDA0}" name="接続12479" type="7" refreshedVersion="8"/>
  <connection id="2759" xr16:uid="{00000000-0015-0000-FFFF-FFFF20060000}" name="接続1248" type="7" refreshedVersion="4"/>
  <connection id="2760" xr16:uid="{3F14967F-3DDE-4954-8C46-C20CB26851B8}" name="接続12480" type="7" refreshedVersion="8"/>
  <connection id="2761" xr16:uid="{C8EC71C7-0169-463F-BFD7-2C6EF9929649}" name="接続12481" type="7" refreshedVersion="8"/>
  <connection id="2762" xr16:uid="{CCBCBDB3-BAA4-4C4F-AD82-6AA3610E56C3}" name="接続12482" type="7" refreshedVersion="8"/>
  <connection id="2763" xr16:uid="{6F763102-15B0-45BC-9166-4FBB877C0800}" name="接続12483" type="7" refreshedVersion="8"/>
  <connection id="2764" xr16:uid="{1A382382-9D82-4D8E-BAE4-6BB23E0FFABB}" name="接続12484" type="7" refreshedVersion="8"/>
  <connection id="2765" xr16:uid="{91292F93-4921-4B4F-BC71-AA1FC8BE302E}" name="接続12485" type="7" refreshedVersion="8"/>
  <connection id="2766" xr16:uid="{F5E25B1B-314F-417D-BB4A-DA564660B06F}" name="接続12486" type="7" refreshedVersion="8"/>
  <connection id="2767" xr16:uid="{37DC0EF3-5AF6-4279-B837-04E9E516BF49}" name="接続12487" type="7" refreshedVersion="8"/>
  <connection id="2768" xr16:uid="{139FA793-4E2F-4882-9578-E0A18B199C58}" name="接続12488" type="7" refreshedVersion="8"/>
  <connection id="2769" xr16:uid="{46281CC5-A56C-4505-8691-17D939AFD3C4}" name="接続12489" type="7" refreshedVersion="8"/>
  <connection id="2770" xr16:uid="{00000000-0015-0000-FFFF-FFFF21060000}" name="接続1249" type="7" refreshedVersion="4"/>
  <connection id="2771" xr16:uid="{7B65FDDA-76E8-47B1-9AC7-B53D7D004A23}" name="接続12490" type="7" refreshedVersion="8"/>
  <connection id="2772" xr16:uid="{D6425321-EF27-4B49-B414-5C6290594F99}" name="接続12491" type="7" refreshedVersion="8"/>
  <connection id="2773" xr16:uid="{500ECB91-FFC7-45EC-BA2E-9E47572B845D}" name="接続12492" type="7" refreshedVersion="8"/>
  <connection id="2774" xr16:uid="{6C237EC4-F13A-47F1-9456-86A7AF7C02E1}" name="接続12493" type="7" refreshedVersion="8"/>
  <connection id="2775" xr16:uid="{4DDE5ED2-EC9D-44B5-B08B-3AED34E9F48A}" name="接続12494" type="7" refreshedVersion="8"/>
  <connection id="2776" xr16:uid="{26F0E555-40B5-4D6C-8E71-64F10682FF78}" name="接続12495" type="7" refreshedVersion="8"/>
  <connection id="2777" xr16:uid="{272459B0-DC06-467D-894E-E67748C9E51F}" name="接続12496" type="7" refreshedVersion="8"/>
  <connection id="2778" xr16:uid="{41743A12-F24E-4B23-8C4A-818C77D45DC6}" name="接続12497" type="7" refreshedVersion="8"/>
  <connection id="2779" xr16:uid="{8186994E-698C-48A8-AB7E-C434D7B16DA3}" name="接続12498" type="7" refreshedVersion="8"/>
  <connection id="2780" xr16:uid="{987E18F8-161B-41E5-81FF-D211FEDA4C57}" name="接続12499" type="7" refreshedVersion="8"/>
  <connection id="2781" xr16:uid="{00000000-0015-0000-FFFF-FFFF22060000}" name="接続125" type="7" refreshedVersion="4"/>
  <connection id="2782" xr16:uid="{00000000-0015-0000-FFFF-FFFF23060000}" name="接続1250" type="7" refreshedVersion="4"/>
  <connection id="2783" xr16:uid="{0F5397FF-E347-45F5-BCC2-9D748A365CB5}" name="接続12500" type="7" refreshedVersion="8"/>
  <connection id="2784" xr16:uid="{CB688E6D-0FB4-4AEC-8D8B-5DF2684B3738}" name="接続12501" type="7" refreshedVersion="8"/>
  <connection id="2785" xr16:uid="{FE254229-7DC1-4EB7-9982-EEACED7720B7}" name="接続12502" type="7" refreshedVersion="8"/>
  <connection id="2786" xr16:uid="{7324EEA2-FF02-449F-B5CE-6E954C2F8E8A}" name="接続12503" type="7" refreshedVersion="8"/>
  <connection id="2787" xr16:uid="{C1EE2727-3020-4D00-BAA1-17F775128132}" name="接続12504" type="7" refreshedVersion="8"/>
  <connection id="2788" xr16:uid="{C60ECAB8-3D3F-41D4-B3BA-159861FE9201}" name="接続12505" type="7" refreshedVersion="8"/>
  <connection id="2789" xr16:uid="{8407F89C-FBEA-4C63-B789-EB9D9D2298FF}" name="接続12506" type="7" refreshedVersion="8"/>
  <connection id="2790" xr16:uid="{6A035A5A-D221-4100-AED4-4B8EBFE8ED9B}" name="接続12507" type="7" refreshedVersion="8"/>
  <connection id="2791" xr16:uid="{FB7A83CA-FC0F-4153-8B85-0714C2E365DE}" name="接続12508" type="7" refreshedVersion="8"/>
  <connection id="2792" xr16:uid="{863849EA-5674-4FF0-8933-67D24004234D}" name="接続12509" type="7" refreshedVersion="8"/>
  <connection id="2793" xr16:uid="{00000000-0015-0000-FFFF-FFFF24060000}" name="接続1251" type="7" refreshedVersion="4"/>
  <connection id="2794" xr16:uid="{3FBC230D-8C1B-426F-8C6E-D97B75A1661C}" name="接続12510" type="7" refreshedVersion="8"/>
  <connection id="2795" xr16:uid="{B23E4D59-CBD7-4B68-A7AA-0528CFB219EA}" name="接続12511" type="7" refreshedVersion="8"/>
  <connection id="2796" xr16:uid="{DF08B75F-C0B9-4337-82D9-1BB81D7A2A55}" name="接続12512" type="7" refreshedVersion="8"/>
  <connection id="2797" xr16:uid="{707A7A52-ED25-4307-B179-9E567064FD8F}" name="接続12513" type="7" refreshedVersion="8"/>
  <connection id="2798" xr16:uid="{5CB733B1-D354-490D-A1D8-BDFF78A83578}" name="接続12514" type="7" refreshedVersion="8"/>
  <connection id="2799" xr16:uid="{D859D27D-A648-46F4-B2E3-7497EF37A906}" name="接続12515" type="7" refreshedVersion="8"/>
  <connection id="2800" xr16:uid="{AD71C021-4280-4F9B-9954-10C3685970D8}" name="接続12516" type="7" refreshedVersion="8"/>
  <connection id="2801" xr16:uid="{36D50E15-6939-4920-8A67-D136FF183047}" name="接続12517" type="7" refreshedVersion="8"/>
  <connection id="2802" xr16:uid="{C50E358B-A8B3-4660-A5A1-04CBA048C732}" name="接続12518" type="7" refreshedVersion="8"/>
  <connection id="2803" xr16:uid="{E5E62FDA-19EC-46C5-A19D-B423ADA77B5F}" name="接続12519" type="7" refreshedVersion="8"/>
  <connection id="2804" xr16:uid="{00000000-0015-0000-FFFF-FFFF25060000}" name="接続1252" type="7" refreshedVersion="4"/>
  <connection id="2805" xr16:uid="{D88C49C8-E452-4295-A349-2594B091A865}" name="接続12520" type="7" refreshedVersion="8"/>
  <connection id="2806" xr16:uid="{390D01C6-E208-4FFB-AF00-738980732F9C}" name="接続12521" type="7" refreshedVersion="8"/>
  <connection id="2807" xr16:uid="{A612106D-3BCB-4468-8423-1AD5E6080596}" name="接続12522" type="7" refreshedVersion="8"/>
  <connection id="2808" xr16:uid="{B305D96C-140F-4365-99AE-3CB5846B813C}" name="接続12523" type="7" refreshedVersion="8"/>
  <connection id="2809" xr16:uid="{F34C562E-EA3C-4EE2-B017-183272597F79}" name="接続12524" type="7" refreshedVersion="8"/>
  <connection id="2810" xr16:uid="{27D042AA-07E4-4A93-B5F9-F999C69110A0}" name="接続12525" type="7" refreshedVersion="8"/>
  <connection id="2811" xr16:uid="{AC2FD780-E6CF-440F-964A-725096AC93CF}" name="接続12526" type="7" refreshedVersion="8"/>
  <connection id="2812" xr16:uid="{0ACF254D-FC15-4FC5-A583-DBA36C32AAD0}" name="接続12527" type="7" refreshedVersion="8"/>
  <connection id="2813" xr16:uid="{73A1C5ED-6111-4585-8769-12FBB63F6347}" name="接続12528" type="7" refreshedVersion="8"/>
  <connection id="2814" xr16:uid="{E5F8A27E-C5F3-43A2-9B10-5661DC3C620B}" name="接続12529" type="7" refreshedVersion="8"/>
  <connection id="2815" xr16:uid="{00000000-0015-0000-FFFF-FFFF26060000}" name="接続1253" type="7" refreshedVersion="4"/>
  <connection id="2816" xr16:uid="{8E200237-0E63-4051-B5C8-1350A4437EE0}" name="接続12530" type="7" refreshedVersion="8"/>
  <connection id="2817" xr16:uid="{D7BAA4AE-D72D-4CDA-B111-49BF2069088D}" name="接続12531" type="7" refreshedVersion="8"/>
  <connection id="2818" xr16:uid="{A21E1EB2-314A-41EE-9022-3893BB666C78}" name="接続12532" type="7" refreshedVersion="8"/>
  <connection id="2819" xr16:uid="{F5E700C5-ED69-4DC6-A8F0-DF2E404F4C8C}" name="接続12533" type="7" refreshedVersion="8"/>
  <connection id="2820" xr16:uid="{513304F0-44D4-4F77-8BB2-5CAD454591AD}" name="接続12534" type="7" refreshedVersion="8"/>
  <connection id="2821" xr16:uid="{AE281F25-6B50-4EBC-83B5-EA0FA2D22689}" name="接続12535" type="7" refreshedVersion="8"/>
  <connection id="2822" xr16:uid="{CE0ED27E-422D-4F28-BF2A-E906E5E0FB38}" name="接続12536" type="7" refreshedVersion="8"/>
  <connection id="2823" xr16:uid="{7CD72233-607F-4050-BBE0-C508D0415E93}" name="接続12537" type="7" refreshedVersion="8"/>
  <connection id="2824" xr16:uid="{339F321B-BEE8-4A8C-8594-1EDC811A9F29}" name="接続12538" type="7" refreshedVersion="8"/>
  <connection id="2825" xr16:uid="{1A1DEA4B-1B8E-4D71-9AA1-063C5CE87638}" name="接続12539" type="7" refreshedVersion="8"/>
  <connection id="2826" xr16:uid="{00000000-0015-0000-FFFF-FFFF27060000}" name="接続1254" type="7" refreshedVersion="4"/>
  <connection id="2827" xr16:uid="{F39F3605-45ED-4F33-BFB7-1D30F75E4B78}" name="接続12540" type="7" refreshedVersion="8"/>
  <connection id="2828" xr16:uid="{B3410BC4-AAB8-4A0D-BE9F-C74E4FAC7F2B}" name="接続12541" type="7" refreshedVersion="8"/>
  <connection id="2829" xr16:uid="{3705185B-758D-4BC8-81D4-C2E399ABFC2A}" name="接続12542" type="7" refreshedVersion="8"/>
  <connection id="2830" xr16:uid="{0FE02D7E-435E-4666-B546-6D355AC1DD0A}" name="接続12543" type="7" refreshedVersion="8"/>
  <connection id="2831" xr16:uid="{2AC383DE-E8B4-411A-9422-E37CA6E50E42}" name="接続12544" type="7" refreshedVersion="8"/>
  <connection id="2832" xr16:uid="{6CDA92ED-6D6B-471A-BD50-E5D837FFAFC9}" name="接続12545" type="7" refreshedVersion="8"/>
  <connection id="2833" xr16:uid="{8B47CAA1-8876-455A-9739-832DA5C9659D}" name="接続12546" type="7" refreshedVersion="8"/>
  <connection id="2834" xr16:uid="{D7E7FB7C-E89F-4F67-8690-D02B08BFD787}" name="接続12547" type="7" refreshedVersion="8"/>
  <connection id="2835" xr16:uid="{1E5D4518-1432-47EC-912A-FC10D726E95C}" name="接続12548" type="7" refreshedVersion="8"/>
  <connection id="2836" xr16:uid="{2865310F-5BCE-489B-90E8-D6F7E6DBE5B2}" name="接続12549" type="7" refreshedVersion="8"/>
  <connection id="2837" xr16:uid="{00000000-0015-0000-FFFF-FFFF28060000}" name="接続1255" type="7" refreshedVersion="4"/>
  <connection id="2838" xr16:uid="{60358B83-45F0-4124-B7D7-803442E048EA}" name="接続12550" type="7" refreshedVersion="8"/>
  <connection id="2839" xr16:uid="{8B9C0F4D-08EF-4894-B23C-FE06B214B651}" name="接続12551" type="7" refreshedVersion="8"/>
  <connection id="2840" xr16:uid="{9BA37C39-CC20-4646-88FF-F8C485F90BDC}" name="接続12552" type="7" refreshedVersion="8"/>
  <connection id="2841" xr16:uid="{5828C90B-0203-4DBB-9440-AE5CCBBB8F4E}" name="接続12553" type="7" refreshedVersion="8"/>
  <connection id="2842" xr16:uid="{F76A9F78-2F03-458F-9ADB-5CE3BC9D147F}" name="接続12554" type="7" refreshedVersion="8"/>
  <connection id="2843" xr16:uid="{EB48CE80-64E7-4DA1-852E-02671754E65D}" name="接続12555" type="7" refreshedVersion="8"/>
  <connection id="2844" xr16:uid="{8B34CA48-D23C-4700-A5DA-F663FE19C933}" name="接続12556" type="7" refreshedVersion="8"/>
  <connection id="2845" xr16:uid="{3489567E-8EB0-483F-B183-855307F589D6}" name="接続12557" type="7" refreshedVersion="8"/>
  <connection id="2846" xr16:uid="{7F0DBB12-9BA5-4B58-889B-6A6794180F1C}" name="接続12558" type="7" refreshedVersion="8"/>
  <connection id="2847" xr16:uid="{0111FC43-F0C7-41E2-900A-0DDE7B98840A}" name="接続12559" type="7" refreshedVersion="8"/>
  <connection id="2848" xr16:uid="{00000000-0015-0000-FFFF-FFFF29060000}" name="接続1256" type="7" refreshedVersion="4"/>
  <connection id="2849" xr16:uid="{38921F48-7C84-4856-985E-05B44E70310B}" name="接続12560" type="7" refreshedVersion="8"/>
  <connection id="2850" xr16:uid="{4D7850C9-ED00-4237-B6CD-31C59A84C630}" name="接続12561" type="7" refreshedVersion="8"/>
  <connection id="2851" xr16:uid="{508B4E1D-FD50-481A-AEC8-37C3388E69B6}" name="接続12562" type="7" refreshedVersion="8"/>
  <connection id="2852" xr16:uid="{8D56924D-257C-4029-9450-167EE4328EFE}" name="接続12563" type="7" refreshedVersion="8"/>
  <connection id="2853" xr16:uid="{42AA633E-21F5-420D-811E-B31D1AA5EB0E}" name="接続12564" type="7" refreshedVersion="8"/>
  <connection id="2854" xr16:uid="{AB117643-8BAD-4A78-90CE-F1FCDCA1D653}" name="接続12565" type="7" refreshedVersion="8"/>
  <connection id="2855" xr16:uid="{105F444A-2AE2-472B-AB42-9BF291E75000}" name="接続12566" type="7" refreshedVersion="8"/>
  <connection id="2856" xr16:uid="{64A89EFC-F4A4-4BE9-BE00-5611C82C7667}" name="接続12567" type="7" refreshedVersion="8"/>
  <connection id="2857" xr16:uid="{160BFAEC-E238-4A26-A0D9-F138C38545F4}" name="接続12568" type="7" refreshedVersion="8"/>
  <connection id="2858" xr16:uid="{8A4F0E12-9238-496E-A4AF-A29DD70E284D}" name="接続12569" type="7" refreshedVersion="8"/>
  <connection id="2859" xr16:uid="{00000000-0015-0000-FFFF-FFFF2A060000}" name="接続1257" type="7" refreshedVersion="4"/>
  <connection id="2860" xr16:uid="{2B38C7D8-1278-4CE4-AD4F-F4F814D99A46}" name="接続12570" type="7" refreshedVersion="8"/>
  <connection id="2861" xr16:uid="{C4E084DF-D61B-4734-B8EF-80B8CFA98735}" name="接続12571" type="7" refreshedVersion="8"/>
  <connection id="2862" xr16:uid="{9BA0030E-945E-4F21-A409-BBBCDBBC1EC2}" name="接続12572" type="7" refreshedVersion="8"/>
  <connection id="2863" xr16:uid="{90BF6249-C48A-4B73-936B-EB157D91669E}" name="接続12573" type="7" refreshedVersion="8"/>
  <connection id="2864" xr16:uid="{87224C5C-7D0F-4C33-9152-17653F442249}" name="接続12574" type="7" refreshedVersion="8"/>
  <connection id="2865" xr16:uid="{1CE3D963-2F2B-40FF-B33D-079F6F34765C}" name="接続12575" type="7" refreshedVersion="8"/>
  <connection id="2866" xr16:uid="{5E90CA0B-6B52-4CC9-9501-EAC223E0C759}" name="接続12576" type="7" refreshedVersion="8"/>
  <connection id="2867" xr16:uid="{CE5CA46A-CB6E-4A9A-949C-CA4F086286C7}" name="接続12577" type="7" refreshedVersion="8"/>
  <connection id="2868" xr16:uid="{C2DA841F-D1CC-4157-B98E-86343BE7E077}" name="接続12578" type="7" refreshedVersion="8"/>
  <connection id="2869" xr16:uid="{71A11A4C-3780-4D2D-AE6D-06361EF84337}" name="接続12579" type="7" refreshedVersion="8"/>
  <connection id="2870" xr16:uid="{00000000-0015-0000-FFFF-FFFF2B060000}" name="接続1258" type="7" refreshedVersion="4"/>
  <connection id="2871" xr16:uid="{408166E1-57E3-4481-8D58-63FAFC3E72B0}" name="接続12580" type="7" refreshedVersion="8"/>
  <connection id="2872" xr16:uid="{37746278-BCD6-4410-A63B-C32E9CBA5046}" name="接続12581" type="7" refreshedVersion="8"/>
  <connection id="2873" xr16:uid="{E5F8BB7A-7D2F-4F9F-BEED-80053579172A}" name="接続12582" type="7" refreshedVersion="8"/>
  <connection id="2874" xr16:uid="{15553E5B-A8BF-4510-B8A8-6DE7FF99E791}" name="接続12583" type="7" refreshedVersion="8"/>
  <connection id="2875" xr16:uid="{A8C66CF7-68F2-4C61-B266-0C3A4B26B597}" name="接続12584" type="7" refreshedVersion="8"/>
  <connection id="2876" xr16:uid="{29482A21-A413-4EF2-962E-EB75E84EE9D9}" name="接続12585" type="7" refreshedVersion="8"/>
  <connection id="2877" xr16:uid="{D7B341C5-EF6C-4C8F-997B-E2AD62AF407D}" name="接続12586" type="7" refreshedVersion="8"/>
  <connection id="2878" xr16:uid="{B07F4B6C-4114-4726-8FB5-A5F5DEE99B0D}" name="接続12587" type="7" refreshedVersion="8"/>
  <connection id="2879" xr16:uid="{1A082D7C-6FDF-4419-B58A-0A4B79FB434E}" name="接続12588" type="7" refreshedVersion="8"/>
  <connection id="2880" xr16:uid="{86029450-F5E5-4525-B41B-4BF7D67952A9}" name="接続12589" type="7" refreshedVersion="8"/>
  <connection id="2881" xr16:uid="{00000000-0015-0000-FFFF-FFFF2C060000}" name="接続1259" type="7" refreshedVersion="4"/>
  <connection id="2882" xr16:uid="{4DB3260A-D6C4-4CD3-BC09-55194696E495}" name="接続12590" type="7" refreshedVersion="8"/>
  <connection id="2883" xr16:uid="{F20A321E-1BB4-4E07-A585-586E4ABEF13D}" name="接続12591" type="7" refreshedVersion="8"/>
  <connection id="2884" xr16:uid="{B8A0D929-CB23-4111-92A7-544F78565328}" name="接続12592" type="7" refreshedVersion="8"/>
  <connection id="2885" xr16:uid="{2B18D258-41F2-4018-8F89-E071B5782187}" name="接続12593" type="7" refreshedVersion="8"/>
  <connection id="2886" xr16:uid="{903C2F7B-1045-485B-8477-2AE7218F880E}" name="接続12594" type="7" refreshedVersion="8"/>
  <connection id="2887" xr16:uid="{17F909A0-8C63-4085-B210-78F2AA85F36B}" name="接続12595" type="7" refreshedVersion="8"/>
  <connection id="2888" xr16:uid="{A2BD96BA-B832-4CBA-BCAD-C482D7697060}" name="接続12596" type="7" refreshedVersion="8"/>
  <connection id="2889" xr16:uid="{37629C7F-7950-4992-8506-552D2B98941A}" name="接続12597" type="7" refreshedVersion="8"/>
  <connection id="2890" xr16:uid="{476657ED-E05B-4F66-B664-668F2EDC7560}" name="接続12598" type="7" refreshedVersion="8"/>
  <connection id="2891" xr16:uid="{725CBFDF-5106-4501-A847-9614B9C12526}" name="接続12599" type="7" refreshedVersion="8"/>
  <connection id="2892" xr16:uid="{00000000-0015-0000-FFFF-FFFF2D060000}" name="接続126" type="7" refreshedVersion="4"/>
  <connection id="2893" xr16:uid="{00000000-0015-0000-FFFF-FFFF2E060000}" name="接続1260" type="7" refreshedVersion="4"/>
  <connection id="2894" xr16:uid="{9C730B9C-43CC-404A-8118-D60E24EDCD8A}" name="接続12600" type="7" refreshedVersion="8"/>
  <connection id="2895" xr16:uid="{07AA3C10-D750-47FF-B407-37639DFE044B}" name="接続12601" type="7" refreshedVersion="8"/>
  <connection id="2896" xr16:uid="{148BDB48-306E-4FC3-B7EA-F091517FAC09}" name="接続12602" type="7" refreshedVersion="8"/>
  <connection id="2897" xr16:uid="{DC60B9CD-CBD5-48BB-9D10-0A4EE0F431FD}" name="接続12603" type="7" refreshedVersion="8"/>
  <connection id="2898" xr16:uid="{03F44909-6B1C-4F26-B82D-ABA83558948C}" name="接続12604" type="7" refreshedVersion="8"/>
  <connection id="2899" xr16:uid="{59EA47C6-5E15-4FCB-B8B3-345E8E8CCFE2}" name="接続12605" type="7" refreshedVersion="8"/>
  <connection id="2900" xr16:uid="{D895B037-EA79-43E4-89D0-E4B6768B9590}" name="接続12606" type="7" refreshedVersion="8"/>
  <connection id="2901" xr16:uid="{A37D0CCD-F27E-4426-B835-C2CA4DA6DF2B}" name="接続12607" type="7" refreshedVersion="8"/>
  <connection id="2902" xr16:uid="{35C67056-8EB3-49D6-96C3-12BE9707D1D1}" name="接続12608" type="7" refreshedVersion="8"/>
  <connection id="2903" xr16:uid="{E5E0918B-EADE-45F1-B96E-53D74DDCA2B2}" name="接続12609" type="7" refreshedVersion="8"/>
  <connection id="2904" xr16:uid="{00000000-0015-0000-FFFF-FFFF2F060000}" name="接続1261" type="7" refreshedVersion="4"/>
  <connection id="2905" xr16:uid="{8795A250-05FC-401C-99E4-10670B33788F}" name="接続12610" type="7" refreshedVersion="8"/>
  <connection id="2906" xr16:uid="{D1B3796C-B01B-4603-BE39-80DF490F0E68}" name="接続12611" type="7" refreshedVersion="8"/>
  <connection id="2907" xr16:uid="{33BC26FA-BD98-4F4E-8049-FEEFB31D9269}" name="接続12612" type="7" refreshedVersion="8"/>
  <connection id="2908" xr16:uid="{5A1A222C-A9CC-42C5-BBAF-73B808442FA9}" name="接続12613" type="7" refreshedVersion="8"/>
  <connection id="2909" xr16:uid="{54127FD5-430B-4D63-AE6D-31D505818EA3}" name="接続12614" type="7" refreshedVersion="8"/>
  <connection id="2910" xr16:uid="{06C46153-E9F5-4866-92FD-37BCACBDA55B}" name="接続12615" type="7" refreshedVersion="8"/>
  <connection id="2911" xr16:uid="{E53FBB07-0882-4C79-A85D-5BF273D47BC4}" name="接続12616" type="7" refreshedVersion="8"/>
  <connection id="2912" xr16:uid="{2D9B0F3F-AB2C-44DF-950A-B99A04DFEEB9}" name="接続12617" type="7" refreshedVersion="8"/>
  <connection id="2913" xr16:uid="{50753891-2630-47CD-A0A5-6AA52BAF4D9E}" name="接続12618" type="7" refreshedVersion="8"/>
  <connection id="2914" xr16:uid="{C103C6AA-8203-4353-8ADB-A5AD3245954E}" name="接続12619" type="7" refreshedVersion="8"/>
  <connection id="2915" xr16:uid="{00000000-0015-0000-FFFF-FFFF30060000}" name="接続1262" type="7" refreshedVersion="4"/>
  <connection id="2916" xr16:uid="{F66536FE-A847-44FE-B9E8-F85B4D3C98FF}" name="接続12620" type="7" refreshedVersion="8"/>
  <connection id="2917" xr16:uid="{1223BD47-CA41-4265-8E79-3F5CE6D6C2BF}" name="接続12621" type="7" refreshedVersion="8"/>
  <connection id="2918" xr16:uid="{EDED74B0-0998-43D8-910C-D497AD8ACAED}" name="接続12622" type="7" refreshedVersion="8"/>
  <connection id="2919" xr16:uid="{B25D0BD5-A346-44DB-94F2-63D5C3CB6028}" name="接続12623" type="7" refreshedVersion="8"/>
  <connection id="2920" xr16:uid="{D4D2655D-A6B9-492D-8BCC-426E32F9F693}" name="接続12624" type="7" refreshedVersion="8"/>
  <connection id="2921" xr16:uid="{541D9CC2-F588-4602-87F2-13BB451827F5}" name="接続12625" type="7" refreshedVersion="8"/>
  <connection id="2922" xr16:uid="{184C377B-87E8-46FF-971D-312B4A11A713}" name="接続12626" type="7" refreshedVersion="8"/>
  <connection id="2923" xr16:uid="{30343D06-4C32-4362-8BA0-D958375AB1CF}" name="接続12627" type="7" refreshedVersion="8"/>
  <connection id="2924" xr16:uid="{F790AEB6-DBB8-454D-B3B3-74E6616E7D04}" name="接続12628" type="7" refreshedVersion="8"/>
  <connection id="2925" xr16:uid="{5C559AB9-EA64-4E3C-812D-FD1769AA25CC}" name="接続12629" type="7" refreshedVersion="8"/>
  <connection id="2926" xr16:uid="{00000000-0015-0000-FFFF-FFFF31060000}" name="接続1263" type="7" refreshedVersion="4"/>
  <connection id="2927" xr16:uid="{07ED537C-7EA6-4827-8D40-61B65BBE38F0}" name="接続12630" type="7" refreshedVersion="8"/>
  <connection id="2928" xr16:uid="{F279409C-58F6-4EB3-8640-7AEBE65563B5}" name="接続12631" type="7" refreshedVersion="8"/>
  <connection id="2929" xr16:uid="{45F0288A-DA36-49D7-87C8-47742DCE8AD6}" name="接続12632" type="7" refreshedVersion="8"/>
  <connection id="2930" xr16:uid="{997F1D26-015F-4979-9FA2-A0D2EDB64F24}" name="接続12633" type="7" refreshedVersion="8"/>
  <connection id="2931" xr16:uid="{76A6406E-F759-46F6-B846-9F987BC252D9}" name="接続12634" type="7" refreshedVersion="8"/>
  <connection id="2932" xr16:uid="{BFCBF361-424F-44D6-9DD1-96FA38DFE12B}" name="接続12635" type="7" refreshedVersion="8"/>
  <connection id="2933" xr16:uid="{43AD30CE-4512-4359-90AF-4D23A43C8920}" name="接続12636" type="7" refreshedVersion="8"/>
  <connection id="2934" xr16:uid="{4F08EAE8-9197-4AA9-9F1A-FBC8247691BD}" name="接続12637" type="7" refreshedVersion="8"/>
  <connection id="2935" xr16:uid="{A4DEB79F-49F2-452D-8147-B20AB678572A}" name="接続12638" type="7" refreshedVersion="8"/>
  <connection id="2936" xr16:uid="{4D020FF7-3443-49E6-B122-1695F128EFBE}" name="接続12639" type="7" refreshedVersion="8"/>
  <connection id="2937" xr16:uid="{00000000-0015-0000-FFFF-FFFF32060000}" name="接続1264" type="7" refreshedVersion="4"/>
  <connection id="2938" xr16:uid="{ACE2546B-1F85-460A-8249-3EF79D835DB2}" name="接続12640" type="7" refreshedVersion="8"/>
  <connection id="2939" xr16:uid="{F59B29AE-7CA1-47A2-B367-9EADC8050A48}" name="接続12641" type="7" refreshedVersion="8"/>
  <connection id="2940" xr16:uid="{6613D5C1-FEAE-48C8-A7E9-5063EC7BCE9F}" name="接続12642" type="7" refreshedVersion="8"/>
  <connection id="2941" xr16:uid="{1E12E559-F6B8-4880-B957-CEB7530EDB5B}" name="接続12643" type="7" refreshedVersion="8"/>
  <connection id="2942" xr16:uid="{564312B4-CEA6-487C-9AF2-27654477EA91}" name="接続12644" type="7" refreshedVersion="8"/>
  <connection id="2943" xr16:uid="{3878611C-3D93-4DC3-9964-2BA91FE44A93}" name="接続12645" type="7" refreshedVersion="8"/>
  <connection id="2944" xr16:uid="{D67918A0-77C8-4122-8D73-929BAB214DD0}" name="接続12646" type="7" refreshedVersion="8"/>
  <connection id="2945" xr16:uid="{5478AD29-E23F-4C3E-904E-E50206069575}" name="接続12647" type="7" refreshedVersion="8"/>
  <connection id="2946" xr16:uid="{21B3489A-7376-4807-AFED-674842367379}" name="接続12648" type="7" refreshedVersion="8"/>
  <connection id="2947" xr16:uid="{5867B147-A32F-4710-A50D-B10D76EA181A}" name="接続12649" type="7" refreshedVersion="8"/>
  <connection id="2948" xr16:uid="{00000000-0015-0000-FFFF-FFFF33060000}" name="接続1265" type="7" refreshedVersion="4"/>
  <connection id="2949" xr16:uid="{089163E4-C64B-459C-AD5B-738D6218C6C3}" name="接続12650" type="7" refreshedVersion="8"/>
  <connection id="2950" xr16:uid="{C6ABDC27-6C4A-4605-B2E0-C94A39F1C677}" name="接続12651" type="7" refreshedVersion="8"/>
  <connection id="2951" xr16:uid="{FBC93A7A-72E7-458F-8B62-EA01D6F5ED25}" name="接続12652" type="7" refreshedVersion="8"/>
  <connection id="2952" xr16:uid="{0898A6F7-DFB9-48DD-9168-1979DFABACE1}" name="接続12653" type="7" refreshedVersion="8"/>
  <connection id="2953" xr16:uid="{D3C59A2C-D3D8-487B-9867-382A5F79E164}" name="接続12654" type="7" refreshedVersion="8"/>
  <connection id="2954" xr16:uid="{88D7EA42-9FD2-4637-8552-A2651E39BA35}" name="接続12655" type="7" refreshedVersion="8"/>
  <connection id="2955" xr16:uid="{D0265CBF-9ECA-4E0D-AB6A-2F89BC0EC343}" name="接続12656" type="7" refreshedVersion="8"/>
  <connection id="2956" xr16:uid="{01C26C75-AF1C-4D18-B48F-F087DA148371}" name="接続12657" type="7" refreshedVersion="8"/>
  <connection id="2957" xr16:uid="{6F65DC15-413D-472A-BFF8-A6459E01DAFA}" name="接続12658" type="7" refreshedVersion="8"/>
  <connection id="2958" xr16:uid="{04D82305-A718-41F5-AF1E-9A1AB1166DC6}" name="接続12659" type="7" refreshedVersion="8"/>
  <connection id="2959" xr16:uid="{00000000-0015-0000-FFFF-FFFF34060000}" name="接続1266" type="7" refreshedVersion="4"/>
  <connection id="2960" xr16:uid="{54B29A0B-159D-4062-A436-ABE03CEA1D37}" name="接続12660" type="7" refreshedVersion="8"/>
  <connection id="2961" xr16:uid="{8BCEB8DD-6482-42AB-B7E0-9200CB0CEFFB}" name="接続12661" type="7" refreshedVersion="8"/>
  <connection id="2962" xr16:uid="{53BC5AD4-7531-40E6-83A1-72D841CF8B3C}" name="接続12662" type="7" refreshedVersion="8"/>
  <connection id="2963" xr16:uid="{A7F054BA-C59C-4526-91A7-43C10FF3B52D}" name="接続12663" type="7" refreshedVersion="8"/>
  <connection id="2964" xr16:uid="{F3989C75-AAE0-4A2C-88FC-126EAB518572}" name="接続12664" type="7" refreshedVersion="8"/>
  <connection id="2965" xr16:uid="{D1B29F03-2674-47F2-9009-5CEEF0F959CA}" name="接続12665" type="7" refreshedVersion="8"/>
  <connection id="2966" xr16:uid="{1939A701-455F-4051-854D-9E65132C8218}" name="接続12666" type="7" refreshedVersion="8"/>
  <connection id="2967" xr16:uid="{A68AD1B9-6BCC-4648-9453-FB8CE36FEC8B}" name="接続12667" type="7" refreshedVersion="8"/>
  <connection id="2968" xr16:uid="{C9EBB464-3593-4262-BAE1-3959914725F1}" name="接続12668" type="7" refreshedVersion="8"/>
  <connection id="2969" xr16:uid="{F878D19C-B867-4D84-A2AE-3DF00C64AE3B}" name="接続12669" type="7" refreshedVersion="8"/>
  <connection id="2970" xr16:uid="{00000000-0015-0000-FFFF-FFFF35060000}" name="接続1267" type="7" refreshedVersion="4"/>
  <connection id="2971" xr16:uid="{64E5A052-2DC2-4731-BAC1-A4BD4638A70F}" name="接続12670" type="7" refreshedVersion="8"/>
  <connection id="2972" xr16:uid="{AC99A686-CFB4-4FE5-B0FC-A226B8A6C514}" name="接続12671" type="7" refreshedVersion="8"/>
  <connection id="2973" xr16:uid="{888E47BF-5705-4421-BEE6-7FCCDD423922}" name="接続12672" type="7" refreshedVersion="8"/>
  <connection id="2974" xr16:uid="{47C10BA0-EC0A-4A73-B791-F269BED738D7}" name="接続12673" type="7" refreshedVersion="8"/>
  <connection id="2975" xr16:uid="{CFFB43B7-7232-4D20-9D9E-5186D8848A59}" name="接続12674" type="7" refreshedVersion="8"/>
  <connection id="2976" xr16:uid="{AE1F6081-F855-4605-B8F3-7FD660495365}" name="接続12675" type="7" refreshedVersion="8"/>
  <connection id="2977" xr16:uid="{AD2F2CA3-7E7B-4101-B347-9468C81D0C13}" name="接続12676" type="7" refreshedVersion="8"/>
  <connection id="2978" xr16:uid="{73A4C517-F5D3-4B6A-93D9-E1D07D9DCE40}" name="接続12677" type="7" refreshedVersion="8"/>
  <connection id="2979" xr16:uid="{A986843E-953F-4BAA-9B7A-F930126BFEF5}" name="接続12678" type="7" refreshedVersion="8"/>
  <connection id="2980" xr16:uid="{1946CA00-1512-4E73-8853-A7099F4CE2DF}" name="接続12679" type="7" refreshedVersion="8"/>
  <connection id="2981" xr16:uid="{00000000-0015-0000-FFFF-FFFF36060000}" name="接続1268" type="7" refreshedVersion="4"/>
  <connection id="2982" xr16:uid="{5BD0237C-6E11-4037-A5E6-A3F5B135D058}" name="接続12680" type="7" refreshedVersion="8"/>
  <connection id="2983" xr16:uid="{E17140FE-26E4-48FE-9A27-D5F13CE90DD7}" name="接続12681" type="7" refreshedVersion="8"/>
  <connection id="2984" xr16:uid="{0EF8A1C8-8368-4400-842C-8615FF7558D7}" name="接続12682" type="7" refreshedVersion="8"/>
  <connection id="2985" xr16:uid="{62337C8D-9BD4-47A9-B2C1-8C4C73CA9473}" name="接続12683" type="7" refreshedVersion="8"/>
  <connection id="2986" xr16:uid="{2D70D9AD-8045-4ED1-997C-421C1B0ED0C2}" name="接続12684" type="7" refreshedVersion="8"/>
  <connection id="2987" xr16:uid="{9A284254-E460-4825-8B61-C954CD4F2F25}" name="接続12685" type="7" refreshedVersion="8"/>
  <connection id="2988" xr16:uid="{997DA562-C76A-443A-BB79-055C89971B51}" name="接続12686" type="7" refreshedVersion="8"/>
  <connection id="2989" xr16:uid="{1C9DCC90-B8AB-4AAA-BA4E-EC7973184676}" name="接続12687" type="7" refreshedVersion="8"/>
  <connection id="2990" xr16:uid="{DE6B4919-5779-4C57-894C-2C36E783B101}" name="接続12688" type="7" refreshedVersion="8"/>
  <connection id="2991" xr16:uid="{DBEFCC86-51C8-4ABF-AD56-DB61C657A420}" name="接続12689" type="7" refreshedVersion="8"/>
  <connection id="2992" xr16:uid="{00000000-0015-0000-FFFF-FFFF37060000}" name="接続1269" type="7" refreshedVersion="4"/>
  <connection id="2993" xr16:uid="{B1408563-A124-4E57-9A2F-2ACAAD159634}" name="接続12690" type="7" refreshedVersion="8"/>
  <connection id="2994" xr16:uid="{61E4713E-7B04-4269-9F76-ABE03BFC595A}" name="接続12691" type="7" refreshedVersion="8"/>
  <connection id="2995" xr16:uid="{0545873D-55D3-4B33-A929-D884E3021742}" name="接続12692" type="7" refreshedVersion="8"/>
  <connection id="2996" xr16:uid="{E9F796C0-C4E8-4D48-9138-209644F67A3A}" name="接続12693" type="7" refreshedVersion="8"/>
  <connection id="2997" xr16:uid="{3D42C3A1-F973-4609-9587-5043FB2A1F19}" name="接続12694" type="7" refreshedVersion="8"/>
  <connection id="2998" xr16:uid="{EE1E619C-44D7-48ED-9E71-2D975E5AAAB2}" name="接続12695" type="7" refreshedVersion="8"/>
  <connection id="2999" xr16:uid="{7248B8FE-C007-49E9-919C-857DB1991275}" name="接続12696" type="7" refreshedVersion="8"/>
  <connection id="3000" xr16:uid="{18C97148-2FD0-4FBB-84B5-349C92C5A66F}" name="接続12697" type="7" refreshedVersion="8"/>
  <connection id="3001" xr16:uid="{E3E0E4D2-8E14-40B1-AD91-B83359B01410}" name="接続12698" type="7" refreshedVersion="8"/>
  <connection id="3002" xr16:uid="{26EBC64B-72C2-46BB-8998-84C25B652E61}" name="接続12699" type="7" refreshedVersion="8"/>
  <connection id="3003" xr16:uid="{00000000-0015-0000-FFFF-FFFF38060000}" name="接続127" type="7" refreshedVersion="4"/>
  <connection id="3004" xr16:uid="{00000000-0015-0000-FFFF-FFFF39060000}" name="接続1270" type="7" refreshedVersion="4"/>
  <connection id="3005" xr16:uid="{52DB3063-145F-4284-9032-1DE5BC20B1E5}" name="接続12700" type="7" refreshedVersion="8"/>
  <connection id="3006" xr16:uid="{29D3BE72-0B96-4526-8C0A-D5347A597347}" name="接続12701" type="7" refreshedVersion="8"/>
  <connection id="3007" xr16:uid="{60ED30F0-9A64-4192-A925-6E8FFCB6071E}" name="接続12702" type="7" refreshedVersion="8"/>
  <connection id="3008" xr16:uid="{A438F893-B6C6-4124-B367-AE2051F74664}" name="接続12703" type="7" refreshedVersion="8"/>
  <connection id="3009" xr16:uid="{571F3A4E-9843-44AC-A735-5D2274EA9F6F}" name="接続12704" type="7" refreshedVersion="8"/>
  <connection id="3010" xr16:uid="{0D720642-0920-4E8F-9473-D6FDB4941C9A}" name="接続12705" type="7" refreshedVersion="8"/>
  <connection id="3011" xr16:uid="{7A1C12E7-2611-4B53-9643-DC8B04D94A90}" name="接続12706" type="7" refreshedVersion="8"/>
  <connection id="3012" xr16:uid="{6A69307F-343C-4A7A-AD4D-6EC7AF0D7515}" name="接続12707" type="7" refreshedVersion="8"/>
  <connection id="3013" xr16:uid="{068AC266-5B2A-419E-B94D-AB37A9FD65B7}" name="接続12708" type="7" refreshedVersion="8"/>
  <connection id="3014" xr16:uid="{6A9C31F6-CADF-49C5-84C3-E877AE52102B}" name="接続12709" type="7" refreshedVersion="8"/>
  <connection id="3015" xr16:uid="{00000000-0015-0000-FFFF-FFFF3A060000}" name="接続1271" type="7" refreshedVersion="4"/>
  <connection id="3016" xr16:uid="{77105F2C-AE94-4627-A9A7-0CB7816986D9}" name="接続12710" type="7" refreshedVersion="8"/>
  <connection id="3017" xr16:uid="{88121CAD-B536-4CF6-919C-90E351838089}" name="接続12711" type="7" refreshedVersion="8"/>
  <connection id="3018" xr16:uid="{8662A502-31A0-4E88-974F-9F6E59F9F6D4}" name="接続12712" type="7" refreshedVersion="8"/>
  <connection id="3019" xr16:uid="{6FCD291C-5E70-44B1-97A2-9CCDEBC429E1}" name="接続12713" type="7" refreshedVersion="8"/>
  <connection id="3020" xr16:uid="{5154D63C-89D9-48FD-8008-8AD5D7F2C09B}" name="接続12714" type="7" refreshedVersion="8"/>
  <connection id="3021" xr16:uid="{F195ADA9-2D86-4645-8FAE-CD8ECFBA9643}" name="接続12715" type="7" refreshedVersion="8"/>
  <connection id="3022" xr16:uid="{02738E52-2FFB-45E2-AF14-1D892CF8A05A}" name="接続12716" type="7" refreshedVersion="8"/>
  <connection id="3023" xr16:uid="{3C0DBE71-8A09-46C5-ACD2-DC2FC7507258}" name="接続12717" type="7" refreshedVersion="8"/>
  <connection id="3024" xr16:uid="{197BA8F7-763D-4E6D-8CDC-493089AF85C3}" name="接続12718" type="7" refreshedVersion="8"/>
  <connection id="3025" xr16:uid="{CBC1A291-5897-4907-BFED-11BB9D41ADA5}" name="接続12719" type="7" refreshedVersion="8"/>
  <connection id="3026" xr16:uid="{00000000-0015-0000-FFFF-FFFF3B060000}" name="接続1272" type="7" refreshedVersion="4"/>
  <connection id="3027" xr16:uid="{163CA888-C9E5-4EB6-B11E-011D1449F39E}" name="接続12720" type="7" refreshedVersion="8"/>
  <connection id="3028" xr16:uid="{0DED9BB1-06F3-44B0-9F66-0A4101018133}" name="接続12721" type="7" refreshedVersion="8"/>
  <connection id="3029" xr16:uid="{B49321E3-0B20-4585-9617-C74218A9A753}" name="接続12722" type="7" refreshedVersion="8"/>
  <connection id="3030" xr16:uid="{0F612888-744A-499A-AE1A-09A1C76F26EE}" name="接続12723" type="7" refreshedVersion="8"/>
  <connection id="3031" xr16:uid="{1E8B5773-34AC-452D-B37E-329B77FF14F9}" name="接続12724" type="7" refreshedVersion="8"/>
  <connection id="3032" xr16:uid="{539524C1-BC23-4D5F-871A-E43EAAC05150}" name="接続12725" type="7" refreshedVersion="8"/>
  <connection id="3033" xr16:uid="{52CCBDAE-7A7C-40A3-A50C-B229B487CF0B}" name="接続12726" type="7" refreshedVersion="8"/>
  <connection id="3034" xr16:uid="{7DF019F4-A9FC-4E53-8DCB-C8470EC488AC}" name="接続12727" type="7" refreshedVersion="8"/>
  <connection id="3035" xr16:uid="{1C2FB4E0-A1E7-4510-B368-BCF2BD824E8D}" name="接続12728" type="7" refreshedVersion="8"/>
  <connection id="3036" xr16:uid="{320F029F-9F4E-405E-B634-FAF52EE20E3C}" name="接続12729" type="7" refreshedVersion="8"/>
  <connection id="3037" xr16:uid="{00000000-0015-0000-FFFF-FFFF3C060000}" name="接続1273" type="7" refreshedVersion="4"/>
  <connection id="3038" xr16:uid="{797F8B11-E579-4701-B174-9C8DDAF1C7E0}" name="接続12730" type="7" refreshedVersion="8"/>
  <connection id="3039" xr16:uid="{0DE36C22-21AA-4265-9350-5177C1C295D7}" name="接続12731" type="7" refreshedVersion="8"/>
  <connection id="3040" xr16:uid="{CE05FF09-48DB-4234-A427-F24D396B7EB4}" name="接続12732" type="7" refreshedVersion="8"/>
  <connection id="3041" xr16:uid="{5DDF3416-1EB6-4BFC-9800-0A44677AEAE4}" name="接続12733" type="7" refreshedVersion="8"/>
  <connection id="3042" xr16:uid="{A13908AE-9D6B-4CA9-8262-22D47BECD091}" name="接続12734" type="7" refreshedVersion="8"/>
  <connection id="3043" xr16:uid="{2E323EFC-546A-4C01-A9E8-F267F7AF0460}" name="接続12735" type="7" refreshedVersion="8"/>
  <connection id="3044" xr16:uid="{7DE9D88C-FF4E-4FFF-94DC-A63C104B7903}" name="接続12736" type="7" refreshedVersion="8"/>
  <connection id="3045" xr16:uid="{2CA1DF6E-9D40-4397-B9BC-F27CEEAF1134}" name="接続12737" type="7" refreshedVersion="8"/>
  <connection id="3046" xr16:uid="{30D0B1A4-FD6F-4205-9606-5A8BF8A751D0}" name="接続12738" type="7" refreshedVersion="8"/>
  <connection id="3047" xr16:uid="{408BA0A2-419C-4CF3-ABCA-10B528F630CF}" name="接続12739" type="7" refreshedVersion="8"/>
  <connection id="3048" xr16:uid="{00000000-0015-0000-FFFF-FFFF3D060000}" name="接続1274" type="7" refreshedVersion="4"/>
  <connection id="3049" xr16:uid="{2E070815-1F21-4352-896C-3447A54EC18A}" name="接続12740" type="7" refreshedVersion="8"/>
  <connection id="3050" xr16:uid="{5FB15A7E-BCC3-4277-95A6-A3F509F8F167}" name="接続12741" type="7" refreshedVersion="8"/>
  <connection id="3051" xr16:uid="{66E1F143-F51C-4437-BF2B-A42B26FAE45E}" name="接続12742" type="7" refreshedVersion="8"/>
  <connection id="3052" xr16:uid="{4E366322-2F56-444C-83CF-602C5974129C}" name="接続12743" type="7" refreshedVersion="8"/>
  <connection id="3053" xr16:uid="{4B8CD53A-41A2-42B3-A5BC-E58E01AA7687}" name="接続12744" type="7" refreshedVersion="8"/>
  <connection id="3054" xr16:uid="{C5A24676-150B-493E-9E79-6E2744A929EC}" name="接続12745" type="7" refreshedVersion="8"/>
  <connection id="3055" xr16:uid="{950F1F53-BD1E-44E2-A143-C9C339650560}" name="接続12746" type="7" refreshedVersion="8"/>
  <connection id="3056" xr16:uid="{B345C51D-7BD9-40AA-B31E-6BF5A4A8DFC2}" name="接続12747" type="7" refreshedVersion="8"/>
  <connection id="3057" xr16:uid="{C8514165-0ECF-4F27-9548-62EA0964A6CF}" name="接続12748" type="7" refreshedVersion="8"/>
  <connection id="3058" xr16:uid="{CAAF5751-2328-492F-8441-F0CB70D7A040}" name="接続12749" type="7" refreshedVersion="8"/>
  <connection id="3059" xr16:uid="{00000000-0015-0000-FFFF-FFFF3E060000}" name="接続1275" type="7" refreshedVersion="4"/>
  <connection id="3060" xr16:uid="{687908B9-3A86-4CD0-8509-27DBCEB0C076}" name="接続12750" type="7" refreshedVersion="8"/>
  <connection id="3061" xr16:uid="{38F498CD-B9C0-4840-9F52-4F1A747D4489}" name="接続12751" type="7" refreshedVersion="8"/>
  <connection id="3062" xr16:uid="{44BE499B-1288-4787-8907-B92ADF656065}" name="接続12752" type="7" refreshedVersion="8"/>
  <connection id="3063" xr16:uid="{9E46862D-2D48-4EB7-BEAE-4D9FA29151D4}" name="接続12753" type="7" refreshedVersion="8"/>
  <connection id="3064" xr16:uid="{558A9C0F-C3A8-459D-9C04-4C63D5776BAF}" name="接続12754" type="7" refreshedVersion="8"/>
  <connection id="3065" xr16:uid="{0A91DD24-92BD-4B8D-A6C3-EFD8FAFB8F26}" name="接続12755" type="7" refreshedVersion="8"/>
  <connection id="3066" xr16:uid="{6B69CD9E-AB67-480D-9943-19BB378A3A69}" name="接続12756" type="7" refreshedVersion="8"/>
  <connection id="3067" xr16:uid="{22D40899-C032-4A93-98EC-2AF53F5181C2}" name="接続12757" type="7" refreshedVersion="8"/>
  <connection id="3068" xr16:uid="{3BCCF540-ACCD-45BE-93C7-D1653E128BF7}" name="接続12758" type="7" refreshedVersion="8"/>
  <connection id="3069" xr16:uid="{037AC3DA-2295-4CDD-B5FA-93D02A79A767}" name="接続12759" type="7" refreshedVersion="8"/>
  <connection id="3070" xr16:uid="{00000000-0015-0000-FFFF-FFFF3F060000}" name="接続1276" type="7" refreshedVersion="4"/>
  <connection id="3071" xr16:uid="{B8ED5577-A760-46F7-A3F5-FDF853FE9908}" name="接続12760" type="7" refreshedVersion="8"/>
  <connection id="3072" xr16:uid="{CAEACE5E-A69D-4C1C-865B-99DBAF9D9EFF}" name="接続12761" type="7" refreshedVersion="8"/>
  <connection id="3073" xr16:uid="{3A676F5D-DC05-4B23-B28E-02C1F5A67C4E}" name="接続12762" type="7" refreshedVersion="8"/>
  <connection id="3074" xr16:uid="{7C3AF1A4-246C-4F53-812B-FA29B73D0F9E}" name="接続12763" type="7" refreshedVersion="8"/>
  <connection id="3075" xr16:uid="{DDE202B3-8AAD-4B0C-94BD-C1A6A0CD8321}" name="接続12764" type="7" refreshedVersion="8"/>
  <connection id="3076" xr16:uid="{42E54C2E-7787-4FE4-B126-C38BF27C5147}" name="接続12765" type="7" refreshedVersion="8"/>
  <connection id="3077" xr16:uid="{41E15ECE-E646-4BDB-B139-BEEF2AE3CA50}" name="接続12766" type="7" refreshedVersion="8"/>
  <connection id="3078" xr16:uid="{29CE4EE0-EC99-473B-9E53-D09F34112B10}" name="接続12767" type="7" refreshedVersion="8"/>
  <connection id="3079" xr16:uid="{BC4A197F-909D-407A-8C59-E8AA9B5AC057}" name="接続12768" type="7" refreshedVersion="8"/>
  <connection id="3080" xr16:uid="{ABA6B86C-0A36-4A62-96EA-BA587C6EDE55}" name="接続12769" type="7" refreshedVersion="8"/>
  <connection id="3081" xr16:uid="{00000000-0015-0000-FFFF-FFFF40060000}" name="接続1277" type="7" refreshedVersion="4"/>
  <connection id="3082" xr16:uid="{1F93F287-F78B-480C-BCD1-DEF540E33C36}" name="接続12770" type="7" refreshedVersion="8"/>
  <connection id="3083" xr16:uid="{470AE6C6-1D4B-498F-9D8F-5B2051F5B613}" name="接続12771" type="7" refreshedVersion="8"/>
  <connection id="3084" xr16:uid="{ECB9B560-7480-4D13-B9B0-63898B943D99}" name="接続12772" type="7" refreshedVersion="8"/>
  <connection id="3085" xr16:uid="{3D1E8DD2-A1A8-42A7-9F2A-BA72A940DA0E}" name="接続12773" type="7" refreshedVersion="8"/>
  <connection id="3086" xr16:uid="{5F95F6E0-92EE-4362-914E-F08DF3A886FD}" name="接続12774" type="7" refreshedVersion="8"/>
  <connection id="3087" xr16:uid="{6D94D255-8A3A-4EDA-B8F5-6ECD33BBB7AE}" name="接続12775" type="7" refreshedVersion="8"/>
  <connection id="3088" xr16:uid="{1A1A8D8D-9ABE-4C2F-A625-2129FF326BE4}" name="接続12776" type="7" refreshedVersion="8"/>
  <connection id="3089" xr16:uid="{52215223-F7E5-404E-831B-0FC844234EF8}" name="接続12777" type="7" refreshedVersion="8"/>
  <connection id="3090" xr16:uid="{C18CC1B9-3C1D-40D2-8F62-4C1D99A4BD1D}" name="接続12778" type="7" refreshedVersion="8"/>
  <connection id="3091" xr16:uid="{0E275F5B-D296-4B28-8161-3A2D624277FE}" name="接続12779" type="7" refreshedVersion="8"/>
  <connection id="3092" xr16:uid="{00000000-0015-0000-FFFF-FFFF41060000}" name="接続1278" type="7" refreshedVersion="4"/>
  <connection id="3093" xr16:uid="{AD4A6F72-CC61-46F2-97DC-C606237609F1}" name="接続12780" type="7" refreshedVersion="8"/>
  <connection id="3094" xr16:uid="{1A3ECBF4-8177-4168-82C9-08A2276B9D3D}" name="接続12781" type="7" refreshedVersion="8"/>
  <connection id="3095" xr16:uid="{07AAEA86-401E-4686-B37E-E4F6B053E094}" name="接続12782" type="7" refreshedVersion="8"/>
  <connection id="3096" xr16:uid="{56358845-951A-4786-A923-395BA3E79CF5}" name="接続12783" type="7" refreshedVersion="8"/>
  <connection id="3097" xr16:uid="{B1BDADBD-2F6A-4ABA-B197-4B93AAC427D2}" name="接続12784" type="7" refreshedVersion="8"/>
  <connection id="3098" xr16:uid="{6AF7138C-166C-4A57-9148-8842211DAFCD}" name="接続12785" type="7" refreshedVersion="8"/>
  <connection id="3099" xr16:uid="{20C95F2B-BC7D-432C-B51B-50D0C5079B0E}" name="接続12786" type="7" refreshedVersion="8"/>
  <connection id="3100" xr16:uid="{02C320C9-6C44-446E-91F9-EC48F587D5E0}" name="接続12787" type="7" refreshedVersion="8"/>
  <connection id="3101" xr16:uid="{8EAAA927-5188-4E5A-B1C6-153DF411561B}" name="接続12788" type="7" refreshedVersion="8"/>
  <connection id="3102" xr16:uid="{B5E4209C-EF0B-41DA-AF03-C18A1C97922B}" name="接続12789" type="7" refreshedVersion="8"/>
  <connection id="3103" xr16:uid="{00000000-0015-0000-FFFF-FFFF42060000}" name="接続1279" type="7" refreshedVersion="4"/>
  <connection id="3104" xr16:uid="{ABCF3C2D-E27F-4FB8-8944-4EB7EF31FF18}" name="接続12790" type="7" refreshedVersion="8"/>
  <connection id="3105" xr16:uid="{2FBA13D7-92A8-4BC2-AA1F-FD3B9C39BA4D}" name="接続12791" type="7" refreshedVersion="8"/>
  <connection id="3106" xr16:uid="{E180AD14-06F4-457D-9333-B2A1C2F4A897}" name="接続12792" type="7" refreshedVersion="8"/>
  <connection id="3107" xr16:uid="{889C9884-CD5E-4A94-B6B8-F11735C4C5AB}" name="接続12793" type="7" refreshedVersion="8"/>
  <connection id="3108" xr16:uid="{CF0B88D6-51C3-4F59-A643-D97F6A62B7C7}" name="接続12794" type="7" refreshedVersion="8"/>
  <connection id="3109" xr16:uid="{24C686CD-C84A-4DC3-B257-9D013007AFA0}" name="接続12795" type="7" refreshedVersion="8"/>
  <connection id="3110" xr16:uid="{00AAA1B7-AE8F-4382-A24C-E77948777B65}" name="接続12796" type="7" refreshedVersion="8"/>
  <connection id="3111" xr16:uid="{DC0FA04A-1CAA-4700-9EFC-1F8F4A5658ED}" name="接続12797" type="7" refreshedVersion="8"/>
  <connection id="3112" xr16:uid="{DDD095C2-6667-410D-A0EC-28D6F1D2191B}" name="接続12798" type="7" refreshedVersion="8"/>
  <connection id="3113" xr16:uid="{01B7E554-B7E5-4565-8107-0FC7EB3E8843}" name="接続12799" type="7" refreshedVersion="8"/>
  <connection id="3114" xr16:uid="{00000000-0015-0000-FFFF-FFFF43060000}" name="接続128" type="7" refreshedVersion="4"/>
  <connection id="3115" xr16:uid="{00000000-0015-0000-FFFF-FFFF44060000}" name="接続1280" type="7" refreshedVersion="4"/>
  <connection id="3116" xr16:uid="{9FBDD70A-0695-4464-9D71-25E21C01C82B}" name="接続12800" type="7" refreshedVersion="8"/>
  <connection id="3117" xr16:uid="{332A1AE3-5B5D-419B-B76C-C4F828574753}" name="接続12801" type="7" refreshedVersion="8"/>
  <connection id="3118" xr16:uid="{530EC194-B695-4A56-8E94-3FF414B02DBB}" name="接続12802" type="7" refreshedVersion="8"/>
  <connection id="3119" xr16:uid="{5D1170A3-CD34-4F75-BCD7-4EEE7660E027}" name="接続12803" type="7" refreshedVersion="8"/>
  <connection id="3120" xr16:uid="{30F187B3-5148-4F41-ACE7-9384586390B9}" name="接続12804" type="7" refreshedVersion="8"/>
  <connection id="3121" xr16:uid="{8A55CD9E-9B54-4CA8-99AB-9088D59DB801}" name="接続12805" type="7" refreshedVersion="8"/>
  <connection id="3122" xr16:uid="{FE4C9A3D-6010-45AE-AA8F-56768C54D678}" name="接続12806" type="7" refreshedVersion="8"/>
  <connection id="3123" xr16:uid="{901630E0-8B01-41F9-9900-C759A5C28927}" name="接続12807" type="7" refreshedVersion="8"/>
  <connection id="3124" xr16:uid="{D7CE77DB-11E6-40AF-9FB1-DE9EC0859615}" name="接続12808" type="7" refreshedVersion="8"/>
  <connection id="3125" xr16:uid="{7E14A510-6E0E-4E2B-93EE-8E3BE6C3C287}" name="接続12809" type="7" refreshedVersion="8"/>
  <connection id="3126" xr16:uid="{00000000-0015-0000-FFFF-FFFF45060000}" name="接続1281" type="7" refreshedVersion="4"/>
  <connection id="3127" xr16:uid="{36D59B40-FCCA-4C19-AF66-E2E89D62D8CD}" name="接続12810" type="7" refreshedVersion="8"/>
  <connection id="3128" xr16:uid="{69FAB922-9077-4B8B-9844-ED42903ECD1C}" name="接続12811" type="7" refreshedVersion="8"/>
  <connection id="3129" xr16:uid="{42218D03-A293-4A9B-847E-2C60204D3B9A}" name="接続12812" type="7" refreshedVersion="8"/>
  <connection id="3130" xr16:uid="{FC5C73EC-C688-42BB-AE27-57CCFA881CF2}" name="接続12813" type="7" refreshedVersion="8"/>
  <connection id="3131" xr16:uid="{9F046EA4-7EBA-4AC4-814E-724475DA0573}" name="接続12814" type="7" refreshedVersion="8"/>
  <connection id="3132" xr16:uid="{363DAB22-DBF6-4E71-A188-F6DFC9B63FB5}" name="接続12815" type="7" refreshedVersion="8"/>
  <connection id="3133" xr16:uid="{5B91B2AE-516B-4EA7-8CB2-350BBA8884C9}" name="接続12816" type="7" refreshedVersion="8"/>
  <connection id="3134" xr16:uid="{C81EA0BB-5D3D-46E3-97E1-7BA1C5ED62BE}" name="接続12817" type="7" refreshedVersion="8"/>
  <connection id="3135" xr16:uid="{0BD23A2D-95BA-4A3C-995C-A93E54ED67EC}" name="接続12818" type="7" refreshedVersion="8"/>
  <connection id="3136" xr16:uid="{0BE32D4C-0626-4F9F-98E3-28F83AB0C7A9}" name="接続12819" type="7" refreshedVersion="8"/>
  <connection id="3137" xr16:uid="{00000000-0015-0000-FFFF-FFFF46060000}" name="接続1282" type="7" refreshedVersion="4"/>
  <connection id="3138" xr16:uid="{94557B83-02ED-4E20-A8A8-733ABBF8AC80}" name="接続12820" type="7" refreshedVersion="8"/>
  <connection id="3139" xr16:uid="{6EEDA242-5F1C-4BE1-A9D2-46C1A484F172}" name="接続12821" type="7" refreshedVersion="8"/>
  <connection id="3140" xr16:uid="{CC6796E7-7C4C-4E09-BBE0-1688A7F70090}" name="接続12822" type="7" refreshedVersion="8"/>
  <connection id="3141" xr16:uid="{51367CDE-90FE-45D8-B51E-DDF659CDE23C}" name="接続12823" type="7" refreshedVersion="8"/>
  <connection id="3142" xr16:uid="{8077B3B9-5737-444E-9731-12B6DE60D858}" name="接続12824" type="7" refreshedVersion="8"/>
  <connection id="3143" xr16:uid="{317DE0C3-84F4-435C-81A7-E1FB53B678DF}" name="接続12825" type="7" refreshedVersion="8"/>
  <connection id="3144" xr16:uid="{5DCDBE5F-0F9F-49AE-9FAE-7360550B1C73}" name="接続12826" type="7" refreshedVersion="8"/>
  <connection id="3145" xr16:uid="{46FF4D8B-C1D4-40D6-8B2D-7B03858F57D3}" name="接続12827" type="7" refreshedVersion="8"/>
  <connection id="3146" xr16:uid="{AA137DBF-57F5-41B7-9C3D-B0386974317F}" name="接続12828" type="7" refreshedVersion="8"/>
  <connection id="3147" xr16:uid="{035CA89E-1708-40FA-9E36-FB4105274493}" name="接続12829" type="7" refreshedVersion="8"/>
  <connection id="3148" xr16:uid="{00000000-0015-0000-FFFF-FFFF47060000}" name="接続1283" type="7" refreshedVersion="4"/>
  <connection id="3149" xr16:uid="{029EBF8B-3D56-4C02-8173-FBCCEED7E90F}" name="接続12830" type="7" refreshedVersion="8"/>
  <connection id="3150" xr16:uid="{39547631-A36C-4296-9565-04316B994D60}" name="接続12831" type="7" refreshedVersion="8"/>
  <connection id="3151" xr16:uid="{778411C1-5A8D-48F1-8511-5EC22BB6CF54}" name="接続12832" type="7" refreshedVersion="8"/>
  <connection id="3152" xr16:uid="{846590D6-FAAC-41D3-BEAF-1EC9EB9E137C}" name="接続12833" type="7" refreshedVersion="8"/>
  <connection id="3153" xr16:uid="{9D86D00F-BCF2-49ED-A22E-AB481C79D0EC}" name="接続12834" type="7" refreshedVersion="8"/>
  <connection id="3154" xr16:uid="{FD9A9CE2-6E2F-4193-A57E-44C471104EA5}" name="接続12835" type="7" refreshedVersion="8"/>
  <connection id="3155" xr16:uid="{655EED4F-1D4A-42FD-965B-4E7E48BC624C}" name="接続12836" type="7" refreshedVersion="8"/>
  <connection id="3156" xr16:uid="{862E220C-D5AA-44DF-9ADA-705772CCFD45}" name="接続12837" type="7" refreshedVersion="8"/>
  <connection id="3157" xr16:uid="{408AA12A-2AE7-42B7-9473-6F149B63E280}" name="接続12838" type="7" refreshedVersion="8"/>
  <connection id="3158" xr16:uid="{DE823B1F-76F4-42F4-948B-724C2DAEFBF6}" name="接続12839" type="7" refreshedVersion="8"/>
  <connection id="3159" xr16:uid="{00000000-0015-0000-FFFF-FFFF48060000}" name="接続1284" type="7" refreshedVersion="4"/>
  <connection id="3160" xr16:uid="{D6C68C48-339F-417A-947B-092C6E2D74FF}" name="接続12840" type="7" refreshedVersion="8"/>
  <connection id="3161" xr16:uid="{6782B9B3-91C1-442F-9DBE-AB2E0F6015D2}" name="接続12841" type="7" refreshedVersion="8"/>
  <connection id="3162" xr16:uid="{AC3BD5F2-86CF-4284-BB0B-4FB435591B9F}" name="接続12842" type="7" refreshedVersion="8"/>
  <connection id="3163" xr16:uid="{8AC7398B-6331-4F33-8831-F87B6CB81617}" name="接続12843" type="7" refreshedVersion="8"/>
  <connection id="3164" xr16:uid="{11A5AB08-087B-485D-BAF3-4DC2C30E205E}" name="接続12844" type="7" refreshedVersion="8"/>
  <connection id="3165" xr16:uid="{9E7A9D81-3989-4333-A5CB-6F0CA6BD9FAD}" name="接続12845" type="7" refreshedVersion="8"/>
  <connection id="3166" xr16:uid="{50206ED3-8777-4F61-846B-D2F9431EB0DD}" name="接続12846" type="7" refreshedVersion="8"/>
  <connection id="3167" xr16:uid="{3C77967F-3D9B-494A-AD4D-651F4EA158EA}" name="接続12847" type="7" refreshedVersion="8"/>
  <connection id="3168" xr16:uid="{C22A1B9D-5BCF-482E-8D76-F4E26B5DFE81}" name="接続12848" type="7" refreshedVersion="8"/>
  <connection id="3169" xr16:uid="{8DC0124C-86AA-4BA9-8F8A-AD165B3EF20A}" name="接続12849" type="7" refreshedVersion="8"/>
  <connection id="3170" xr16:uid="{00000000-0015-0000-FFFF-FFFF49060000}" name="接続1285" type="7" refreshedVersion="4"/>
  <connection id="3171" xr16:uid="{3463E918-757A-46A4-9B6A-EC9448FDE41A}" name="接続12850" type="7" refreshedVersion="8"/>
  <connection id="3172" xr16:uid="{B7A2FA24-9AEC-4093-92B3-6493650C3649}" name="接続12851" type="7" refreshedVersion="8"/>
  <connection id="3173" xr16:uid="{C2961246-D25F-486E-B6D5-7F45C8C2A635}" name="接続12852" type="7" refreshedVersion="8"/>
  <connection id="3174" xr16:uid="{DBFDE774-68A9-4A9E-AE31-67B2DB709359}" name="接続12853" type="7" refreshedVersion="8"/>
  <connection id="3175" xr16:uid="{9B8778F7-F1E5-428D-8112-E2459C51B623}" name="接続12854" type="7" refreshedVersion="8"/>
  <connection id="3176" xr16:uid="{82D37769-38BC-4CB2-8D57-A25E55264D34}" name="接続12855" type="7" refreshedVersion="8"/>
  <connection id="3177" xr16:uid="{325393C9-4B4D-49FB-844F-FF1FFC79293E}" name="接続12856" type="7" refreshedVersion="8"/>
  <connection id="3178" xr16:uid="{9CE467DD-45EA-4CC6-BF22-A75C4381E761}" name="接続12857" type="7" refreshedVersion="8"/>
  <connection id="3179" xr16:uid="{96756FC8-198B-42CA-B0C8-DF1BF51E4AD7}" name="接続12858" type="7" refreshedVersion="8"/>
  <connection id="3180" xr16:uid="{CC7FBC0E-E092-4095-91F1-B6BFEDC1B51A}" name="接続12859" type="7" refreshedVersion="8"/>
  <connection id="3181" xr16:uid="{00000000-0015-0000-FFFF-FFFF4A060000}" name="接続1286" type="7" refreshedVersion="4"/>
  <connection id="3182" xr16:uid="{AD97D49F-0CAF-46D0-842B-DCB458ACB253}" name="接続12860" type="7" refreshedVersion="8"/>
  <connection id="3183" xr16:uid="{247B7832-3FF1-455D-9F1F-1925201150B8}" name="接続12861" type="7" refreshedVersion="8"/>
  <connection id="3184" xr16:uid="{DD8C3805-FBA8-428A-B379-2FFE02B0BE43}" name="接続12862" type="7" refreshedVersion="8"/>
  <connection id="3185" xr16:uid="{3113B63B-F6FA-40C1-92C8-ABEAC0CF81A4}" name="接続12863" type="7" refreshedVersion="8"/>
  <connection id="3186" xr16:uid="{643384F2-3D32-4876-B3E9-B98C128A3664}" name="接続12864" type="7" refreshedVersion="8"/>
  <connection id="3187" xr16:uid="{0D35788C-31CD-43F8-AA4F-06DE1D113962}" name="接続12865" type="7" refreshedVersion="8"/>
  <connection id="3188" xr16:uid="{F41A261A-05C1-4E6C-B644-576820848AA0}" name="接続12866" type="7" refreshedVersion="8"/>
  <connection id="3189" xr16:uid="{C4779EAA-0C22-42C7-932D-6738F9E64049}" name="接続12867" type="7" refreshedVersion="8"/>
  <connection id="3190" xr16:uid="{4DBBB7DF-789B-448B-9F1D-C956081F2BE3}" name="接続12868" type="7" refreshedVersion="8"/>
  <connection id="3191" xr16:uid="{B2F57B35-F2F7-40C0-AEC5-ED852E156052}" name="接続12869" type="7" refreshedVersion="8"/>
  <connection id="3192" xr16:uid="{00000000-0015-0000-FFFF-FFFF4B060000}" name="接続1287" type="7" refreshedVersion="4"/>
  <connection id="3193" xr16:uid="{EAFA5D62-14F9-435D-B82D-39AE400E29B2}" name="接続12870" type="7" refreshedVersion="8"/>
  <connection id="3194" xr16:uid="{9081A435-EF16-4563-8F1A-0CEA895CDB38}" name="接続12871" type="7" refreshedVersion="8"/>
  <connection id="3195" xr16:uid="{01BBE8B7-E7F9-4A23-9BA2-7740B6E08508}" name="接続12872" type="7" refreshedVersion="8"/>
  <connection id="3196" xr16:uid="{A1282D9C-AD6E-4E43-BF21-671A9030197E}" name="接続12873" type="7" refreshedVersion="8"/>
  <connection id="3197" xr16:uid="{6F0AED98-D790-40B1-935A-03264463D6D9}" name="接続12874" type="7" refreshedVersion="8"/>
  <connection id="3198" xr16:uid="{3DC90A67-CFBA-4929-8024-44B9D3D7390F}" name="接続12875" type="7" refreshedVersion="8"/>
  <connection id="3199" xr16:uid="{CC7393A2-1072-4188-B0A5-27FA625C0C13}" name="接続12876" type="7" refreshedVersion="8"/>
  <connection id="3200" xr16:uid="{79713D1A-23AB-4582-A894-643727EE6F40}" name="接続12877" type="7" refreshedVersion="8"/>
  <connection id="3201" xr16:uid="{E6CE69E6-9218-49ED-8E12-3288A03AB9F0}" name="接続12878" type="7" refreshedVersion="8"/>
  <connection id="3202" xr16:uid="{11E3BFA7-A3C6-439D-9916-147AE4C80937}" name="接続12879" type="7" refreshedVersion="8"/>
  <connection id="3203" xr16:uid="{00000000-0015-0000-FFFF-FFFF4C060000}" name="接続1288" type="7" refreshedVersion="4"/>
  <connection id="3204" xr16:uid="{A3ACD0A8-7161-41C3-9A2B-C5E6423247C6}" name="接続12880" type="7" refreshedVersion="8"/>
  <connection id="3205" xr16:uid="{C2CF37D1-373B-4048-9F42-E1BCA567CFD4}" name="接続12881" type="7" refreshedVersion="8"/>
  <connection id="3206" xr16:uid="{49E808CF-E29E-461E-A02A-466B10426E73}" name="接続12882" type="7" refreshedVersion="8"/>
  <connection id="3207" xr16:uid="{FB135A0F-AFEE-481F-8FE1-4A114138E482}" name="接続12883" type="7" refreshedVersion="8"/>
  <connection id="3208" xr16:uid="{C6A70BD8-A554-44C9-9B5C-E2F423985490}" name="接続12884" type="7" refreshedVersion="8"/>
  <connection id="3209" xr16:uid="{EDD7216A-AADE-4824-B6FD-00552BCA4125}" name="接続12885" type="7" refreshedVersion="8"/>
  <connection id="3210" xr16:uid="{86495DE3-EDC5-4814-ABB3-3381A1C24C9A}" name="接続12886" type="7" refreshedVersion="8"/>
  <connection id="3211" xr16:uid="{AF360EBF-23AA-4CCC-A47F-FD10D748C487}" name="接続12887" type="7" refreshedVersion="8"/>
  <connection id="3212" xr16:uid="{01D92CCC-505C-4054-81FE-7D48C82DE3C3}" name="接続12888" type="7" refreshedVersion="8"/>
  <connection id="3213" xr16:uid="{18085469-129C-47A6-A77C-E4BA139123B8}" name="接続12889" type="7" refreshedVersion="8"/>
  <connection id="3214" xr16:uid="{00000000-0015-0000-FFFF-FFFF4D060000}" name="接続1289" type="7" refreshedVersion="4"/>
  <connection id="3215" xr16:uid="{562ECBE7-F46C-4295-BD1C-CE21EE061A4E}" name="接続12890" type="7" refreshedVersion="8"/>
  <connection id="3216" xr16:uid="{CF35EFFE-E613-4AEF-8513-5EF78C5D4E60}" name="接続12891" type="7" refreshedVersion="8"/>
  <connection id="3217" xr16:uid="{542A3004-AC15-4341-9BEE-9CB26F32D530}" name="接続12892" type="7" refreshedVersion="8"/>
  <connection id="3218" xr16:uid="{B601C021-75E2-4CA2-AFF1-906AFC8A53F8}" name="接続12893" type="7" refreshedVersion="8"/>
  <connection id="3219" xr16:uid="{E68E958B-41C2-432F-AE68-CEFBB1D1B9FE}" name="接続12894" type="7" refreshedVersion="8"/>
  <connection id="3220" xr16:uid="{ACA9DCB9-6E70-4C19-973D-EC5D231A7962}" name="接続12895" type="7" refreshedVersion="8"/>
  <connection id="3221" xr16:uid="{9785606D-851B-45D9-9A61-3F378D216A38}" name="接続12896" type="7" refreshedVersion="8"/>
  <connection id="3222" xr16:uid="{8641559A-D8B8-4B36-80D2-2C51401EE786}" name="接続12897" type="7" refreshedVersion="8"/>
  <connection id="3223" xr16:uid="{0010016D-5CC7-490F-8DED-E909FE8876BD}" name="接続12898" type="7" refreshedVersion="8"/>
  <connection id="3224" xr16:uid="{91C5F1D2-061C-4356-99D2-3B8351C1EC16}" name="接続12899" type="7" refreshedVersion="8"/>
  <connection id="3225" xr16:uid="{00000000-0015-0000-FFFF-FFFF4E060000}" name="接続129" type="7" refreshedVersion="4"/>
  <connection id="3226" xr16:uid="{00000000-0015-0000-FFFF-FFFF4F060000}" name="接続1290" type="7" refreshedVersion="4"/>
  <connection id="3227" xr16:uid="{31187048-6286-4990-A745-6C1A25B80EFA}" name="接続12900" type="7" refreshedVersion="8"/>
  <connection id="3228" xr16:uid="{83033D19-C621-4D9F-92AD-80C4C246B901}" name="接続12901" type="7" refreshedVersion="8"/>
  <connection id="3229" xr16:uid="{AABCD9B4-755A-4CB3-9545-695ED114F91E}" name="接続12902" type="7" refreshedVersion="8"/>
  <connection id="3230" xr16:uid="{AD80DF06-D081-4B94-9C85-C89A78A2E336}" name="接続12903" type="7" refreshedVersion="8"/>
  <connection id="3231" xr16:uid="{2D73A5F4-727D-4AE3-A8EF-B756E03C5B0F}" name="接続12904" type="7" refreshedVersion="8"/>
  <connection id="3232" xr16:uid="{59348A3B-AB1C-4599-A4F7-F53E2DDE7B58}" name="接続12905" type="7" refreshedVersion="8"/>
  <connection id="3233" xr16:uid="{704FFF6E-488E-43CC-947D-8DD6D64E21AF}" name="接続12906" type="7" refreshedVersion="8"/>
  <connection id="3234" xr16:uid="{CA2C8D7D-D89F-4686-AF1F-9908AB5767C3}" name="接続12907" type="7" refreshedVersion="8"/>
  <connection id="3235" xr16:uid="{46B537FE-8211-4267-88A8-23B36AC07DC8}" name="接続12908" type="7" refreshedVersion="8"/>
  <connection id="3236" xr16:uid="{127B2036-9649-449A-B503-60F58F06232E}" name="接続12909" type="7" refreshedVersion="8"/>
  <connection id="3237" xr16:uid="{00000000-0015-0000-FFFF-FFFF50060000}" name="接続1291" type="7" refreshedVersion="4"/>
  <connection id="3238" xr16:uid="{6205F9B4-E0DC-422B-9A5D-DA466191369F}" name="接続12910" type="7" refreshedVersion="8"/>
  <connection id="3239" xr16:uid="{C09F9CF2-98C3-4FD1-B778-E943745C13C3}" name="接続12911" type="7" refreshedVersion="8"/>
  <connection id="3240" xr16:uid="{BE0B45EC-FA33-4595-A123-AF8C48979892}" name="接続12912" type="7" refreshedVersion="8"/>
  <connection id="3241" xr16:uid="{5F05F1F3-F2D4-430A-8B64-9BEC12BD35C9}" name="接続12913" type="7" refreshedVersion="8"/>
  <connection id="3242" xr16:uid="{345EF785-6919-4266-B916-795770B6E75E}" name="接続12914" type="7" refreshedVersion="8"/>
  <connection id="3243" xr16:uid="{E0061026-3DE4-4F6D-8ADD-5B08FE5C84BE}" name="接続12915" type="7" refreshedVersion="8"/>
  <connection id="3244" xr16:uid="{B92F3F18-7328-42AD-BB63-FAB13F5BE7C7}" name="接続12916" type="7" refreshedVersion="8"/>
  <connection id="3245" xr16:uid="{A01D394C-91A8-4D0A-B944-EE3A707B1D87}" name="接続12917" type="7" refreshedVersion="8"/>
  <connection id="3246" xr16:uid="{9A5A7DF0-5475-422D-8697-ACEFF42EDB94}" name="接続12918" type="7" refreshedVersion="8"/>
  <connection id="3247" xr16:uid="{15C87BF7-0BA8-4521-8CE1-DF12D3ADF958}" name="接続12919" type="7" refreshedVersion="8"/>
  <connection id="3248" xr16:uid="{00000000-0015-0000-FFFF-FFFF51060000}" name="接続1292" type="7" refreshedVersion="4"/>
  <connection id="3249" xr16:uid="{B9CF67D4-CAD0-4F7C-9FA7-10BCE704580A}" name="接続12920" type="7" refreshedVersion="8"/>
  <connection id="3250" xr16:uid="{D5D94337-297A-4E02-9E4A-98F86CC9FC1B}" name="接続12921" type="7" refreshedVersion="8"/>
  <connection id="3251" xr16:uid="{56C904DA-B86C-4022-A4B1-BA2F3972E780}" name="接続12922" type="7" refreshedVersion="8"/>
  <connection id="3252" xr16:uid="{17CC5287-54C5-4582-A59C-5B5924E37A49}" name="接続12923" type="7" refreshedVersion="8"/>
  <connection id="3253" xr16:uid="{72BDACBE-D490-465A-AE67-EF4EC408E0A8}" name="接続12924" type="7" refreshedVersion="8"/>
  <connection id="3254" xr16:uid="{72058B32-6E0D-4AAA-80C9-D0507B48391F}" name="接続12925" type="7" refreshedVersion="8"/>
  <connection id="3255" xr16:uid="{1D643E2C-7B3C-45CF-B986-ACBB02F51C59}" name="接続12926" type="7" refreshedVersion="8"/>
  <connection id="3256" xr16:uid="{D1B62D2F-3978-4273-984C-47DB07F60E3A}" name="接続12927" type="7" refreshedVersion="8"/>
  <connection id="3257" xr16:uid="{1FC66E6A-5D76-42A8-97F8-6F8C3FEF44A7}" name="接続12928" type="7" refreshedVersion="8"/>
  <connection id="3258" xr16:uid="{7CBC5AD8-25A9-42AE-B148-A3A60B8E6210}" name="接続12929" type="7" refreshedVersion="8"/>
  <connection id="3259" xr16:uid="{00000000-0015-0000-FFFF-FFFF52060000}" name="接続1293" type="7" refreshedVersion="4"/>
  <connection id="3260" xr16:uid="{68F84DDD-938E-4CA3-873F-5EDDE6D0EB0B}" name="接続12930" type="7" refreshedVersion="8"/>
  <connection id="3261" xr16:uid="{EAC31333-67A3-4FA6-8B29-8E8EF9430A0E}" name="接続12931" type="7" refreshedVersion="8"/>
  <connection id="3262" xr16:uid="{2AE34061-D97B-4317-9672-FC85D26187D4}" name="接続12932" type="7" refreshedVersion="8"/>
  <connection id="3263" xr16:uid="{A0C5EB4F-F05B-42B7-8A59-9DB4C5DB87A6}" name="接続12933" type="7" refreshedVersion="8"/>
  <connection id="3264" xr16:uid="{AC8197DF-2252-4443-96CE-EF608E568EFE}" name="接続12934" type="7" refreshedVersion="8"/>
  <connection id="3265" xr16:uid="{B9B55F21-AADA-4AF4-97AC-3D5B2EC79593}" name="接続12935" type="7" refreshedVersion="8"/>
  <connection id="3266" xr16:uid="{DBDC0689-0BF0-43F5-BF16-9C77AAF4815B}" name="接続12936" type="7" refreshedVersion="8"/>
  <connection id="3267" xr16:uid="{C9627428-FBAB-4982-BD98-08932F59E7C2}" name="接続12937" type="7" refreshedVersion="8"/>
  <connection id="3268" xr16:uid="{852BA67F-F2D8-4A9A-955B-975117E6CCE7}" name="接続12938" type="7" refreshedVersion="8"/>
  <connection id="3269" xr16:uid="{0AE3C51E-C8B8-4147-8569-4627AAE32686}" name="接続12939" type="7" refreshedVersion="8"/>
  <connection id="3270" xr16:uid="{00000000-0015-0000-FFFF-FFFF53060000}" name="接続1294" type="7" refreshedVersion="4"/>
  <connection id="3271" xr16:uid="{E3EAFF6D-213F-4B93-8C4B-DFBCA1C9021B}" name="接続12940" type="7" refreshedVersion="8"/>
  <connection id="3272" xr16:uid="{12F7B385-66FB-4746-96F5-35F0CBAF0746}" name="接続12941" type="7" refreshedVersion="8"/>
  <connection id="3273" xr16:uid="{2398B503-8066-491E-B2DD-2C120536A616}" name="接続12942" type="7" refreshedVersion="8"/>
  <connection id="3274" xr16:uid="{9C5063FC-83AD-4A6A-B127-4F780BF683F9}" name="接続12943" type="7" refreshedVersion="8"/>
  <connection id="3275" xr16:uid="{7907E0FC-C326-43AB-84D9-12C9F14C113A}" name="接続12944" type="7" refreshedVersion="8"/>
  <connection id="3276" xr16:uid="{97E9DFCF-254C-405A-99B5-2493D16A1080}" name="接続12945" type="7" refreshedVersion="8"/>
  <connection id="3277" xr16:uid="{AC1DC69E-AC4E-4A7D-BFE8-7DEE7C89D981}" name="接続12946" type="7" refreshedVersion="8"/>
  <connection id="3278" xr16:uid="{4B30EE78-EF7A-48C3-A24F-20622CBA9326}" name="接続12947" type="7" refreshedVersion="8"/>
  <connection id="3279" xr16:uid="{B408819C-8853-4AC0-B62A-6AEDD146BB47}" name="接続12948" type="7" refreshedVersion="8"/>
  <connection id="3280" xr16:uid="{24A96D3F-62D5-43F6-B576-74AC0A6888D4}" name="接続12949" type="7" refreshedVersion="8"/>
  <connection id="3281" xr16:uid="{00000000-0015-0000-FFFF-FFFF54060000}" name="接続1295" type="7" refreshedVersion="4"/>
  <connection id="3282" xr16:uid="{56904543-6200-49B2-B6A7-7FB09BD68829}" name="接続12950" type="7" refreshedVersion="8"/>
  <connection id="3283" xr16:uid="{3A00184A-CC1A-47D8-A6A6-729C5B030A47}" name="接続12951" type="7" refreshedVersion="8"/>
  <connection id="3284" xr16:uid="{09B15111-E7F6-48DF-BB9B-33548467B837}" name="接続12952" type="7" refreshedVersion="8"/>
  <connection id="3285" xr16:uid="{F058B19C-8B58-4E2C-B648-CDB773130C8B}" name="接続12953" type="7" refreshedVersion="8"/>
  <connection id="3286" xr16:uid="{2F63ABB6-4F5D-4401-BA78-5D9A35C79910}" name="接続12954" type="7" refreshedVersion="8"/>
  <connection id="3287" xr16:uid="{9207EC32-34DD-4E5A-B758-34B4EEFB2BC3}" name="接続12955" type="7" refreshedVersion="8"/>
  <connection id="3288" xr16:uid="{77809A33-CC83-462D-B786-CF0103CDE342}" name="接続12956" type="7" refreshedVersion="8"/>
  <connection id="3289" xr16:uid="{C27A960F-1F39-4244-8916-EB57503B886D}" name="接続12957" type="7" refreshedVersion="8"/>
  <connection id="3290" xr16:uid="{87D10690-40BD-45DF-B738-D3387FA444BD}" name="接続12958" type="7" refreshedVersion="8"/>
  <connection id="3291" xr16:uid="{4D3921E5-EEB4-4971-996D-9EC07DA9FAD7}" name="接続12959" type="7" refreshedVersion="8"/>
  <connection id="3292" xr16:uid="{00000000-0015-0000-FFFF-FFFF55060000}" name="接続1296" type="7" refreshedVersion="4"/>
  <connection id="3293" xr16:uid="{F934BB86-1083-4998-B821-6A10E799F49B}" name="接続12960" type="7" refreshedVersion="8"/>
  <connection id="3294" xr16:uid="{7B222D58-2F21-45C3-86BA-C40AE6972F1A}" name="接続12961" type="7" refreshedVersion="8"/>
  <connection id="3295" xr16:uid="{68600C8B-4C55-483F-A0F7-094B2D2824F8}" name="接続12962" type="7" refreshedVersion="8"/>
  <connection id="3296" xr16:uid="{26488098-A4B4-4AC4-AFF6-512BD0E0CB53}" name="接続12963" type="7" refreshedVersion="8"/>
  <connection id="3297" xr16:uid="{0DF9EFB4-38D6-40DA-9D9E-8345DE58FC83}" name="接続12964" type="7" refreshedVersion="8"/>
  <connection id="3298" xr16:uid="{635A693B-9219-4B8B-91C6-3DD112D616B2}" name="接続12965" type="7" refreshedVersion="8"/>
  <connection id="3299" xr16:uid="{862E8510-83E4-48B9-B40A-D4B80A91F2F5}" name="接続12966" type="7" refreshedVersion="8"/>
  <connection id="3300" xr16:uid="{378A2296-203F-4628-BA97-1EEEDBCE238A}" name="接続12967" type="7" refreshedVersion="8"/>
  <connection id="3301" xr16:uid="{247AA43C-F4E0-43E4-AB5E-A6FF00E1B388}" name="接続12968" type="7" refreshedVersion="8"/>
  <connection id="3302" xr16:uid="{2FCE7419-AF2D-4F9B-90FA-D041C98F97BC}" name="接続12969" type="7" refreshedVersion="8"/>
  <connection id="3303" xr16:uid="{00000000-0015-0000-FFFF-FFFF56060000}" name="接続1297" type="7" refreshedVersion="4"/>
  <connection id="3304" xr16:uid="{2533330B-95AF-4870-A943-72F43870B9F6}" name="接続12970" type="7" refreshedVersion="8"/>
  <connection id="3305" xr16:uid="{7184BB26-7F54-4FFC-9B76-423FCB96893F}" name="接続12971" type="7" refreshedVersion="8"/>
  <connection id="3306" xr16:uid="{1F0807B7-9367-409B-B2B8-F6A0C170F075}" name="接続12972" type="7" refreshedVersion="8"/>
  <connection id="3307" xr16:uid="{206D414A-B689-43D0-919E-895FE22958E7}" name="接続12973" type="7" refreshedVersion="8"/>
  <connection id="3308" xr16:uid="{545586F2-AB61-4619-BB94-88779762E671}" name="接続12974" type="7" refreshedVersion="8"/>
  <connection id="3309" xr16:uid="{856F0B5A-14AF-43EF-873B-064A3F5E3EC3}" name="接続12975" type="7" refreshedVersion="8"/>
  <connection id="3310" xr16:uid="{EAAB66A9-DF81-45D1-9FD1-79D18393724A}" name="接続12976" type="7" refreshedVersion="8"/>
  <connection id="3311" xr16:uid="{E0B22603-E983-4843-ADA7-545112EC5B61}" name="接続12977" type="7" refreshedVersion="8"/>
  <connection id="3312" xr16:uid="{8B559521-7F3D-489C-96D9-BA448A147FC8}" name="接続12978" type="7" refreshedVersion="8"/>
  <connection id="3313" xr16:uid="{1A86848F-8761-4053-AB19-8327E684890C}" name="接続12979" type="7" refreshedVersion="8"/>
  <connection id="3314" xr16:uid="{00000000-0015-0000-FFFF-FFFF57060000}" name="接続1298" type="7" refreshedVersion="4"/>
  <connection id="3315" xr16:uid="{F5C56FE3-D385-45A2-B25A-D0B81B591B0A}" name="接続12980" type="7" refreshedVersion="8"/>
  <connection id="3316" xr16:uid="{F516CE44-3EB8-4734-AEC9-C4F6E2267C78}" name="接続12981" type="7" refreshedVersion="8"/>
  <connection id="3317" xr16:uid="{62539147-F5B3-4DB2-AB2C-928874DA48D8}" name="接続12982" type="7" refreshedVersion="8"/>
  <connection id="3318" xr16:uid="{111C3828-4ABD-4652-8D72-853A6D62B226}" name="接続12983" type="7" refreshedVersion="8"/>
  <connection id="3319" xr16:uid="{38C91AB8-9737-4A90-AAFA-4DA92B7E5218}" name="接続12984" type="7" refreshedVersion="8"/>
  <connection id="3320" xr16:uid="{A16D62A4-6CB4-4335-8B47-B395BDF52085}" name="接続12985" type="7" refreshedVersion="8"/>
  <connection id="3321" xr16:uid="{8FBC07CE-2D55-4A11-A025-BF2436D92DCB}" name="接続12986" type="7" refreshedVersion="8"/>
  <connection id="3322" xr16:uid="{10D51E4E-ACF3-48FA-A9DA-E8E244E3A57B}" name="接続12987" type="7" refreshedVersion="8"/>
  <connection id="3323" xr16:uid="{D712075D-268B-4FFA-B450-1D79163796FA}" name="接続12988" type="7" refreshedVersion="8"/>
  <connection id="3324" xr16:uid="{13022D17-D56D-4391-B193-1B7A54632BE5}" name="接続12989" type="7" refreshedVersion="8"/>
  <connection id="3325" xr16:uid="{00000000-0015-0000-FFFF-FFFF58060000}" name="接続1299" type="7" refreshedVersion="4"/>
  <connection id="3326" xr16:uid="{F887B5CD-9430-4CF8-981C-43B3D2AC9E36}" name="接続12990" type="7" refreshedVersion="8"/>
  <connection id="3327" xr16:uid="{2316ADF4-F684-446D-8319-5F83A9EE407B}" name="接続12991" type="7" refreshedVersion="8"/>
  <connection id="3328" xr16:uid="{E0D6503F-1E2D-4415-857F-D092C6246958}" name="接続12992" type="7" refreshedVersion="8"/>
  <connection id="3329" xr16:uid="{81A13759-2C7C-4FD9-A769-B294BCDC54F5}" name="接続12993" type="7" refreshedVersion="8"/>
  <connection id="3330" xr16:uid="{96D877C0-1403-46FE-9112-CC189170D51E}" name="接続12994" type="7" refreshedVersion="8"/>
  <connection id="3331" xr16:uid="{390D94C9-90D6-4AA2-ACD8-1EA297A28D29}" name="接続12995" type="7" refreshedVersion="8"/>
  <connection id="3332" xr16:uid="{74FA69E9-397B-4149-9466-BA6F9422EF95}" name="接続12996" type="7" refreshedVersion="8"/>
  <connection id="3333" xr16:uid="{4AEA07BC-F8E8-4F1C-A150-523628BBB4AE}" name="接続12997" type="7" refreshedVersion="8"/>
  <connection id="3334" xr16:uid="{1A6E219C-1AAE-4456-9F68-B97E55E26978}" name="接続12998" type="7" refreshedVersion="8"/>
  <connection id="3335" xr16:uid="{2134653A-E173-4586-A423-225E3C60BECC}" name="接続12999" type="7" refreshedVersion="8"/>
  <connection id="3336" xr16:uid="{00000000-0015-0000-FFFF-FFFF59060000}" name="接続13" type="7" refreshedVersion="3"/>
  <connection id="3337" xr16:uid="{00000000-0015-0000-FFFF-FFFF5A060000}" name="接続130" type="7" refreshedVersion="4"/>
  <connection id="3338" xr16:uid="{00000000-0015-0000-FFFF-FFFF5B060000}" name="接続1300" type="7" refreshedVersion="4"/>
  <connection id="3339" xr16:uid="{DDF57003-A0A7-4321-A33E-F7CB7C82D3DB}" name="接続13000" type="7" refreshedVersion="8"/>
  <connection id="3340" xr16:uid="{4922C144-8E22-49CE-B697-3897601FB3FE}" name="接続13001" type="7" refreshedVersion="8"/>
  <connection id="3341" xr16:uid="{E6ECDDCD-D78B-43BB-A527-EF1DEE88532F}" name="接続13002" type="7" refreshedVersion="8"/>
  <connection id="3342" xr16:uid="{9D786BA8-115C-47DB-9CE4-0E4E9C3BD79A}" name="接続13003" type="7" refreshedVersion="8"/>
  <connection id="3343" xr16:uid="{3A492270-1B2C-450D-AE0B-A4678DC2203F}" name="接続13004" type="7" refreshedVersion="8"/>
  <connection id="3344" xr16:uid="{2C3FA681-4D6E-4484-8DCC-BF233AC0648B}" name="接続13005" type="7" refreshedVersion="8"/>
  <connection id="3345" xr16:uid="{FCCDEF8D-DFFE-4B01-8581-58805055CADB}" name="接続13006" type="7" refreshedVersion="8"/>
  <connection id="3346" xr16:uid="{9BEA6438-67F2-4959-B354-0834F7E4C828}" name="接続13007" type="7" refreshedVersion="8"/>
  <connection id="3347" xr16:uid="{19B9AFEE-C02D-498F-A58A-FBB2E39F28C5}" name="接続13008" type="7" refreshedVersion="8"/>
  <connection id="3348" xr16:uid="{EF497409-F85B-4211-B6EF-395FC5E65061}" name="接続13009" type="7" refreshedVersion="8"/>
  <connection id="3349" xr16:uid="{00000000-0015-0000-FFFF-FFFF5C060000}" name="接続1301" type="7" refreshedVersion="4"/>
  <connection id="3350" xr16:uid="{F08B8838-06A2-4F8B-8267-701E3E6C93BD}" name="接続13010" type="7" refreshedVersion="8"/>
  <connection id="3351" xr16:uid="{41E4371F-4643-4EA2-BB02-41162298E7FD}" name="接続13011" type="7" refreshedVersion="8"/>
  <connection id="3352" xr16:uid="{AB53459E-68B4-481D-9359-5D94B8E6E5A3}" name="接続13012" type="7" refreshedVersion="8"/>
  <connection id="3353" xr16:uid="{61D6E0A0-AB39-4B49-8BB8-54E1FB113657}" name="接続13013" type="7" refreshedVersion="8"/>
  <connection id="3354" xr16:uid="{C997D323-CCD5-4AF0-91B9-D97DA6FF52DC}" name="接続13014" type="7" refreshedVersion="8"/>
  <connection id="3355" xr16:uid="{3D06BA57-23FE-489F-97C6-C4FDBC320717}" name="接続13015" type="7" refreshedVersion="8"/>
  <connection id="3356" xr16:uid="{DCA9FCC1-471A-4F5F-BE37-FF8549C6EB38}" name="接続13016" type="7" refreshedVersion="8"/>
  <connection id="3357" xr16:uid="{730F2868-D4B9-4521-8483-F82E01B3373D}" name="接続13017" type="7" refreshedVersion="8"/>
  <connection id="3358" xr16:uid="{0C5297A4-A266-4183-97E1-DD7F6EBB84C7}" name="接続13018" type="7" refreshedVersion="8"/>
  <connection id="3359" xr16:uid="{C4EF3456-ACAE-467A-9DD6-0524A1E55A76}" name="接続13019" type="7" refreshedVersion="8"/>
  <connection id="3360" xr16:uid="{00000000-0015-0000-FFFF-FFFF5D060000}" name="接続1302" type="7" refreshedVersion="4"/>
  <connection id="3361" xr16:uid="{FBDB7EEA-DC02-4AAC-A34D-ACBB1B64E47A}" name="接続13020" type="7" refreshedVersion="8"/>
  <connection id="3362" xr16:uid="{A1F97A77-8377-473D-AE63-26BCDBDB994F}" name="接続13021" type="7" refreshedVersion="8"/>
  <connection id="3363" xr16:uid="{05EF5AC8-FA8D-49D8-AB17-A7C7F37BA1F9}" name="接続13022" type="7" refreshedVersion="8"/>
  <connection id="3364" xr16:uid="{0297E4D6-F827-44D7-B059-6CF50E55A286}" name="接続13023" type="7" refreshedVersion="8"/>
  <connection id="3365" xr16:uid="{EC0836CC-BD8A-45ED-8340-BC5366026752}" name="接続13024" type="7" refreshedVersion="8"/>
  <connection id="3366" xr16:uid="{F1B1C759-C559-4186-A968-1C029FF59318}" name="接続13025" type="7" refreshedVersion="8"/>
  <connection id="3367" xr16:uid="{E7A69BE1-67F6-4EF7-9A11-AF3EC8278A1D}" name="接続13026" type="7" refreshedVersion="8"/>
  <connection id="3368" xr16:uid="{0AEBF93D-0990-4D90-B175-8CF67494633C}" name="接続13027" type="7" refreshedVersion="8"/>
  <connection id="3369" xr16:uid="{35FD5E55-25FA-4934-85AB-5F5A5C0523FE}" name="接続13028" type="7" refreshedVersion="8"/>
  <connection id="3370" xr16:uid="{BA4C0658-BAB7-4D12-9B71-5FE52EA5FE65}" name="接続13029" type="7" refreshedVersion="8"/>
  <connection id="3371" xr16:uid="{00000000-0015-0000-FFFF-FFFF5E060000}" name="接続1303" type="7" refreshedVersion="4"/>
  <connection id="3372" xr16:uid="{D70EA3C6-B235-4DAC-B5C4-A1CA260A2509}" name="接続13030" type="7" refreshedVersion="8"/>
  <connection id="3373" xr16:uid="{72292E81-640A-4D43-9CD0-D0B22034F8BB}" name="接続13031" type="7" refreshedVersion="8"/>
  <connection id="3374" xr16:uid="{2F8C8F76-A30C-4B42-A8D3-4C8E00DED7F9}" name="接続13032" type="7" refreshedVersion="8"/>
  <connection id="3375" xr16:uid="{3E279BF5-3021-49B8-BAB5-68E634A9589C}" name="接続13033" type="7" refreshedVersion="8"/>
  <connection id="3376" xr16:uid="{B655EF8C-6A70-4C72-ADCF-B7590CE8702E}" name="接続13034" type="7" refreshedVersion="8"/>
  <connection id="3377" xr16:uid="{9548FB65-4104-456C-B878-6409F93235E7}" name="接続13035" type="7" refreshedVersion="8"/>
  <connection id="3378" xr16:uid="{AB42BBB3-9207-4CCA-A571-30E87EA2C970}" name="接続13036" type="7" refreshedVersion="8"/>
  <connection id="3379" xr16:uid="{AE09340B-96E8-4675-B7F6-8C3364DD2D2D}" name="接続13037" type="7" refreshedVersion="8"/>
  <connection id="3380" xr16:uid="{59B00F78-A786-4CD9-99B7-9706F1029B9B}" name="接続13038" type="7" refreshedVersion="8"/>
  <connection id="3381" xr16:uid="{6F1936CD-6E83-4618-8893-AEE87B5368EB}" name="接続13039" type="7" refreshedVersion="8"/>
  <connection id="3382" xr16:uid="{00000000-0015-0000-FFFF-FFFF5F060000}" name="接続1304" type="7" refreshedVersion="4"/>
  <connection id="3383" xr16:uid="{214223CA-E9DD-4D2D-B67F-63D50EA24448}" name="接続13040" type="7" refreshedVersion="8"/>
  <connection id="3384" xr16:uid="{72124DA1-84D1-4C38-84DB-2ABB8D2F8A04}" name="接続13041" type="7" refreshedVersion="8"/>
  <connection id="3385" xr16:uid="{65ABCBC6-420A-4FDB-B3BE-3AC2B50C9AE7}" name="接続13042" type="7" refreshedVersion="8"/>
  <connection id="3386" xr16:uid="{A831567C-9440-445B-B02E-BA9050F4D01E}" name="接続13043" type="7" refreshedVersion="8"/>
  <connection id="3387" xr16:uid="{B4E714F2-5D47-485F-9F6F-597A5380E97D}" name="接続13044" type="7" refreshedVersion="8"/>
  <connection id="3388" xr16:uid="{9DE1C4A3-931F-4FCD-A09D-081B2427D485}" name="接続13045" type="7" refreshedVersion="8"/>
  <connection id="3389" xr16:uid="{16E90AAD-5192-45E1-89DE-75333469A0A8}" name="接続13046" type="7" refreshedVersion="8"/>
  <connection id="3390" xr16:uid="{1D045912-69CD-48C1-BC27-F0798D39B0A5}" name="接続13047" type="7" refreshedVersion="8"/>
  <connection id="3391" xr16:uid="{4DA3F5FB-6B5F-45AB-9A1C-8EAB52A2E81B}" name="接続13048" type="7" refreshedVersion="8"/>
  <connection id="3392" xr16:uid="{717F7047-DE0C-4BD3-BB24-DDC56D3FF827}" name="接続13049" type="7" refreshedVersion="8"/>
  <connection id="3393" xr16:uid="{00000000-0015-0000-FFFF-FFFF60060000}" name="接続1305" type="7" refreshedVersion="4"/>
  <connection id="3394" xr16:uid="{AFBBA287-A82C-4965-8F9E-480A11A00915}" name="接続13050" type="7" refreshedVersion="8"/>
  <connection id="3395" xr16:uid="{627D041A-B7C4-4424-B911-C6F0904099E1}" name="接続13051" type="7" refreshedVersion="8"/>
  <connection id="3396" xr16:uid="{AE694AFB-C23A-4F9B-B9B1-5F88A1E526C2}" name="接続13052" type="7" refreshedVersion="8"/>
  <connection id="3397" xr16:uid="{2E7FE3D3-5B02-4C51-8892-0088AAF7D220}" name="接続13053" type="7" refreshedVersion="8"/>
  <connection id="3398" xr16:uid="{2ACE1D44-B449-44E6-ADB7-479F59241975}" name="接続13054" type="7" refreshedVersion="8"/>
  <connection id="3399" xr16:uid="{71FC5F80-73DB-4100-B040-11C4FFDCC204}" name="接続13055" type="7" refreshedVersion="8"/>
  <connection id="3400" xr16:uid="{21F7ED02-C642-4DBE-9D1F-6D779D53E2B1}" name="接続13056" type="7" refreshedVersion="8"/>
  <connection id="3401" xr16:uid="{BFFE14E0-9CF2-4530-8CA9-327F39E9B025}" name="接続13057" type="7" refreshedVersion="8"/>
  <connection id="3402" xr16:uid="{0984462D-54E4-4AFA-8FAD-F390802EBB86}" name="接続13058" type="7" refreshedVersion="8"/>
  <connection id="3403" xr16:uid="{2E961D10-312A-4307-BE88-0F2D7E574387}" name="接続13059" type="7" refreshedVersion="8"/>
  <connection id="3404" xr16:uid="{00000000-0015-0000-FFFF-FFFF61060000}" name="接続1306" type="7" refreshedVersion="4"/>
  <connection id="3405" xr16:uid="{D66651C0-141C-47E5-8400-38A4B5BA8CA8}" name="接続13060" type="7" refreshedVersion="8"/>
  <connection id="3406" xr16:uid="{07B64891-8BC9-4536-849D-B501A0E88EA5}" name="接続13061" type="7" refreshedVersion="8"/>
  <connection id="3407" xr16:uid="{C5BB9134-175F-4339-AA3A-183C1408337A}" name="接続13062" type="7" refreshedVersion="8"/>
  <connection id="3408" xr16:uid="{1D32BED5-8A60-40C7-B630-7003CC3B6330}" name="接続13063" type="7" refreshedVersion="8"/>
  <connection id="3409" xr16:uid="{6907BD09-5AB1-4843-B7DA-8769668EF489}" name="接続13064" type="7" refreshedVersion="8"/>
  <connection id="3410" xr16:uid="{0EDD1544-BDA1-432F-8DE5-6C57EED7F80B}" name="接続13065" type="7" refreshedVersion="8"/>
  <connection id="3411" xr16:uid="{6CDD9490-8168-417B-AB51-20B249333233}" name="接続13066" type="7" refreshedVersion="8"/>
  <connection id="3412" xr16:uid="{EE358C23-0405-4F32-A3C1-656B5215CB41}" name="接続13067" type="7" refreshedVersion="8"/>
  <connection id="3413" xr16:uid="{F64F73F7-C983-4784-BAF0-44C5FCECF5D4}" name="接続13068" type="7" refreshedVersion="8"/>
  <connection id="3414" xr16:uid="{FC0A486F-3474-495C-8D5A-91F33C5352C8}" name="接続13069" type="7" refreshedVersion="8"/>
  <connection id="3415" xr16:uid="{00000000-0015-0000-FFFF-FFFF62060000}" name="接続1307" type="7" refreshedVersion="4"/>
  <connection id="3416" xr16:uid="{FFD318CA-4018-47A1-ADA7-BA2C3CD779A0}" name="接続13070" type="7" refreshedVersion="8"/>
  <connection id="3417" xr16:uid="{FA33600F-911B-4F14-84B6-C46B708FFC61}" name="接続13071" type="7" refreshedVersion="8"/>
  <connection id="3418" xr16:uid="{22587F91-87EC-41D7-99BF-BA1055A94440}" name="接続13072" type="7" refreshedVersion="8"/>
  <connection id="3419" xr16:uid="{BC29ACE2-44CF-4AAB-98E5-E4EC960BEE64}" name="接続13073" type="7" refreshedVersion="8"/>
  <connection id="3420" xr16:uid="{9621BB2E-57ED-466F-81FE-D194AA219E3B}" name="接続13074" type="7" refreshedVersion="8"/>
  <connection id="3421" xr16:uid="{17CE7880-E52A-4963-8B8E-AD8E529D0914}" name="接続13075" type="7" refreshedVersion="8"/>
  <connection id="3422" xr16:uid="{32208342-3875-4EDD-B7E1-7A020B8EC7AF}" name="接続13076" type="7" refreshedVersion="8"/>
  <connection id="3423" xr16:uid="{4C5D84B1-F74F-4A8D-B7CC-9F04D4208DD1}" name="接続13077" type="7" refreshedVersion="8"/>
  <connection id="3424" xr16:uid="{FB83E6E7-4FF3-4142-9792-43B7A1676D7D}" name="接続13078" type="7" refreshedVersion="8"/>
  <connection id="3425" xr16:uid="{576AA660-0100-41AE-A4E8-DBF114A37F00}" name="接続13079" type="7" refreshedVersion="8"/>
  <connection id="3426" xr16:uid="{00000000-0015-0000-FFFF-FFFF63060000}" name="接続1308" type="7" refreshedVersion="4"/>
  <connection id="3427" xr16:uid="{C573BC12-3801-477F-BE8F-5AE5112F9991}" name="接続13080" type="7" refreshedVersion="8"/>
  <connection id="3428" xr16:uid="{346F5C40-A224-47AC-96DB-75999362A4BF}" name="接続13081" type="7" refreshedVersion="8"/>
  <connection id="3429" xr16:uid="{27FB0645-9E9A-4D65-802B-1174520A84CD}" name="接続13082" type="7" refreshedVersion="8"/>
  <connection id="3430" xr16:uid="{318FB332-D6DE-4A3C-9551-049389AFC47B}" name="接続13083" type="7" refreshedVersion="8"/>
  <connection id="3431" xr16:uid="{7C420313-9E5D-4D77-8E12-9FBFC67636D9}" name="接続13084" type="7" refreshedVersion="8"/>
  <connection id="3432" xr16:uid="{85E92A52-2182-463F-85E5-EC2406FFE53B}" name="接続13085" type="7" refreshedVersion="8"/>
  <connection id="3433" xr16:uid="{698DC26D-1905-46C2-BD23-57496DF465E1}" name="接続13086" type="7" refreshedVersion="8"/>
  <connection id="3434" xr16:uid="{06EA11D3-C7D1-407E-876D-D5BCD5166B50}" name="接続13087" type="7" refreshedVersion="8"/>
  <connection id="3435" xr16:uid="{AEB8DA9E-F01A-4BEE-8CB2-671E04702B1E}" name="接続13088" type="7" refreshedVersion="8"/>
  <connection id="3436" xr16:uid="{B59A3A8E-F735-40A1-BC61-39D1232CC615}" name="接続13089" type="7" refreshedVersion="8"/>
  <connection id="3437" xr16:uid="{00000000-0015-0000-FFFF-FFFF64060000}" name="接続1309" type="7" refreshedVersion="4"/>
  <connection id="3438" xr16:uid="{37611DA0-A8B7-4604-9268-E4AE687A7116}" name="接続13090" type="7" refreshedVersion="8"/>
  <connection id="3439" xr16:uid="{0FDB772D-FE9C-443D-8A1E-FD69DD7B9395}" name="接続13091" type="7" refreshedVersion="8"/>
  <connection id="3440" xr16:uid="{8D32BED1-21B3-4261-8921-5EE962A3CE05}" name="接続13092" type="7" refreshedVersion="8"/>
  <connection id="3441" xr16:uid="{232ED032-EB27-4417-B75C-695C4BBECED3}" name="接続13093" type="7" refreshedVersion="8"/>
  <connection id="3442" xr16:uid="{D59FF453-826E-4BA0-BCAE-3BD065EE2A35}" name="接続13094" type="7" refreshedVersion="8"/>
  <connection id="3443" xr16:uid="{DDBFAA3E-3606-4B2B-A7AF-9296D237B2D4}" name="接続13095" type="7" refreshedVersion="8"/>
  <connection id="3444" xr16:uid="{224CC237-0F89-4228-A9EF-E8AEE16E4AB0}" name="接続13096" type="7" refreshedVersion="8"/>
  <connection id="3445" xr16:uid="{B28B14DB-9FFC-4240-BEAF-DFC7C451E77C}" name="接続13097" type="7" refreshedVersion="8"/>
  <connection id="3446" xr16:uid="{74CD2BFE-9A06-49BF-9823-2487F9CC4B99}" name="接続13098" type="7" refreshedVersion="8"/>
  <connection id="3447" xr16:uid="{271B6053-56E1-4E84-9B0A-F0C9A4F5DC3A}" name="接続13099" type="7" refreshedVersion="8"/>
  <connection id="3448" xr16:uid="{00000000-0015-0000-FFFF-FFFF65060000}" name="接続131" type="7" refreshedVersion="4"/>
  <connection id="3449" xr16:uid="{00000000-0015-0000-FFFF-FFFF66060000}" name="接続1310" type="7" refreshedVersion="4"/>
  <connection id="3450" xr16:uid="{A56C9191-B977-4E02-9785-D058D6A1D0FF}" name="接続13100" type="7" refreshedVersion="8"/>
  <connection id="3451" xr16:uid="{6D4D764C-A741-4240-8185-7DAC57C82EAC}" name="接続13101" type="7" refreshedVersion="8"/>
  <connection id="3452" xr16:uid="{3CE2C26D-BB68-4FF6-AE92-97A86E67B63B}" name="接続13102" type="7" refreshedVersion="8"/>
  <connection id="3453" xr16:uid="{D3D007CE-BD56-4DEC-B4D5-5AC5D1E89E16}" name="接続13103" type="7" refreshedVersion="8"/>
  <connection id="3454" xr16:uid="{09E9C763-0508-4A2F-A54A-D7BEDA704D41}" name="接続13104" type="7" refreshedVersion="8"/>
  <connection id="3455" xr16:uid="{13BF2B5F-B52C-4466-AF85-BC7DD24A4FE7}" name="接続13105" type="7" refreshedVersion="8"/>
  <connection id="3456" xr16:uid="{36CD43B1-E31B-44D5-B191-801C45956EC4}" name="接続13106" type="7" refreshedVersion="8"/>
  <connection id="3457" xr16:uid="{A5C3B15D-1354-49CC-916E-4A9ED020EC01}" name="接続13107" type="7" refreshedVersion="8"/>
  <connection id="3458" xr16:uid="{41AED8E9-2F65-4283-8E47-FB3FF2AD28ED}" name="接続13108" type="7" refreshedVersion="8"/>
  <connection id="3459" xr16:uid="{E424130E-1B8C-40D5-8680-4B24E78995D7}" name="接続13109" type="7" refreshedVersion="8"/>
  <connection id="3460" xr16:uid="{00000000-0015-0000-FFFF-FFFF67060000}" name="接続1311" type="7" refreshedVersion="4"/>
  <connection id="3461" xr16:uid="{25905F1B-3C0D-4C94-A1D4-C539FF1ADB6C}" name="接続13110" type="7" refreshedVersion="8"/>
  <connection id="3462" xr16:uid="{53F264CC-52FC-472A-A215-A949AFF62CA0}" name="接続13111" type="7" refreshedVersion="8"/>
  <connection id="3463" xr16:uid="{320718B1-628C-49D0-9A91-D5AAE2173CE2}" name="接続13112" type="7" refreshedVersion="8"/>
  <connection id="3464" xr16:uid="{E73A51BB-851A-44DB-A4FF-863B4A8F7C6C}" name="接続13113" type="7" refreshedVersion="8"/>
  <connection id="3465" xr16:uid="{73D53DD6-FB37-40ED-9C69-59B035C0423B}" name="接続13114" type="7" refreshedVersion="8"/>
  <connection id="3466" xr16:uid="{5665CFC0-5ECB-4C60-9C18-8AD1FDB2BE34}" name="接続13115" type="7" refreshedVersion="8"/>
  <connection id="3467" xr16:uid="{8A86C203-6614-44D5-8A9A-80608E839E12}" name="接続13116" type="7" refreshedVersion="8"/>
  <connection id="3468" xr16:uid="{7EE7F377-DC59-4426-B5F5-47C53FA149A8}" name="接続13117" type="7" refreshedVersion="8"/>
  <connection id="3469" xr16:uid="{C7831955-6F99-4B22-B148-CCC1DC18EF2D}" name="接続13118" type="7" refreshedVersion="8"/>
  <connection id="3470" xr16:uid="{300B3F77-A78E-465A-982D-28E7AE3E5E26}" name="接続13119" type="7" refreshedVersion="8"/>
  <connection id="3471" xr16:uid="{00000000-0015-0000-FFFF-FFFF68060000}" name="接続1312" type="7" refreshedVersion="4"/>
  <connection id="3472" xr16:uid="{FA4FEC7E-4456-4A81-925A-FBED46C42EA2}" name="接続13120" type="7" refreshedVersion="8"/>
  <connection id="3473" xr16:uid="{128D995C-A164-449D-8CD3-E4DE76172AAC}" name="接続13121" type="7" refreshedVersion="8"/>
  <connection id="3474" xr16:uid="{79CF757B-173F-4D46-959C-E74FD213831F}" name="接続13122" type="7" refreshedVersion="8"/>
  <connection id="3475" xr16:uid="{9B30967E-E2B5-46F3-ADA1-F16E45182301}" name="接続13123" type="7" refreshedVersion="8"/>
  <connection id="3476" xr16:uid="{82C55B3D-23FF-43B3-948C-11954CB98548}" name="接続13124" type="7" refreshedVersion="8"/>
  <connection id="3477" xr16:uid="{9BC7914B-D75D-466D-B30C-A05C71FF4BFB}" name="接続13125" type="7" refreshedVersion="8"/>
  <connection id="3478" xr16:uid="{0F87F380-66F3-4881-9C35-86A664CDBFD0}" name="接続13126" type="7" refreshedVersion="8"/>
  <connection id="3479" xr16:uid="{E97F88BF-2833-4B8D-AF6C-1FEBEF3D069F}" name="接続13127" type="7" refreshedVersion="8"/>
  <connection id="3480" xr16:uid="{0F494124-89A3-421A-8E96-EAEA87B3CDA1}" name="接続13128" type="7" refreshedVersion="8"/>
  <connection id="3481" xr16:uid="{50DBE2CD-7790-4DAF-AF60-A4C1ED4957EB}" name="接続13129" type="7" refreshedVersion="8"/>
  <connection id="3482" xr16:uid="{00000000-0015-0000-FFFF-FFFF69060000}" name="接続1313" type="7" refreshedVersion="4"/>
  <connection id="3483" xr16:uid="{E8075682-45BA-4BE8-B713-C77B9A203B9A}" name="接続13130" type="7" refreshedVersion="8"/>
  <connection id="3484" xr16:uid="{1EB95C72-9A54-4DCD-BF7C-1946284B165A}" name="接続13131" type="7" refreshedVersion="8"/>
  <connection id="3485" xr16:uid="{3F8C1FD2-5195-4F40-B085-0F5A43C072B3}" name="接続13132" type="7" refreshedVersion="8"/>
  <connection id="3486" xr16:uid="{9285C50B-509F-4D77-A029-5A6C62831736}" name="接続13133" type="7" refreshedVersion="8"/>
  <connection id="3487" xr16:uid="{2A566EE9-5AA5-4184-96FC-06D6F2F673B5}" name="接続13134" type="7" refreshedVersion="8"/>
  <connection id="3488" xr16:uid="{182A452C-6B08-49E9-8980-2842816971D7}" name="接続13135" type="7" refreshedVersion="8"/>
  <connection id="3489" xr16:uid="{661E5958-E97A-41DC-9BAD-7238DB10F7D2}" name="接続13136" type="7" refreshedVersion="8"/>
  <connection id="3490" xr16:uid="{FE8BCA45-F235-499E-B70C-136226E944E3}" name="接続13137" type="7" refreshedVersion="8"/>
  <connection id="3491" xr16:uid="{47D140AC-A7AE-4BB3-A100-130AFFB381E6}" name="接続13138" type="7" refreshedVersion="8"/>
  <connection id="3492" xr16:uid="{58450E13-E0E7-40A3-8736-333F488AB52B}" name="接続13139" type="7" refreshedVersion="8"/>
  <connection id="3493" xr16:uid="{00000000-0015-0000-FFFF-FFFF6A060000}" name="接続1314" type="7" refreshedVersion="4"/>
  <connection id="3494" xr16:uid="{707E61C5-1147-4331-919B-A9B347354C69}" name="接続13140" type="7" refreshedVersion="8"/>
  <connection id="3495" xr16:uid="{4E59DB4F-CFF7-4467-8E78-7164420D535C}" name="接続13141" type="7" refreshedVersion="8"/>
  <connection id="3496" xr16:uid="{D53816B7-5DFC-45DF-82F4-E2DEF281ACBE}" name="接続13142" type="7" refreshedVersion="8"/>
  <connection id="3497" xr16:uid="{46CA5AC0-1047-4925-9664-D0DFF5706070}" name="接続13143" type="7" refreshedVersion="8"/>
  <connection id="3498" xr16:uid="{647100AC-CC5B-4698-896A-49AC78C1F416}" name="接続13144" type="7" refreshedVersion="8"/>
  <connection id="3499" xr16:uid="{7A491441-D548-4EC2-9455-2852F0BCD95E}" name="接続13145" type="7" refreshedVersion="8"/>
  <connection id="3500" xr16:uid="{B1C44C68-85A4-44D0-BF6C-F67501D9B227}" name="接続13146" type="7" refreshedVersion="8"/>
  <connection id="3501" xr16:uid="{E7FFEA8F-FBA1-4505-8CDA-457945A7BEE2}" name="接続13147" type="7" refreshedVersion="8"/>
  <connection id="3502" xr16:uid="{16FBB974-313A-4283-B5B0-A3F026770CDA}" name="接続13148" type="7" refreshedVersion="8"/>
  <connection id="3503" xr16:uid="{7D93A339-822C-4714-95B4-FA8BC730D945}" name="接続13149" type="7" refreshedVersion="8"/>
  <connection id="3504" xr16:uid="{00000000-0015-0000-FFFF-FFFF6B060000}" name="接続1315" type="7" refreshedVersion="4"/>
  <connection id="3505" xr16:uid="{D40195A0-0948-447B-AC2C-F0D4716969A9}" name="接続13150" type="7" refreshedVersion="8"/>
  <connection id="3506" xr16:uid="{41BE1D5A-FC29-466A-B8E0-E12E1759C97E}" name="接続13151" type="7" refreshedVersion="8"/>
  <connection id="3507" xr16:uid="{B1C8148A-EEA8-4E71-9ED4-750966CEFFEB}" name="接続13152" type="7" refreshedVersion="8"/>
  <connection id="3508" xr16:uid="{B07EB206-FD83-4FB1-91A7-BC2D0B1F546D}" name="接続13153" type="7" refreshedVersion="8"/>
  <connection id="3509" xr16:uid="{7C9E48F4-EA87-4900-88A2-FFAA645D69C2}" name="接続13154" type="7" refreshedVersion="8"/>
  <connection id="3510" xr16:uid="{C64AEF17-1B51-4A7F-8DA0-23F1E62AFA2E}" name="接続13155" type="7" refreshedVersion="8"/>
  <connection id="3511" xr16:uid="{DD7DD964-6988-4C62-B318-BE11CB4A30A8}" name="接続13156" type="7" refreshedVersion="8"/>
  <connection id="3512" xr16:uid="{318EF2C9-954F-4A3F-AEC0-CE9E7DDF8EB7}" name="接続13157" type="7" refreshedVersion="8"/>
  <connection id="3513" xr16:uid="{041D1299-C3F8-4B29-A0C7-E54AA06CD47E}" name="接続13158" type="7" refreshedVersion="8"/>
  <connection id="3514" xr16:uid="{510011CF-07E4-4CFC-AFD4-ECD17D9A15E2}" name="接続13159" type="7" refreshedVersion="8"/>
  <connection id="3515" xr16:uid="{00000000-0015-0000-FFFF-FFFF6C060000}" name="接続1316" type="7" refreshedVersion="4"/>
  <connection id="3516" xr16:uid="{8275ECC2-A991-4A7E-8A63-ACD18D6124EE}" name="接続13160" type="7" refreshedVersion="8"/>
  <connection id="3517" xr16:uid="{C548416B-415F-42D0-A484-7466326FA727}" name="接続13161" type="7" refreshedVersion="8"/>
  <connection id="3518" xr16:uid="{26F90E75-6B3D-4CF0-9187-5DC3C93EE86C}" name="接続13162" type="7" refreshedVersion="8"/>
  <connection id="3519" xr16:uid="{EFDAEBA3-9B6C-4F69-B063-325F1C4922ED}" name="接続13163" type="7" refreshedVersion="8"/>
  <connection id="3520" xr16:uid="{AEDD0FAA-B7E4-4705-9123-92002A073241}" name="接続13164" type="7" refreshedVersion="8"/>
  <connection id="3521" xr16:uid="{2BF77E8E-7963-481A-9DAC-65DDB92A023F}" name="接続13165" type="7" refreshedVersion="8"/>
  <connection id="3522" xr16:uid="{26F1FA5F-1B42-47DB-B908-E5E48D2CAB10}" name="接続13166" type="7" refreshedVersion="8"/>
  <connection id="3523" xr16:uid="{861C2EC3-1734-4CE8-BDAC-56C8789FFCD1}" name="接続13167" type="7" refreshedVersion="8"/>
  <connection id="3524" xr16:uid="{BB9CC03A-E642-4F0C-99D7-9711AFFCA69D}" name="接続13168" type="7" refreshedVersion="8"/>
  <connection id="3525" xr16:uid="{69B38AE4-1525-4522-A5DA-D295DF7D09F8}" name="接続13169" type="7" refreshedVersion="8"/>
  <connection id="3526" xr16:uid="{00000000-0015-0000-FFFF-FFFF6D060000}" name="接続1317" type="7" refreshedVersion="4"/>
  <connection id="3527" xr16:uid="{1138BCCB-7C9B-41E3-BEF9-765E7C44BA36}" name="接続13170" type="7" refreshedVersion="8"/>
  <connection id="3528" xr16:uid="{668B83B0-BB24-4977-8C5A-12EAD05C1E30}" name="接続13171" type="7" refreshedVersion="8"/>
  <connection id="3529" xr16:uid="{0364C986-805C-49E8-A7D2-122797CCA603}" name="接続13172" type="7" refreshedVersion="8"/>
  <connection id="3530" xr16:uid="{1313E531-F8BE-4274-A4E5-B524071D2A5F}" name="接続13173" type="7" refreshedVersion="8"/>
  <connection id="3531" xr16:uid="{6D0CE6E2-507F-4DAD-984E-C36860D71542}" name="接続13174" type="7" refreshedVersion="8"/>
  <connection id="3532" xr16:uid="{C75BE2B4-B6AC-4988-8981-CB7BD0687350}" name="接続13175" type="7" refreshedVersion="8"/>
  <connection id="3533" xr16:uid="{2A28D67F-105C-450A-92C2-3266F730F91E}" name="接続13176" type="7" refreshedVersion="8"/>
  <connection id="3534" xr16:uid="{2E247810-C34B-4FB8-A66C-CF13598C9637}" name="接続13177" type="7" refreshedVersion="8"/>
  <connection id="3535" xr16:uid="{561D2410-2B0E-474F-ADF4-EEFC50E91A10}" name="接続13178" type="7" refreshedVersion="8"/>
  <connection id="3536" xr16:uid="{D0943B13-E159-41D1-8F62-D7B925BAAA24}" name="接続13179" type="7" refreshedVersion="8"/>
  <connection id="3537" xr16:uid="{00000000-0015-0000-FFFF-FFFF6E060000}" name="接続1318" type="7" refreshedVersion="4"/>
  <connection id="3538" xr16:uid="{E991F3D5-2A3B-45E3-AAAD-B164FF095821}" name="接続13180" type="7" refreshedVersion="8"/>
  <connection id="3539" xr16:uid="{67811676-94A9-4839-919E-04EC7E453E0D}" name="接続13181" type="7" refreshedVersion="8"/>
  <connection id="3540" xr16:uid="{1F970C71-E5B7-4D2C-BBF7-D02C546A9C28}" name="接続13182" type="7" refreshedVersion="8"/>
  <connection id="3541" xr16:uid="{C31496C4-6438-4DA9-8933-F7A2AAC1FAE5}" name="接続13183" type="7" refreshedVersion="8"/>
  <connection id="3542" xr16:uid="{F1BEAFD6-6021-4D57-BCA1-536B9C47468F}" name="接続13184" type="7" refreshedVersion="8"/>
  <connection id="3543" xr16:uid="{C4F6677B-1FDC-4904-8A78-0152DC1B0AC0}" name="接続13185" type="7" refreshedVersion="8"/>
  <connection id="3544" xr16:uid="{05DB0F4E-0DCF-4109-B964-97549CBB92B6}" name="接続13186" type="7" refreshedVersion="8"/>
  <connection id="3545" xr16:uid="{B2805E7D-07DE-48A8-8096-BAED08C10CD3}" name="接続13187" type="7" refreshedVersion="8"/>
  <connection id="3546" xr16:uid="{572E0044-720B-46B1-9459-51463A422E42}" name="接続13188" type="7" refreshedVersion="8"/>
  <connection id="3547" xr16:uid="{D59213D9-B846-4E55-85F1-EA458CA71595}" name="接続13189" type="7" refreshedVersion="8"/>
  <connection id="3548" xr16:uid="{00000000-0015-0000-FFFF-FFFF6F060000}" name="接続1319" type="7" refreshedVersion="4"/>
  <connection id="3549" xr16:uid="{27E3399C-FE97-4FA2-A98C-CA78F6BA566C}" name="接続13190" type="7" refreshedVersion="8"/>
  <connection id="3550" xr16:uid="{0E81F79F-932B-46DF-A30E-A36C5E3306B9}" name="接続13191" type="7" refreshedVersion="8"/>
  <connection id="3551" xr16:uid="{C0565174-C4C2-4313-9D01-6BAA42035D2F}" name="接続13192" type="7" refreshedVersion="8"/>
  <connection id="3552" xr16:uid="{DE53F0BF-D89F-4500-B197-249257091D5F}" name="接続13193" type="7" refreshedVersion="8"/>
  <connection id="3553" xr16:uid="{E5EA7A86-A2A4-498C-814B-0C33151E35D3}" name="接続13194" type="7" refreshedVersion="8"/>
  <connection id="3554" xr16:uid="{A59AC065-EEEA-473C-BE02-668659975A71}" name="接続13195" type="7" refreshedVersion="8"/>
  <connection id="3555" xr16:uid="{3E130363-BAFB-48B4-A3A9-0ECFAB7B7128}" name="接続13196" type="7" refreshedVersion="8"/>
  <connection id="3556" xr16:uid="{7E4789AD-6C85-4D08-9D7A-6B6976C353BE}" name="接続13197" type="7" refreshedVersion="8"/>
  <connection id="3557" xr16:uid="{3C92CD30-D447-4DFB-8444-0A37C26F4C59}" name="接続13198" type="7" refreshedVersion="8"/>
  <connection id="3558" xr16:uid="{826474EF-6229-4AA0-9BDA-C4B81ABDC4F6}" name="接続13199" type="7" refreshedVersion="8"/>
  <connection id="3559" xr16:uid="{00000000-0015-0000-FFFF-FFFF70060000}" name="接続132" type="7" refreshedVersion="4"/>
  <connection id="3560" xr16:uid="{00000000-0015-0000-FFFF-FFFF71060000}" name="接続1320" type="7" refreshedVersion="4"/>
  <connection id="3561" xr16:uid="{914361D2-AD0E-4AC5-8195-A0E25CCD6D2C}" name="接続13200" type="7" refreshedVersion="8"/>
  <connection id="3562" xr16:uid="{C2B459CD-846F-41B5-AB87-53A0A4BE9A66}" name="接続13201" type="7" refreshedVersion="8"/>
  <connection id="3563" xr16:uid="{1D30268C-4903-439C-97CF-A9B3415BADBE}" name="接続13202" type="7" refreshedVersion="8"/>
  <connection id="3564" xr16:uid="{CECC7822-AFBD-4D6A-AAD5-C3848CFD6F84}" name="接続13203" type="7" refreshedVersion="8"/>
  <connection id="3565" xr16:uid="{B378B37F-E04B-464A-B0C2-0ECC34AD39E2}" name="接続13204" type="7" refreshedVersion="8"/>
  <connection id="3566" xr16:uid="{360B16B0-DAA5-4C2D-A62E-7B32303D0CB8}" name="接続13205" type="7" refreshedVersion="8"/>
  <connection id="3567" xr16:uid="{579ED16F-A7FA-4EA2-9DBD-B15221474785}" name="接続13206" type="7" refreshedVersion="8"/>
  <connection id="3568" xr16:uid="{C176581E-8D5C-4673-8C53-22195620B7AD}" name="接続13207" type="7" refreshedVersion="8"/>
  <connection id="3569" xr16:uid="{0CCE9E40-F642-4A48-826A-29465F1D6476}" name="接続13208" type="7" refreshedVersion="8"/>
  <connection id="3570" xr16:uid="{7857825A-BE6D-4F15-ABBA-FB61C1D39E72}" name="接続13209" type="7" refreshedVersion="8"/>
  <connection id="3571" xr16:uid="{00000000-0015-0000-FFFF-FFFF72060000}" name="接続1321" type="7" refreshedVersion="4"/>
  <connection id="3572" xr16:uid="{264849AA-4CD5-42BC-BE84-311CADBFB4A4}" name="接続13210" type="7" refreshedVersion="8"/>
  <connection id="3573" xr16:uid="{2AE8A540-255B-4F49-8751-EF1ACDB69FCC}" name="接続13211" type="7" refreshedVersion="8"/>
  <connection id="3574" xr16:uid="{6FE50AED-A1C0-40C2-B154-3224876CF185}" name="接続13212" type="7" refreshedVersion="8"/>
  <connection id="3575" xr16:uid="{51651546-1936-4715-8705-79F68FD63EDD}" name="接続13213" type="7" refreshedVersion="8"/>
  <connection id="3576" xr16:uid="{47A77F1D-E7A2-4C57-BEDB-AA9E7C9A8318}" name="接続13214" type="7" refreshedVersion="8"/>
  <connection id="3577" xr16:uid="{5D28BA43-53B4-40E9-976E-7EADE58D3D92}" name="接続13215" type="7" refreshedVersion="8"/>
  <connection id="3578" xr16:uid="{ABEB2E9E-8E86-475D-8977-09802C7DEC05}" name="接続13216" type="7" refreshedVersion="8"/>
  <connection id="3579" xr16:uid="{DF6A14E6-7B92-40D3-B78E-1CC0DE10889D}" name="接続13217" type="7" refreshedVersion="8"/>
  <connection id="3580" xr16:uid="{A866364E-8962-423A-89C2-7159C865BB37}" name="接続13218" type="7" refreshedVersion="8"/>
  <connection id="3581" xr16:uid="{A7A5C30D-C3A0-42C5-ABD9-A4C7DECF2FB2}" name="接続13219" type="7" refreshedVersion="8"/>
  <connection id="3582" xr16:uid="{00000000-0015-0000-FFFF-FFFF73060000}" name="接続1322" type="7" refreshedVersion="4"/>
  <connection id="3583" xr16:uid="{A03CAD84-A4B9-48C1-8D34-CDB8C2A397E1}" name="接続13220" type="7" refreshedVersion="8"/>
  <connection id="3584" xr16:uid="{7EE64A1B-4195-444E-BABB-2533D695302E}" name="接続13221" type="7" refreshedVersion="8"/>
  <connection id="3585" xr16:uid="{7A3D8F6B-795E-48D5-8D27-DC32152B3CC0}" name="接続13222" type="7" refreshedVersion="8"/>
  <connection id="3586" xr16:uid="{1F686F1D-1C8A-4AFD-89BA-A7DF3201A869}" name="接続13223" type="7" refreshedVersion="8"/>
  <connection id="3587" xr16:uid="{0E4F46F4-070A-4114-BDDF-2D52017C95BA}" name="接続13224" type="7" refreshedVersion="8"/>
  <connection id="3588" xr16:uid="{104AC77F-163A-4EF1-91E9-2889DCA7903E}" name="接続13225" type="7" refreshedVersion="8"/>
  <connection id="3589" xr16:uid="{7C291428-94F1-4CC7-8A5B-D4D26A6D7DA4}" name="接続13226" type="7" refreshedVersion="8"/>
  <connection id="3590" xr16:uid="{6C85D7A4-DF12-4C27-B90F-19CE64E4E16B}" name="接続13227" type="7" refreshedVersion="8"/>
  <connection id="3591" xr16:uid="{3523E9A9-8F1B-4227-9910-D7E5CBB3394A}" name="接続13228" type="7" refreshedVersion="8"/>
  <connection id="3592" xr16:uid="{CEA8E815-16A0-4BD0-A426-DA8849E590D6}" name="接続13229" type="7" refreshedVersion="8"/>
  <connection id="3593" xr16:uid="{00000000-0015-0000-FFFF-FFFF74060000}" name="接続1323" type="7" refreshedVersion="4"/>
  <connection id="3594" xr16:uid="{9BA1017A-739D-4F55-90AD-4E2BBAED9285}" name="接続13230" type="7" refreshedVersion="8"/>
  <connection id="3595" xr16:uid="{FF457F90-361A-4612-884E-91BAD3D50E74}" name="接続13231" type="7" refreshedVersion="8"/>
  <connection id="3596" xr16:uid="{54D63EB8-9F0E-404F-AF66-DF3EE81FE12D}" name="接続13232" type="7" refreshedVersion="8"/>
  <connection id="3597" xr16:uid="{B345FC03-3B39-429B-8791-C5A43361CD6E}" name="接続13233" type="7" refreshedVersion="8"/>
  <connection id="3598" xr16:uid="{74E75B50-DFD0-47EA-ADA8-F6629334EBEF}" name="接続13234" type="7" refreshedVersion="8"/>
  <connection id="3599" xr16:uid="{6BCD81D6-0569-4F97-ADE5-7A1CBEC04534}" name="接続13235" type="7" refreshedVersion="8"/>
  <connection id="3600" xr16:uid="{477B5068-A277-427C-878D-ADD83D9360A7}" name="接続13236" type="7" refreshedVersion="8"/>
  <connection id="3601" xr16:uid="{919A694C-40E2-4632-964D-27583BAD1AD8}" name="接続13237" type="7" refreshedVersion="8"/>
  <connection id="3602" xr16:uid="{24D114A2-E101-4BE4-956E-7DA1B7BFD4C6}" name="接続13238" type="7" refreshedVersion="8"/>
  <connection id="3603" xr16:uid="{5F12FD40-15F1-446D-832E-0E32FC11ECC9}" name="接続13239" type="7" refreshedVersion="8"/>
  <connection id="3604" xr16:uid="{00000000-0015-0000-FFFF-FFFF75060000}" name="接続1324" type="7" refreshedVersion="4"/>
  <connection id="3605" xr16:uid="{84D208EB-F3A1-4104-BABE-F483FF3C9FFC}" name="接続13240" type="7" refreshedVersion="8"/>
  <connection id="3606" xr16:uid="{18168690-9E58-4788-8653-F67448B02548}" name="接続13241" type="7" refreshedVersion="8"/>
  <connection id="3607" xr16:uid="{0FEE844E-57C9-430F-9141-4CDC14D92BF9}" name="接続13242" type="7" refreshedVersion="8"/>
  <connection id="3608" xr16:uid="{FD5D07BE-75EA-4EB2-AE8A-74BBAFDA6DD4}" name="接続13243" type="7" refreshedVersion="8"/>
  <connection id="3609" xr16:uid="{19311C36-AA13-4A2E-B9D8-A2BA59D86BF0}" name="接続13244" type="7" refreshedVersion="8"/>
  <connection id="3610" xr16:uid="{25A98C7F-839E-43F7-9545-4C7167DF033F}" name="接続13245" type="7" refreshedVersion="8"/>
  <connection id="3611" xr16:uid="{5488728F-4187-4C04-B7C5-8ACBEFCC2833}" name="接続13246" type="7" refreshedVersion="8"/>
  <connection id="3612" xr16:uid="{BE16A798-6211-4A75-BFDC-6862EBE400E4}" name="接続13247" type="7" refreshedVersion="8"/>
  <connection id="3613" xr16:uid="{75A485B6-C32B-440C-B49A-71E4C759E748}" name="接続13248" type="7" refreshedVersion="8"/>
  <connection id="3614" xr16:uid="{F174F9CF-8162-4FA4-8981-AC023A1A85A2}" name="接続13249" type="7" refreshedVersion="8"/>
  <connection id="3615" xr16:uid="{00000000-0015-0000-FFFF-FFFF76060000}" name="接続1325" type="7" refreshedVersion="4"/>
  <connection id="3616" xr16:uid="{299D3810-FD59-4C23-B5CB-FC17BAA61B6B}" name="接続13250" type="7" refreshedVersion="8"/>
  <connection id="3617" xr16:uid="{48178E60-E160-40BF-A54E-C470BFD4B445}" name="接続13251" type="7" refreshedVersion="8"/>
  <connection id="3618" xr16:uid="{75F6D4AE-16ED-4F7E-A9CE-1B16FEC8C8ED}" name="接続13252" type="7" refreshedVersion="8"/>
  <connection id="3619" xr16:uid="{A54D6F95-B74A-4F57-A8E1-E03EE0D711A8}" name="接続13253" type="7" refreshedVersion="8"/>
  <connection id="3620" xr16:uid="{989812F7-7512-41A2-AE8C-635E303D0465}" name="接続13254" type="7" refreshedVersion="8"/>
  <connection id="3621" xr16:uid="{54D0D0FE-AF31-4BE1-875E-B1F3066B85BA}" name="接続13255" type="7" refreshedVersion="8"/>
  <connection id="3622" xr16:uid="{433983FC-678B-4D6D-A410-B43197028FB2}" name="接続13256" type="7" refreshedVersion="8"/>
  <connection id="3623" xr16:uid="{18DD9D62-F0B4-4539-B1E1-8E856F012582}" name="接続13257" type="7" refreshedVersion="8"/>
  <connection id="3624" xr16:uid="{752FEB5A-9CB5-46F6-9270-380E846207F6}" name="接続13258" type="7" refreshedVersion="8"/>
  <connection id="3625" xr16:uid="{1139E363-74E7-4413-B578-E45CAF2FCC84}" name="接続13259" type="7" refreshedVersion="8"/>
  <connection id="3626" xr16:uid="{00000000-0015-0000-FFFF-FFFF77060000}" name="接続1326" type="7" refreshedVersion="4"/>
  <connection id="3627" xr16:uid="{28BD6495-478B-46EA-ADAB-5FD9C356EDF0}" name="接続13260" type="7" refreshedVersion="8"/>
  <connection id="3628" xr16:uid="{ED9BFA9E-EF01-4D2A-BC57-06CE58D6E775}" name="接続13261" type="7" refreshedVersion="8"/>
  <connection id="3629" xr16:uid="{91349F3F-FF9F-45E3-9935-786A9C910B47}" name="接続13262" type="7" refreshedVersion="8"/>
  <connection id="3630" xr16:uid="{2C6EC2A1-54D2-40CA-BA17-FF0CE2C3CBEC}" name="接続13263" type="7" refreshedVersion="8"/>
  <connection id="3631" xr16:uid="{11656B3F-CD7A-43E9-9344-1FF2AC866D18}" name="接続13264" type="7" refreshedVersion="8"/>
  <connection id="3632" xr16:uid="{E9B165A5-2ADC-4F6F-8925-ED9D8D57891C}" name="接続13265" type="7" refreshedVersion="8"/>
  <connection id="3633" xr16:uid="{6ECC8DD5-B758-4E6A-9319-789F5A099FF9}" name="接続13266" type="7" refreshedVersion="8"/>
  <connection id="3634" xr16:uid="{AF5B209C-C9DD-4A48-B64A-C7A981EE8323}" name="接続13267" type="7" refreshedVersion="8"/>
  <connection id="3635" xr16:uid="{A9ADD2C1-9DB4-4A86-801D-A6B065C46FA3}" name="接続13268" type="7" refreshedVersion="8"/>
  <connection id="3636" xr16:uid="{C3D7F094-D051-4544-895B-9AE2F79C8841}" name="接続13269" type="7" refreshedVersion="8"/>
  <connection id="3637" xr16:uid="{00000000-0015-0000-FFFF-FFFF78060000}" name="接続1327" type="7" refreshedVersion="4"/>
  <connection id="3638" xr16:uid="{F1957EC4-D567-4221-A126-751416F93D84}" name="接続13270" type="7" refreshedVersion="8"/>
  <connection id="3639" xr16:uid="{9C9AF21D-2CDD-45E6-A574-8DE092837EDC}" name="接続13271" type="7" refreshedVersion="8"/>
  <connection id="3640" xr16:uid="{A318E4D7-AD86-4183-8C0F-D40376FE8749}" name="接続13272" type="7" refreshedVersion="8"/>
  <connection id="3641" xr16:uid="{6292E63B-B6CF-40AB-BF53-4B997D0CFF60}" name="接続13273" type="7" refreshedVersion="8"/>
  <connection id="3642" xr16:uid="{8523ED7F-ACF7-4714-9A68-99FBC3A25FB0}" name="接続13274" type="7" refreshedVersion="8"/>
  <connection id="3643" xr16:uid="{42A8ECB2-4B11-40F4-AE83-062144FDFDAF}" name="接続13275" type="7" refreshedVersion="8"/>
  <connection id="3644" xr16:uid="{E6B9DFB9-047A-4354-B007-0B293C973356}" name="接続13276" type="7" refreshedVersion="8"/>
  <connection id="3645" xr16:uid="{E12CE69E-E561-44F9-BF5F-6BB3230DCBCA}" name="接続13277" type="7" refreshedVersion="8"/>
  <connection id="3646" xr16:uid="{D7C6C587-AF97-4241-B762-AE868F24D4C5}" name="接続13278" type="7" refreshedVersion="8"/>
  <connection id="3647" xr16:uid="{974C5CD8-FDC5-4D1E-9DCF-45A309387835}" name="接続13279" type="7" refreshedVersion="8"/>
  <connection id="3648" xr16:uid="{00000000-0015-0000-FFFF-FFFF79060000}" name="接続1328" type="7" refreshedVersion="4"/>
  <connection id="3649" xr16:uid="{6F667353-5A4D-435E-ACBA-B43C8E389D92}" name="接続13280" type="7" refreshedVersion="8"/>
  <connection id="3650" xr16:uid="{5F035652-52FA-465A-AD0A-99BA90928F68}" name="接続13281" type="7" refreshedVersion="8"/>
  <connection id="3651" xr16:uid="{69A70DBD-A7A8-4C09-9606-CCD22B988560}" name="接続13282" type="7" refreshedVersion="8"/>
  <connection id="3652" xr16:uid="{52FC4132-0775-4BE8-94E1-613A66812548}" name="接続13283" type="7" refreshedVersion="8"/>
  <connection id="3653" xr16:uid="{CE38AC19-1234-49A3-A299-C2C6674D340E}" name="接続13284" type="7" refreshedVersion="8"/>
  <connection id="3654" xr16:uid="{540C5194-CD3F-490E-89AE-8592F3614B4C}" name="接続13285" type="7" refreshedVersion="8"/>
  <connection id="3655" xr16:uid="{694194F2-3E95-4703-BFAE-E6D9ACBFD4BA}" name="接続13286" type="7" refreshedVersion="8"/>
  <connection id="3656" xr16:uid="{F567539B-56FA-4D08-A97D-5EAD52C354D5}" name="接続13287" type="7" refreshedVersion="8"/>
  <connection id="3657" xr16:uid="{C53981F8-A7BA-4460-8868-11BC6E87F2E2}" name="接続13288" type="7" refreshedVersion="8"/>
  <connection id="3658" xr16:uid="{C5BFCD90-524F-47D7-A3BB-4A082D8600B0}" name="接続13289" type="7" refreshedVersion="8"/>
  <connection id="3659" xr16:uid="{00000000-0015-0000-FFFF-FFFF7A060000}" name="接続1329" type="7" refreshedVersion="4"/>
  <connection id="3660" xr16:uid="{55A1E7C3-814D-4A2A-B2CE-AEC22A61402E}" name="接続13290" type="7" refreshedVersion="8"/>
  <connection id="3661" xr16:uid="{E00AEFCA-525E-4D90-9E92-B16D4B88157A}" name="接続13291" type="7" refreshedVersion="8"/>
  <connection id="3662" xr16:uid="{1F2612A9-319C-46E4-B1B5-D5081D56B214}" name="接続13292" type="7" refreshedVersion="8"/>
  <connection id="3663" xr16:uid="{EC36F2F0-71A4-4D02-B455-DE669905F41B}" name="接続13293" type="7" refreshedVersion="8"/>
  <connection id="3664" xr16:uid="{0FCBF81B-CD61-4A47-B37A-CB15FDBA3FE4}" name="接続13294" type="7" refreshedVersion="8"/>
  <connection id="3665" xr16:uid="{52A36391-472E-4C2B-A24C-11055F764076}" name="接続13295" type="7" refreshedVersion="8"/>
  <connection id="3666" xr16:uid="{2D9D0A49-F94B-4D4F-9D0C-7B10CC151C26}" name="接続13296" type="7" refreshedVersion="8"/>
  <connection id="3667" xr16:uid="{D475EFDB-029B-464E-89BE-03786D131A13}" name="接続13297" type="7" refreshedVersion="8"/>
  <connection id="3668" xr16:uid="{674D5CD6-3441-4253-8C20-6F149B5B4EF5}" name="接続13298" type="7" refreshedVersion="8"/>
  <connection id="3669" xr16:uid="{A11B5E07-E970-4E1E-A6B4-C810D0034420}" name="接続13299" type="7" refreshedVersion="8"/>
  <connection id="3670" xr16:uid="{00000000-0015-0000-FFFF-FFFF7B060000}" name="接続133" type="7" refreshedVersion="4"/>
  <connection id="3671" xr16:uid="{00000000-0015-0000-FFFF-FFFF7C060000}" name="接続1330" type="7" refreshedVersion="4"/>
  <connection id="3672" xr16:uid="{588A1F03-C65A-4EEC-8514-19569922E7B4}" name="接続13300" type="7" refreshedVersion="8"/>
  <connection id="3673" xr16:uid="{D7A39FEF-A006-4258-8836-545E66FBD551}" name="接続13301" type="7" refreshedVersion="8"/>
  <connection id="3674" xr16:uid="{B0AC8B51-F78C-4E9D-A894-EC0C4A206BFF}" name="接続13302" type="7" refreshedVersion="8"/>
  <connection id="3675" xr16:uid="{9D1E6EEA-F251-4A98-AB9A-5883E5BADD72}" name="接続13303" type="7" refreshedVersion="8"/>
  <connection id="3676" xr16:uid="{3EE59DA0-A337-43ED-936D-05F09881CE74}" name="接続13304" type="7" refreshedVersion="8"/>
  <connection id="3677" xr16:uid="{09F18C8B-0A65-4261-AC17-FAEB90C0F566}" name="接続13305" type="7" refreshedVersion="8"/>
  <connection id="3678" xr16:uid="{1A881841-647E-42E6-994C-528306EB1317}" name="接続13306" type="7" refreshedVersion="8"/>
  <connection id="3679" xr16:uid="{780E071B-7521-452F-930E-CB94885FB80D}" name="接続13307" type="7" refreshedVersion="8"/>
  <connection id="3680" xr16:uid="{8121D9CE-0A4D-4066-A2F4-0B9FA840BF05}" name="接続13308" type="7" refreshedVersion="8"/>
  <connection id="3681" xr16:uid="{B2522926-799B-4E63-8FDC-5257D4CC3A19}" name="接続13309" type="7" refreshedVersion="8"/>
  <connection id="3682" xr16:uid="{00000000-0015-0000-FFFF-FFFF7D060000}" name="接続1331" type="7" refreshedVersion="4"/>
  <connection id="3683" xr16:uid="{5CBDA4E5-43D9-4B42-825B-E2419087E746}" name="接続13310" type="7" refreshedVersion="8"/>
  <connection id="3684" xr16:uid="{D8C2E8D2-3CDF-4B59-914A-820578B37067}" name="接続13311" type="7" refreshedVersion="8"/>
  <connection id="3685" xr16:uid="{8A8C3204-BE7E-4CC4-8F83-BA2E022D22AF}" name="接続13312" type="7" refreshedVersion="8"/>
  <connection id="3686" xr16:uid="{8E18FD68-3D9B-41E7-8F74-E83C4DFADEAD}" name="接続13313" type="7" refreshedVersion="8"/>
  <connection id="3687" xr16:uid="{F9312B23-469B-4D11-9A4F-57B4DAB1BE61}" name="接続13314" type="7" refreshedVersion="8"/>
  <connection id="3688" xr16:uid="{FB7EB42E-551A-49C0-B2F1-FB5ACE361FD7}" name="接続13315" type="7" refreshedVersion="8"/>
  <connection id="3689" xr16:uid="{869BEC02-68D9-47EF-B7E9-D260FD309511}" name="接続13316" type="7" refreshedVersion="8"/>
  <connection id="3690" xr16:uid="{5B2D8892-8157-4BDB-BBC2-25E9385EC736}" name="接続13317" type="7" refreshedVersion="8"/>
  <connection id="3691" xr16:uid="{379D3AEF-1C01-44B8-A943-2134FC28B58B}" name="接続13318" type="7" refreshedVersion="8"/>
  <connection id="3692" xr16:uid="{B870548D-C603-4043-B871-2D7D147ACE28}" name="接続13319" type="7" refreshedVersion="8"/>
  <connection id="3693" xr16:uid="{00000000-0015-0000-FFFF-FFFF7E060000}" name="接続1332" type="7" refreshedVersion="4"/>
  <connection id="3694" xr16:uid="{FD3F5D75-32B6-4E90-9C60-D32A6A08DE4F}" name="接続13320" type="7" refreshedVersion="8"/>
  <connection id="3695" xr16:uid="{4FB1C0DE-0BBB-467C-B057-E44321EE4F4F}" name="接続13321" type="7" refreshedVersion="8"/>
  <connection id="3696" xr16:uid="{1AD3B322-7637-42BD-AFC8-C198B2E2E4AA}" name="接続13322" type="7" refreshedVersion="8"/>
  <connection id="3697" xr16:uid="{DE6F0DA1-0CB7-4251-855E-E11CE73191D4}" name="接続13323" type="7" refreshedVersion="8"/>
  <connection id="3698" xr16:uid="{41597A96-FE24-4EE2-8613-D0FBBE0CB372}" name="接続13324" type="7" refreshedVersion="8"/>
  <connection id="3699" xr16:uid="{B41A3EF0-40B3-47B4-833C-395523148C73}" name="接続13325" type="7" refreshedVersion="8"/>
  <connection id="3700" xr16:uid="{74ADF1B3-F96B-491C-B057-BDC210DC7809}" name="接続13326" type="7" refreshedVersion="8"/>
  <connection id="3701" xr16:uid="{47BAC094-E6AE-4E56-B9CC-0A0AFEB37D8F}" name="接続13327" type="7" refreshedVersion="8"/>
  <connection id="3702" xr16:uid="{0C8D397C-F260-4F16-8B76-5B7885B06B6C}" name="接続13328" type="7" refreshedVersion="8"/>
  <connection id="3703" xr16:uid="{047DC619-1FC8-4196-9B41-2D02CDF0F05F}" name="接続13329" type="7" refreshedVersion="8"/>
  <connection id="3704" xr16:uid="{00000000-0015-0000-FFFF-FFFF7F060000}" name="接続1333" type="7" refreshedVersion="4"/>
  <connection id="3705" xr16:uid="{430A3002-251D-4E8F-B4E9-5A9E9199F1CC}" name="接続13330" type="7" refreshedVersion="8"/>
  <connection id="3706" xr16:uid="{387EAB8C-9B45-4A7C-89E2-5DE26055886D}" name="接続13331" type="7" refreshedVersion="8"/>
  <connection id="3707" xr16:uid="{484F88AF-1230-49BD-A36E-9B38A77263EC}" name="接続13332" type="7" refreshedVersion="8"/>
  <connection id="3708" xr16:uid="{D26AF7C5-5734-4E47-8906-8E44DA8CE369}" name="接続13333" type="7" refreshedVersion="8"/>
  <connection id="3709" xr16:uid="{C1318F5A-F4F6-4D0C-B482-E9C6D53EA7F3}" name="接続13334" type="7" refreshedVersion="8"/>
  <connection id="3710" xr16:uid="{F07CF7DC-6B58-46CB-B7D7-B4E2B3C3A440}" name="接続13335" type="7" refreshedVersion="8"/>
  <connection id="3711" xr16:uid="{29C54A81-9809-41C6-BCAA-A4C68A5187A6}" name="接続13336" type="7" refreshedVersion="8"/>
  <connection id="3712" xr16:uid="{ED6B4697-1B49-4CE2-86C2-904B1AD9F0EA}" name="接続13337" type="7" refreshedVersion="8"/>
  <connection id="3713" xr16:uid="{9133382D-B591-498D-B5FE-AA5F3956AC33}" name="接続13338" type="7" refreshedVersion="8"/>
  <connection id="3714" xr16:uid="{8F820450-3B45-46ED-80B8-7C8DE732F482}" name="接続13339" type="7" refreshedVersion="8"/>
  <connection id="3715" xr16:uid="{00000000-0015-0000-FFFF-FFFF80060000}" name="接続1334" type="7" refreshedVersion="4"/>
  <connection id="3716" xr16:uid="{DB91029A-01C7-4345-858B-6456CB6DF3F4}" name="接続13340" type="7" refreshedVersion="8"/>
  <connection id="3717" xr16:uid="{79B77034-2508-474C-8F11-CF519C8C5AF2}" name="接続13341" type="7" refreshedVersion="8"/>
  <connection id="3718" xr16:uid="{B9EF785B-71C6-4B6E-B62F-C4D5F7DA83F7}" name="接続13342" type="7" refreshedVersion="8"/>
  <connection id="3719" xr16:uid="{D23C57E6-ACD2-4CEC-80EA-45C2580A4DD6}" name="接続13343" type="7" refreshedVersion="8"/>
  <connection id="3720" xr16:uid="{429ADBF2-21D4-44D1-AC87-5C8F2C715480}" name="接続13344" type="7" refreshedVersion="8"/>
  <connection id="3721" xr16:uid="{A39D87AB-1EC5-4355-B8AC-F8DADEDAB352}" name="接続13345" type="7" refreshedVersion="8"/>
  <connection id="3722" xr16:uid="{07D83B6D-C6C7-4271-BBFA-3CEC2EF3AEA7}" name="接続13346" type="7" refreshedVersion="8"/>
  <connection id="3723" xr16:uid="{A5DC4186-653C-40C1-A77D-7C40FA49FD51}" name="接続13347" type="7" refreshedVersion="8"/>
  <connection id="3724" xr16:uid="{1E2F31D0-D48E-4E70-8340-5182EDD74DF1}" name="接続13348" type="7" refreshedVersion="8"/>
  <connection id="3725" xr16:uid="{482B0928-54E6-43D4-B18D-A54360A6667B}" name="接続13349" type="7" refreshedVersion="8"/>
  <connection id="3726" xr16:uid="{00000000-0015-0000-FFFF-FFFF81060000}" name="接続1335" type="7" refreshedVersion="4"/>
  <connection id="3727" xr16:uid="{A8734408-3B8D-4805-862E-965248C39115}" name="接続13350" type="7" refreshedVersion="8"/>
  <connection id="3728" xr16:uid="{1D9F12B1-0004-432F-9883-CB88BA100D3B}" name="接続13351" type="7" refreshedVersion="8"/>
  <connection id="3729" xr16:uid="{E428D095-2982-458F-81E0-533EBBA9D56B}" name="接続13352" type="7" refreshedVersion="8"/>
  <connection id="3730" xr16:uid="{2996E252-8F95-429B-9D58-A67752046F4F}" name="接続13353" type="7" refreshedVersion="8"/>
  <connection id="3731" xr16:uid="{F0C3CAAE-93B2-4B49-BE24-BBB3B59F6E7F}" name="接続13354" type="7" refreshedVersion="8"/>
  <connection id="3732" xr16:uid="{39F1D0A5-14A8-4E64-BFF9-967B11C5CB08}" name="接続13355" type="7" refreshedVersion="8"/>
  <connection id="3733" xr16:uid="{4B6490D4-24EE-4EF7-B562-DB465BFF3851}" name="接続13356" type="7" refreshedVersion="8"/>
  <connection id="3734" xr16:uid="{60760C96-C15D-4141-979E-B65480DC5C05}" name="接続13357" type="7" refreshedVersion="8"/>
  <connection id="3735" xr16:uid="{E8C59944-A4B8-4E3C-8DD1-4F9D725F8757}" name="接続13358" type="7" refreshedVersion="8"/>
  <connection id="3736" xr16:uid="{362021CA-182D-4E07-A9FC-1C2B9780142C}" name="接続13359" type="7" refreshedVersion="8"/>
  <connection id="3737" xr16:uid="{00000000-0015-0000-FFFF-FFFF82060000}" name="接続1336" type="7" refreshedVersion="4"/>
  <connection id="3738" xr16:uid="{14D689D0-A4D2-4262-BB99-2F1FFB7F97BF}" name="接続13360" type="7" refreshedVersion="8"/>
  <connection id="3739" xr16:uid="{86FFF410-47EE-412F-B115-019AFF98475A}" name="接続13361" type="7" refreshedVersion="8"/>
  <connection id="3740" xr16:uid="{49181098-3309-4176-850D-4F007C1F4907}" name="接続13362" type="7" refreshedVersion="8"/>
  <connection id="3741" xr16:uid="{7A2FA815-1015-402D-AF0E-0F3CAD14FAB5}" name="接続13363" type="7" refreshedVersion="8"/>
  <connection id="3742" xr16:uid="{FE4E5A2A-8D9F-4883-8668-79225BDFE9AC}" name="接続13364" type="7" refreshedVersion="8"/>
  <connection id="3743" xr16:uid="{3CD390EF-AA92-4AC2-A136-ACF789105110}" name="接続13365" type="7" refreshedVersion="8"/>
  <connection id="3744" xr16:uid="{05EB9FDE-D3A5-49C8-B841-4CDCD9D032F0}" name="接続13366" type="7" refreshedVersion="8"/>
  <connection id="3745" xr16:uid="{F6463D15-5843-4226-B10B-BEC42723EFDD}" name="接続13367" type="7" refreshedVersion="8"/>
  <connection id="3746" xr16:uid="{16B17692-6BA2-4A04-8801-174CEFD010EC}" name="接続13368" type="7" refreshedVersion="8"/>
  <connection id="3747" xr16:uid="{2AD8D2F8-74C2-47A7-A02A-8419BA9CA511}" name="接続13369" type="7" refreshedVersion="8"/>
  <connection id="3748" xr16:uid="{00000000-0015-0000-FFFF-FFFF83060000}" name="接続1337" type="7" refreshedVersion="4"/>
  <connection id="3749" xr16:uid="{676D9B38-4A87-4102-B61D-9170F43123E9}" name="接続13370" type="7" refreshedVersion="8"/>
  <connection id="3750" xr16:uid="{49DE982C-9EF5-4A05-975C-39C40BAB535B}" name="接続13371" type="7" refreshedVersion="8"/>
  <connection id="3751" xr16:uid="{C8B630D1-A944-4BE1-BE6D-9AD13223C86D}" name="接続13372" type="7" refreshedVersion="8"/>
  <connection id="3752" xr16:uid="{488CF9A0-01DA-40D2-BE1A-532BE12946C4}" name="接続13373" type="7" refreshedVersion="8"/>
  <connection id="3753" xr16:uid="{EC1E8EA9-ABCF-4396-8C0A-DABA22A32160}" name="接続13374" type="7" refreshedVersion="8"/>
  <connection id="3754" xr16:uid="{47B86613-B711-493C-AE05-DD05370F1CD1}" name="接続13375" type="7" refreshedVersion="8"/>
  <connection id="3755" xr16:uid="{2D15D523-4089-494E-B239-D71298F7DCF4}" name="接続13376" type="7" refreshedVersion="8"/>
  <connection id="3756" xr16:uid="{5DBD4CEE-1921-4C59-975B-6B4E38F584B6}" name="接続13377" type="7" refreshedVersion="8"/>
  <connection id="3757" xr16:uid="{97F69CFE-C651-49DC-8043-30E0C578E542}" name="接続13378" type="7" refreshedVersion="8"/>
  <connection id="3758" xr16:uid="{1137C683-EB61-4F95-A2A1-3D627C62C2AD}" name="接続13379" type="7" refreshedVersion="8"/>
  <connection id="3759" xr16:uid="{00000000-0015-0000-FFFF-FFFF84060000}" name="接続1338" type="7" refreshedVersion="4"/>
  <connection id="3760" xr16:uid="{D6B48D33-0BB5-4C50-A966-6AACD49C7915}" name="接続13380" type="7" refreshedVersion="8"/>
  <connection id="3761" xr16:uid="{4430A973-60A3-4900-94EA-839B976D60CB}" name="接続13381" type="7" refreshedVersion="8"/>
  <connection id="3762" xr16:uid="{52B29D89-1A78-45F0-86D0-5BF3D4A86849}" name="接続13382" type="7" refreshedVersion="8"/>
  <connection id="3763" xr16:uid="{C9DDC074-40CA-49C6-B292-451A88E45898}" name="接続13383" type="7" refreshedVersion="8"/>
  <connection id="3764" xr16:uid="{FD62EEB1-8E5D-4BB3-90B9-BC9AB849EF7F}" name="接続13384" type="7" refreshedVersion="8"/>
  <connection id="3765" xr16:uid="{E87FFB27-CC0D-43D4-85EA-750582C41C6B}" name="接続13385" type="7" refreshedVersion="8"/>
  <connection id="3766" xr16:uid="{AD313D57-5C67-40F4-A91F-DE4EC343721B}" name="接続13386" type="7" refreshedVersion="8"/>
  <connection id="3767" xr16:uid="{86A1064C-EA3A-4F6D-B496-4471C8819286}" name="接続13387" type="7" refreshedVersion="8"/>
  <connection id="3768" xr16:uid="{A4A54030-A44D-4A93-8116-BE1CC5D0A37B}" name="接続13388" type="7" refreshedVersion="8"/>
  <connection id="3769" xr16:uid="{A4794935-74D9-4CB8-8693-32ABEF449E0B}" name="接続13389" type="7" refreshedVersion="8"/>
  <connection id="3770" xr16:uid="{00000000-0015-0000-FFFF-FFFF85060000}" name="接続1339" type="7" refreshedVersion="4"/>
  <connection id="3771" xr16:uid="{44084248-431D-4C51-9554-ABAC7A777F10}" name="接続13390" type="7" refreshedVersion="8"/>
  <connection id="3772" xr16:uid="{79A6B3F3-FCF8-4FFE-9120-F996431F365A}" name="接続13391" type="7" refreshedVersion="8"/>
  <connection id="3773" xr16:uid="{103130FB-B1E9-45A1-BF21-E90F4F971773}" name="接続13392" type="7" refreshedVersion="8"/>
  <connection id="3774" xr16:uid="{CE571A17-1F47-4634-B0F5-23294A1E26E6}" name="接続13393" type="7" refreshedVersion="8"/>
  <connection id="3775" xr16:uid="{4890B340-9FC5-4E00-9DC9-08741F183890}" name="接続13394" type="7" refreshedVersion="8"/>
  <connection id="3776" xr16:uid="{731DF754-5312-4F0E-9BB2-3F64FE9968FD}" name="接続13395" type="7" refreshedVersion="8"/>
  <connection id="3777" xr16:uid="{AEAC6829-2F00-4E8F-A649-C7833E582A1F}" name="接続13396" type="7" refreshedVersion="8"/>
  <connection id="3778" xr16:uid="{818D25BC-8713-4B3A-8AAF-0F731CC82754}" name="接続13397" type="7" refreshedVersion="8"/>
  <connection id="3779" xr16:uid="{3B6C5094-6C91-4179-91B7-174A612D71EA}" name="接続13398" type="7" refreshedVersion="8"/>
  <connection id="3780" xr16:uid="{4B10D684-714B-478E-A6F5-0C32263C3129}" name="接続13399" type="7" refreshedVersion="8"/>
  <connection id="3781" xr16:uid="{00000000-0015-0000-FFFF-FFFF86060000}" name="接続134" type="7" refreshedVersion="4"/>
  <connection id="3782" xr16:uid="{00000000-0015-0000-FFFF-FFFF87060000}" name="接続1340" type="7" refreshedVersion="4"/>
  <connection id="3783" xr16:uid="{BC7371AC-3D25-4C5F-8E49-C5993D555874}" name="接続13400" type="7" refreshedVersion="8"/>
  <connection id="3784" xr16:uid="{DB7EAA95-8C7F-44B6-B394-E55350FA9F16}" name="接続13401" type="7" refreshedVersion="8"/>
  <connection id="3785" xr16:uid="{8FB7C460-76CD-42CB-AF40-4252E0B24E8A}" name="接続13402" type="7" refreshedVersion="8"/>
  <connection id="3786" xr16:uid="{308CCA74-77A0-4091-A6C2-3DC6F4E23CB1}" name="接続13403" type="7" refreshedVersion="8"/>
  <connection id="3787" xr16:uid="{0CDF92E4-36E7-4B88-92FB-55887EB71F46}" name="接続13404" type="7" refreshedVersion="8"/>
  <connection id="3788" xr16:uid="{A0657BC9-7785-4DC5-9D96-DDD681031955}" name="接続13405" type="7" refreshedVersion="8"/>
  <connection id="3789" xr16:uid="{EC7BDBCE-C618-4822-8301-11737B27BB40}" name="接続13406" type="7" refreshedVersion="8"/>
  <connection id="3790" xr16:uid="{754A8E9E-ACE6-401E-8EA4-10D21C10BC2A}" name="接続13407" type="7" refreshedVersion="8"/>
  <connection id="3791" xr16:uid="{76B1F391-6602-402B-8E1D-3EAEE6ACB73D}" name="接続13408" type="7" refreshedVersion="8"/>
  <connection id="3792" xr16:uid="{983CCF7E-39A9-45AF-8098-613C1F6E4DA0}" name="接続13409" type="7" refreshedVersion="8"/>
  <connection id="3793" xr16:uid="{00000000-0015-0000-FFFF-FFFF88060000}" name="接続1341" type="7" refreshedVersion="4"/>
  <connection id="3794" xr16:uid="{B3E85822-8558-40CD-961C-49FAE3595337}" name="接続13410" type="7" refreshedVersion="8"/>
  <connection id="3795" xr16:uid="{D230A868-0FEB-44BC-A855-D6BD97DA1434}" name="接続13411" type="7" refreshedVersion="8"/>
  <connection id="3796" xr16:uid="{057877F2-3AB7-4842-A447-00A690CA763B}" name="接続13412" type="7" refreshedVersion="8"/>
  <connection id="3797" xr16:uid="{4F436131-B99B-4ADC-98BE-707D11AE62D5}" name="接続13413" type="7" refreshedVersion="8"/>
  <connection id="3798" xr16:uid="{7CADB3FE-453C-435F-BC67-9BE9362CBCA1}" name="接続13414" type="7" refreshedVersion="8"/>
  <connection id="3799" xr16:uid="{295EB431-5485-460B-BA8D-B55258FB2E8E}" name="接続13415" type="7" refreshedVersion="8"/>
  <connection id="3800" xr16:uid="{B09C20D9-5C6D-4B15-B750-FBE1D17D9286}" name="接続13416" type="7" refreshedVersion="8"/>
  <connection id="3801" xr16:uid="{087C69E8-A275-4D99-8821-768BB6164DF2}" name="接続13417" type="7" refreshedVersion="8"/>
  <connection id="3802" xr16:uid="{40D2088C-D977-4FFD-B3E4-549BAAAD3E7A}" name="接続13418" type="7" refreshedVersion="8"/>
  <connection id="3803" xr16:uid="{B53DEAAF-FB5D-4C2D-A31F-BC9AAB14FDD6}" name="接続13419" type="7" refreshedVersion="8"/>
  <connection id="3804" xr16:uid="{00000000-0015-0000-FFFF-FFFF89060000}" name="接続1342" type="7" refreshedVersion="4"/>
  <connection id="3805" xr16:uid="{A307FCB1-1DFE-49B1-A3B8-33EDF8865541}" name="接続13420" type="7" refreshedVersion="8"/>
  <connection id="3806" xr16:uid="{35B1FC54-E00D-41F1-930C-B8EA71676F88}" name="接続13421" type="7" refreshedVersion="8"/>
  <connection id="3807" xr16:uid="{160B1052-B991-4ED3-B0CD-DE5D6D4FA24E}" name="接続13422" type="7" refreshedVersion="8"/>
  <connection id="3808" xr16:uid="{4F6B87A8-34B6-44BA-BC9B-B346790B7220}" name="接続13423" type="7" refreshedVersion="8"/>
  <connection id="3809" xr16:uid="{948D114D-4254-4714-A3A9-8DE234A59E70}" name="接続13424" type="7" refreshedVersion="8"/>
  <connection id="3810" xr16:uid="{69D392E4-B746-4F81-A0FC-1D25D291BF84}" name="接続13425" type="7" refreshedVersion="8"/>
  <connection id="3811" xr16:uid="{1F028C0E-AB6F-423B-8516-E17E38992C85}" name="接続13426" type="7" refreshedVersion="8"/>
  <connection id="3812" xr16:uid="{D9093280-035F-4051-BFB6-6B8909C72440}" name="接続13427" type="7" refreshedVersion="8"/>
  <connection id="3813" xr16:uid="{C589F384-C54A-4C08-A338-BFF1D2111D24}" name="接続13428" type="7" refreshedVersion="8"/>
  <connection id="3814" xr16:uid="{7C3B58CA-04B5-4988-9A01-F98E27E40CB7}" name="接続13429" type="7" refreshedVersion="8"/>
  <connection id="3815" xr16:uid="{00000000-0015-0000-FFFF-FFFF8A060000}" name="接続1343" type="7" refreshedVersion="4"/>
  <connection id="3816" xr16:uid="{3838E9FE-E12F-4104-9BFA-1033107B9BD0}" name="接続13430" type="7" refreshedVersion="8"/>
  <connection id="3817" xr16:uid="{A09D6F50-0076-452F-A629-3D1A0FBB4D28}" name="接続13431" type="7" refreshedVersion="8"/>
  <connection id="3818" xr16:uid="{385ADD9D-4547-4FA1-AA56-366922F7CFCE}" name="接続13432" type="7" refreshedVersion="8"/>
  <connection id="3819" xr16:uid="{8C4CC813-8566-4AC2-A168-7724BE0C892E}" name="接続13433" type="7" refreshedVersion="8"/>
  <connection id="3820" xr16:uid="{F9339C32-BF19-4647-B002-761AB1C92418}" name="接続13434" type="7" refreshedVersion="8"/>
  <connection id="3821" xr16:uid="{416F581A-DC5C-42E7-95FA-26969BB6BAE3}" name="接続13435" type="7" refreshedVersion="8"/>
  <connection id="3822" xr16:uid="{28B29EFA-E0B7-487A-B67F-1766380AB11D}" name="接続13436" type="7" refreshedVersion="8"/>
  <connection id="3823" xr16:uid="{05D8D248-756C-468E-BB47-315B71CC2270}" name="接続13437" type="7" refreshedVersion="8"/>
  <connection id="3824" xr16:uid="{AA6F2013-2B8A-428A-91BE-A7AEBA1D9A9D}" name="接続13438" type="7" refreshedVersion="8"/>
  <connection id="3825" xr16:uid="{4963D19E-DCED-47A0-B955-92E8E26A6D5B}" name="接続13439" type="7" refreshedVersion="8"/>
  <connection id="3826" xr16:uid="{00000000-0015-0000-FFFF-FFFF8B060000}" name="接続1344" type="7" refreshedVersion="4"/>
  <connection id="3827" xr16:uid="{9B293878-5261-48C1-B397-0AAD0D03E957}" name="接続13440" type="7" refreshedVersion="8"/>
  <connection id="3828" xr16:uid="{703DE711-2010-42C1-9C1B-ED692C124182}" name="接続13441" type="7" refreshedVersion="8"/>
  <connection id="3829" xr16:uid="{22EAC5DB-712A-4F23-8250-79753FB0E242}" name="接続13442" type="7" refreshedVersion="8"/>
  <connection id="3830" xr16:uid="{687BCD84-0391-4CEC-A904-1031C4A0A1B4}" name="接続13443" type="7" refreshedVersion="8"/>
  <connection id="3831" xr16:uid="{2B332370-0922-427B-AB63-4DF41978EEA4}" name="接続13444" type="7" refreshedVersion="8"/>
  <connection id="3832" xr16:uid="{36E887A5-1954-4D0B-B2A0-61F622542E19}" name="接続13445" type="7" refreshedVersion="8"/>
  <connection id="3833" xr16:uid="{058C3D06-1251-43B8-9ED3-2A04F66C8567}" name="接続13446" type="7" refreshedVersion="8"/>
  <connection id="3834" xr16:uid="{FABBFD8A-E528-4A64-A3ED-99B188CC4C31}" name="接続13447" type="7" refreshedVersion="8"/>
  <connection id="3835" xr16:uid="{55424E87-98FC-430F-83F1-0D13B311A733}" name="接続13448" type="7" refreshedVersion="8"/>
  <connection id="3836" xr16:uid="{91E4FC92-A337-4071-AB90-8C72CC86F52F}" name="接続13449" type="7" refreshedVersion="8"/>
  <connection id="3837" xr16:uid="{00000000-0015-0000-FFFF-FFFF8C060000}" name="接続1345" type="7" refreshedVersion="4"/>
  <connection id="3838" xr16:uid="{59BFF1D0-0AC8-462B-BCAF-2CEB7D7B6C26}" name="接続13450" type="7" refreshedVersion="8"/>
  <connection id="3839" xr16:uid="{2B96E18A-F9E8-48A3-8B5C-BF2D069FDC01}" name="接続13451" type="7" refreshedVersion="8"/>
  <connection id="3840" xr16:uid="{50A206A0-C5AD-4FAB-88B8-FB3D4556D5A1}" name="接続13452" type="7" refreshedVersion="8"/>
  <connection id="3841" xr16:uid="{B04EAEE4-1C01-4BC7-B2C1-6343C4878957}" name="接続13453" type="7" refreshedVersion="8"/>
  <connection id="3842" xr16:uid="{D0F447D7-7680-4AA8-88BD-4BCCC8619B23}" name="接続13454" type="7" refreshedVersion="8"/>
  <connection id="3843" xr16:uid="{0B0C8532-1DEF-45BB-984D-C7B30EBA1C76}" name="接続13455" type="7" refreshedVersion="8"/>
  <connection id="3844" xr16:uid="{FBCC7B2A-DA9F-4CC5-B53F-E292F03CD5D8}" name="接続13456" type="7" refreshedVersion="8"/>
  <connection id="3845" xr16:uid="{10D90168-213B-496A-8ABD-FC14E6EE448E}" name="接続13457" type="7" refreshedVersion="8"/>
  <connection id="3846" xr16:uid="{3D949411-89A1-492B-BCD6-9E31D4A604D0}" name="接続13458" type="7" refreshedVersion="8"/>
  <connection id="3847" xr16:uid="{D0611987-A493-47E3-A197-3B51854FFA8D}" name="接続13459" type="7" refreshedVersion="8"/>
  <connection id="3848" xr16:uid="{00000000-0015-0000-FFFF-FFFF8D060000}" name="接続1346" type="7" refreshedVersion="4"/>
  <connection id="3849" xr16:uid="{CB06458B-ED67-4CD7-9902-F31550AA1A39}" name="接続13460" type="7" refreshedVersion="8"/>
  <connection id="3850" xr16:uid="{463CEDCD-C09B-4815-985F-7885D21286C0}" name="接続13461" type="7" refreshedVersion="8"/>
  <connection id="3851" xr16:uid="{12398F3D-4CF3-48A4-9A58-62F8C9520739}" name="接続13462" type="7" refreshedVersion="8"/>
  <connection id="3852" xr16:uid="{54525796-4C34-482A-AB62-DC535858EF41}" name="接続13463" type="7" refreshedVersion="8"/>
  <connection id="3853" xr16:uid="{9B892061-8176-4EFE-9952-578708F1CE5C}" name="接続13464" type="7" refreshedVersion="8"/>
  <connection id="3854" xr16:uid="{83B7AD27-5AAC-430B-873A-3A6C852EA2D0}" name="接続13465" type="7" refreshedVersion="8"/>
  <connection id="3855" xr16:uid="{4FF306CD-C6BD-45AD-9D40-F77A0E1E1C7F}" name="接続13466" type="7" refreshedVersion="8"/>
  <connection id="3856" xr16:uid="{8AB3E7DA-1DD5-4CF0-8863-DE9B5363B31F}" name="接続13467" type="7" refreshedVersion="8"/>
  <connection id="3857" xr16:uid="{D01A4318-F575-4F42-A288-FB532A10B037}" name="接続13468" type="7" refreshedVersion="8"/>
  <connection id="3858" xr16:uid="{73029B26-CA02-465D-ADD6-B2039FEA0209}" name="接続13469" type="7" refreshedVersion="8"/>
  <connection id="3859" xr16:uid="{00000000-0015-0000-FFFF-FFFF8E060000}" name="接続1347" type="7" refreshedVersion="4"/>
  <connection id="3860" xr16:uid="{041FE5C7-1ADD-48B8-B7D9-C9BD569A4E35}" name="接続13470" type="7" refreshedVersion="8"/>
  <connection id="3861" xr16:uid="{5F955A6A-D2CA-4614-BCFC-19F495FF9C4C}" name="接続13471" type="7" refreshedVersion="8"/>
  <connection id="3862" xr16:uid="{2E0E613A-A261-4BDF-8A3A-F249B396758E}" name="接続13472" type="7" refreshedVersion="8"/>
  <connection id="3863" xr16:uid="{9296BD44-B92E-423D-94DA-E48CEC03A0B3}" name="接続13473" type="7" refreshedVersion="8"/>
  <connection id="3864" xr16:uid="{931C1FB9-3EA5-4121-883E-D075780CB758}" name="接続13474" type="7" refreshedVersion="8"/>
  <connection id="3865" xr16:uid="{5D5B9FFA-F799-410A-B0B1-B009E145A541}" name="接続13475" type="7" refreshedVersion="8"/>
  <connection id="3866" xr16:uid="{F88A3A3F-6AD4-4D91-A9A5-94676FA78CB2}" name="接続13476" type="7" refreshedVersion="8"/>
  <connection id="3867" xr16:uid="{4EC4A027-02DB-4F11-93DF-8109C74B806A}" name="接続13477" type="7" refreshedVersion="8"/>
  <connection id="3868" xr16:uid="{0CAE9633-E2E5-473B-9E88-2B56AD7AB018}" name="接続13478" type="7" refreshedVersion="8"/>
  <connection id="3869" xr16:uid="{0502C636-D3FA-4322-A032-F0FE795A2700}" name="接続13479" type="7" refreshedVersion="8"/>
  <connection id="3870" xr16:uid="{00000000-0015-0000-FFFF-FFFF8F060000}" name="接続1348" type="7" refreshedVersion="4"/>
  <connection id="3871" xr16:uid="{DFC34D33-7A7A-4EA9-BBF0-FC6DF256D125}" name="接続13480" type="7" refreshedVersion="8"/>
  <connection id="3872" xr16:uid="{50938494-217F-44BD-B363-B03B9A8D14FF}" name="接続13481" type="7" refreshedVersion="8"/>
  <connection id="3873" xr16:uid="{A89F8F38-3E85-478F-82BE-E434F966CB6D}" name="接続13482" type="7" refreshedVersion="8"/>
  <connection id="3874" xr16:uid="{DDAA96A0-01B1-45A6-8C24-14A51F87E325}" name="接続13483" type="7" refreshedVersion="8"/>
  <connection id="3875" xr16:uid="{5C214625-D005-4275-90D3-7154DC62AAFD}" name="接続13484" type="7" refreshedVersion="8"/>
  <connection id="3876" xr16:uid="{E9227A9F-BFF2-4070-98AF-C06ED5F7CE61}" name="接続13485" type="7" refreshedVersion="8"/>
  <connection id="3877" xr16:uid="{845DF9B1-542E-4D18-84A7-3CFBB52A4862}" name="接続13486" type="7" refreshedVersion="8"/>
  <connection id="3878" xr16:uid="{25697A87-F296-4148-AB0F-78F87CFAD234}" name="接続13487" type="7" refreshedVersion="8"/>
  <connection id="3879" xr16:uid="{4E34A967-20BB-442D-8573-4EE140DFB6DC}" name="接続13488" type="7" refreshedVersion="8"/>
  <connection id="3880" xr16:uid="{C367DAD1-58AD-4E2A-B166-481C795EE929}" name="接続13489" type="7" refreshedVersion="8"/>
  <connection id="3881" xr16:uid="{00000000-0015-0000-FFFF-FFFF90060000}" name="接続1349" type="7" refreshedVersion="4"/>
  <connection id="3882" xr16:uid="{A29FF2FF-843B-4FE9-B779-5FA8D0DF8A39}" name="接続13490" type="7" refreshedVersion="8"/>
  <connection id="3883" xr16:uid="{31F98A0D-E9BA-4539-82C9-932AC6A85E28}" name="接続13491" type="7" refreshedVersion="8"/>
  <connection id="3884" xr16:uid="{08947D27-40B7-40E7-92F1-2AE496545008}" name="接続13492" type="7" refreshedVersion="8"/>
  <connection id="3885" xr16:uid="{94248C0C-3DE9-4A37-A71D-ACF9DA34A6BB}" name="接続13493" type="7" refreshedVersion="8"/>
  <connection id="3886" xr16:uid="{F511D3B4-4EC5-408C-9D05-6D3105960DA3}" name="接続13494" type="7" refreshedVersion="8"/>
  <connection id="3887" xr16:uid="{6EC6B475-15A9-4040-82BE-90BE292FA714}" name="接続13495" type="7" refreshedVersion="8"/>
  <connection id="3888" xr16:uid="{629E5E69-CA98-4176-80C0-5F6EDECC3421}" name="接続13496" type="7" refreshedVersion="8"/>
  <connection id="3889" xr16:uid="{92C6CFCE-0D1F-4E1D-97C3-80F4E72F6992}" name="接続13497" type="7" refreshedVersion="8"/>
  <connection id="3890" xr16:uid="{D81A33E6-5E77-4775-8172-E13E396D54EA}" name="接続13498" type="7" refreshedVersion="8"/>
  <connection id="3891" xr16:uid="{C36186FF-C364-494A-A879-244EB750D634}" name="接続13499" type="7" refreshedVersion="8"/>
  <connection id="3892" xr16:uid="{00000000-0015-0000-FFFF-FFFF91060000}" name="接続135" type="7" refreshedVersion="4"/>
  <connection id="3893" xr16:uid="{00000000-0015-0000-FFFF-FFFF92060000}" name="接続1350" type="7" refreshedVersion="4"/>
  <connection id="3894" xr16:uid="{A0A88C54-9547-402B-BAD3-CD759FBE6F80}" name="接続13500" type="7" refreshedVersion="8"/>
  <connection id="3895" xr16:uid="{EA221A64-9684-4C14-8361-1CABDF3DFAE1}" name="接続13501" type="7" refreshedVersion="8"/>
  <connection id="3896" xr16:uid="{6D518142-D474-4E04-AC71-6F36F72C404B}" name="接続13502" type="7" refreshedVersion="8"/>
  <connection id="3897" xr16:uid="{AF3B8398-23D7-47B6-B29D-F2DD99343F2F}" name="接続13503" type="7" refreshedVersion="8"/>
  <connection id="3898" xr16:uid="{9BD18487-31FE-4144-A764-811D2F90B379}" name="接続13504" type="7" refreshedVersion="8"/>
  <connection id="3899" xr16:uid="{6C9D7E3F-B2AA-4CF3-9E07-F229E5A05425}" name="接続13505" type="7" refreshedVersion="8"/>
  <connection id="3900" xr16:uid="{B36F7536-3A4D-4225-A859-11B179BE96FF}" name="接続13506" type="7" refreshedVersion="8"/>
  <connection id="3901" xr16:uid="{5A7A4F16-0301-4F15-8225-9C3EF1E24C93}" name="接続13507" type="7" refreshedVersion="8"/>
  <connection id="3902" xr16:uid="{DD7D1E5F-1F99-470C-9F16-545E85857B79}" name="接続13508" type="7" refreshedVersion="8"/>
  <connection id="3903" xr16:uid="{A3F8FDE2-9116-48E1-A6A1-925494F06BCC}" name="接続13509" type="7" refreshedVersion="8"/>
  <connection id="3904" xr16:uid="{00000000-0015-0000-FFFF-FFFF93060000}" name="接続1351" type="7" refreshedVersion="4"/>
  <connection id="3905" xr16:uid="{929DEB8C-02A6-4BD6-BCBC-829679DF04BE}" name="接続13510" type="7" refreshedVersion="8"/>
  <connection id="3906" xr16:uid="{347EEF3E-6F9B-426C-925D-31626AA67C5B}" name="接続13511" type="7" refreshedVersion="8"/>
  <connection id="3907" xr16:uid="{A4F18E20-563C-466C-A9AF-F5383F998CD5}" name="接続13512" type="7" refreshedVersion="8"/>
  <connection id="3908" xr16:uid="{02EB504F-1E08-48C4-8ED5-E829D0EE877E}" name="接続13513" type="7" refreshedVersion="8"/>
  <connection id="3909" xr16:uid="{C07050E3-15BF-4531-9EFB-EE54778F89ED}" name="接続13514" type="7" refreshedVersion="8"/>
  <connection id="3910" xr16:uid="{E365FC45-A1E6-4293-9AD4-7428DB9DA5BE}" name="接続13515" type="7" refreshedVersion="8"/>
  <connection id="3911" xr16:uid="{B165B37F-1883-48E7-9C93-3B7AC736C057}" name="接続13516" type="7" refreshedVersion="8"/>
  <connection id="3912" xr16:uid="{DB12D410-2ACE-4232-8AF1-9AFC1ECD0F04}" name="接続13517" type="7" refreshedVersion="8"/>
  <connection id="3913" xr16:uid="{D36F9D90-2419-4FB1-B0C3-61AB270CAB07}" name="接続13518" type="7" refreshedVersion="8"/>
  <connection id="3914" xr16:uid="{E761ED95-B5A6-4E46-9318-196626933E3A}" name="接続13519" type="7" refreshedVersion="8"/>
  <connection id="3915" xr16:uid="{00000000-0015-0000-FFFF-FFFF94060000}" name="接続1352" type="7" refreshedVersion="4"/>
  <connection id="3916" xr16:uid="{8289A9CA-5F1D-4C12-B35F-E5868158C65D}" name="接続13520" type="7" refreshedVersion="8"/>
  <connection id="3917" xr16:uid="{46CA668D-27FD-43FA-BF95-CE5D67A6FC8A}" name="接続13521" type="7" refreshedVersion="8"/>
  <connection id="3918" xr16:uid="{B5323D20-5C79-40E2-8FDF-0831D3F9E4E5}" name="接続13522" type="7" refreshedVersion="8"/>
  <connection id="3919" xr16:uid="{157C139C-26C9-4CAC-A11C-769BAE020B71}" name="接続13523" type="7" refreshedVersion="8"/>
  <connection id="3920" xr16:uid="{59BC15A8-B997-4A06-87A6-1A0DC1D45172}" name="接続13524" type="7" refreshedVersion="8"/>
  <connection id="3921" xr16:uid="{9C3AC253-A4DC-4C9C-B0A2-1837B2B86B33}" name="接続13525" type="7" refreshedVersion="8"/>
  <connection id="3922" xr16:uid="{3A77849A-2E39-4EAC-BBAB-9F47E690B7F2}" name="接続13526" type="7" refreshedVersion="8"/>
  <connection id="3923" xr16:uid="{1E64BCCE-550C-4A97-AD77-84A900CEC6E3}" name="接続13527" type="7" refreshedVersion="8"/>
  <connection id="3924" xr16:uid="{38C3D7A8-E40D-46D8-BD6C-137E5FE7D8F8}" name="接続13528" type="7" refreshedVersion="8"/>
  <connection id="3925" xr16:uid="{6E93F650-EDDB-4025-A315-EC6B9759AB38}" name="接続13529" type="7" refreshedVersion="8"/>
  <connection id="3926" xr16:uid="{00000000-0015-0000-FFFF-FFFF95060000}" name="接続1353" type="7" refreshedVersion="4"/>
  <connection id="3927" xr16:uid="{F18E9848-D6E4-44AA-8711-3B36056154B5}" name="接続13530" type="7" refreshedVersion="8"/>
  <connection id="3928" xr16:uid="{FF9B65E6-8722-4747-99AE-6103033DD44F}" name="接続13531" type="7" refreshedVersion="8"/>
  <connection id="3929" xr16:uid="{0273EEFA-C71F-42DD-9C62-E24B7E932256}" name="接続13532" type="7" refreshedVersion="8"/>
  <connection id="3930" xr16:uid="{CB32AED6-6B22-4111-9531-FAD402242F95}" name="接続13533" type="7" refreshedVersion="8"/>
  <connection id="3931" xr16:uid="{458615AA-D4B3-4178-939F-B13CD3DF803D}" name="接続13534" type="7" refreshedVersion="8"/>
  <connection id="3932" xr16:uid="{8B27304F-86BA-46E5-B3B9-3E4B5D2E57DE}" name="接続13535" type="7" refreshedVersion="8"/>
  <connection id="3933" xr16:uid="{9151EAC0-A1BF-44A4-A5D7-C623001C1EFE}" name="接続13536" type="7" refreshedVersion="8"/>
  <connection id="3934" xr16:uid="{AAD984A7-D31B-46B5-B07B-43AF499AD74E}" name="接続13537" type="7" refreshedVersion="8"/>
  <connection id="3935" xr16:uid="{BADBC618-A8B3-44BF-91E0-FE2DEB8CBE36}" name="接続13538" type="7" refreshedVersion="8"/>
  <connection id="3936" xr16:uid="{4575C264-F5A8-4CFC-8889-37B4A0E49F25}" name="接続13539" type="7" refreshedVersion="8"/>
  <connection id="3937" xr16:uid="{00000000-0015-0000-FFFF-FFFF96060000}" name="接続1354" type="7" refreshedVersion="4"/>
  <connection id="3938" xr16:uid="{A43AAF8C-F5F8-4244-A151-63E259CC8346}" name="接続13540" type="7" refreshedVersion="8"/>
  <connection id="3939" xr16:uid="{52039E37-BEF1-43D1-AA62-276E3290F051}" name="接続13541" type="7" refreshedVersion="8"/>
  <connection id="3940" xr16:uid="{4277A21F-4F11-4973-ACEC-90AC9470C922}" name="接続13542" type="7" refreshedVersion="8"/>
  <connection id="3941" xr16:uid="{2D1B9DAF-58F2-416A-98ED-C28B8D505C35}" name="接続13543" type="7" refreshedVersion="8"/>
  <connection id="3942" xr16:uid="{7C76F1B2-F98A-415F-AF50-A0107E5294BC}" name="接続13544" type="7" refreshedVersion="8"/>
  <connection id="3943" xr16:uid="{1952AA63-39C6-4C4A-BB83-87802C1FE5EC}" name="接続13545" type="7" refreshedVersion="8"/>
  <connection id="3944" xr16:uid="{972BB799-5E42-49CA-B62D-AB928A9189BE}" name="接続13546" type="7" refreshedVersion="8"/>
  <connection id="3945" xr16:uid="{BD98DAD7-8925-499E-A2F5-E3B86C022EBE}" name="接続13547" type="7" refreshedVersion="8"/>
  <connection id="3946" xr16:uid="{F3A448F8-F283-4D26-91E3-D65E00486C05}" name="接続13548" type="7" refreshedVersion="8"/>
  <connection id="3947" xr16:uid="{D2030860-4171-46D5-ACE6-89B51B513A2C}" name="接続13549" type="7" refreshedVersion="8"/>
  <connection id="3948" xr16:uid="{00000000-0015-0000-FFFF-FFFF97060000}" name="接続1355" type="7" refreshedVersion="4"/>
  <connection id="3949" xr16:uid="{5BBD518B-C115-41A4-87AE-F2F8E028604F}" name="接続13550" type="7" refreshedVersion="8"/>
  <connection id="3950" xr16:uid="{3D5E3E27-D766-43BF-B5B3-29E3F4D39F01}" name="接続13551" type="7" refreshedVersion="8"/>
  <connection id="3951" xr16:uid="{779D619B-6479-48C4-A32D-3B3821DE6BD1}" name="接続13552" type="7" refreshedVersion="8"/>
  <connection id="3952" xr16:uid="{FD7B107E-59FC-4512-826C-C04F979C395C}" name="接続13553" type="7" refreshedVersion="8"/>
  <connection id="3953" xr16:uid="{CADE71FD-F4E3-40BB-B1CE-DE1F4F25706F}" name="接続13554" type="7" refreshedVersion="8"/>
  <connection id="3954" xr16:uid="{EF3B7F66-5874-461E-888A-701474C5F880}" name="接続13555" type="7" refreshedVersion="8"/>
  <connection id="3955" xr16:uid="{1C468995-4236-4351-B4CA-8E3EE1D13911}" name="接続13556" type="7" refreshedVersion="8"/>
  <connection id="3956" xr16:uid="{5DE29ED2-634F-4C4A-9157-A2A6B605989D}" name="接続13557" type="7" refreshedVersion="8"/>
  <connection id="3957" xr16:uid="{56CAB157-43AD-44CC-AD3D-8785673A0A6A}" name="接続13558" type="7" refreshedVersion="8"/>
  <connection id="3958" xr16:uid="{8DAB88C8-FE4D-4D7A-9555-3B7F152C2953}" name="接続13559" type="7" refreshedVersion="8"/>
  <connection id="3959" xr16:uid="{00000000-0015-0000-FFFF-FFFF98060000}" name="接続1356" type="7" refreshedVersion="4"/>
  <connection id="3960" xr16:uid="{804EA3BA-7924-4A44-AECA-93698915D196}" name="接続13560" type="7" refreshedVersion="8"/>
  <connection id="3961" xr16:uid="{939C820C-F77D-4A69-BDF4-6E2BE7A8C01C}" name="接続13561" type="7" refreshedVersion="8"/>
  <connection id="3962" xr16:uid="{CE4C01F0-5AFF-4E31-848B-EB86A97F6C46}" name="接続13562" type="7" refreshedVersion="8"/>
  <connection id="3963" xr16:uid="{2DC4A120-184E-4E37-9450-A1921C24F35B}" name="接続13563" type="7" refreshedVersion="8"/>
  <connection id="3964" xr16:uid="{3D9DBDC2-009B-49C2-978F-5373A9EC2CF4}" name="接続13564" type="7" refreshedVersion="8"/>
  <connection id="3965" xr16:uid="{84670F6F-89A9-4DE4-938F-CD8B53205A06}" name="接続13565" type="7" refreshedVersion="8"/>
  <connection id="3966" xr16:uid="{92D9B047-DE04-4FE3-9878-2A87C1F0E125}" name="接続13566" type="7" refreshedVersion="8"/>
  <connection id="3967" xr16:uid="{544208B6-F23E-4F90-987A-F4AD00C4E265}" name="接続13567" type="7" refreshedVersion="8"/>
  <connection id="3968" xr16:uid="{CCDB14D1-FD55-4D29-A446-CB2743322785}" name="接続13568" type="7" refreshedVersion="8"/>
  <connection id="3969" xr16:uid="{A79C5087-209B-457C-9C62-7F06DE70845A}" name="接続13569" type="7" refreshedVersion="8"/>
  <connection id="3970" xr16:uid="{00000000-0015-0000-FFFF-FFFF99060000}" name="接続1357" type="7" refreshedVersion="4"/>
  <connection id="3971" xr16:uid="{108D7B6D-1144-4ABD-942D-7BDA500BF6D5}" name="接続13570" type="7" refreshedVersion="8"/>
  <connection id="3972" xr16:uid="{843BE8E6-538B-481D-AE45-06A90FE9A313}" name="接続13571" type="7" refreshedVersion="8"/>
  <connection id="3973" xr16:uid="{1E6A8F33-AAF1-4C79-B893-136283A2C9E7}" name="接続13572" type="7" refreshedVersion="8"/>
  <connection id="3974" xr16:uid="{9EA845FC-03F1-4989-81FF-67FF22605EBF}" name="接続13573" type="7" refreshedVersion="8"/>
  <connection id="3975" xr16:uid="{9429AB4E-5673-46B3-BA51-0FF964768862}" name="接続13574" type="7" refreshedVersion="8"/>
  <connection id="3976" xr16:uid="{10C9F204-5CA4-4258-A943-65989211E236}" name="接続13575" type="7" refreshedVersion="8"/>
  <connection id="3977" xr16:uid="{2F98D826-1AC1-44FD-93AA-5B908B22EF33}" name="接続13576" type="7" refreshedVersion="8"/>
  <connection id="3978" xr16:uid="{FE7AF9A1-B952-4E32-A6AA-5CE12ECE0680}" name="接続13577" type="7" refreshedVersion="8"/>
  <connection id="3979" xr16:uid="{0DB9D7F1-A338-4C49-B863-773D2146CFCF}" name="接続13578" type="7" refreshedVersion="8"/>
  <connection id="3980" xr16:uid="{EEA3525F-9CBB-4FB0-A30A-DC52C1324C76}" name="接続13579" type="7" refreshedVersion="8"/>
  <connection id="3981" xr16:uid="{00000000-0015-0000-FFFF-FFFF9A060000}" name="接続1358" type="7" refreshedVersion="4"/>
  <connection id="3982" xr16:uid="{E9999516-B69A-488C-8905-41991405E95A}" name="接続13580" type="7" refreshedVersion="8"/>
  <connection id="3983" xr16:uid="{568603A7-B0AA-464D-B477-50D417DD70B4}" name="接続13581" type="7" refreshedVersion="8"/>
  <connection id="3984" xr16:uid="{E73E5E90-10D8-437B-8560-DE8421874DE3}" name="接続13582" type="7" refreshedVersion="8"/>
  <connection id="3985" xr16:uid="{84DFA267-7DA4-4191-9CF6-FA71BE1DBD80}" name="接続13583" type="7" refreshedVersion="8"/>
  <connection id="3986" xr16:uid="{47076B18-102F-45A8-A81B-C2619B8F99BA}" name="接続13584" type="7" refreshedVersion="8"/>
  <connection id="3987" xr16:uid="{9E831E31-4033-42C7-B9F5-845558A86C93}" name="接続13585" type="7" refreshedVersion="8"/>
  <connection id="3988" xr16:uid="{37376816-8620-4E4C-9F43-C18DBA210C72}" name="接続13586" type="7" refreshedVersion="8"/>
  <connection id="3989" xr16:uid="{4A758132-38D6-4CA4-A925-78BD8C6866F8}" name="接続13587" type="7" refreshedVersion="8"/>
  <connection id="3990" xr16:uid="{2281168C-998C-46FB-B079-4E13A26DBF85}" name="接続13588" type="7" refreshedVersion="8"/>
  <connection id="3991" xr16:uid="{BDB123C7-912A-4644-83F5-ACAFBFB90289}" name="接続13589" type="7" refreshedVersion="8"/>
  <connection id="3992" xr16:uid="{00000000-0015-0000-FFFF-FFFF9B060000}" name="接続1359" type="7" refreshedVersion="4"/>
  <connection id="3993" xr16:uid="{058E1E66-A835-4250-8345-A3E4C18CD26B}" name="接続13590" type="7" refreshedVersion="8"/>
  <connection id="3994" xr16:uid="{F4E12855-B9F3-44E5-A53E-B3B532D4D543}" name="接続13591" type="7" refreshedVersion="8"/>
  <connection id="3995" xr16:uid="{0E345909-E017-4325-A2D8-FC695644A79D}" name="接続13592" type="7" refreshedVersion="8"/>
  <connection id="3996" xr16:uid="{BBC3EDD1-6B91-4A5C-B726-BB6A354BB695}" name="接続13593" type="7" refreshedVersion="8"/>
  <connection id="3997" xr16:uid="{B329FF6C-8FA8-4585-90A0-D70CB81893B5}" name="接続13594" type="7" refreshedVersion="8"/>
  <connection id="3998" xr16:uid="{FAFE9289-43C8-4DC8-8775-5DD162FBD6AC}" name="接続13595" type="7" refreshedVersion="8"/>
  <connection id="3999" xr16:uid="{69A3E8D2-D591-4118-8892-DBA381F36ADE}" name="接続13596" type="7" refreshedVersion="8"/>
  <connection id="4000" xr16:uid="{66E9CE49-BCD3-437B-898D-090CF6B7BDAE}" name="接続13597" type="7" refreshedVersion="8"/>
  <connection id="4001" xr16:uid="{2E8CF7C0-D471-4BD5-B1D2-7F9183D7A081}" name="接続13598" type="7" refreshedVersion="8"/>
  <connection id="4002" xr16:uid="{E4A03639-F081-4222-9570-193AB846213D}" name="接続13599" type="7" refreshedVersion="8"/>
  <connection id="4003" xr16:uid="{00000000-0015-0000-FFFF-FFFF9C060000}" name="接続136" type="7" refreshedVersion="4"/>
  <connection id="4004" xr16:uid="{00000000-0015-0000-FFFF-FFFF9D060000}" name="接続1360" type="7" refreshedVersion="4"/>
  <connection id="4005" xr16:uid="{9CD115CF-F969-46F1-AF36-FF4E925B62C8}" name="接続13600" type="7" refreshedVersion="8"/>
  <connection id="4006" xr16:uid="{3CDB7468-D013-4548-BCB8-A8D61AACB7B2}" name="接続13601" type="7" refreshedVersion="8"/>
  <connection id="4007" xr16:uid="{2E4846CE-D296-444D-9532-8924384975FA}" name="接続13602" type="7" refreshedVersion="8"/>
  <connection id="4008" xr16:uid="{2EDA4DB9-46CB-4C64-90B5-36B4A2708843}" name="接続13603" type="7" refreshedVersion="8"/>
  <connection id="4009" xr16:uid="{4B1D0F40-FF32-4882-9D6C-01C63DD14E46}" name="接続13604" type="7" refreshedVersion="8"/>
  <connection id="4010" xr16:uid="{3B9F6D70-D5E7-43F2-81F5-7123A82D1A92}" name="接続13605" type="7" refreshedVersion="8"/>
  <connection id="4011" xr16:uid="{506BC155-EBC9-4306-A8B2-3577134CFB72}" name="接続13606" type="7" refreshedVersion="8"/>
  <connection id="4012" xr16:uid="{2295D0A5-6EAD-4F85-B7F3-688DFB885284}" name="接続13607" type="7" refreshedVersion="8"/>
  <connection id="4013" xr16:uid="{32EFD2EB-E628-4437-B80D-4221896BC727}" name="接続13608" type="7" refreshedVersion="8"/>
  <connection id="4014" xr16:uid="{4352D6C2-0BC4-40B6-8C1F-EB59AEDAD4F4}" name="接続13609" type="7" refreshedVersion="8"/>
  <connection id="4015" xr16:uid="{00000000-0015-0000-FFFF-FFFF9E060000}" name="接続1361" type="7" refreshedVersion="4"/>
  <connection id="4016" xr16:uid="{168B8513-FAC3-4BB7-A923-36D3D7FCCD36}" name="接続13610" type="7" refreshedVersion="8"/>
  <connection id="4017" xr16:uid="{CA54F2F0-D3C4-4FEE-A03B-9B3C423823EF}" name="接続13611" type="7" refreshedVersion="8"/>
  <connection id="4018" xr16:uid="{A936A024-4472-4A54-B87D-DF9E42AD15EB}" name="接続13612" type="7" refreshedVersion="8"/>
  <connection id="4019" xr16:uid="{9DB01AD6-96B8-46EC-BC89-A9531DD4F910}" name="接続13613" type="7" refreshedVersion="8"/>
  <connection id="4020" xr16:uid="{D7C7583E-E0E4-4FA5-9F1C-9C990DF2ADD2}" name="接続13614" type="7" refreshedVersion="8"/>
  <connection id="4021" xr16:uid="{42942A58-FD79-461E-8EE9-DB8FEF9315F2}" name="接続13615" type="7" refreshedVersion="8"/>
  <connection id="4022" xr16:uid="{25453F87-B32C-49CB-ABD4-B41F91A7F395}" name="接続13616" type="7" refreshedVersion="8"/>
  <connection id="4023" xr16:uid="{058DAFA1-642E-4F27-A46C-2F47EDF8E695}" name="接続13617" type="7" refreshedVersion="8"/>
  <connection id="4024" xr16:uid="{D59557DC-22EC-4C04-B667-B83F08E91482}" name="接続13618" type="7" refreshedVersion="8"/>
  <connection id="4025" xr16:uid="{9E737D0C-43C6-4860-B303-5149B3F205F1}" name="接続13619" type="7" refreshedVersion="8"/>
  <connection id="4026" xr16:uid="{00000000-0015-0000-FFFF-FFFF9F060000}" name="接続1362" type="7" refreshedVersion="4"/>
  <connection id="4027" xr16:uid="{8301FFB4-DF16-4805-AA28-05BAC72826D9}" name="接続13620" type="7" refreshedVersion="8"/>
  <connection id="4028" xr16:uid="{E3038190-83BE-48FC-BBE7-7316E72766E1}" name="接続13621" type="7" refreshedVersion="8"/>
  <connection id="4029" xr16:uid="{9566D926-B984-4363-B502-B5467A509FA4}" name="接続13622" type="7" refreshedVersion="8"/>
  <connection id="4030" xr16:uid="{435F8F09-DD18-443C-B219-3EEAE2F32E86}" name="接続13623" type="7" refreshedVersion="8"/>
  <connection id="4031" xr16:uid="{1D8A1976-35E2-4236-8CC7-3B79E460E802}" name="接続13624" type="7" refreshedVersion="8"/>
  <connection id="4032" xr16:uid="{B42D325F-3A59-4858-ABE0-677B126E03FA}" name="接続13625" type="7" refreshedVersion="8"/>
  <connection id="4033" xr16:uid="{1C972056-C49C-4331-9B63-A8BD5FCDB373}" name="接続13626" type="7" refreshedVersion="8"/>
  <connection id="4034" xr16:uid="{4E6C4022-F8B0-40FA-8BEC-D5D55A67042D}" name="接続13627" type="7" refreshedVersion="8"/>
  <connection id="4035" xr16:uid="{5E190319-A8DF-4586-A427-41B30B059545}" name="接続13628" type="7" refreshedVersion="8"/>
  <connection id="4036" xr16:uid="{8A72C422-CBD1-45CC-8DAF-D535193D5D50}" name="接続13629" type="7" refreshedVersion="8"/>
  <connection id="4037" xr16:uid="{00000000-0015-0000-FFFF-FFFFA0060000}" name="接続1363" type="7" refreshedVersion="4"/>
  <connection id="4038" xr16:uid="{D829742E-3571-4B31-849A-4B026BA78387}" name="接続13630" type="7" refreshedVersion="8"/>
  <connection id="4039" xr16:uid="{E6BB0F75-6CE8-413D-AB4E-890C8F272F67}" name="接続13631" type="7" refreshedVersion="8"/>
  <connection id="4040" xr16:uid="{553DF043-E38B-445F-84EE-F7CF41CAB030}" name="接続13632" type="7" refreshedVersion="8"/>
  <connection id="4041" xr16:uid="{DB0D92C8-2689-4747-911C-ABEBEDF176C6}" name="接続13633" type="7" refreshedVersion="8"/>
  <connection id="4042" xr16:uid="{C6EC358A-F27B-4742-A6AE-5A40279C4834}" name="接続13634" type="7" refreshedVersion="8"/>
  <connection id="4043" xr16:uid="{20CB59A7-D5C8-41DC-A052-E65A80BB0E30}" name="接続13635" type="7" refreshedVersion="8"/>
  <connection id="4044" xr16:uid="{EA5D0F00-EFF3-4F59-97F7-041E5A7FB6AD}" name="接続13636" type="7" refreshedVersion="8"/>
  <connection id="4045" xr16:uid="{610187BB-F46B-45E5-9656-E0D3BD935094}" name="接続13637" type="7" refreshedVersion="8"/>
  <connection id="4046" xr16:uid="{38E336AA-A0AB-4F03-889E-BA1DE50D0AC4}" name="接続13638" type="7" refreshedVersion="8"/>
  <connection id="4047" xr16:uid="{4B7009A2-BDB8-4D3F-9673-21036084EFB3}" name="接続13639" type="7" refreshedVersion="8"/>
  <connection id="4048" xr16:uid="{00000000-0015-0000-FFFF-FFFFA1060000}" name="接続1364" type="7" refreshedVersion="4"/>
  <connection id="4049" xr16:uid="{2725A32E-3E01-436F-B7C2-C438AAE4DBDB}" name="接続13640" type="7" refreshedVersion="8"/>
  <connection id="4050" xr16:uid="{5C07D928-DD73-4916-9960-08925E964C6B}" name="接続13641" type="7" refreshedVersion="8"/>
  <connection id="4051" xr16:uid="{BD2610AB-FE6C-48D8-BEE3-35F4F8CF1D39}" name="接続13642" type="7" refreshedVersion="8"/>
  <connection id="4052" xr16:uid="{282EB125-2980-4537-9B78-99F3FD0A1466}" name="接続13643" type="7" refreshedVersion="8"/>
  <connection id="4053" xr16:uid="{BE898AB8-7E98-4967-9BD2-DF7FCDD38C5D}" name="接続13644" type="7" refreshedVersion="8"/>
  <connection id="4054" xr16:uid="{D95EA68F-BA02-42CE-9CBF-A6346ACDC4E8}" name="接続13645" type="7" refreshedVersion="8"/>
  <connection id="4055" xr16:uid="{7BAC3091-099E-440A-B29C-4B5ED4D27ECF}" name="接続13646" type="7" refreshedVersion="8"/>
  <connection id="4056" xr16:uid="{15434E35-3483-428A-929C-5B152ECAADAA}" name="接続13647" type="7" refreshedVersion="8"/>
  <connection id="4057" xr16:uid="{E6FDCD1E-9B9F-4D4E-B06A-49BA03B305D8}" name="接続13648" type="7" refreshedVersion="8"/>
  <connection id="4058" xr16:uid="{744974B2-A3BB-4EA3-8E46-7802828DC310}" name="接続13649" type="7" refreshedVersion="8"/>
  <connection id="4059" xr16:uid="{00000000-0015-0000-FFFF-FFFFA2060000}" name="接続1365" type="7" refreshedVersion="4"/>
  <connection id="4060" xr16:uid="{2461C7E7-79E7-47D2-958E-92C9B544FDEC}" name="接続13650" type="7" refreshedVersion="8"/>
  <connection id="4061" xr16:uid="{6D425A79-75AE-4A40-B897-A264DFDA66C4}" name="接続13651" type="7" refreshedVersion="8"/>
  <connection id="4062" xr16:uid="{098BF85B-0C61-42FC-A01C-AF370046D51E}" name="接続13652" type="7" refreshedVersion="8"/>
  <connection id="4063" xr16:uid="{8C09FBC7-7038-482A-842E-93C23C09A5C8}" name="接続13653" type="7" refreshedVersion="8"/>
  <connection id="4064" xr16:uid="{D299215F-01B4-4C18-B2F6-93532BFD3598}" name="接続13654" type="7" refreshedVersion="8"/>
  <connection id="4065" xr16:uid="{115620F2-99B6-4241-A3AD-F0AC710D1B7E}" name="接続13655" type="7" refreshedVersion="8"/>
  <connection id="4066" xr16:uid="{DF21255A-77AD-4DD9-B60D-5803B1971FB4}" name="接続13656" type="7" refreshedVersion="8"/>
  <connection id="4067" xr16:uid="{F56FF01D-3495-4665-B166-77DD61549812}" name="接続13657" type="7" refreshedVersion="8"/>
  <connection id="4068" xr16:uid="{70266B1B-4836-490B-B3D2-69D5C286255C}" name="接続13658" type="7" refreshedVersion="8"/>
  <connection id="4069" xr16:uid="{51A1767A-C7B9-47A8-8DD7-B8832ABF47E8}" name="接続13659" type="7" refreshedVersion="8"/>
  <connection id="4070" xr16:uid="{00000000-0015-0000-FFFF-FFFFA3060000}" name="接続1366" type="7" refreshedVersion="4"/>
  <connection id="4071" xr16:uid="{23C6C263-23B6-4ECE-843F-F690FB03D053}" name="接続13660" type="7" refreshedVersion="8"/>
  <connection id="4072" xr16:uid="{632B719A-F557-45F9-A971-13B829C7A4C1}" name="接続13661" type="7" refreshedVersion="8"/>
  <connection id="4073" xr16:uid="{EEE5FDE5-BCD0-43A7-8810-B60529E150C2}" name="接続13662" type="7" refreshedVersion="8"/>
  <connection id="4074" xr16:uid="{26FB8273-9BB2-4FF9-8D6D-9280E942B54F}" name="接続13663" type="7" refreshedVersion="8"/>
  <connection id="4075" xr16:uid="{395E832A-25FA-4677-A607-3F869038A71D}" name="接続13664" type="7" refreshedVersion="8"/>
  <connection id="4076" xr16:uid="{3183E577-2FD4-465B-AC55-FC68697FF3F5}" name="接続13665" type="7" refreshedVersion="8"/>
  <connection id="4077" xr16:uid="{051A079A-6A96-42F7-BF56-A68C98D33AC5}" name="接続13666" type="7" refreshedVersion="8"/>
  <connection id="4078" xr16:uid="{765A5CC3-DF7E-42A5-9799-A9EFAE6DB5C7}" name="接続13667" type="7" refreshedVersion="8"/>
  <connection id="4079" xr16:uid="{73020CEF-99ED-452D-AC46-614A8097C0CF}" name="接続13668" type="7" refreshedVersion="8"/>
  <connection id="4080" xr16:uid="{F14C479C-2E77-4E80-A81B-E96E9F2D4333}" name="接続13669" type="7" refreshedVersion="8"/>
  <connection id="4081" xr16:uid="{00000000-0015-0000-FFFF-FFFFA4060000}" name="接続1367" type="7" refreshedVersion="4"/>
  <connection id="4082" xr16:uid="{4896F01B-7F96-401C-A9DF-512617C93825}" name="接続13670" type="7" refreshedVersion="8"/>
  <connection id="4083" xr16:uid="{E5C8B6C9-2979-4742-9ECF-19C36423D134}" name="接続13671" type="7" refreshedVersion="8"/>
  <connection id="4084" xr16:uid="{84D13FFE-AE27-47F3-B231-7CD420B34A20}" name="接続13672" type="7" refreshedVersion="8"/>
  <connection id="4085" xr16:uid="{1A1514E8-D5D1-4010-B923-F169BA367305}" name="接続13673" type="7" refreshedVersion="8"/>
  <connection id="4086" xr16:uid="{52C97D54-774F-49A1-BC52-29714B9E3D20}" name="接続13674" type="7" refreshedVersion="8"/>
  <connection id="4087" xr16:uid="{8B99381A-9976-4DDE-9330-8A00F8C9166E}" name="接続13675" type="7" refreshedVersion="8"/>
  <connection id="4088" xr16:uid="{05924619-9CCD-494C-8CCD-7F70CDF347ED}" name="接続13676" type="7" refreshedVersion="8"/>
  <connection id="4089" xr16:uid="{1CE3275A-A04F-4857-87EE-62006301E612}" name="接続13677" type="7" refreshedVersion="8"/>
  <connection id="4090" xr16:uid="{42312564-4AC7-47FC-BE97-A9ECE79CB71C}" name="接続13678" type="7" refreshedVersion="8"/>
  <connection id="4091" xr16:uid="{0E4DBA41-6BA4-4897-AC20-A5A51AFC1CDD}" name="接続13679" type="7" refreshedVersion="8"/>
  <connection id="4092" xr16:uid="{00000000-0015-0000-FFFF-FFFFA5060000}" name="接続1368" type="7" refreshedVersion="4"/>
  <connection id="4093" xr16:uid="{7AF753F8-397D-4F8B-9F28-8D6B139858E0}" name="接続13680" type="7" refreshedVersion="8"/>
  <connection id="4094" xr16:uid="{FC620444-22E2-42D5-9815-2B6AFBBEDA2B}" name="接続13681" type="7" refreshedVersion="8"/>
  <connection id="4095" xr16:uid="{8DAD771E-39BA-4793-B211-6D892EFC17AB}" name="接続13682" type="7" refreshedVersion="8"/>
  <connection id="4096" xr16:uid="{D4E57957-417F-4161-BC58-57F1031E5555}" name="接続13683" type="7" refreshedVersion="8"/>
  <connection id="4097" xr16:uid="{F5C90A0B-18CC-484E-A761-0601E1883683}" name="接続13684" type="7" refreshedVersion="8"/>
  <connection id="4098" xr16:uid="{9A12581C-282B-4F72-9567-C20FE02768CF}" name="接続13685" type="7" refreshedVersion="8"/>
  <connection id="4099" xr16:uid="{DF4B5BF9-013E-4B97-928E-206E72F2B409}" name="接続13686" type="7" refreshedVersion="8"/>
  <connection id="4100" xr16:uid="{3E040F32-6E34-49CE-81DC-112618EC7091}" name="接続13687" type="7" refreshedVersion="8"/>
  <connection id="4101" xr16:uid="{79A76F46-FAF1-4CC7-8E4B-6D52821D54CF}" name="接続13688" type="7" refreshedVersion="8"/>
  <connection id="4102" xr16:uid="{1EA20C35-337A-4580-ACC6-0F054B63EB46}" name="接続13689" type="7" refreshedVersion="8"/>
  <connection id="4103" xr16:uid="{00000000-0015-0000-FFFF-FFFFA6060000}" name="接続1369" type="7" refreshedVersion="4"/>
  <connection id="4104" xr16:uid="{89E710F2-E8BD-4166-AF5C-D687D5F3042F}" name="接続13690" type="7" refreshedVersion="8"/>
  <connection id="4105" xr16:uid="{DCB67988-CA28-4FA8-AA1F-F59C8110CB50}" name="接続13691" type="7" refreshedVersion="8"/>
  <connection id="4106" xr16:uid="{7953EBD8-3EF0-4F59-926D-E765ACD61B32}" name="接続13692" type="7" refreshedVersion="8"/>
  <connection id="4107" xr16:uid="{963AB777-F190-4F27-A5E9-6C31EB422063}" name="接続13693" type="7" refreshedVersion="8"/>
  <connection id="4108" xr16:uid="{561A8027-9C9A-4F08-9332-24A7ACC6F16E}" name="接続13694" type="7" refreshedVersion="8"/>
  <connection id="4109" xr16:uid="{66EFE79F-E64F-402D-8903-D9F7B49C1197}" name="接続13695" type="7" refreshedVersion="8"/>
  <connection id="4110" xr16:uid="{FA35F9DF-E90D-4B25-B4B5-ABEBBF7CF67F}" name="接続13696" type="7" refreshedVersion="8"/>
  <connection id="4111" xr16:uid="{778C7FE7-B675-41BE-8A16-38AE61958497}" name="接続13697" type="7" refreshedVersion="8"/>
  <connection id="4112" xr16:uid="{1BF8CAFD-09DE-4323-AF26-198819E1B1B6}" name="接続13698" type="7" refreshedVersion="8"/>
  <connection id="4113" xr16:uid="{B3501885-46C8-4944-B802-7CA00E2B8647}" name="接続13699" type="7" refreshedVersion="8"/>
  <connection id="4114" xr16:uid="{00000000-0015-0000-FFFF-FFFFA7060000}" name="接続137" type="7" refreshedVersion="4"/>
  <connection id="4115" xr16:uid="{00000000-0015-0000-FFFF-FFFFA8060000}" name="接続1370" type="7" refreshedVersion="4"/>
  <connection id="4116" xr16:uid="{DC72CBE0-DA21-4632-832E-8DC2D8E72B41}" name="接続13700" type="7" refreshedVersion="8"/>
  <connection id="4117" xr16:uid="{85A2C8C4-6487-4D1B-B06A-09027CCBF993}" name="接続13701" type="7" refreshedVersion="8"/>
  <connection id="4118" xr16:uid="{B48D10B1-3EE9-45C2-844C-5C875419594F}" name="接続13702" type="7" refreshedVersion="8"/>
  <connection id="4119" xr16:uid="{3B497ACA-C8AF-4652-AC9C-00D1ECCEB098}" name="接続13703" type="7" refreshedVersion="8"/>
  <connection id="4120" xr16:uid="{A379166D-A2ED-40C9-ABC6-AFCDC360661D}" name="接続13704" type="7" refreshedVersion="8"/>
  <connection id="4121" xr16:uid="{1D1C633C-5D09-4550-96E1-267FF448B3A5}" name="接続13705" type="7" refreshedVersion="8"/>
  <connection id="4122" xr16:uid="{1B5DE305-980D-4A63-9F04-D215ED2097FC}" name="接続13706" type="7" refreshedVersion="8"/>
  <connection id="4123" xr16:uid="{288A60E6-B288-4A05-828E-FA2DE3DBF399}" name="接続13707" type="7" refreshedVersion="8"/>
  <connection id="4124" xr16:uid="{7595FAFD-7850-49B6-921C-F85874A73C12}" name="接続13708" type="7" refreshedVersion="8"/>
  <connection id="4125" xr16:uid="{60C1CD9E-920D-49C8-905B-BCFE4C915D0F}" name="接続13709" type="7" refreshedVersion="8"/>
  <connection id="4126" xr16:uid="{00000000-0015-0000-FFFF-FFFFA9060000}" name="接続1371" type="7" refreshedVersion="4"/>
  <connection id="4127" xr16:uid="{8E432936-4313-467A-8F9F-9C2957991356}" name="接続13710" type="7" refreshedVersion="8"/>
  <connection id="4128" xr16:uid="{F2FD4B98-18AF-4B18-8FFA-0819A8CD557F}" name="接続13711" type="7" refreshedVersion="8"/>
  <connection id="4129" xr16:uid="{D6D5925C-6861-4CBF-961C-E3AF277DA860}" name="接続13712" type="7" refreshedVersion="8"/>
  <connection id="4130" xr16:uid="{14947FF0-CB5D-423F-905C-3E0CDA03AB05}" name="接続13713" type="7" refreshedVersion="8"/>
  <connection id="4131" xr16:uid="{6D859F29-3407-4CB5-84E7-BF5E385216B8}" name="接続13714" type="7" refreshedVersion="8"/>
  <connection id="4132" xr16:uid="{46437BC3-B552-4121-B18A-C6962C952249}" name="接続13715" type="7" refreshedVersion="8"/>
  <connection id="4133" xr16:uid="{1B622C07-195D-4710-A6F3-0C44F401AF38}" name="接続13716" type="7" refreshedVersion="8"/>
  <connection id="4134" xr16:uid="{7DFE2B98-1D84-4DD3-BC94-07EDF41FA569}" name="接続13717" type="7" refreshedVersion="8"/>
  <connection id="4135" xr16:uid="{41D0420B-BBA9-412D-972C-0C858C3BE1D5}" name="接続13718" type="7" refreshedVersion="8"/>
  <connection id="4136" xr16:uid="{3E5FEEB1-DBB6-402D-837F-A0AF297088EC}" name="接続13719" type="7" refreshedVersion="8"/>
  <connection id="4137" xr16:uid="{00000000-0015-0000-FFFF-FFFFAA060000}" name="接続1372" type="7" refreshedVersion="4"/>
  <connection id="4138" xr16:uid="{D5907E76-6CA9-49D5-8A70-484FA310EB05}" name="接続13720" type="7" refreshedVersion="8"/>
  <connection id="4139" xr16:uid="{6885457B-0EE3-4052-871A-964D1A22F971}" name="接続13721" type="7" refreshedVersion="8"/>
  <connection id="4140" xr16:uid="{F9554D7A-827B-46C9-BE72-BCD8D611E66D}" name="接続13722" type="7" refreshedVersion="8"/>
  <connection id="4141" xr16:uid="{8B93219E-930C-44B7-81B4-2FE46F6D6420}" name="接続13723" type="7" refreshedVersion="8"/>
  <connection id="4142" xr16:uid="{00000000-0015-0000-FFFF-FFFFAB060000}" name="接続1373" type="7" refreshedVersion="4"/>
  <connection id="4143" xr16:uid="{00000000-0015-0000-FFFF-FFFFAC060000}" name="接続1374" type="7" refreshedVersion="4"/>
  <connection id="4144" xr16:uid="{00000000-0015-0000-FFFF-FFFFAD060000}" name="接続1375" type="7" refreshedVersion="4"/>
  <connection id="4145" xr16:uid="{00000000-0015-0000-FFFF-FFFFAE060000}" name="接続1376" type="7" refreshedVersion="4"/>
  <connection id="4146" xr16:uid="{00000000-0015-0000-FFFF-FFFFAF060000}" name="接続1377" type="7" refreshedVersion="4"/>
  <connection id="4147" xr16:uid="{00000000-0015-0000-FFFF-FFFFB0060000}" name="接続1378" type="7" refreshedVersion="4"/>
  <connection id="4148" xr16:uid="{00000000-0015-0000-FFFF-FFFFB1060000}" name="接続1379" type="7" refreshedVersion="4"/>
  <connection id="4149" xr16:uid="{00000000-0015-0000-FFFF-FFFFB2060000}" name="接続138" type="7" refreshedVersion="4"/>
  <connection id="4150" xr16:uid="{00000000-0015-0000-FFFF-FFFFB3060000}" name="接続1380" type="7" refreshedVersion="4"/>
  <connection id="4151" xr16:uid="{00000000-0015-0000-FFFF-FFFFB4060000}" name="接続1381" type="7" refreshedVersion="4"/>
  <connection id="4152" xr16:uid="{00000000-0015-0000-FFFF-FFFFB5060000}" name="接続1382" type="7" refreshedVersion="4"/>
  <connection id="4153" xr16:uid="{00000000-0015-0000-FFFF-FFFFB6060000}" name="接続1383" type="7" refreshedVersion="4"/>
  <connection id="4154" xr16:uid="{00000000-0015-0000-FFFF-FFFFB7060000}" name="接続1384" type="7" refreshedVersion="4"/>
  <connection id="4155" xr16:uid="{00000000-0015-0000-FFFF-FFFFB8060000}" name="接続1385" type="7" refreshedVersion="4"/>
  <connection id="4156" xr16:uid="{00000000-0015-0000-FFFF-FFFFB9060000}" name="接続1386" type="7" refreshedVersion="4"/>
  <connection id="4157" xr16:uid="{00000000-0015-0000-FFFF-FFFFBA060000}" name="接続1387" type="7" refreshedVersion="4"/>
  <connection id="4158" xr16:uid="{00000000-0015-0000-FFFF-FFFFBB060000}" name="接続1388" type="7" refreshedVersion="4"/>
  <connection id="4159" xr16:uid="{00000000-0015-0000-FFFF-FFFFBC060000}" name="接続1389" type="7" refreshedVersion="4"/>
  <connection id="4160" xr16:uid="{00000000-0015-0000-FFFF-FFFFBD060000}" name="接続139" type="7" refreshedVersion="4"/>
  <connection id="4161" xr16:uid="{00000000-0015-0000-FFFF-FFFFBE060000}" name="接続1390" type="7" refreshedVersion="4"/>
  <connection id="4162" xr16:uid="{00000000-0015-0000-FFFF-FFFFBF060000}" name="接続1391" type="7" refreshedVersion="4"/>
  <connection id="4163" xr16:uid="{00000000-0015-0000-FFFF-FFFFC0060000}" name="接続1392" type="7" refreshedVersion="4"/>
  <connection id="4164" xr16:uid="{00000000-0015-0000-FFFF-FFFFC1060000}" name="接続1393" type="7" refreshedVersion="4"/>
  <connection id="4165" xr16:uid="{00000000-0015-0000-FFFF-FFFFC2060000}" name="接続1394" type="7" refreshedVersion="4"/>
  <connection id="4166" xr16:uid="{00000000-0015-0000-FFFF-FFFFC3060000}" name="接続1395" type="7" refreshedVersion="4"/>
  <connection id="4167" xr16:uid="{00000000-0015-0000-FFFF-FFFFC4060000}" name="接続1396" type="7" refreshedVersion="4"/>
  <connection id="4168" xr16:uid="{00000000-0015-0000-FFFF-FFFFC5060000}" name="接続1397" type="7" refreshedVersion="4"/>
  <connection id="4169" xr16:uid="{00000000-0015-0000-FFFF-FFFFC6060000}" name="接続1398" type="7" refreshedVersion="4"/>
  <connection id="4170" xr16:uid="{00000000-0015-0000-FFFF-FFFFC7060000}" name="接続1399" type="7" refreshedVersion="4"/>
  <connection id="4171" xr16:uid="{00000000-0015-0000-FFFF-FFFFC8060000}" name="接続14" type="7" refreshedVersion="3"/>
  <connection id="4172" xr16:uid="{00000000-0015-0000-FFFF-FFFFC9060000}" name="接続140" type="7" refreshedVersion="4"/>
  <connection id="4173" xr16:uid="{00000000-0015-0000-FFFF-FFFFCA060000}" name="接続1400" type="7" refreshedVersion="4"/>
  <connection id="4174" xr16:uid="{00000000-0015-0000-FFFF-FFFFCB060000}" name="接続1401" type="7" refreshedVersion="4"/>
  <connection id="4175" xr16:uid="{00000000-0015-0000-FFFF-FFFFCC060000}" name="接続1402" type="7" refreshedVersion="4"/>
  <connection id="4176" xr16:uid="{00000000-0015-0000-FFFF-FFFFCD060000}" name="接続1403" type="7" refreshedVersion="4"/>
  <connection id="4177" xr16:uid="{00000000-0015-0000-FFFF-FFFFCE060000}" name="接続1404" type="7" refreshedVersion="4"/>
  <connection id="4178" xr16:uid="{00000000-0015-0000-FFFF-FFFFCF060000}" name="接続1405" type="7" refreshedVersion="4"/>
  <connection id="4179" xr16:uid="{00000000-0015-0000-FFFF-FFFFD0060000}" name="接続1406" type="7" refreshedVersion="4"/>
  <connection id="4180" xr16:uid="{00000000-0015-0000-FFFF-FFFFD1060000}" name="接続1407" type="7" refreshedVersion="4"/>
  <connection id="4181" xr16:uid="{00000000-0015-0000-FFFF-FFFFD2060000}" name="接続1408" type="7" refreshedVersion="4"/>
  <connection id="4182" xr16:uid="{00000000-0015-0000-FFFF-FFFFD3060000}" name="接続1409" type="7" refreshedVersion="4"/>
  <connection id="4183" xr16:uid="{00000000-0015-0000-FFFF-FFFFD4060000}" name="接続141" type="7" refreshedVersion="4"/>
  <connection id="4184" xr16:uid="{00000000-0015-0000-FFFF-FFFFD5060000}" name="接続1410" type="7" refreshedVersion="4"/>
  <connection id="4185" xr16:uid="{00000000-0015-0000-FFFF-FFFFD6060000}" name="接続1411" type="7" refreshedVersion="4"/>
  <connection id="4186" xr16:uid="{00000000-0015-0000-FFFF-FFFFD7060000}" name="接続1412" type="7" refreshedVersion="4"/>
  <connection id="4187" xr16:uid="{00000000-0015-0000-FFFF-FFFFD8060000}" name="接続1413" type="7" refreshedVersion="4"/>
  <connection id="4188" xr16:uid="{00000000-0015-0000-FFFF-FFFFD9060000}" name="接続1414" type="7" refreshedVersion="4"/>
  <connection id="4189" xr16:uid="{00000000-0015-0000-FFFF-FFFFDA060000}" name="接続1415" type="7" refreshedVersion="4"/>
  <connection id="4190" xr16:uid="{00000000-0015-0000-FFFF-FFFFDB060000}" name="接続1416" type="7" refreshedVersion="4"/>
  <connection id="4191" xr16:uid="{00000000-0015-0000-FFFF-FFFFDC060000}" name="接続1417" type="7" refreshedVersion="4"/>
  <connection id="4192" xr16:uid="{00000000-0015-0000-FFFF-FFFFDD060000}" name="接続1418" type="7" refreshedVersion="4"/>
  <connection id="4193" xr16:uid="{00000000-0015-0000-FFFF-FFFFDE060000}" name="接続1419" type="7" refreshedVersion="4"/>
  <connection id="4194" xr16:uid="{00000000-0015-0000-FFFF-FFFFDF060000}" name="接続142" type="7" refreshedVersion="4"/>
  <connection id="4195" xr16:uid="{00000000-0015-0000-FFFF-FFFFE0060000}" name="接続1420" type="7" refreshedVersion="4"/>
  <connection id="4196" xr16:uid="{00000000-0015-0000-FFFF-FFFFE1060000}" name="接続1421" type="7" refreshedVersion="4"/>
  <connection id="4197" xr16:uid="{00000000-0015-0000-FFFF-FFFFE2060000}" name="接続1422" type="7" refreshedVersion="4"/>
  <connection id="4198" xr16:uid="{00000000-0015-0000-FFFF-FFFFE3060000}" name="接続1423" type="7" refreshedVersion="4"/>
  <connection id="4199" xr16:uid="{00000000-0015-0000-FFFF-FFFFE4060000}" name="接続1424" type="7" refreshedVersion="4"/>
  <connection id="4200" xr16:uid="{00000000-0015-0000-FFFF-FFFFE5060000}" name="接続1425" type="7" refreshedVersion="4"/>
  <connection id="4201" xr16:uid="{00000000-0015-0000-FFFF-FFFFE6060000}" name="接続1426" type="7" refreshedVersion="4"/>
  <connection id="4202" xr16:uid="{00000000-0015-0000-FFFF-FFFFE7060000}" name="接続1427" type="7" refreshedVersion="4"/>
  <connection id="4203" xr16:uid="{00000000-0015-0000-FFFF-FFFFE8060000}" name="接続1428" type="7" refreshedVersion="4"/>
  <connection id="4204" xr16:uid="{00000000-0015-0000-FFFF-FFFFE9060000}" name="接続1429" type="7" refreshedVersion="4"/>
  <connection id="4205" xr16:uid="{00000000-0015-0000-FFFF-FFFFEA060000}" name="接続143" type="7" refreshedVersion="4"/>
  <connection id="4206" xr16:uid="{00000000-0015-0000-FFFF-FFFFEB060000}" name="接続1430" type="7" refreshedVersion="4"/>
  <connection id="4207" xr16:uid="{00000000-0015-0000-FFFF-FFFFEC060000}" name="接続1431" type="7" refreshedVersion="4"/>
  <connection id="4208" xr16:uid="{00000000-0015-0000-FFFF-FFFFED060000}" name="接続1432" type="7" refreshedVersion="4"/>
  <connection id="4209" xr16:uid="{00000000-0015-0000-FFFF-FFFFEE060000}" name="接続1433" type="7" refreshedVersion="4"/>
  <connection id="4210" xr16:uid="{00000000-0015-0000-FFFF-FFFFEF060000}" name="接続1434" type="7" refreshedVersion="4"/>
  <connection id="4211" xr16:uid="{00000000-0015-0000-FFFF-FFFFF0060000}" name="接続1435" type="7" refreshedVersion="4"/>
  <connection id="4212" xr16:uid="{00000000-0015-0000-FFFF-FFFFF1060000}" name="接続1436" type="7" refreshedVersion="4"/>
  <connection id="4213" xr16:uid="{00000000-0015-0000-FFFF-FFFFF2060000}" name="接続1437" type="7" refreshedVersion="4"/>
  <connection id="4214" xr16:uid="{00000000-0015-0000-FFFF-FFFFF3060000}" name="接続1438" type="7" refreshedVersion="4"/>
  <connection id="4215" xr16:uid="{00000000-0015-0000-FFFF-FFFFF4060000}" name="接続1439" type="7" refreshedVersion="4"/>
  <connection id="4216" xr16:uid="{00000000-0015-0000-FFFF-FFFFF5060000}" name="接続144" type="7" refreshedVersion="4"/>
  <connection id="4217" xr16:uid="{00000000-0015-0000-FFFF-FFFFF6060000}" name="接続1440" type="7" refreshedVersion="4"/>
  <connection id="4218" xr16:uid="{00000000-0015-0000-FFFF-FFFFF7060000}" name="接続1441" type="7" refreshedVersion="4"/>
  <connection id="4219" xr16:uid="{00000000-0015-0000-FFFF-FFFFF8060000}" name="接続1442" type="7" refreshedVersion="4"/>
  <connection id="4220" xr16:uid="{00000000-0015-0000-FFFF-FFFFF9060000}" name="接続1443" type="7" refreshedVersion="4"/>
  <connection id="4221" xr16:uid="{00000000-0015-0000-FFFF-FFFFFA060000}" name="接続1444" type="7" refreshedVersion="4"/>
  <connection id="4222" xr16:uid="{00000000-0015-0000-FFFF-FFFFFB060000}" name="接続1445" type="7" refreshedVersion="4"/>
  <connection id="4223" xr16:uid="{00000000-0015-0000-FFFF-FFFFFC060000}" name="接続1446" type="7" refreshedVersion="4"/>
  <connection id="4224" xr16:uid="{00000000-0015-0000-FFFF-FFFFFD060000}" name="接続1447" type="7" refreshedVersion="4"/>
  <connection id="4225" xr16:uid="{00000000-0015-0000-FFFF-FFFFFE060000}" name="接続1448" type="7" refreshedVersion="4"/>
  <connection id="4226" xr16:uid="{00000000-0015-0000-FFFF-FFFFFF060000}" name="接続1449" type="7" refreshedVersion="4"/>
  <connection id="4227" xr16:uid="{00000000-0015-0000-FFFF-FFFF00070000}" name="接続145" type="7" refreshedVersion="4"/>
  <connection id="4228" xr16:uid="{00000000-0015-0000-FFFF-FFFF01070000}" name="接続1450" type="7" refreshedVersion="4"/>
  <connection id="4229" xr16:uid="{00000000-0015-0000-FFFF-FFFF02070000}" name="接続1451" type="7" refreshedVersion="4"/>
  <connection id="4230" xr16:uid="{00000000-0015-0000-FFFF-FFFF03070000}" name="接続1452" type="7" refreshedVersion="4"/>
  <connection id="4231" xr16:uid="{00000000-0015-0000-FFFF-FFFF04070000}" name="接続1453" type="7" refreshedVersion="4"/>
  <connection id="4232" xr16:uid="{00000000-0015-0000-FFFF-FFFF05070000}" name="接続1454" type="7" refreshedVersion="4"/>
  <connection id="4233" xr16:uid="{00000000-0015-0000-FFFF-FFFF06070000}" name="接続1455" type="7" refreshedVersion="4"/>
  <connection id="4234" xr16:uid="{00000000-0015-0000-FFFF-FFFF07070000}" name="接続1456" type="7" refreshedVersion="4"/>
  <connection id="4235" xr16:uid="{00000000-0015-0000-FFFF-FFFF08070000}" name="接続1457" type="7" refreshedVersion="4"/>
  <connection id="4236" xr16:uid="{00000000-0015-0000-FFFF-FFFF09070000}" name="接続1458" type="7" refreshedVersion="4"/>
  <connection id="4237" xr16:uid="{00000000-0015-0000-FFFF-FFFF0A070000}" name="接続1459" type="7" refreshedVersion="4"/>
  <connection id="4238" xr16:uid="{00000000-0015-0000-FFFF-FFFF0B070000}" name="接続146" type="7" refreshedVersion="4"/>
  <connection id="4239" xr16:uid="{00000000-0015-0000-FFFF-FFFF0C070000}" name="接続1460" type="7" refreshedVersion="4"/>
  <connection id="4240" xr16:uid="{00000000-0015-0000-FFFF-FFFF0D070000}" name="接続1461" type="7" refreshedVersion="4"/>
  <connection id="4241" xr16:uid="{00000000-0015-0000-FFFF-FFFF0E070000}" name="接続1462" type="7" refreshedVersion="4"/>
  <connection id="4242" xr16:uid="{00000000-0015-0000-FFFF-FFFF0F070000}" name="接続1463" type="7" refreshedVersion="4"/>
  <connection id="4243" xr16:uid="{00000000-0015-0000-FFFF-FFFF10070000}" name="接続1464" type="7" refreshedVersion="4"/>
  <connection id="4244" xr16:uid="{00000000-0015-0000-FFFF-FFFF11070000}" name="接続1465" type="7" refreshedVersion="4"/>
  <connection id="4245" xr16:uid="{00000000-0015-0000-FFFF-FFFF12070000}" name="接続1466" type="7" refreshedVersion="4"/>
  <connection id="4246" xr16:uid="{00000000-0015-0000-FFFF-FFFF13070000}" name="接続1467" type="7" refreshedVersion="4"/>
  <connection id="4247" xr16:uid="{00000000-0015-0000-FFFF-FFFF14070000}" name="接続1468" type="7" refreshedVersion="4"/>
  <connection id="4248" xr16:uid="{00000000-0015-0000-FFFF-FFFF15070000}" name="接続1469" type="7" refreshedVersion="4"/>
  <connection id="4249" xr16:uid="{00000000-0015-0000-FFFF-FFFF16070000}" name="接続147" type="7" refreshedVersion="4"/>
  <connection id="4250" xr16:uid="{00000000-0015-0000-FFFF-FFFF17070000}" name="接続1470" type="7" refreshedVersion="4"/>
  <connection id="4251" xr16:uid="{00000000-0015-0000-FFFF-FFFF18070000}" name="接続1471" type="7" refreshedVersion="4"/>
  <connection id="4252" xr16:uid="{00000000-0015-0000-FFFF-FFFF19070000}" name="接続1472" type="7" refreshedVersion="4"/>
  <connection id="4253" xr16:uid="{00000000-0015-0000-FFFF-FFFF1A070000}" name="接続1473" type="7" refreshedVersion="4"/>
  <connection id="4254" xr16:uid="{00000000-0015-0000-FFFF-FFFF1B070000}" name="接続1474" type="7" refreshedVersion="4"/>
  <connection id="4255" xr16:uid="{00000000-0015-0000-FFFF-FFFF1C070000}" name="接続1475" type="7" refreshedVersion="4"/>
  <connection id="4256" xr16:uid="{00000000-0015-0000-FFFF-FFFF1D070000}" name="接続1476" type="7" refreshedVersion="4"/>
  <connection id="4257" xr16:uid="{00000000-0015-0000-FFFF-FFFF1E070000}" name="接続1477" type="7" refreshedVersion="4"/>
  <connection id="4258" xr16:uid="{00000000-0015-0000-FFFF-FFFF1F070000}" name="接続1478" type="7" refreshedVersion="4"/>
  <connection id="4259" xr16:uid="{00000000-0015-0000-FFFF-FFFF20070000}" name="接続1479" type="7" refreshedVersion="4"/>
  <connection id="4260" xr16:uid="{00000000-0015-0000-FFFF-FFFF21070000}" name="接続148" type="7" refreshedVersion="4"/>
  <connection id="4261" xr16:uid="{00000000-0015-0000-FFFF-FFFF22070000}" name="接続1480" type="7" refreshedVersion="4"/>
  <connection id="4262" xr16:uid="{00000000-0015-0000-FFFF-FFFF23070000}" name="接続1481" type="7" refreshedVersion="4"/>
  <connection id="4263" xr16:uid="{00000000-0015-0000-FFFF-FFFF24070000}" name="接続1482" type="7" refreshedVersion="4"/>
  <connection id="4264" xr16:uid="{00000000-0015-0000-FFFF-FFFF25070000}" name="接続1483" type="7" refreshedVersion="4"/>
  <connection id="4265" xr16:uid="{00000000-0015-0000-FFFF-FFFF26070000}" name="接続1484" type="7" refreshedVersion="4"/>
  <connection id="4266" xr16:uid="{00000000-0015-0000-FFFF-FFFF27070000}" name="接続1485" type="7" refreshedVersion="4"/>
  <connection id="4267" xr16:uid="{00000000-0015-0000-FFFF-FFFF28070000}" name="接続1486" type="7" refreshedVersion="4"/>
  <connection id="4268" xr16:uid="{00000000-0015-0000-FFFF-FFFF29070000}" name="接続1487" type="7" refreshedVersion="4"/>
  <connection id="4269" xr16:uid="{00000000-0015-0000-FFFF-FFFF2A070000}" name="接続1488" type="7" refreshedVersion="4"/>
  <connection id="4270" xr16:uid="{00000000-0015-0000-FFFF-FFFF2B070000}" name="接続1489" type="7" refreshedVersion="4"/>
  <connection id="4271" xr16:uid="{00000000-0015-0000-FFFF-FFFF2C070000}" name="接続149" type="7" refreshedVersion="4"/>
  <connection id="4272" xr16:uid="{00000000-0015-0000-FFFF-FFFF2D070000}" name="接続1490" type="7" refreshedVersion="4"/>
  <connection id="4273" xr16:uid="{00000000-0015-0000-FFFF-FFFF2E070000}" name="接続1491" type="7" refreshedVersion="4"/>
  <connection id="4274" xr16:uid="{00000000-0015-0000-FFFF-FFFF2F070000}" name="接続1492" type="7" refreshedVersion="4"/>
  <connection id="4275" xr16:uid="{00000000-0015-0000-FFFF-FFFF30070000}" name="接続1493" type="7" refreshedVersion="4"/>
  <connection id="4276" xr16:uid="{00000000-0015-0000-FFFF-FFFF31070000}" name="接続1494" type="7" refreshedVersion="4"/>
  <connection id="4277" xr16:uid="{00000000-0015-0000-FFFF-FFFF32070000}" name="接続1495" type="7" refreshedVersion="4"/>
  <connection id="4278" xr16:uid="{00000000-0015-0000-FFFF-FFFF33070000}" name="接続1496" type="7" refreshedVersion="4"/>
  <connection id="4279" xr16:uid="{00000000-0015-0000-FFFF-FFFF34070000}" name="接続1497" type="7" refreshedVersion="4"/>
  <connection id="4280" xr16:uid="{00000000-0015-0000-FFFF-FFFF35070000}" name="接続1498" type="7" refreshedVersion="4"/>
  <connection id="4281" xr16:uid="{00000000-0015-0000-FFFF-FFFF36070000}" name="接続1499" type="7" refreshedVersion="4"/>
  <connection id="4282" xr16:uid="{00000000-0015-0000-FFFF-FFFF37070000}" name="接続15" type="7" refreshedVersion="3"/>
  <connection id="4283" xr16:uid="{00000000-0015-0000-FFFF-FFFF38070000}" name="接続150" type="7" refreshedVersion="4"/>
  <connection id="4284" xr16:uid="{00000000-0015-0000-FFFF-FFFF39070000}" name="接続1500" type="7" refreshedVersion="4"/>
  <connection id="4285" xr16:uid="{00000000-0015-0000-FFFF-FFFF3A070000}" name="接続1501" type="7" refreshedVersion="4"/>
  <connection id="4286" xr16:uid="{00000000-0015-0000-FFFF-FFFF3B070000}" name="接続1502" type="7" refreshedVersion="4"/>
  <connection id="4287" xr16:uid="{00000000-0015-0000-FFFF-FFFF3C070000}" name="接続1503" type="7" refreshedVersion="4"/>
  <connection id="4288" xr16:uid="{00000000-0015-0000-FFFF-FFFF3D070000}" name="接続1504" type="7" refreshedVersion="4"/>
  <connection id="4289" xr16:uid="{00000000-0015-0000-FFFF-FFFF3E070000}" name="接続1505" type="7" refreshedVersion="4"/>
  <connection id="4290" xr16:uid="{00000000-0015-0000-FFFF-FFFF3F070000}" name="接続1506" type="7" refreshedVersion="4"/>
  <connection id="4291" xr16:uid="{00000000-0015-0000-FFFF-FFFF40070000}" name="接続1507" type="7" refreshedVersion="4"/>
  <connection id="4292" xr16:uid="{00000000-0015-0000-FFFF-FFFF41070000}" name="接続1508" type="7" refreshedVersion="4"/>
  <connection id="4293" xr16:uid="{00000000-0015-0000-FFFF-FFFF42070000}" name="接続1509" type="7" refreshedVersion="4"/>
  <connection id="4294" xr16:uid="{00000000-0015-0000-FFFF-FFFF43070000}" name="接続151" type="7" refreshedVersion="4"/>
  <connection id="4295" xr16:uid="{00000000-0015-0000-FFFF-FFFF44070000}" name="接続1510" type="7" refreshedVersion="4"/>
  <connection id="4296" xr16:uid="{00000000-0015-0000-FFFF-FFFF45070000}" name="接続1511" type="7" refreshedVersion="4"/>
  <connection id="4297" xr16:uid="{00000000-0015-0000-FFFF-FFFF46070000}" name="接続1512" type="7" refreshedVersion="4"/>
  <connection id="4298" xr16:uid="{00000000-0015-0000-FFFF-FFFF47070000}" name="接続1513" type="7" refreshedVersion="4"/>
  <connection id="4299" xr16:uid="{00000000-0015-0000-FFFF-FFFF48070000}" name="接続1514" type="7" refreshedVersion="4"/>
  <connection id="4300" xr16:uid="{00000000-0015-0000-FFFF-FFFF49070000}" name="接続1515" type="7" refreshedVersion="4"/>
  <connection id="4301" xr16:uid="{00000000-0015-0000-FFFF-FFFF4A070000}" name="接続1516" type="7" refreshedVersion="4"/>
  <connection id="4302" xr16:uid="{00000000-0015-0000-FFFF-FFFF4B070000}" name="接続1517" type="7" refreshedVersion="4"/>
  <connection id="4303" xr16:uid="{00000000-0015-0000-FFFF-FFFF4C070000}" name="接続1518" type="7" refreshedVersion="4"/>
  <connection id="4304" xr16:uid="{00000000-0015-0000-FFFF-FFFF4D070000}" name="接続1519" type="7" refreshedVersion="4"/>
  <connection id="4305" xr16:uid="{00000000-0015-0000-FFFF-FFFF4E070000}" name="接続152" type="7" refreshedVersion="4"/>
  <connection id="4306" xr16:uid="{00000000-0015-0000-FFFF-FFFF4F070000}" name="接続1520" type="7" refreshedVersion="4"/>
  <connection id="4307" xr16:uid="{00000000-0015-0000-FFFF-FFFF50070000}" name="接続1521" type="7" refreshedVersion="4"/>
  <connection id="4308" xr16:uid="{00000000-0015-0000-FFFF-FFFF51070000}" name="接続1522" type="7" refreshedVersion="4"/>
  <connection id="4309" xr16:uid="{00000000-0015-0000-FFFF-FFFF52070000}" name="接続1523" type="7" refreshedVersion="4"/>
  <connection id="4310" xr16:uid="{00000000-0015-0000-FFFF-FFFF53070000}" name="接続1524" type="7" refreshedVersion="4"/>
  <connection id="4311" xr16:uid="{00000000-0015-0000-FFFF-FFFF54070000}" name="接続1525" type="7" refreshedVersion="4"/>
  <connection id="4312" xr16:uid="{00000000-0015-0000-FFFF-FFFF55070000}" name="接続1526" type="7" refreshedVersion="4"/>
  <connection id="4313" xr16:uid="{00000000-0015-0000-FFFF-FFFF56070000}" name="接続1527" type="7" refreshedVersion="4"/>
  <connection id="4314" xr16:uid="{00000000-0015-0000-FFFF-FFFF57070000}" name="接続1528" type="7" refreshedVersion="4"/>
  <connection id="4315" xr16:uid="{00000000-0015-0000-FFFF-FFFF58070000}" name="接続1529" type="7" refreshedVersion="4"/>
  <connection id="4316" xr16:uid="{00000000-0015-0000-FFFF-FFFF59070000}" name="接続153" type="7" refreshedVersion="4"/>
  <connection id="4317" xr16:uid="{00000000-0015-0000-FFFF-FFFF5A070000}" name="接続1530" type="7" refreshedVersion="4"/>
  <connection id="4318" xr16:uid="{00000000-0015-0000-FFFF-FFFF5B070000}" name="接続1531" type="7" refreshedVersion="4"/>
  <connection id="4319" xr16:uid="{00000000-0015-0000-FFFF-FFFF5C070000}" name="接続1532" type="7" refreshedVersion="4"/>
  <connection id="4320" xr16:uid="{00000000-0015-0000-FFFF-FFFF5D070000}" name="接続1533" type="7" refreshedVersion="4"/>
  <connection id="4321" xr16:uid="{00000000-0015-0000-FFFF-FFFF5E070000}" name="接続1534" type="7" refreshedVersion="4"/>
  <connection id="4322" xr16:uid="{00000000-0015-0000-FFFF-FFFF5F070000}" name="接続1535" type="7" refreshedVersion="4"/>
  <connection id="4323" xr16:uid="{00000000-0015-0000-FFFF-FFFF60070000}" name="接続1536" type="7" refreshedVersion="4"/>
  <connection id="4324" xr16:uid="{00000000-0015-0000-FFFF-FFFF61070000}" name="接続1537" type="7" refreshedVersion="4"/>
  <connection id="4325" xr16:uid="{00000000-0015-0000-FFFF-FFFF62070000}" name="接続1538" type="7" refreshedVersion="4"/>
  <connection id="4326" xr16:uid="{00000000-0015-0000-FFFF-FFFF63070000}" name="接続1539" type="7" refreshedVersion="4"/>
  <connection id="4327" xr16:uid="{00000000-0015-0000-FFFF-FFFF64070000}" name="接続154" type="7" refreshedVersion="4"/>
  <connection id="4328" xr16:uid="{00000000-0015-0000-FFFF-FFFF65070000}" name="接続1540" type="7" refreshedVersion="4"/>
  <connection id="4329" xr16:uid="{00000000-0015-0000-FFFF-FFFF66070000}" name="接続1541" type="7" refreshedVersion="4"/>
  <connection id="4330" xr16:uid="{00000000-0015-0000-FFFF-FFFF67070000}" name="接続1542" type="7" refreshedVersion="4"/>
  <connection id="4331" xr16:uid="{00000000-0015-0000-FFFF-FFFF68070000}" name="接続1543" type="7" refreshedVersion="4"/>
  <connection id="4332" xr16:uid="{00000000-0015-0000-FFFF-FFFF69070000}" name="接続1544" type="7" refreshedVersion="4"/>
  <connection id="4333" xr16:uid="{00000000-0015-0000-FFFF-FFFF6A070000}" name="接続1545" type="7" refreshedVersion="4"/>
  <connection id="4334" xr16:uid="{00000000-0015-0000-FFFF-FFFF6B070000}" name="接続1546" type="7" refreshedVersion="4"/>
  <connection id="4335" xr16:uid="{00000000-0015-0000-FFFF-FFFF6C070000}" name="接続1547" type="7" refreshedVersion="4"/>
  <connection id="4336" xr16:uid="{00000000-0015-0000-FFFF-FFFF6D070000}" name="接続1548" type="7" refreshedVersion="4"/>
  <connection id="4337" xr16:uid="{00000000-0015-0000-FFFF-FFFF6E070000}" name="接続1549" type="7" refreshedVersion="4"/>
  <connection id="4338" xr16:uid="{00000000-0015-0000-FFFF-FFFF6F070000}" name="接続155" type="7" refreshedVersion="4"/>
  <connection id="4339" xr16:uid="{00000000-0015-0000-FFFF-FFFF70070000}" name="接続1550" type="7" refreshedVersion="4"/>
  <connection id="4340" xr16:uid="{00000000-0015-0000-FFFF-FFFF71070000}" name="接続1551" type="7" refreshedVersion="4"/>
  <connection id="4341" xr16:uid="{00000000-0015-0000-FFFF-FFFF72070000}" name="接続1552" type="7" refreshedVersion="4"/>
  <connection id="4342" xr16:uid="{00000000-0015-0000-FFFF-FFFF73070000}" name="接続1553" type="7" refreshedVersion="4"/>
  <connection id="4343" xr16:uid="{00000000-0015-0000-FFFF-FFFF74070000}" name="接続1554" type="7" refreshedVersion="4"/>
  <connection id="4344" xr16:uid="{00000000-0015-0000-FFFF-FFFF75070000}" name="接続1555" type="7" refreshedVersion="4"/>
  <connection id="4345" xr16:uid="{00000000-0015-0000-FFFF-FFFF76070000}" name="接続1556" type="7" refreshedVersion="4"/>
  <connection id="4346" xr16:uid="{00000000-0015-0000-FFFF-FFFF77070000}" name="接続1557" type="7" refreshedVersion="4"/>
  <connection id="4347" xr16:uid="{00000000-0015-0000-FFFF-FFFF78070000}" name="接続1558" type="7" refreshedVersion="4"/>
  <connection id="4348" xr16:uid="{00000000-0015-0000-FFFF-FFFF79070000}" name="接続1559" type="7" refreshedVersion="4"/>
  <connection id="4349" xr16:uid="{00000000-0015-0000-FFFF-FFFF7A070000}" name="接続156" type="7" refreshedVersion="4"/>
  <connection id="4350" xr16:uid="{00000000-0015-0000-FFFF-FFFF7B070000}" name="接続1560" type="7" refreshedVersion="4"/>
  <connection id="4351" xr16:uid="{00000000-0015-0000-FFFF-FFFF7C070000}" name="接続1561" type="7" refreshedVersion="4"/>
  <connection id="4352" xr16:uid="{00000000-0015-0000-FFFF-FFFF7D070000}" name="接続1562" type="7" refreshedVersion="4"/>
  <connection id="4353" xr16:uid="{00000000-0015-0000-FFFF-FFFF7E070000}" name="接続1563" type="7" refreshedVersion="4"/>
  <connection id="4354" xr16:uid="{00000000-0015-0000-FFFF-FFFF7F070000}" name="接続1564" type="7" refreshedVersion="4"/>
  <connection id="4355" xr16:uid="{00000000-0015-0000-FFFF-FFFF80070000}" name="接続1565" type="7" refreshedVersion="4"/>
  <connection id="4356" xr16:uid="{00000000-0015-0000-FFFF-FFFF81070000}" name="接続1566" type="7" refreshedVersion="4"/>
  <connection id="4357" xr16:uid="{00000000-0015-0000-FFFF-FFFF82070000}" name="接続1567" type="7" refreshedVersion="4"/>
  <connection id="4358" xr16:uid="{00000000-0015-0000-FFFF-FFFF83070000}" name="接続1568" type="7" refreshedVersion="4"/>
  <connection id="4359" xr16:uid="{00000000-0015-0000-FFFF-FFFF84070000}" name="接続1569" type="7" refreshedVersion="4"/>
  <connection id="4360" xr16:uid="{00000000-0015-0000-FFFF-FFFF85070000}" name="接続157" type="7" refreshedVersion="4"/>
  <connection id="4361" xr16:uid="{00000000-0015-0000-FFFF-FFFF86070000}" name="接続1570" type="7" refreshedVersion="4"/>
  <connection id="4362" xr16:uid="{00000000-0015-0000-FFFF-FFFF87070000}" name="接続1571" type="7" refreshedVersion="4"/>
  <connection id="4363" xr16:uid="{00000000-0015-0000-FFFF-FFFF88070000}" name="接続1572" type="7" refreshedVersion="4"/>
  <connection id="4364" xr16:uid="{00000000-0015-0000-FFFF-FFFF89070000}" name="接続1573" type="7" refreshedVersion="4"/>
  <connection id="4365" xr16:uid="{00000000-0015-0000-FFFF-FFFF8A070000}" name="接続1574" type="7" refreshedVersion="4"/>
  <connection id="4366" xr16:uid="{00000000-0015-0000-FFFF-FFFF8B070000}" name="接続1575" type="7" refreshedVersion="4"/>
  <connection id="4367" xr16:uid="{00000000-0015-0000-FFFF-FFFF8C070000}" name="接続1576" type="7" refreshedVersion="4"/>
  <connection id="4368" xr16:uid="{00000000-0015-0000-FFFF-FFFF8D070000}" name="接続1577" type="7" refreshedVersion="4"/>
  <connection id="4369" xr16:uid="{00000000-0015-0000-FFFF-FFFF8E070000}" name="接続1578" type="7" refreshedVersion="4"/>
  <connection id="4370" xr16:uid="{00000000-0015-0000-FFFF-FFFF8F070000}" name="接続1579" type="7" refreshedVersion="4"/>
  <connection id="4371" xr16:uid="{00000000-0015-0000-FFFF-FFFF90070000}" name="接続158" type="7" refreshedVersion="4"/>
  <connection id="4372" xr16:uid="{00000000-0015-0000-FFFF-FFFF91070000}" name="接続1580" type="7" refreshedVersion="4"/>
  <connection id="4373" xr16:uid="{00000000-0015-0000-FFFF-FFFF92070000}" name="接続1581" type="7" refreshedVersion="4"/>
  <connection id="4374" xr16:uid="{00000000-0015-0000-FFFF-FFFF93070000}" name="接続1582" type="7" refreshedVersion="4"/>
  <connection id="4375" xr16:uid="{00000000-0015-0000-FFFF-FFFF94070000}" name="接続1583" type="7" refreshedVersion="4"/>
  <connection id="4376" xr16:uid="{00000000-0015-0000-FFFF-FFFF95070000}" name="接続1584" type="7" refreshedVersion="4"/>
  <connection id="4377" xr16:uid="{00000000-0015-0000-FFFF-FFFF96070000}" name="接続1585" type="7" refreshedVersion="4"/>
  <connection id="4378" xr16:uid="{00000000-0015-0000-FFFF-FFFF97070000}" name="接続1586" type="7" refreshedVersion="4"/>
  <connection id="4379" xr16:uid="{00000000-0015-0000-FFFF-FFFF98070000}" name="接続1587" type="7" refreshedVersion="4"/>
  <connection id="4380" xr16:uid="{00000000-0015-0000-FFFF-FFFF99070000}" name="接続1588" type="7" refreshedVersion="4"/>
  <connection id="4381" xr16:uid="{00000000-0015-0000-FFFF-FFFF9A070000}" name="接続1589" type="7" refreshedVersion="4"/>
  <connection id="4382" xr16:uid="{00000000-0015-0000-FFFF-FFFF9B070000}" name="接続159" type="7" refreshedVersion="4"/>
  <connection id="4383" xr16:uid="{00000000-0015-0000-FFFF-FFFF9C070000}" name="接続1590" type="7" refreshedVersion="4"/>
  <connection id="4384" xr16:uid="{00000000-0015-0000-FFFF-FFFF9D070000}" name="接続1591" type="7" refreshedVersion="4"/>
  <connection id="4385" xr16:uid="{00000000-0015-0000-FFFF-FFFF9E070000}" name="接続1592" type="7" refreshedVersion="4"/>
  <connection id="4386" xr16:uid="{00000000-0015-0000-FFFF-FFFF9F070000}" name="接続1593" type="7" refreshedVersion="4"/>
  <connection id="4387" xr16:uid="{00000000-0015-0000-FFFF-FFFFA0070000}" name="接続1594" type="7" refreshedVersion="4"/>
  <connection id="4388" xr16:uid="{00000000-0015-0000-FFFF-FFFFA1070000}" name="接続1595" type="7" refreshedVersion="4"/>
  <connection id="4389" xr16:uid="{00000000-0015-0000-FFFF-FFFFA2070000}" name="接続1596" type="7" refreshedVersion="4"/>
  <connection id="4390" xr16:uid="{00000000-0015-0000-FFFF-FFFFA3070000}" name="接続1597" type="7" refreshedVersion="4"/>
  <connection id="4391" xr16:uid="{00000000-0015-0000-FFFF-FFFFA4070000}" name="接続1598" type="7" refreshedVersion="4"/>
  <connection id="4392" xr16:uid="{00000000-0015-0000-FFFF-FFFFA5070000}" name="接続1599" type="7" refreshedVersion="4"/>
  <connection id="4393" xr16:uid="{00000000-0015-0000-FFFF-FFFFA6070000}" name="接続16" type="7" refreshedVersion="3"/>
  <connection id="4394" xr16:uid="{00000000-0015-0000-FFFF-FFFFA7070000}" name="接続160" type="7" refreshedVersion="4"/>
  <connection id="4395" xr16:uid="{00000000-0015-0000-FFFF-FFFFA8070000}" name="接続1600" type="7" refreshedVersion="4"/>
  <connection id="4396" xr16:uid="{00000000-0015-0000-FFFF-FFFFA9070000}" name="接続1601" type="7" refreshedVersion="4"/>
  <connection id="4397" xr16:uid="{00000000-0015-0000-FFFF-FFFFAA070000}" name="接続1602" type="7" refreshedVersion="4"/>
  <connection id="4398" xr16:uid="{00000000-0015-0000-FFFF-FFFFAB070000}" name="接続1603" type="7" refreshedVersion="4"/>
  <connection id="4399" xr16:uid="{00000000-0015-0000-FFFF-FFFFAC070000}" name="接続1604" type="7" refreshedVersion="4"/>
  <connection id="4400" xr16:uid="{00000000-0015-0000-FFFF-FFFFAD070000}" name="接続1605" type="7" refreshedVersion="4"/>
  <connection id="4401" xr16:uid="{00000000-0015-0000-FFFF-FFFFAE070000}" name="接続1606" type="7" refreshedVersion="4"/>
  <connection id="4402" xr16:uid="{00000000-0015-0000-FFFF-FFFFAF070000}" name="接続1607" type="7" refreshedVersion="4"/>
  <connection id="4403" xr16:uid="{00000000-0015-0000-FFFF-FFFFB0070000}" name="接続1608" type="7" refreshedVersion="4"/>
  <connection id="4404" xr16:uid="{00000000-0015-0000-FFFF-FFFFB1070000}" name="接続1609" type="7" refreshedVersion="4"/>
  <connection id="4405" xr16:uid="{00000000-0015-0000-FFFF-FFFFB2070000}" name="接続161" type="7" refreshedVersion="4"/>
  <connection id="4406" xr16:uid="{00000000-0015-0000-FFFF-FFFFB3070000}" name="接続1610" type="7" refreshedVersion="4"/>
  <connection id="4407" xr16:uid="{00000000-0015-0000-FFFF-FFFFB4070000}" name="接続1611" type="7" refreshedVersion="4"/>
  <connection id="4408" xr16:uid="{00000000-0015-0000-FFFF-FFFFB5070000}" name="接続1612" type="7" refreshedVersion="4"/>
  <connection id="4409" xr16:uid="{00000000-0015-0000-FFFF-FFFFB6070000}" name="接続1613" type="7" refreshedVersion="4"/>
  <connection id="4410" xr16:uid="{00000000-0015-0000-FFFF-FFFFB7070000}" name="接続1614" type="7" refreshedVersion="4"/>
  <connection id="4411" xr16:uid="{00000000-0015-0000-FFFF-FFFFB8070000}" name="接続1615" type="7" refreshedVersion="4"/>
  <connection id="4412" xr16:uid="{00000000-0015-0000-FFFF-FFFFB9070000}" name="接続1616" type="7" refreshedVersion="4"/>
  <connection id="4413" xr16:uid="{00000000-0015-0000-FFFF-FFFFBA070000}" name="接続1617" type="7" refreshedVersion="4"/>
  <connection id="4414" xr16:uid="{00000000-0015-0000-FFFF-FFFFBB070000}" name="接続1618" type="7" refreshedVersion="4"/>
  <connection id="4415" xr16:uid="{00000000-0015-0000-FFFF-FFFFBC070000}" name="接続1619" type="7" refreshedVersion="4"/>
  <connection id="4416" xr16:uid="{00000000-0015-0000-FFFF-FFFFBD070000}" name="接続162" type="7" refreshedVersion="4"/>
  <connection id="4417" xr16:uid="{00000000-0015-0000-FFFF-FFFFBE070000}" name="接続1620" type="7" refreshedVersion="4"/>
  <connection id="4418" xr16:uid="{00000000-0015-0000-FFFF-FFFFBF070000}" name="接続1621" type="7" refreshedVersion="4"/>
  <connection id="4419" xr16:uid="{00000000-0015-0000-FFFF-FFFFC0070000}" name="接続1622" type="7" refreshedVersion="4"/>
  <connection id="4420" xr16:uid="{00000000-0015-0000-FFFF-FFFFC1070000}" name="接続1623" type="7" refreshedVersion="4"/>
  <connection id="4421" xr16:uid="{00000000-0015-0000-FFFF-FFFFC2070000}" name="接続1624" type="7" refreshedVersion="4"/>
  <connection id="4422" xr16:uid="{00000000-0015-0000-FFFF-FFFFC3070000}" name="接続1625" type="7" refreshedVersion="4"/>
  <connection id="4423" xr16:uid="{00000000-0015-0000-FFFF-FFFFC4070000}" name="接続1626" type="7" refreshedVersion="4"/>
  <connection id="4424" xr16:uid="{00000000-0015-0000-FFFF-FFFFC5070000}" name="接続1627" type="7" refreshedVersion="4"/>
  <connection id="4425" xr16:uid="{00000000-0015-0000-FFFF-FFFFC6070000}" name="接続1628" type="7" refreshedVersion="4"/>
  <connection id="4426" xr16:uid="{00000000-0015-0000-FFFF-FFFFC7070000}" name="接続1629" type="7" refreshedVersion="4"/>
  <connection id="4427" xr16:uid="{00000000-0015-0000-FFFF-FFFFC8070000}" name="接続163" type="7" refreshedVersion="4"/>
  <connection id="4428" xr16:uid="{00000000-0015-0000-FFFF-FFFFC9070000}" name="接続1630" type="7" refreshedVersion="4"/>
  <connection id="4429" xr16:uid="{00000000-0015-0000-FFFF-FFFFCA070000}" name="接続1631" type="7" refreshedVersion="4"/>
  <connection id="4430" xr16:uid="{00000000-0015-0000-FFFF-FFFFCB070000}" name="接続1632" type="7" refreshedVersion="4"/>
  <connection id="4431" xr16:uid="{00000000-0015-0000-FFFF-FFFFCC070000}" name="接続1633" type="7" refreshedVersion="4"/>
  <connection id="4432" xr16:uid="{00000000-0015-0000-FFFF-FFFFCD070000}" name="接続1634" type="7" refreshedVersion="4"/>
  <connection id="4433" xr16:uid="{00000000-0015-0000-FFFF-FFFFCE070000}" name="接続1635" type="7" refreshedVersion="4"/>
  <connection id="4434" xr16:uid="{00000000-0015-0000-FFFF-FFFFCF070000}" name="接続1636" type="7" refreshedVersion="4"/>
  <connection id="4435" xr16:uid="{00000000-0015-0000-FFFF-FFFFD0070000}" name="接続1637" type="7" refreshedVersion="4"/>
  <connection id="4436" xr16:uid="{00000000-0015-0000-FFFF-FFFFD1070000}" name="接続1638" type="7" refreshedVersion="4"/>
  <connection id="4437" xr16:uid="{00000000-0015-0000-FFFF-FFFFD2070000}" name="接続1639" type="7" refreshedVersion="4"/>
  <connection id="4438" xr16:uid="{00000000-0015-0000-FFFF-FFFFD3070000}" name="接続164" type="7" refreshedVersion="4"/>
  <connection id="4439" xr16:uid="{00000000-0015-0000-FFFF-FFFFD4070000}" name="接続1640" type="7" refreshedVersion="4"/>
  <connection id="4440" xr16:uid="{00000000-0015-0000-FFFF-FFFFD5070000}" name="接続1641" type="7" refreshedVersion="4"/>
  <connection id="4441" xr16:uid="{00000000-0015-0000-FFFF-FFFFD6070000}" name="接続1642" type="7" refreshedVersion="4"/>
  <connection id="4442" xr16:uid="{00000000-0015-0000-FFFF-FFFFD7070000}" name="接続1643" type="7" refreshedVersion="4"/>
  <connection id="4443" xr16:uid="{00000000-0015-0000-FFFF-FFFFD8070000}" name="接続1644" type="7" refreshedVersion="4"/>
  <connection id="4444" xr16:uid="{00000000-0015-0000-FFFF-FFFFD9070000}" name="接続1645" type="7" refreshedVersion="4"/>
  <connection id="4445" xr16:uid="{00000000-0015-0000-FFFF-FFFFDA070000}" name="接続1646" type="7" refreshedVersion="4"/>
  <connection id="4446" xr16:uid="{00000000-0015-0000-FFFF-FFFFDB070000}" name="接続1647" type="7" refreshedVersion="4"/>
  <connection id="4447" xr16:uid="{00000000-0015-0000-FFFF-FFFFDC070000}" name="接続1648" type="7" refreshedVersion="4"/>
  <connection id="4448" xr16:uid="{00000000-0015-0000-FFFF-FFFFDD070000}" name="接続1649" type="7" refreshedVersion="4"/>
  <connection id="4449" xr16:uid="{00000000-0015-0000-FFFF-FFFFDE070000}" name="接続165" type="7" refreshedVersion="4"/>
  <connection id="4450" xr16:uid="{00000000-0015-0000-FFFF-FFFFDF070000}" name="接続1650" type="7" refreshedVersion="4"/>
  <connection id="4451" xr16:uid="{00000000-0015-0000-FFFF-FFFFE0070000}" name="接続1651" type="7" refreshedVersion="4"/>
  <connection id="4452" xr16:uid="{00000000-0015-0000-FFFF-FFFFE1070000}" name="接続1652" type="7" refreshedVersion="4"/>
  <connection id="4453" xr16:uid="{00000000-0015-0000-FFFF-FFFFE2070000}" name="接続1653" type="7" refreshedVersion="4"/>
  <connection id="4454" xr16:uid="{00000000-0015-0000-FFFF-FFFFE3070000}" name="接続1654" type="7" refreshedVersion="4"/>
  <connection id="4455" xr16:uid="{00000000-0015-0000-FFFF-FFFFE4070000}" name="接続1655" type="7" refreshedVersion="4"/>
  <connection id="4456" xr16:uid="{00000000-0015-0000-FFFF-FFFFE5070000}" name="接続1656" type="7" refreshedVersion="4"/>
  <connection id="4457" xr16:uid="{00000000-0015-0000-FFFF-FFFFE6070000}" name="接続1657" type="7" refreshedVersion="4"/>
  <connection id="4458" xr16:uid="{00000000-0015-0000-FFFF-FFFFE7070000}" name="接続1658" type="7" refreshedVersion="4"/>
  <connection id="4459" xr16:uid="{00000000-0015-0000-FFFF-FFFFE8070000}" name="接続1659" type="7" refreshedVersion="4"/>
  <connection id="4460" xr16:uid="{00000000-0015-0000-FFFF-FFFFE9070000}" name="接続166" type="7" refreshedVersion="4"/>
  <connection id="4461" xr16:uid="{00000000-0015-0000-FFFF-FFFFEA070000}" name="接続1660" type="7" refreshedVersion="4"/>
  <connection id="4462" xr16:uid="{00000000-0015-0000-FFFF-FFFFEB070000}" name="接続1661" type="7" refreshedVersion="4"/>
  <connection id="4463" xr16:uid="{00000000-0015-0000-FFFF-FFFFEC070000}" name="接続1662" type="7" refreshedVersion="4"/>
  <connection id="4464" xr16:uid="{00000000-0015-0000-FFFF-FFFFED070000}" name="接続1663" type="7" refreshedVersion="4"/>
  <connection id="4465" xr16:uid="{00000000-0015-0000-FFFF-FFFFEE070000}" name="接続1664" type="7" refreshedVersion="4"/>
  <connection id="4466" xr16:uid="{00000000-0015-0000-FFFF-FFFFEF070000}" name="接続1665" type="7" refreshedVersion="4"/>
  <connection id="4467" xr16:uid="{00000000-0015-0000-FFFF-FFFFF0070000}" name="接続1666" type="7" refreshedVersion="4"/>
  <connection id="4468" xr16:uid="{00000000-0015-0000-FFFF-FFFFF1070000}" name="接続1667" type="7" refreshedVersion="4"/>
  <connection id="4469" xr16:uid="{00000000-0015-0000-FFFF-FFFFF2070000}" name="接続1668" type="7" refreshedVersion="4"/>
  <connection id="4470" xr16:uid="{00000000-0015-0000-FFFF-FFFFF3070000}" name="接続1669" type="7" refreshedVersion="4"/>
  <connection id="4471" xr16:uid="{00000000-0015-0000-FFFF-FFFFF4070000}" name="接続167" type="7" refreshedVersion="4"/>
  <connection id="4472" xr16:uid="{00000000-0015-0000-FFFF-FFFFF5070000}" name="接続1670" type="7" refreshedVersion="4"/>
  <connection id="4473" xr16:uid="{00000000-0015-0000-FFFF-FFFFF6070000}" name="接続1671" type="7" refreshedVersion="4"/>
  <connection id="4474" xr16:uid="{00000000-0015-0000-FFFF-FFFFF7070000}" name="接続1672" type="7" refreshedVersion="4"/>
  <connection id="4475" xr16:uid="{00000000-0015-0000-FFFF-FFFFF8070000}" name="接続1673" type="7" refreshedVersion="4"/>
  <connection id="4476" xr16:uid="{00000000-0015-0000-FFFF-FFFFF9070000}" name="接続1674" type="7" refreshedVersion="4"/>
  <connection id="4477" xr16:uid="{00000000-0015-0000-FFFF-FFFFFA070000}" name="接続1675" type="7" refreshedVersion="4"/>
  <connection id="4478" xr16:uid="{00000000-0015-0000-FFFF-FFFFFB070000}" name="接続1676" type="7" refreshedVersion="4"/>
  <connection id="4479" xr16:uid="{00000000-0015-0000-FFFF-FFFFFC070000}" name="接続1677" type="7" refreshedVersion="4"/>
  <connection id="4480" xr16:uid="{00000000-0015-0000-FFFF-FFFFFD070000}" name="接続1678" type="7" refreshedVersion="4"/>
  <connection id="4481" xr16:uid="{00000000-0015-0000-FFFF-FFFFFE070000}" name="接続1679" type="7" refreshedVersion="4"/>
  <connection id="4482" xr16:uid="{00000000-0015-0000-FFFF-FFFFFF070000}" name="接続168" type="7" refreshedVersion="4"/>
  <connection id="4483" xr16:uid="{00000000-0015-0000-FFFF-FFFF00080000}" name="接続1680" type="7" refreshedVersion="4"/>
  <connection id="4484" xr16:uid="{00000000-0015-0000-FFFF-FFFF01080000}" name="接続1681" type="7" refreshedVersion="4"/>
  <connection id="4485" xr16:uid="{00000000-0015-0000-FFFF-FFFF02080000}" name="接続1682" type="7" refreshedVersion="4"/>
  <connection id="4486" xr16:uid="{00000000-0015-0000-FFFF-FFFF03080000}" name="接続1683" type="7" refreshedVersion="4"/>
  <connection id="4487" xr16:uid="{00000000-0015-0000-FFFF-FFFF04080000}" name="接続1684" type="7" refreshedVersion="4"/>
  <connection id="4488" xr16:uid="{00000000-0015-0000-FFFF-FFFF05080000}" name="接続1685" type="7" refreshedVersion="4"/>
  <connection id="4489" xr16:uid="{00000000-0015-0000-FFFF-FFFF06080000}" name="接続1686" type="7" refreshedVersion="4"/>
  <connection id="4490" xr16:uid="{00000000-0015-0000-FFFF-FFFF07080000}" name="接続1687" type="7" refreshedVersion="4"/>
  <connection id="4491" xr16:uid="{00000000-0015-0000-FFFF-FFFF08080000}" name="接続1688" type="7" refreshedVersion="4"/>
  <connection id="4492" xr16:uid="{00000000-0015-0000-FFFF-FFFF09080000}" name="接続1689" type="7" refreshedVersion="4"/>
  <connection id="4493" xr16:uid="{00000000-0015-0000-FFFF-FFFF0A080000}" name="接続169" type="7" refreshedVersion="4"/>
  <connection id="4494" xr16:uid="{00000000-0015-0000-FFFF-FFFF0B080000}" name="接続1690" type="7" refreshedVersion="4"/>
  <connection id="4495" xr16:uid="{00000000-0015-0000-FFFF-FFFF0C080000}" name="接続1691" type="7" refreshedVersion="4"/>
  <connection id="4496" xr16:uid="{00000000-0015-0000-FFFF-FFFF0D080000}" name="接続1692" type="7" refreshedVersion="4"/>
  <connection id="4497" xr16:uid="{00000000-0015-0000-FFFF-FFFF0E080000}" name="接続1693" type="7" refreshedVersion="4"/>
  <connection id="4498" xr16:uid="{00000000-0015-0000-FFFF-FFFF0F080000}" name="接続1694" type="7" refreshedVersion="4"/>
  <connection id="4499" xr16:uid="{00000000-0015-0000-FFFF-FFFF10080000}" name="接続1695" type="7" refreshedVersion="4"/>
  <connection id="4500" xr16:uid="{00000000-0015-0000-FFFF-FFFF11080000}" name="接続1696" type="7" refreshedVersion="4"/>
  <connection id="4501" xr16:uid="{00000000-0015-0000-FFFF-FFFF12080000}" name="接続1697" type="7" refreshedVersion="4"/>
  <connection id="4502" xr16:uid="{00000000-0015-0000-FFFF-FFFF13080000}" name="接続1698" type="7" refreshedVersion="4"/>
  <connection id="4503" xr16:uid="{00000000-0015-0000-FFFF-FFFF14080000}" name="接続1699" type="7" refreshedVersion="4"/>
  <connection id="4504" xr16:uid="{00000000-0015-0000-FFFF-FFFF15080000}" name="接続17" type="7" refreshedVersion="3"/>
  <connection id="4505" xr16:uid="{00000000-0015-0000-FFFF-FFFF16080000}" name="接続170" type="7" refreshedVersion="4"/>
  <connection id="4506" xr16:uid="{00000000-0015-0000-FFFF-FFFF17080000}" name="接続1700" type="7" refreshedVersion="4"/>
  <connection id="4507" xr16:uid="{00000000-0015-0000-FFFF-FFFF18080000}" name="接続1701" type="7" refreshedVersion="4"/>
  <connection id="4508" xr16:uid="{00000000-0015-0000-FFFF-FFFF19080000}" name="接続1702" type="7" refreshedVersion="4"/>
  <connection id="4509" xr16:uid="{00000000-0015-0000-FFFF-FFFF1A080000}" name="接続1703" type="7" refreshedVersion="4"/>
  <connection id="4510" xr16:uid="{00000000-0015-0000-FFFF-FFFF1B080000}" name="接続1704" type="7" refreshedVersion="4"/>
  <connection id="4511" xr16:uid="{00000000-0015-0000-FFFF-FFFF1C080000}" name="接続1705" type="7" refreshedVersion="4"/>
  <connection id="4512" xr16:uid="{00000000-0015-0000-FFFF-FFFF1D080000}" name="接続1706" type="7" refreshedVersion="4"/>
  <connection id="4513" xr16:uid="{00000000-0015-0000-FFFF-FFFF1E080000}" name="接続1707" type="7" refreshedVersion="4"/>
  <connection id="4514" xr16:uid="{00000000-0015-0000-FFFF-FFFF1F080000}" name="接続1708" type="7" refreshedVersion="4"/>
  <connection id="4515" xr16:uid="{00000000-0015-0000-FFFF-FFFF20080000}" name="接続1709" type="7" refreshedVersion="4"/>
  <connection id="4516" xr16:uid="{00000000-0015-0000-FFFF-FFFF21080000}" name="接続171" type="7" refreshedVersion="4"/>
  <connection id="4517" xr16:uid="{00000000-0015-0000-FFFF-FFFF22080000}" name="接続1710" type="7" refreshedVersion="4"/>
  <connection id="4518" xr16:uid="{00000000-0015-0000-FFFF-FFFF23080000}" name="接続1711" type="7" refreshedVersion="4"/>
  <connection id="4519" xr16:uid="{00000000-0015-0000-FFFF-FFFF24080000}" name="接続1712" type="7" refreshedVersion="4"/>
  <connection id="4520" xr16:uid="{00000000-0015-0000-FFFF-FFFF25080000}" name="接続1713" type="7" refreshedVersion="4"/>
  <connection id="4521" xr16:uid="{00000000-0015-0000-FFFF-FFFF26080000}" name="接続1714" type="7" refreshedVersion="4"/>
  <connection id="4522" xr16:uid="{00000000-0015-0000-FFFF-FFFF27080000}" name="接続1715" type="7" refreshedVersion="4"/>
  <connection id="4523" xr16:uid="{00000000-0015-0000-FFFF-FFFF28080000}" name="接続1716" type="7" refreshedVersion="4"/>
  <connection id="4524" xr16:uid="{00000000-0015-0000-FFFF-FFFF29080000}" name="接続1717" type="7" refreshedVersion="4"/>
  <connection id="4525" xr16:uid="{00000000-0015-0000-FFFF-FFFF2A080000}" name="接続1718" type="7" refreshedVersion="4"/>
  <connection id="4526" xr16:uid="{00000000-0015-0000-FFFF-FFFF2B080000}" name="接続1719" type="7" refreshedVersion="4"/>
  <connection id="4527" xr16:uid="{00000000-0015-0000-FFFF-FFFF2C080000}" name="接続172" type="7" refreshedVersion="4"/>
  <connection id="4528" xr16:uid="{00000000-0015-0000-FFFF-FFFF2D080000}" name="接続1720" type="7" refreshedVersion="4"/>
  <connection id="4529" xr16:uid="{00000000-0015-0000-FFFF-FFFF2E080000}" name="接続1721" type="7" refreshedVersion="4"/>
  <connection id="4530" xr16:uid="{00000000-0015-0000-FFFF-FFFF2F080000}" name="接続1722" type="7" refreshedVersion="4"/>
  <connection id="4531" xr16:uid="{00000000-0015-0000-FFFF-FFFF30080000}" name="接続1723" type="7" refreshedVersion="4"/>
  <connection id="4532" xr16:uid="{00000000-0015-0000-FFFF-FFFF31080000}" name="接続1724" type="7" refreshedVersion="4"/>
  <connection id="4533" xr16:uid="{00000000-0015-0000-FFFF-FFFF32080000}" name="接続1725" type="7" refreshedVersion="4"/>
  <connection id="4534" xr16:uid="{00000000-0015-0000-FFFF-FFFF33080000}" name="接続1726" type="7" refreshedVersion="4"/>
  <connection id="4535" xr16:uid="{00000000-0015-0000-FFFF-FFFF34080000}" name="接続1727" type="7" refreshedVersion="4"/>
  <connection id="4536" xr16:uid="{00000000-0015-0000-FFFF-FFFF35080000}" name="接続1728" type="7" refreshedVersion="4"/>
  <connection id="4537" xr16:uid="{00000000-0015-0000-FFFF-FFFF36080000}" name="接続1729" type="7" refreshedVersion="4"/>
  <connection id="4538" xr16:uid="{00000000-0015-0000-FFFF-FFFF37080000}" name="接続173" type="7" refreshedVersion="4"/>
  <connection id="4539" xr16:uid="{00000000-0015-0000-FFFF-FFFF38080000}" name="接続1730" type="7" refreshedVersion="4"/>
  <connection id="4540" xr16:uid="{00000000-0015-0000-FFFF-FFFF39080000}" name="接続1731" type="7" refreshedVersion="4"/>
  <connection id="4541" xr16:uid="{00000000-0015-0000-FFFF-FFFF3A080000}" name="接続1732" type="7" refreshedVersion="4"/>
  <connection id="4542" xr16:uid="{00000000-0015-0000-FFFF-FFFF3B080000}" name="接続1733" type="7" refreshedVersion="4"/>
  <connection id="4543" xr16:uid="{00000000-0015-0000-FFFF-FFFF3C080000}" name="接続1734" type="7" refreshedVersion="4"/>
  <connection id="4544" xr16:uid="{00000000-0015-0000-FFFF-FFFF3D080000}" name="接続1735" type="7" refreshedVersion="4"/>
  <connection id="4545" xr16:uid="{00000000-0015-0000-FFFF-FFFF3E080000}" name="接続1736" type="7" refreshedVersion="4"/>
  <connection id="4546" xr16:uid="{00000000-0015-0000-FFFF-FFFF3F080000}" name="接続1737" type="7" refreshedVersion="4"/>
  <connection id="4547" xr16:uid="{00000000-0015-0000-FFFF-FFFF40080000}" name="接続1738" type="7" refreshedVersion="4"/>
  <connection id="4548" xr16:uid="{00000000-0015-0000-FFFF-FFFF41080000}" name="接続1739" type="7" refreshedVersion="4"/>
  <connection id="4549" xr16:uid="{00000000-0015-0000-FFFF-FFFF42080000}" name="接続174" type="7" refreshedVersion="4"/>
  <connection id="4550" xr16:uid="{00000000-0015-0000-FFFF-FFFF43080000}" name="接続1740" type="7" refreshedVersion="4"/>
  <connection id="4551" xr16:uid="{00000000-0015-0000-FFFF-FFFF44080000}" name="接続1741" type="7" refreshedVersion="4"/>
  <connection id="4552" xr16:uid="{00000000-0015-0000-FFFF-FFFF45080000}" name="接続1742" type="7" refreshedVersion="4"/>
  <connection id="4553" xr16:uid="{00000000-0015-0000-FFFF-FFFF46080000}" name="接続1743" type="7" refreshedVersion="4"/>
  <connection id="4554" xr16:uid="{00000000-0015-0000-FFFF-FFFF47080000}" name="接続1744" type="7" refreshedVersion="4"/>
  <connection id="4555" xr16:uid="{00000000-0015-0000-FFFF-FFFF48080000}" name="接続1745" type="7" refreshedVersion="4"/>
  <connection id="4556" xr16:uid="{00000000-0015-0000-FFFF-FFFF49080000}" name="接続1746" type="7" refreshedVersion="4"/>
  <connection id="4557" xr16:uid="{00000000-0015-0000-FFFF-FFFF4A080000}" name="接続1747" type="7" refreshedVersion="4"/>
  <connection id="4558" xr16:uid="{00000000-0015-0000-FFFF-FFFF4B080000}" name="接続1748" type="7" refreshedVersion="4"/>
  <connection id="4559" xr16:uid="{00000000-0015-0000-FFFF-FFFF4C080000}" name="接続1749" type="7" refreshedVersion="4"/>
  <connection id="4560" xr16:uid="{00000000-0015-0000-FFFF-FFFF4D080000}" name="接続175" type="7" refreshedVersion="4"/>
  <connection id="4561" xr16:uid="{00000000-0015-0000-FFFF-FFFF4E080000}" name="接続1750" type="7" refreshedVersion="4"/>
  <connection id="4562" xr16:uid="{00000000-0015-0000-FFFF-FFFF4F080000}" name="接続1751" type="7" refreshedVersion="4"/>
  <connection id="4563" xr16:uid="{00000000-0015-0000-FFFF-FFFF50080000}" name="接続1752" type="7" refreshedVersion="4"/>
  <connection id="4564" xr16:uid="{00000000-0015-0000-FFFF-FFFF51080000}" name="接続1753" type="7" refreshedVersion="4"/>
  <connection id="4565" xr16:uid="{00000000-0015-0000-FFFF-FFFF52080000}" name="接続1754" type="7" refreshedVersion="4"/>
  <connection id="4566" xr16:uid="{00000000-0015-0000-FFFF-FFFF53080000}" name="接続1755" type="7" refreshedVersion="4"/>
  <connection id="4567" xr16:uid="{00000000-0015-0000-FFFF-FFFF54080000}" name="接続1756" type="7" refreshedVersion="4"/>
  <connection id="4568" xr16:uid="{00000000-0015-0000-FFFF-FFFF55080000}" name="接続1757" type="7" refreshedVersion="4"/>
  <connection id="4569" xr16:uid="{00000000-0015-0000-FFFF-FFFF56080000}" name="接続1758" type="7" refreshedVersion="4"/>
  <connection id="4570" xr16:uid="{00000000-0015-0000-FFFF-FFFF57080000}" name="接続1759" type="7" refreshedVersion="4"/>
  <connection id="4571" xr16:uid="{00000000-0015-0000-FFFF-FFFF58080000}" name="接続176" type="7" refreshedVersion="4"/>
  <connection id="4572" xr16:uid="{00000000-0015-0000-FFFF-FFFF59080000}" name="接続1760" type="7" refreshedVersion="4"/>
  <connection id="4573" xr16:uid="{00000000-0015-0000-FFFF-FFFF5A080000}" name="接続1761" type="7" refreshedVersion="4"/>
  <connection id="4574" xr16:uid="{00000000-0015-0000-FFFF-FFFF5B080000}" name="接続1762" type="7" refreshedVersion="4"/>
  <connection id="4575" xr16:uid="{00000000-0015-0000-FFFF-FFFF5C080000}" name="接続1763" type="7" refreshedVersion="4"/>
  <connection id="4576" xr16:uid="{00000000-0015-0000-FFFF-FFFF5D080000}" name="接続1764" type="7" refreshedVersion="4"/>
  <connection id="4577" xr16:uid="{00000000-0015-0000-FFFF-FFFF5E080000}" name="接続1765" type="7" refreshedVersion="4"/>
  <connection id="4578" xr16:uid="{00000000-0015-0000-FFFF-FFFF5F080000}" name="接続1766" type="7" refreshedVersion="4"/>
  <connection id="4579" xr16:uid="{00000000-0015-0000-FFFF-FFFF60080000}" name="接続1767" type="7" refreshedVersion="4"/>
  <connection id="4580" xr16:uid="{00000000-0015-0000-FFFF-FFFF61080000}" name="接続1768" type="7" refreshedVersion="4"/>
  <connection id="4581" xr16:uid="{00000000-0015-0000-FFFF-FFFF62080000}" name="接続1769" type="7" refreshedVersion="4"/>
  <connection id="4582" xr16:uid="{00000000-0015-0000-FFFF-FFFF63080000}" name="接続177" type="7" refreshedVersion="4"/>
  <connection id="4583" xr16:uid="{00000000-0015-0000-FFFF-FFFF64080000}" name="接続1770" type="7" refreshedVersion="4"/>
  <connection id="4584" xr16:uid="{00000000-0015-0000-FFFF-FFFF65080000}" name="接続1771" type="7" refreshedVersion="4"/>
  <connection id="4585" xr16:uid="{00000000-0015-0000-FFFF-FFFF66080000}" name="接続1772" type="7" refreshedVersion="4"/>
  <connection id="4586" xr16:uid="{00000000-0015-0000-FFFF-FFFF67080000}" name="接続1773" type="7" refreshedVersion="4"/>
  <connection id="4587" xr16:uid="{00000000-0015-0000-FFFF-FFFF68080000}" name="接続1774" type="7" refreshedVersion="4"/>
  <connection id="4588" xr16:uid="{00000000-0015-0000-FFFF-FFFF69080000}" name="接続1775" type="7" refreshedVersion="4"/>
  <connection id="4589" xr16:uid="{00000000-0015-0000-FFFF-FFFF6A080000}" name="接続1776" type="7" refreshedVersion="4"/>
  <connection id="4590" xr16:uid="{00000000-0015-0000-FFFF-FFFF6B080000}" name="接続1777" type="7" refreshedVersion="4"/>
  <connection id="4591" xr16:uid="{00000000-0015-0000-FFFF-FFFF6C080000}" name="接続1778" type="7" refreshedVersion="4"/>
  <connection id="4592" xr16:uid="{00000000-0015-0000-FFFF-FFFF6D080000}" name="接続1779" type="7" refreshedVersion="4"/>
  <connection id="4593" xr16:uid="{00000000-0015-0000-FFFF-FFFF6E080000}" name="接続178" type="7" refreshedVersion="4"/>
  <connection id="4594" xr16:uid="{00000000-0015-0000-FFFF-FFFF6F080000}" name="接続1780" type="7" refreshedVersion="4"/>
  <connection id="4595" xr16:uid="{00000000-0015-0000-FFFF-FFFF70080000}" name="接続1781" type="7" refreshedVersion="4"/>
  <connection id="4596" xr16:uid="{00000000-0015-0000-FFFF-FFFF71080000}" name="接続1782" type="7" refreshedVersion="4"/>
  <connection id="4597" xr16:uid="{00000000-0015-0000-FFFF-FFFF72080000}" name="接続1783" type="7" refreshedVersion="4"/>
  <connection id="4598" xr16:uid="{00000000-0015-0000-FFFF-FFFF73080000}" name="接続1784" type="7" refreshedVersion="4"/>
  <connection id="4599" xr16:uid="{00000000-0015-0000-FFFF-FFFF74080000}" name="接続1785" type="7" refreshedVersion="4"/>
  <connection id="4600" xr16:uid="{00000000-0015-0000-FFFF-FFFF75080000}" name="接続1786" type="7" refreshedVersion="4"/>
  <connection id="4601" xr16:uid="{00000000-0015-0000-FFFF-FFFF76080000}" name="接続1787" type="7" refreshedVersion="4"/>
  <connection id="4602" xr16:uid="{00000000-0015-0000-FFFF-FFFF77080000}" name="接続1788" type="7" refreshedVersion="4"/>
  <connection id="4603" xr16:uid="{00000000-0015-0000-FFFF-FFFF78080000}" name="接続1789" type="7" refreshedVersion="4"/>
  <connection id="4604" xr16:uid="{00000000-0015-0000-FFFF-FFFF79080000}" name="接続179" type="7" refreshedVersion="4"/>
  <connection id="4605" xr16:uid="{00000000-0015-0000-FFFF-FFFF7A080000}" name="接続1790" type="7" refreshedVersion="4"/>
  <connection id="4606" xr16:uid="{00000000-0015-0000-FFFF-FFFF7B080000}" name="接続1791" type="7" refreshedVersion="4"/>
  <connection id="4607" xr16:uid="{00000000-0015-0000-FFFF-FFFF7C080000}" name="接続1792" type="7" refreshedVersion="4"/>
  <connection id="4608" xr16:uid="{00000000-0015-0000-FFFF-FFFF7D080000}" name="接続1793" type="7" refreshedVersion="4"/>
  <connection id="4609" xr16:uid="{00000000-0015-0000-FFFF-FFFF7E080000}" name="接続1794" type="7" refreshedVersion="4"/>
  <connection id="4610" xr16:uid="{00000000-0015-0000-FFFF-FFFF7F080000}" name="接続1795" type="7" refreshedVersion="4"/>
  <connection id="4611" xr16:uid="{00000000-0015-0000-FFFF-FFFF80080000}" name="接続1796" type="7" refreshedVersion="4"/>
  <connection id="4612" xr16:uid="{00000000-0015-0000-FFFF-FFFF81080000}" name="接続1797" type="7" refreshedVersion="4"/>
  <connection id="4613" xr16:uid="{00000000-0015-0000-FFFF-FFFF82080000}" name="接続1798" type="7" refreshedVersion="4"/>
  <connection id="4614" xr16:uid="{00000000-0015-0000-FFFF-FFFF83080000}" name="接続1799" type="7" refreshedVersion="4"/>
  <connection id="4615" xr16:uid="{00000000-0015-0000-FFFF-FFFF84080000}" name="接続18" type="7" refreshedVersion="3"/>
  <connection id="4616" xr16:uid="{00000000-0015-0000-FFFF-FFFF85080000}" name="接続180" type="7" refreshedVersion="4"/>
  <connection id="4617" xr16:uid="{00000000-0015-0000-FFFF-FFFF86080000}" name="接続1800" type="7" refreshedVersion="4"/>
  <connection id="4618" xr16:uid="{00000000-0015-0000-FFFF-FFFF87080000}" name="接続1801" type="7" refreshedVersion="4"/>
  <connection id="4619" xr16:uid="{00000000-0015-0000-FFFF-FFFF88080000}" name="接続1802" type="7" refreshedVersion="4"/>
  <connection id="4620" xr16:uid="{00000000-0015-0000-FFFF-FFFF89080000}" name="接続1803" type="7" refreshedVersion="4"/>
  <connection id="4621" xr16:uid="{00000000-0015-0000-FFFF-FFFF8A080000}" name="接続1804" type="7" refreshedVersion="4"/>
  <connection id="4622" xr16:uid="{00000000-0015-0000-FFFF-FFFF8B080000}" name="接続1805" type="7" refreshedVersion="4"/>
  <connection id="4623" xr16:uid="{00000000-0015-0000-FFFF-FFFF8C080000}" name="接続1806" type="7" refreshedVersion="4"/>
  <connection id="4624" xr16:uid="{00000000-0015-0000-FFFF-FFFF8D080000}" name="接続1807" type="7" refreshedVersion="4"/>
  <connection id="4625" xr16:uid="{00000000-0015-0000-FFFF-FFFF8E080000}" name="接続1808" type="7" refreshedVersion="4"/>
  <connection id="4626" xr16:uid="{00000000-0015-0000-FFFF-FFFF8F080000}" name="接続1809" type="7" refreshedVersion="4"/>
  <connection id="4627" xr16:uid="{00000000-0015-0000-FFFF-FFFF90080000}" name="接続181" type="7" refreshedVersion="4"/>
  <connection id="4628" xr16:uid="{00000000-0015-0000-FFFF-FFFF91080000}" name="接続1810" type="7" refreshedVersion="4"/>
  <connection id="4629" xr16:uid="{00000000-0015-0000-FFFF-FFFF92080000}" name="接続1811" type="7" refreshedVersion="4"/>
  <connection id="4630" xr16:uid="{00000000-0015-0000-FFFF-FFFF93080000}" name="接続1812" type="7" refreshedVersion="4"/>
  <connection id="4631" xr16:uid="{00000000-0015-0000-FFFF-FFFF94080000}" name="接続1813" type="7" refreshedVersion="4"/>
  <connection id="4632" xr16:uid="{00000000-0015-0000-FFFF-FFFF95080000}" name="接続1814" type="7" refreshedVersion="4"/>
  <connection id="4633" xr16:uid="{00000000-0015-0000-FFFF-FFFF96080000}" name="接続1815" type="7" refreshedVersion="4"/>
  <connection id="4634" xr16:uid="{00000000-0015-0000-FFFF-FFFF97080000}" name="接続1816" type="7" refreshedVersion="4"/>
  <connection id="4635" xr16:uid="{00000000-0015-0000-FFFF-FFFF98080000}" name="接続1817" type="7" refreshedVersion="4"/>
  <connection id="4636" xr16:uid="{00000000-0015-0000-FFFF-FFFF99080000}" name="接続1818" type="7" refreshedVersion="4"/>
  <connection id="4637" xr16:uid="{00000000-0015-0000-FFFF-FFFF9A080000}" name="接続1819" type="7" refreshedVersion="4"/>
  <connection id="4638" xr16:uid="{00000000-0015-0000-FFFF-FFFF9B080000}" name="接続182" type="7" refreshedVersion="4"/>
  <connection id="4639" xr16:uid="{00000000-0015-0000-FFFF-FFFF9C080000}" name="接続1820" type="7" refreshedVersion="4"/>
  <connection id="4640" xr16:uid="{00000000-0015-0000-FFFF-FFFF9D080000}" name="接続1821" type="7" refreshedVersion="4"/>
  <connection id="4641" xr16:uid="{00000000-0015-0000-FFFF-FFFF9E080000}" name="接続1822" type="7" refreshedVersion="4"/>
  <connection id="4642" xr16:uid="{00000000-0015-0000-FFFF-FFFF9F080000}" name="接続1823" type="7" refreshedVersion="4"/>
  <connection id="4643" xr16:uid="{00000000-0015-0000-FFFF-FFFFA0080000}" name="接続1824" type="7" refreshedVersion="4"/>
  <connection id="4644" xr16:uid="{00000000-0015-0000-FFFF-FFFFA1080000}" name="接続1825" type="7" refreshedVersion="4"/>
  <connection id="4645" xr16:uid="{00000000-0015-0000-FFFF-FFFFA2080000}" name="接続1826" type="7" refreshedVersion="4"/>
  <connection id="4646" xr16:uid="{00000000-0015-0000-FFFF-FFFFA3080000}" name="接続1827" type="7" refreshedVersion="4"/>
  <connection id="4647" xr16:uid="{00000000-0015-0000-FFFF-FFFFA4080000}" name="接続1828" type="7" refreshedVersion="4"/>
  <connection id="4648" xr16:uid="{00000000-0015-0000-FFFF-FFFFA5080000}" name="接続1829" type="7" refreshedVersion="4"/>
  <connection id="4649" xr16:uid="{00000000-0015-0000-FFFF-FFFFA6080000}" name="接続183" type="7" refreshedVersion="4"/>
  <connection id="4650" xr16:uid="{00000000-0015-0000-FFFF-FFFFA7080000}" name="接続1830" type="7" refreshedVersion="4"/>
  <connection id="4651" xr16:uid="{00000000-0015-0000-FFFF-FFFFA8080000}" name="接続1831" type="7" refreshedVersion="4"/>
  <connection id="4652" xr16:uid="{00000000-0015-0000-FFFF-FFFFA9080000}" name="接続1832" type="7" refreshedVersion="4"/>
  <connection id="4653" xr16:uid="{00000000-0015-0000-FFFF-FFFFAA080000}" name="接続1833" type="7" refreshedVersion="4"/>
  <connection id="4654" xr16:uid="{00000000-0015-0000-FFFF-FFFFAB080000}" name="接続1834" type="7" refreshedVersion="4"/>
  <connection id="4655" xr16:uid="{00000000-0015-0000-FFFF-FFFFAC080000}" name="接続1835" type="7" refreshedVersion="4"/>
  <connection id="4656" xr16:uid="{00000000-0015-0000-FFFF-FFFFAD080000}" name="接続1836" type="7" refreshedVersion="4"/>
  <connection id="4657" xr16:uid="{00000000-0015-0000-FFFF-FFFFAE080000}" name="接続1837" type="7" refreshedVersion="4"/>
  <connection id="4658" xr16:uid="{00000000-0015-0000-FFFF-FFFFAF080000}" name="接続1838" type="7" refreshedVersion="4"/>
  <connection id="4659" xr16:uid="{00000000-0015-0000-FFFF-FFFFB0080000}" name="接続1839" type="7" refreshedVersion="4"/>
  <connection id="4660" xr16:uid="{00000000-0015-0000-FFFF-FFFFB1080000}" name="接続184" type="7" refreshedVersion="4"/>
  <connection id="4661" xr16:uid="{00000000-0015-0000-FFFF-FFFFB2080000}" name="接続1840" type="7" refreshedVersion="4"/>
  <connection id="4662" xr16:uid="{00000000-0015-0000-FFFF-FFFFB3080000}" name="接続1841" type="7" refreshedVersion="4"/>
  <connection id="4663" xr16:uid="{00000000-0015-0000-FFFF-FFFFB4080000}" name="接続1842" type="7" refreshedVersion="4"/>
  <connection id="4664" xr16:uid="{00000000-0015-0000-FFFF-FFFFB5080000}" name="接続1843" type="7" refreshedVersion="4"/>
  <connection id="4665" xr16:uid="{00000000-0015-0000-FFFF-FFFFB6080000}" name="接続1844" type="7" refreshedVersion="4"/>
  <connection id="4666" xr16:uid="{00000000-0015-0000-FFFF-FFFFB7080000}" name="接続1845" type="7" refreshedVersion="4"/>
  <connection id="4667" xr16:uid="{00000000-0015-0000-FFFF-FFFFB8080000}" name="接続1846" type="7" refreshedVersion="4"/>
  <connection id="4668" xr16:uid="{00000000-0015-0000-FFFF-FFFFB9080000}" name="接続1847" type="7" refreshedVersion="4"/>
  <connection id="4669" xr16:uid="{00000000-0015-0000-FFFF-FFFFBA080000}" name="接続1848" type="7" refreshedVersion="4"/>
  <connection id="4670" xr16:uid="{00000000-0015-0000-FFFF-FFFFBB080000}" name="接続1849" type="7" refreshedVersion="4"/>
  <connection id="4671" xr16:uid="{00000000-0015-0000-FFFF-FFFFBC080000}" name="接続185" type="7" refreshedVersion="4"/>
  <connection id="4672" xr16:uid="{00000000-0015-0000-FFFF-FFFFBD080000}" name="接続1850" type="7" refreshedVersion="4"/>
  <connection id="4673" xr16:uid="{00000000-0015-0000-FFFF-FFFFBE080000}" name="接続1851" type="7" refreshedVersion="4"/>
  <connection id="4674" xr16:uid="{00000000-0015-0000-FFFF-FFFFBF080000}" name="接続1852" type="7" refreshedVersion="4"/>
  <connection id="4675" xr16:uid="{00000000-0015-0000-FFFF-FFFFC0080000}" name="接続1853" type="7" refreshedVersion="4"/>
  <connection id="4676" xr16:uid="{00000000-0015-0000-FFFF-FFFFC1080000}" name="接続1854" type="7" refreshedVersion="4"/>
  <connection id="4677" xr16:uid="{00000000-0015-0000-FFFF-FFFFC2080000}" name="接続1855" type="7" refreshedVersion="4"/>
  <connection id="4678" xr16:uid="{00000000-0015-0000-FFFF-FFFFC3080000}" name="接続1856" type="7" refreshedVersion="4"/>
  <connection id="4679" xr16:uid="{00000000-0015-0000-FFFF-FFFFC4080000}" name="接続1857" type="7" refreshedVersion="4"/>
  <connection id="4680" xr16:uid="{00000000-0015-0000-FFFF-FFFFC5080000}" name="接続1858" type="7" refreshedVersion="4"/>
  <connection id="4681" xr16:uid="{00000000-0015-0000-FFFF-FFFFC6080000}" name="接続1859" type="7" refreshedVersion="4"/>
  <connection id="4682" xr16:uid="{00000000-0015-0000-FFFF-FFFFC7080000}" name="接続186" type="7" refreshedVersion="4"/>
  <connection id="4683" xr16:uid="{00000000-0015-0000-FFFF-FFFFC8080000}" name="接続1860" type="7" refreshedVersion="4"/>
  <connection id="4684" xr16:uid="{00000000-0015-0000-FFFF-FFFFC9080000}" name="接続1861" type="7" refreshedVersion="4"/>
  <connection id="4685" xr16:uid="{00000000-0015-0000-FFFF-FFFFCA080000}" name="接続1862" type="7" refreshedVersion="4"/>
  <connection id="4686" xr16:uid="{00000000-0015-0000-FFFF-FFFFCB080000}" name="接続1863" type="7" refreshedVersion="4"/>
  <connection id="4687" xr16:uid="{00000000-0015-0000-FFFF-FFFFCC080000}" name="接続1864" type="7" refreshedVersion="4"/>
  <connection id="4688" xr16:uid="{00000000-0015-0000-FFFF-FFFFCD080000}" name="接続1865" type="7" refreshedVersion="4"/>
  <connection id="4689" xr16:uid="{00000000-0015-0000-FFFF-FFFFCE080000}" name="接続1866" type="7" refreshedVersion="4"/>
  <connection id="4690" xr16:uid="{00000000-0015-0000-FFFF-FFFFCF080000}" name="接続1867" type="7" refreshedVersion="4"/>
  <connection id="4691" xr16:uid="{00000000-0015-0000-FFFF-FFFFD0080000}" name="接続1868" type="7" refreshedVersion="4"/>
  <connection id="4692" xr16:uid="{00000000-0015-0000-FFFF-FFFFD1080000}" name="接続1869" type="7" refreshedVersion="4"/>
  <connection id="4693" xr16:uid="{00000000-0015-0000-FFFF-FFFFD2080000}" name="接続187" type="7" refreshedVersion="4"/>
  <connection id="4694" xr16:uid="{00000000-0015-0000-FFFF-FFFFD3080000}" name="接続1870" type="7" refreshedVersion="4"/>
  <connection id="4695" xr16:uid="{00000000-0015-0000-FFFF-FFFFD4080000}" name="接続1871" type="7" refreshedVersion="4"/>
  <connection id="4696" xr16:uid="{00000000-0015-0000-FFFF-FFFFD5080000}" name="接続1872" type="7" refreshedVersion="4"/>
  <connection id="4697" xr16:uid="{00000000-0015-0000-FFFF-FFFFD6080000}" name="接続1873" type="7" refreshedVersion="4"/>
  <connection id="4698" xr16:uid="{00000000-0015-0000-FFFF-FFFFD7080000}" name="接続1874" type="7" refreshedVersion="4"/>
  <connection id="4699" xr16:uid="{00000000-0015-0000-FFFF-FFFFD8080000}" name="接続1875" type="7" refreshedVersion="4"/>
  <connection id="4700" xr16:uid="{00000000-0015-0000-FFFF-FFFFD9080000}" name="接続1876" type="7" refreshedVersion="4"/>
  <connection id="4701" xr16:uid="{00000000-0015-0000-FFFF-FFFFDA080000}" name="接続1877" type="7" refreshedVersion="4"/>
  <connection id="4702" xr16:uid="{00000000-0015-0000-FFFF-FFFFDB080000}" name="接続1878" type="7" refreshedVersion="4"/>
  <connection id="4703" xr16:uid="{00000000-0015-0000-FFFF-FFFFDC080000}" name="接続1879" type="7" refreshedVersion="4"/>
  <connection id="4704" xr16:uid="{00000000-0015-0000-FFFF-FFFFDD080000}" name="接続188" type="7" refreshedVersion="4"/>
  <connection id="4705" xr16:uid="{00000000-0015-0000-FFFF-FFFFDE080000}" name="接続1880" type="7" refreshedVersion="4"/>
  <connection id="4706" xr16:uid="{00000000-0015-0000-FFFF-FFFFDF080000}" name="接続1881" type="7" refreshedVersion="4"/>
  <connection id="4707" xr16:uid="{00000000-0015-0000-FFFF-FFFFE0080000}" name="接続1882" type="7" refreshedVersion="4"/>
  <connection id="4708" xr16:uid="{00000000-0015-0000-FFFF-FFFFE1080000}" name="接続1883" type="7" refreshedVersion="4"/>
  <connection id="4709" xr16:uid="{00000000-0015-0000-FFFF-FFFFE2080000}" name="接続1884" type="7" refreshedVersion="4"/>
  <connection id="4710" xr16:uid="{00000000-0015-0000-FFFF-FFFFE3080000}" name="接続1885" type="7" refreshedVersion="4"/>
  <connection id="4711" xr16:uid="{00000000-0015-0000-FFFF-FFFFE4080000}" name="接続1886" type="7" refreshedVersion="4"/>
  <connection id="4712" xr16:uid="{00000000-0015-0000-FFFF-FFFFE5080000}" name="接続1887" type="7" refreshedVersion="4"/>
  <connection id="4713" xr16:uid="{00000000-0015-0000-FFFF-FFFFE6080000}" name="接続1888" type="7" refreshedVersion="4"/>
  <connection id="4714" xr16:uid="{00000000-0015-0000-FFFF-FFFFE7080000}" name="接続1889" type="7" refreshedVersion="4"/>
  <connection id="4715" xr16:uid="{00000000-0015-0000-FFFF-FFFFE8080000}" name="接続189" type="7" refreshedVersion="4"/>
  <connection id="4716" xr16:uid="{00000000-0015-0000-FFFF-FFFFE9080000}" name="接続1890" type="7" refreshedVersion="4"/>
  <connection id="4717" xr16:uid="{00000000-0015-0000-FFFF-FFFFEA080000}" name="接続1891" type="7" refreshedVersion="4"/>
  <connection id="4718" xr16:uid="{00000000-0015-0000-FFFF-FFFFEB080000}" name="接続1892" type="7" refreshedVersion="4"/>
  <connection id="4719" xr16:uid="{00000000-0015-0000-FFFF-FFFFEC080000}" name="接続1893" type="7" refreshedVersion="4"/>
  <connection id="4720" xr16:uid="{00000000-0015-0000-FFFF-FFFFED080000}" name="接続1894" type="7" refreshedVersion="4"/>
  <connection id="4721" xr16:uid="{00000000-0015-0000-FFFF-FFFFEE080000}" name="接続1895" type="7" refreshedVersion="4"/>
  <connection id="4722" xr16:uid="{00000000-0015-0000-FFFF-FFFFEF080000}" name="接続1896" type="7" refreshedVersion="4"/>
  <connection id="4723" xr16:uid="{00000000-0015-0000-FFFF-FFFFF0080000}" name="接続1897" type="7" refreshedVersion="4"/>
  <connection id="4724" xr16:uid="{00000000-0015-0000-FFFF-FFFFF1080000}" name="接続1898" type="7" refreshedVersion="4"/>
  <connection id="4725" xr16:uid="{00000000-0015-0000-FFFF-FFFFF2080000}" name="接続1899" type="7" refreshedVersion="4"/>
  <connection id="4726" xr16:uid="{00000000-0015-0000-FFFF-FFFFF3080000}" name="接続19" type="7" refreshedVersion="3"/>
  <connection id="4727" xr16:uid="{00000000-0015-0000-FFFF-FFFFF4080000}" name="接続190" type="7" refreshedVersion="4"/>
  <connection id="4728" xr16:uid="{00000000-0015-0000-FFFF-FFFFF5080000}" name="接続1900" type="7" refreshedVersion="4"/>
  <connection id="4729" xr16:uid="{00000000-0015-0000-FFFF-FFFFF6080000}" name="接続1901" type="7" refreshedVersion="4"/>
  <connection id="4730" xr16:uid="{00000000-0015-0000-FFFF-FFFFF7080000}" name="接続1902" type="7" refreshedVersion="4"/>
  <connection id="4731" xr16:uid="{00000000-0015-0000-FFFF-FFFFF8080000}" name="接続1903" type="7" refreshedVersion="4"/>
  <connection id="4732" xr16:uid="{00000000-0015-0000-FFFF-FFFFF9080000}" name="接続1904" type="7" refreshedVersion="4"/>
  <connection id="4733" xr16:uid="{00000000-0015-0000-FFFF-FFFFFA080000}" name="接続1905" type="7" refreshedVersion="4"/>
  <connection id="4734" xr16:uid="{00000000-0015-0000-FFFF-FFFFFB080000}" name="接続1906" type="7" refreshedVersion="4"/>
  <connection id="4735" xr16:uid="{00000000-0015-0000-FFFF-FFFFFC080000}" name="接続1907" type="7" refreshedVersion="4"/>
  <connection id="4736" xr16:uid="{00000000-0015-0000-FFFF-FFFFFD080000}" name="接続1908" type="7" refreshedVersion="4"/>
  <connection id="4737" xr16:uid="{00000000-0015-0000-FFFF-FFFFFE080000}" name="接続1909" type="7" refreshedVersion="4"/>
  <connection id="4738" xr16:uid="{00000000-0015-0000-FFFF-FFFFFF080000}" name="接続191" type="7" refreshedVersion="4"/>
  <connection id="4739" xr16:uid="{00000000-0015-0000-FFFF-FFFF00090000}" name="接続1910" type="7" refreshedVersion="4"/>
  <connection id="4740" xr16:uid="{00000000-0015-0000-FFFF-FFFF01090000}" name="接続1911" type="7" refreshedVersion="4"/>
  <connection id="4741" xr16:uid="{00000000-0015-0000-FFFF-FFFF02090000}" name="接続1912" type="7" refreshedVersion="4"/>
  <connection id="4742" xr16:uid="{00000000-0015-0000-FFFF-FFFF03090000}" name="接続1913" type="7" refreshedVersion="4"/>
  <connection id="4743" xr16:uid="{00000000-0015-0000-FFFF-FFFF04090000}" name="接続1914" type="7" refreshedVersion="4"/>
  <connection id="4744" xr16:uid="{00000000-0015-0000-FFFF-FFFF05090000}" name="接続1915" type="7" refreshedVersion="4"/>
  <connection id="4745" xr16:uid="{00000000-0015-0000-FFFF-FFFF06090000}" name="接続1916" type="7" refreshedVersion="4"/>
  <connection id="4746" xr16:uid="{00000000-0015-0000-FFFF-FFFF07090000}" name="接続1917" type="7" refreshedVersion="4"/>
  <connection id="4747" xr16:uid="{00000000-0015-0000-FFFF-FFFF08090000}" name="接続1918" type="7" refreshedVersion="4"/>
  <connection id="4748" xr16:uid="{00000000-0015-0000-FFFF-FFFF09090000}" name="接続1919" type="7" refreshedVersion="4"/>
  <connection id="4749" xr16:uid="{00000000-0015-0000-FFFF-FFFF0A090000}" name="接続192" type="7" refreshedVersion="4"/>
  <connection id="4750" xr16:uid="{00000000-0015-0000-FFFF-FFFF0B090000}" name="接続1920" type="7" refreshedVersion="4"/>
  <connection id="4751" xr16:uid="{00000000-0015-0000-FFFF-FFFF0C090000}" name="接続1921" type="7" refreshedVersion="4"/>
  <connection id="4752" xr16:uid="{00000000-0015-0000-FFFF-FFFF0D090000}" name="接続1922" type="7" refreshedVersion="4"/>
  <connection id="4753" xr16:uid="{00000000-0015-0000-FFFF-FFFF0E090000}" name="接続1923" type="7" refreshedVersion="4"/>
  <connection id="4754" xr16:uid="{00000000-0015-0000-FFFF-FFFF0F090000}" name="接続1924" type="7" refreshedVersion="4"/>
  <connection id="4755" xr16:uid="{00000000-0015-0000-FFFF-FFFF10090000}" name="接続1925" type="7" refreshedVersion="4"/>
  <connection id="4756" xr16:uid="{00000000-0015-0000-FFFF-FFFF11090000}" name="接続1926" type="7" refreshedVersion="4"/>
  <connection id="4757" xr16:uid="{00000000-0015-0000-FFFF-FFFF12090000}" name="接続1927" type="7" refreshedVersion="4"/>
  <connection id="4758" xr16:uid="{00000000-0015-0000-FFFF-FFFF13090000}" name="接続1928" type="7" refreshedVersion="4"/>
  <connection id="4759" xr16:uid="{00000000-0015-0000-FFFF-FFFF14090000}" name="接続1929" type="7" refreshedVersion="4"/>
  <connection id="4760" xr16:uid="{00000000-0015-0000-FFFF-FFFF15090000}" name="接続193" type="7" refreshedVersion="4"/>
  <connection id="4761" xr16:uid="{00000000-0015-0000-FFFF-FFFF16090000}" name="接続1930" type="7" refreshedVersion="4"/>
  <connection id="4762" xr16:uid="{00000000-0015-0000-FFFF-FFFF17090000}" name="接続1931" type="7" refreshedVersion="4"/>
  <connection id="4763" xr16:uid="{00000000-0015-0000-FFFF-FFFF18090000}" name="接続1932" type="7" refreshedVersion="4"/>
  <connection id="4764" xr16:uid="{00000000-0015-0000-FFFF-FFFF19090000}" name="接続1933" type="7" refreshedVersion="4"/>
  <connection id="4765" xr16:uid="{00000000-0015-0000-FFFF-FFFF1A090000}" name="接続1934" type="7" refreshedVersion="4"/>
  <connection id="4766" xr16:uid="{00000000-0015-0000-FFFF-FFFF1B090000}" name="接続1935" type="7" refreshedVersion="4"/>
  <connection id="4767" xr16:uid="{00000000-0015-0000-FFFF-FFFF1C090000}" name="接続1936" type="7" refreshedVersion="4"/>
  <connection id="4768" xr16:uid="{00000000-0015-0000-FFFF-FFFF1D090000}" name="接続1937" type="7" refreshedVersion="4"/>
  <connection id="4769" xr16:uid="{00000000-0015-0000-FFFF-FFFF1E090000}" name="接続1938" type="7" refreshedVersion="4"/>
  <connection id="4770" xr16:uid="{00000000-0015-0000-FFFF-FFFF1F090000}" name="接続1939" type="7" refreshedVersion="4"/>
  <connection id="4771" xr16:uid="{00000000-0015-0000-FFFF-FFFF20090000}" name="接続194" type="7" refreshedVersion="4"/>
  <connection id="4772" xr16:uid="{00000000-0015-0000-FFFF-FFFF21090000}" name="接続1940" type="7" refreshedVersion="4"/>
  <connection id="4773" xr16:uid="{00000000-0015-0000-FFFF-FFFF22090000}" name="接続1941" type="7" refreshedVersion="4"/>
  <connection id="4774" xr16:uid="{00000000-0015-0000-FFFF-FFFF23090000}" name="接続1942" type="7" refreshedVersion="4"/>
  <connection id="4775" xr16:uid="{00000000-0015-0000-FFFF-FFFF24090000}" name="接続1943" type="7" refreshedVersion="4"/>
  <connection id="4776" xr16:uid="{00000000-0015-0000-FFFF-FFFF25090000}" name="接続1944" type="7" refreshedVersion="4"/>
  <connection id="4777" xr16:uid="{00000000-0015-0000-FFFF-FFFF26090000}" name="接続1945" type="7" refreshedVersion="4"/>
  <connection id="4778" xr16:uid="{00000000-0015-0000-FFFF-FFFF27090000}" name="接続1946" type="7" refreshedVersion="4"/>
  <connection id="4779" xr16:uid="{00000000-0015-0000-FFFF-FFFF28090000}" name="接続1947" type="7" refreshedVersion="4"/>
  <connection id="4780" xr16:uid="{00000000-0015-0000-FFFF-FFFF29090000}" name="接続1948" type="7" refreshedVersion="4"/>
  <connection id="4781" xr16:uid="{00000000-0015-0000-FFFF-FFFF2A090000}" name="接続1949" type="7" refreshedVersion="4"/>
  <connection id="4782" xr16:uid="{00000000-0015-0000-FFFF-FFFF2B090000}" name="接続195" type="7" refreshedVersion="4"/>
  <connection id="4783" xr16:uid="{00000000-0015-0000-FFFF-FFFF2C090000}" name="接続1950" type="7" refreshedVersion="4"/>
  <connection id="4784" xr16:uid="{00000000-0015-0000-FFFF-FFFF2D090000}" name="接続1951" type="7" refreshedVersion="4"/>
  <connection id="4785" xr16:uid="{00000000-0015-0000-FFFF-FFFF2E090000}" name="接続1952" type="7" refreshedVersion="4"/>
  <connection id="4786" xr16:uid="{00000000-0015-0000-FFFF-FFFF2F090000}" name="接続1953" type="7" refreshedVersion="4"/>
  <connection id="4787" xr16:uid="{00000000-0015-0000-FFFF-FFFF30090000}" name="接続1954" type="7" refreshedVersion="4"/>
  <connection id="4788" xr16:uid="{00000000-0015-0000-FFFF-FFFF31090000}" name="接続1955" type="7" refreshedVersion="4"/>
  <connection id="4789" xr16:uid="{00000000-0015-0000-FFFF-FFFF32090000}" name="接続1956" type="7" refreshedVersion="4"/>
  <connection id="4790" xr16:uid="{00000000-0015-0000-FFFF-FFFF33090000}" name="接続1957" type="7" refreshedVersion="4"/>
  <connection id="4791" xr16:uid="{00000000-0015-0000-FFFF-FFFF34090000}" name="接続1958" type="7" refreshedVersion="4"/>
  <connection id="4792" xr16:uid="{00000000-0015-0000-FFFF-FFFF35090000}" name="接続1959" type="7" refreshedVersion="4"/>
  <connection id="4793" xr16:uid="{00000000-0015-0000-FFFF-FFFF36090000}" name="接続196" type="7" refreshedVersion="4"/>
  <connection id="4794" xr16:uid="{00000000-0015-0000-FFFF-FFFF37090000}" name="接続1960" type="7" refreshedVersion="4"/>
  <connection id="4795" xr16:uid="{00000000-0015-0000-FFFF-FFFF38090000}" name="接続1961" type="7" refreshedVersion="4"/>
  <connection id="4796" xr16:uid="{00000000-0015-0000-FFFF-FFFF39090000}" name="接続1962" type="7" refreshedVersion="4"/>
  <connection id="4797" xr16:uid="{00000000-0015-0000-FFFF-FFFF3A090000}" name="接続1963" type="7" refreshedVersion="4"/>
  <connection id="4798" xr16:uid="{00000000-0015-0000-FFFF-FFFF3B090000}" name="接続1964" type="7" refreshedVersion="4"/>
  <connection id="4799" xr16:uid="{00000000-0015-0000-FFFF-FFFF3C090000}" name="接続1965" type="7" refreshedVersion="4"/>
  <connection id="4800" xr16:uid="{00000000-0015-0000-FFFF-FFFF3D090000}" name="接続1966" type="7" refreshedVersion="4"/>
  <connection id="4801" xr16:uid="{00000000-0015-0000-FFFF-FFFF3E090000}" name="接続1967" type="7" refreshedVersion="4"/>
  <connection id="4802" xr16:uid="{00000000-0015-0000-FFFF-FFFF3F090000}" name="接続1968" type="7" refreshedVersion="4"/>
  <connection id="4803" xr16:uid="{00000000-0015-0000-FFFF-FFFF40090000}" name="接続1969" type="7" refreshedVersion="4"/>
  <connection id="4804" xr16:uid="{00000000-0015-0000-FFFF-FFFF41090000}" name="接続197" type="7" refreshedVersion="4"/>
  <connection id="4805" xr16:uid="{00000000-0015-0000-FFFF-FFFF42090000}" name="接続1970" type="7" refreshedVersion="4"/>
  <connection id="4806" xr16:uid="{00000000-0015-0000-FFFF-FFFF43090000}" name="接続1971" type="7" refreshedVersion="4"/>
  <connection id="4807" xr16:uid="{00000000-0015-0000-FFFF-FFFF44090000}" name="接続1972" type="7" refreshedVersion="4"/>
  <connection id="4808" xr16:uid="{00000000-0015-0000-FFFF-FFFF45090000}" name="接続1973" type="7" refreshedVersion="4"/>
  <connection id="4809" xr16:uid="{00000000-0015-0000-FFFF-FFFF46090000}" name="接続1974" type="7" refreshedVersion="4"/>
  <connection id="4810" xr16:uid="{00000000-0015-0000-FFFF-FFFF47090000}" name="接続1975" type="7" refreshedVersion="4"/>
  <connection id="4811" xr16:uid="{00000000-0015-0000-FFFF-FFFF48090000}" name="接続1976" type="7" refreshedVersion="4"/>
  <connection id="4812" xr16:uid="{00000000-0015-0000-FFFF-FFFF49090000}" name="接続1977" type="7" refreshedVersion="4"/>
  <connection id="4813" xr16:uid="{00000000-0015-0000-FFFF-FFFF4A090000}" name="接続1978" type="7" refreshedVersion="4"/>
  <connection id="4814" xr16:uid="{00000000-0015-0000-FFFF-FFFF4B090000}" name="接続1979" type="7" refreshedVersion="4"/>
  <connection id="4815" xr16:uid="{00000000-0015-0000-FFFF-FFFF4C090000}" name="接続198" type="7" refreshedVersion="4"/>
  <connection id="4816" xr16:uid="{00000000-0015-0000-FFFF-FFFF4D090000}" name="接続1980" type="7" refreshedVersion="4"/>
  <connection id="4817" xr16:uid="{00000000-0015-0000-FFFF-FFFF4E090000}" name="接続1981" type="7" refreshedVersion="4"/>
  <connection id="4818" xr16:uid="{00000000-0015-0000-FFFF-FFFF4F090000}" name="接続1982" type="7" refreshedVersion="4"/>
  <connection id="4819" xr16:uid="{00000000-0015-0000-FFFF-FFFF50090000}" name="接続1983" type="7" refreshedVersion="4"/>
  <connection id="4820" xr16:uid="{00000000-0015-0000-FFFF-FFFF51090000}" name="接続1984" type="7" refreshedVersion="4"/>
  <connection id="4821" xr16:uid="{00000000-0015-0000-FFFF-FFFF52090000}" name="接続1985" type="7" refreshedVersion="4"/>
  <connection id="4822" xr16:uid="{00000000-0015-0000-FFFF-FFFF53090000}" name="接続1986" type="7" refreshedVersion="4"/>
  <connection id="4823" xr16:uid="{00000000-0015-0000-FFFF-FFFF54090000}" name="接続1987" type="7" refreshedVersion="4"/>
  <connection id="4824" xr16:uid="{00000000-0015-0000-FFFF-FFFF55090000}" name="接続1988" type="7" refreshedVersion="4"/>
  <connection id="4825" xr16:uid="{00000000-0015-0000-FFFF-FFFF56090000}" name="接続1989" type="7" refreshedVersion="4"/>
  <connection id="4826" xr16:uid="{00000000-0015-0000-FFFF-FFFF57090000}" name="接続199" type="7" refreshedVersion="4"/>
  <connection id="4827" xr16:uid="{00000000-0015-0000-FFFF-FFFF58090000}" name="接続1990" type="7" refreshedVersion="4"/>
  <connection id="4828" xr16:uid="{00000000-0015-0000-FFFF-FFFF59090000}" name="接続1991" type="7" refreshedVersion="4"/>
  <connection id="4829" xr16:uid="{00000000-0015-0000-FFFF-FFFF5A090000}" name="接続1992" type="7" refreshedVersion="4"/>
  <connection id="4830" xr16:uid="{00000000-0015-0000-FFFF-FFFF5B090000}" name="接続1993" type="7" refreshedVersion="4"/>
  <connection id="4831" xr16:uid="{00000000-0015-0000-FFFF-FFFF5C090000}" name="接続1994" type="7" refreshedVersion="4"/>
  <connection id="4832" xr16:uid="{00000000-0015-0000-FFFF-FFFF5D090000}" name="接続1995" type="7" refreshedVersion="4"/>
  <connection id="4833" xr16:uid="{00000000-0015-0000-FFFF-FFFF5E090000}" name="接続1996" type="7" refreshedVersion="4"/>
  <connection id="4834" xr16:uid="{00000000-0015-0000-FFFF-FFFF5F090000}" name="接続1997" type="7" refreshedVersion="4"/>
  <connection id="4835" xr16:uid="{00000000-0015-0000-FFFF-FFFF60090000}" name="接続1998" type="7" refreshedVersion="4"/>
  <connection id="4836" xr16:uid="{00000000-0015-0000-FFFF-FFFF61090000}" name="接続1999" type="7" refreshedVersion="4"/>
  <connection id="4837" xr16:uid="{00000000-0015-0000-FFFF-FFFF62090000}" name="接続2" type="7" refreshedVersion="4"/>
  <connection id="4838" xr16:uid="{00000000-0015-0000-FFFF-FFFF63090000}" name="接続20" type="7" refreshedVersion="3"/>
  <connection id="4839" xr16:uid="{00000000-0015-0000-FFFF-FFFF64090000}" name="接続200" type="7" refreshedVersion="4"/>
  <connection id="4840" xr16:uid="{00000000-0015-0000-FFFF-FFFF65090000}" name="接続2000" type="7" refreshedVersion="4"/>
  <connection id="4841" xr16:uid="{00000000-0015-0000-FFFF-FFFF66090000}" name="接続2001" type="7" refreshedVersion="4"/>
  <connection id="4842" xr16:uid="{00000000-0015-0000-FFFF-FFFF67090000}" name="接続2002" type="7" refreshedVersion="4"/>
  <connection id="4843" xr16:uid="{00000000-0015-0000-FFFF-FFFF68090000}" name="接続2003" type="7" refreshedVersion="4"/>
  <connection id="4844" xr16:uid="{00000000-0015-0000-FFFF-FFFF69090000}" name="接続2004" type="7" refreshedVersion="4"/>
  <connection id="4845" xr16:uid="{00000000-0015-0000-FFFF-FFFF6A090000}" name="接続2005" type="7" refreshedVersion="4"/>
  <connection id="4846" xr16:uid="{00000000-0015-0000-FFFF-FFFF6B090000}" name="接続2006" type="7" refreshedVersion="4"/>
  <connection id="4847" xr16:uid="{00000000-0015-0000-FFFF-FFFF6C090000}" name="接続2007" type="7" refreshedVersion="4"/>
  <connection id="4848" xr16:uid="{00000000-0015-0000-FFFF-FFFF6D090000}" name="接続2008" type="7" refreshedVersion="4"/>
  <connection id="4849" xr16:uid="{00000000-0015-0000-FFFF-FFFF6E090000}" name="接続2009" type="7" refreshedVersion="4"/>
  <connection id="4850" xr16:uid="{00000000-0015-0000-FFFF-FFFF6F090000}" name="接続201" type="7" refreshedVersion="4"/>
  <connection id="4851" xr16:uid="{00000000-0015-0000-FFFF-FFFF70090000}" name="接続2010" type="7" refreshedVersion="4"/>
  <connection id="4852" xr16:uid="{00000000-0015-0000-FFFF-FFFF71090000}" name="接続2011" type="7" refreshedVersion="4"/>
  <connection id="4853" xr16:uid="{00000000-0015-0000-FFFF-FFFF72090000}" name="接続2012" type="7" refreshedVersion="4"/>
  <connection id="4854" xr16:uid="{00000000-0015-0000-FFFF-FFFF73090000}" name="接続2013" type="7" refreshedVersion="4"/>
  <connection id="4855" xr16:uid="{00000000-0015-0000-FFFF-FFFF74090000}" name="接続2014" type="7" refreshedVersion="4"/>
  <connection id="4856" xr16:uid="{00000000-0015-0000-FFFF-FFFF75090000}" name="接続2015" type="7" refreshedVersion="4"/>
  <connection id="4857" xr16:uid="{00000000-0015-0000-FFFF-FFFF76090000}" name="接続2016" type="7" refreshedVersion="4"/>
  <connection id="4858" xr16:uid="{00000000-0015-0000-FFFF-FFFF77090000}" name="接続2017" type="7" refreshedVersion="4"/>
  <connection id="4859" xr16:uid="{00000000-0015-0000-FFFF-FFFF78090000}" name="接続2018" type="7" refreshedVersion="4"/>
  <connection id="4860" xr16:uid="{00000000-0015-0000-FFFF-FFFF79090000}" name="接続2019" type="7" refreshedVersion="4"/>
  <connection id="4861" xr16:uid="{00000000-0015-0000-FFFF-FFFF7A090000}" name="接続202" type="7" refreshedVersion="4"/>
  <connection id="4862" xr16:uid="{00000000-0015-0000-FFFF-FFFF7B090000}" name="接続2020" type="7" refreshedVersion="4"/>
  <connection id="4863" xr16:uid="{00000000-0015-0000-FFFF-FFFF7C090000}" name="接続2021" type="7" refreshedVersion="4"/>
  <connection id="4864" xr16:uid="{00000000-0015-0000-FFFF-FFFF7D090000}" name="接続2022" type="7" refreshedVersion="4"/>
  <connection id="4865" xr16:uid="{00000000-0015-0000-FFFF-FFFF7E090000}" name="接続2023" type="7" refreshedVersion="4"/>
  <connection id="4866" xr16:uid="{00000000-0015-0000-FFFF-FFFF7F090000}" name="接続2024" type="7" refreshedVersion="4"/>
  <connection id="4867" xr16:uid="{00000000-0015-0000-FFFF-FFFF80090000}" name="接続2025" type="7" refreshedVersion="4"/>
  <connection id="4868" xr16:uid="{00000000-0015-0000-FFFF-FFFF81090000}" name="接続2026" type="7" refreshedVersion="4"/>
  <connection id="4869" xr16:uid="{00000000-0015-0000-FFFF-FFFF82090000}" name="接続2027" type="7" refreshedVersion="4"/>
  <connection id="4870" xr16:uid="{00000000-0015-0000-FFFF-FFFF83090000}" name="接続2028" type="7" refreshedVersion="4"/>
  <connection id="4871" xr16:uid="{00000000-0015-0000-FFFF-FFFF84090000}" name="接続2029" type="7" refreshedVersion="4"/>
  <connection id="4872" xr16:uid="{00000000-0015-0000-FFFF-FFFF85090000}" name="接続203" type="7" refreshedVersion="4"/>
  <connection id="4873" xr16:uid="{00000000-0015-0000-FFFF-FFFF86090000}" name="接続2030" type="7" refreshedVersion="4"/>
  <connection id="4874" xr16:uid="{00000000-0015-0000-FFFF-FFFF87090000}" name="接続2031" type="7" refreshedVersion="4"/>
  <connection id="4875" xr16:uid="{00000000-0015-0000-FFFF-FFFF88090000}" name="接続2032" type="7" refreshedVersion="4"/>
  <connection id="4876" xr16:uid="{00000000-0015-0000-FFFF-FFFF89090000}" name="接続2033" type="7" refreshedVersion="4"/>
  <connection id="4877" xr16:uid="{00000000-0015-0000-FFFF-FFFF8A090000}" name="接続2034" type="7" refreshedVersion="4"/>
  <connection id="4878" xr16:uid="{00000000-0015-0000-FFFF-FFFF8B090000}" name="接続2035" type="7" refreshedVersion="4"/>
  <connection id="4879" xr16:uid="{00000000-0015-0000-FFFF-FFFF8C090000}" name="接続2036" type="7" refreshedVersion="4"/>
  <connection id="4880" xr16:uid="{00000000-0015-0000-FFFF-FFFF8D090000}" name="接続2037" type="7" refreshedVersion="4"/>
  <connection id="4881" xr16:uid="{00000000-0015-0000-FFFF-FFFF8E090000}" name="接続2038" type="7" refreshedVersion="4"/>
  <connection id="4882" xr16:uid="{00000000-0015-0000-FFFF-FFFF8F090000}" name="接続2039" type="7" refreshedVersion="4"/>
  <connection id="4883" xr16:uid="{00000000-0015-0000-FFFF-FFFF90090000}" name="接続204" type="7" refreshedVersion="4"/>
  <connection id="4884" xr16:uid="{00000000-0015-0000-FFFF-FFFF91090000}" name="接続2040" type="7" refreshedVersion="4"/>
  <connection id="4885" xr16:uid="{00000000-0015-0000-FFFF-FFFF92090000}" name="接続2041" type="7" refreshedVersion="4"/>
  <connection id="4886" xr16:uid="{00000000-0015-0000-FFFF-FFFF93090000}" name="接続2042" type="7" refreshedVersion="4"/>
  <connection id="4887" xr16:uid="{00000000-0015-0000-FFFF-FFFF94090000}" name="接続2043" type="7" refreshedVersion="4"/>
  <connection id="4888" xr16:uid="{00000000-0015-0000-FFFF-FFFF95090000}" name="接続2044" type="7" refreshedVersion="4"/>
  <connection id="4889" xr16:uid="{00000000-0015-0000-FFFF-FFFF96090000}" name="接続2045" type="7" refreshedVersion="4"/>
  <connection id="4890" xr16:uid="{00000000-0015-0000-FFFF-FFFF97090000}" name="接続2046" type="7" refreshedVersion="4"/>
  <connection id="4891" xr16:uid="{00000000-0015-0000-FFFF-FFFF98090000}" name="接続2047" type="7" refreshedVersion="4"/>
  <connection id="4892" xr16:uid="{00000000-0015-0000-FFFF-FFFF99090000}" name="接続2048" type="7" refreshedVersion="4"/>
  <connection id="4893" xr16:uid="{00000000-0015-0000-FFFF-FFFF9A090000}" name="接続2049" type="7" refreshedVersion="4"/>
  <connection id="4894" xr16:uid="{00000000-0015-0000-FFFF-FFFF9B090000}" name="接続205" type="7" refreshedVersion="4"/>
  <connection id="4895" xr16:uid="{00000000-0015-0000-FFFF-FFFF9C090000}" name="接続2050" type="7" refreshedVersion="4"/>
  <connection id="4896" xr16:uid="{00000000-0015-0000-FFFF-FFFF9D090000}" name="接続2051" type="7" refreshedVersion="4"/>
  <connection id="4897" xr16:uid="{00000000-0015-0000-FFFF-FFFF9E090000}" name="接続2052" type="7" refreshedVersion="4"/>
  <connection id="4898" xr16:uid="{00000000-0015-0000-FFFF-FFFF9F090000}" name="接続2053" type="7" refreshedVersion="4"/>
  <connection id="4899" xr16:uid="{00000000-0015-0000-FFFF-FFFFA0090000}" name="接続2054" type="7" refreshedVersion="4"/>
  <connection id="4900" xr16:uid="{00000000-0015-0000-FFFF-FFFFA1090000}" name="接続2055" type="7" refreshedVersion="4"/>
  <connection id="4901" xr16:uid="{00000000-0015-0000-FFFF-FFFFA2090000}" name="接続2056" type="7" refreshedVersion="4"/>
  <connection id="4902" xr16:uid="{00000000-0015-0000-FFFF-FFFFA3090000}" name="接続2057" type="7" refreshedVersion="4"/>
  <connection id="4903" xr16:uid="{00000000-0015-0000-FFFF-FFFFA4090000}" name="接続2058" type="7" refreshedVersion="4"/>
  <connection id="4904" xr16:uid="{00000000-0015-0000-FFFF-FFFFA5090000}" name="接続2059" type="7" refreshedVersion="4"/>
  <connection id="4905" xr16:uid="{00000000-0015-0000-FFFF-FFFFA6090000}" name="接続206" type="7" refreshedVersion="4"/>
  <connection id="4906" xr16:uid="{00000000-0015-0000-FFFF-FFFFA7090000}" name="接続2060" type="7" refreshedVersion="4"/>
  <connection id="4907" xr16:uid="{00000000-0015-0000-FFFF-FFFFA8090000}" name="接続2061" type="7" refreshedVersion="4"/>
  <connection id="4908" xr16:uid="{00000000-0015-0000-FFFF-FFFFA9090000}" name="接続2062" type="7" refreshedVersion="4"/>
  <connection id="4909" xr16:uid="{00000000-0015-0000-FFFF-FFFFAA090000}" name="接続2063" type="7" refreshedVersion="4"/>
  <connection id="4910" xr16:uid="{00000000-0015-0000-FFFF-FFFFAB090000}" name="接続2064" type="7" refreshedVersion="4"/>
  <connection id="4911" xr16:uid="{00000000-0015-0000-FFFF-FFFFAC090000}" name="接続2065" type="7" refreshedVersion="4"/>
  <connection id="4912" xr16:uid="{00000000-0015-0000-FFFF-FFFFAD090000}" name="接続2066" type="7" refreshedVersion="4"/>
  <connection id="4913" xr16:uid="{00000000-0015-0000-FFFF-FFFFAE090000}" name="接続2067" type="7" refreshedVersion="4"/>
  <connection id="4914" xr16:uid="{00000000-0015-0000-FFFF-FFFFAF090000}" name="接続2068" type="7" refreshedVersion="4"/>
  <connection id="4915" xr16:uid="{00000000-0015-0000-FFFF-FFFFB0090000}" name="接続2069" type="7" refreshedVersion="4"/>
  <connection id="4916" xr16:uid="{00000000-0015-0000-FFFF-FFFFB1090000}" name="接続207" type="7" refreshedVersion="4"/>
  <connection id="4917" xr16:uid="{00000000-0015-0000-FFFF-FFFFB2090000}" name="接続2070" type="7" refreshedVersion="4"/>
  <connection id="4918" xr16:uid="{00000000-0015-0000-FFFF-FFFFB3090000}" name="接続2071" type="7" refreshedVersion="4"/>
  <connection id="4919" xr16:uid="{00000000-0015-0000-FFFF-FFFFB4090000}" name="接続2072" type="7" refreshedVersion="4"/>
  <connection id="4920" xr16:uid="{00000000-0015-0000-FFFF-FFFFB5090000}" name="接続2073" type="7" refreshedVersion="4"/>
  <connection id="4921" xr16:uid="{00000000-0015-0000-FFFF-FFFFB6090000}" name="接続2074" type="7" refreshedVersion="4"/>
  <connection id="4922" xr16:uid="{00000000-0015-0000-FFFF-FFFFB7090000}" name="接続2075" type="7" refreshedVersion="4"/>
  <connection id="4923" xr16:uid="{00000000-0015-0000-FFFF-FFFFB8090000}" name="接続2076" type="7" refreshedVersion="4"/>
  <connection id="4924" xr16:uid="{00000000-0015-0000-FFFF-FFFFB9090000}" name="接続2077" type="7" refreshedVersion="4"/>
  <connection id="4925" xr16:uid="{00000000-0015-0000-FFFF-FFFFBA090000}" name="接続2078" type="7" refreshedVersion="4"/>
  <connection id="4926" xr16:uid="{00000000-0015-0000-FFFF-FFFFBB090000}" name="接続2079" type="7" refreshedVersion="4"/>
  <connection id="4927" xr16:uid="{00000000-0015-0000-FFFF-FFFFBC090000}" name="接続208" type="7" refreshedVersion="4"/>
  <connection id="4928" xr16:uid="{00000000-0015-0000-FFFF-FFFFBD090000}" name="接続2080" type="7" refreshedVersion="4"/>
  <connection id="4929" xr16:uid="{00000000-0015-0000-FFFF-FFFFBE090000}" name="接続2081" type="7" refreshedVersion="4"/>
  <connection id="4930" xr16:uid="{00000000-0015-0000-FFFF-FFFFBF090000}" name="接続2082" type="7" refreshedVersion="4"/>
  <connection id="4931" xr16:uid="{00000000-0015-0000-FFFF-FFFFC0090000}" name="接続2083" type="7" refreshedVersion="4"/>
  <connection id="4932" xr16:uid="{00000000-0015-0000-FFFF-FFFFC1090000}" name="接続2084" type="7" refreshedVersion="4"/>
  <connection id="4933" xr16:uid="{00000000-0015-0000-FFFF-FFFFC2090000}" name="接続2085" type="7" refreshedVersion="4"/>
  <connection id="4934" xr16:uid="{00000000-0015-0000-FFFF-FFFFC3090000}" name="接続2086" type="7" refreshedVersion="4"/>
  <connection id="4935" xr16:uid="{00000000-0015-0000-FFFF-FFFFC4090000}" name="接続2087" type="7" refreshedVersion="4"/>
  <connection id="4936" xr16:uid="{00000000-0015-0000-FFFF-FFFFC5090000}" name="接続2088" type="7" refreshedVersion="4"/>
  <connection id="4937" xr16:uid="{00000000-0015-0000-FFFF-FFFFC6090000}" name="接続2089" type="7" refreshedVersion="4"/>
  <connection id="4938" xr16:uid="{00000000-0015-0000-FFFF-FFFFC7090000}" name="接続209" type="7" refreshedVersion="4"/>
  <connection id="4939" xr16:uid="{00000000-0015-0000-FFFF-FFFFC8090000}" name="接続2090" type="7" refreshedVersion="4"/>
  <connection id="4940" xr16:uid="{00000000-0015-0000-FFFF-FFFFC9090000}" name="接続2091" type="7" refreshedVersion="4"/>
  <connection id="4941" xr16:uid="{00000000-0015-0000-FFFF-FFFFCA090000}" name="接続2092" type="7" refreshedVersion="4"/>
  <connection id="4942" xr16:uid="{00000000-0015-0000-FFFF-FFFFCB090000}" name="接続2093" type="7" refreshedVersion="4"/>
  <connection id="4943" xr16:uid="{00000000-0015-0000-FFFF-FFFFCC090000}" name="接続2094" type="7" refreshedVersion="4"/>
  <connection id="4944" xr16:uid="{00000000-0015-0000-FFFF-FFFFCD090000}" name="接続2095" type="7" refreshedVersion="4"/>
  <connection id="4945" xr16:uid="{00000000-0015-0000-FFFF-FFFFCE090000}" name="接続2096" type="7" refreshedVersion="4"/>
  <connection id="4946" xr16:uid="{00000000-0015-0000-FFFF-FFFFCF090000}" name="接続2097" type="7" refreshedVersion="4"/>
  <connection id="4947" xr16:uid="{00000000-0015-0000-FFFF-FFFFD0090000}" name="接続2098" type="7" refreshedVersion="4"/>
  <connection id="4948" xr16:uid="{00000000-0015-0000-FFFF-FFFFD1090000}" name="接続2099" type="7" refreshedVersion="4"/>
  <connection id="4949" xr16:uid="{00000000-0015-0000-FFFF-FFFFD2090000}" name="接続21" type="7" refreshedVersion="3"/>
  <connection id="4950" xr16:uid="{00000000-0015-0000-FFFF-FFFFD3090000}" name="接続210" type="7" refreshedVersion="4"/>
  <connection id="4951" xr16:uid="{00000000-0015-0000-FFFF-FFFFD4090000}" name="接続2100" type="7" refreshedVersion="4"/>
  <connection id="4952" xr16:uid="{00000000-0015-0000-FFFF-FFFFD5090000}" name="接続2101" type="7" refreshedVersion="4"/>
  <connection id="4953" xr16:uid="{00000000-0015-0000-FFFF-FFFFD6090000}" name="接続2102" type="7" refreshedVersion="4"/>
  <connection id="4954" xr16:uid="{00000000-0015-0000-FFFF-FFFFD7090000}" name="接続2103" type="7" refreshedVersion="4"/>
  <connection id="4955" xr16:uid="{00000000-0015-0000-FFFF-FFFFD8090000}" name="接続2104" type="7" refreshedVersion="4"/>
  <connection id="4956" xr16:uid="{00000000-0015-0000-FFFF-FFFFD9090000}" name="接続2105" type="7" refreshedVersion="4"/>
  <connection id="4957" xr16:uid="{00000000-0015-0000-FFFF-FFFFDA090000}" name="接続2106" type="7" refreshedVersion="4"/>
  <connection id="4958" xr16:uid="{00000000-0015-0000-FFFF-FFFFDB090000}" name="接続2107" type="7" refreshedVersion="4"/>
  <connection id="4959" xr16:uid="{00000000-0015-0000-FFFF-FFFFDC090000}" name="接続2108" type="7" refreshedVersion="4"/>
  <connection id="4960" xr16:uid="{00000000-0015-0000-FFFF-FFFFDD090000}" name="接続2109" type="7" refreshedVersion="4"/>
  <connection id="4961" xr16:uid="{00000000-0015-0000-FFFF-FFFFDE090000}" name="接続211" type="7" refreshedVersion="4"/>
  <connection id="4962" xr16:uid="{00000000-0015-0000-FFFF-FFFFDF090000}" name="接続2110" type="7" refreshedVersion="4"/>
  <connection id="4963" xr16:uid="{00000000-0015-0000-FFFF-FFFFE0090000}" name="接続2111" type="7" refreshedVersion="4"/>
  <connection id="4964" xr16:uid="{00000000-0015-0000-FFFF-FFFFE1090000}" name="接続2112" type="7" refreshedVersion="4"/>
  <connection id="4965" xr16:uid="{00000000-0015-0000-FFFF-FFFFE2090000}" name="接続2113" type="7" refreshedVersion="4"/>
  <connection id="4966" xr16:uid="{00000000-0015-0000-FFFF-FFFFE3090000}" name="接続2114" type="7" refreshedVersion="4"/>
  <connection id="4967" xr16:uid="{00000000-0015-0000-FFFF-FFFFE4090000}" name="接続2115" type="7" refreshedVersion="4"/>
  <connection id="4968" xr16:uid="{00000000-0015-0000-FFFF-FFFFE5090000}" name="接続2116" type="7" refreshedVersion="4"/>
  <connection id="4969" xr16:uid="{00000000-0015-0000-FFFF-FFFFE6090000}" name="接続2117" type="7" refreshedVersion="4"/>
  <connection id="4970" xr16:uid="{00000000-0015-0000-FFFF-FFFFE7090000}" name="接続2118" type="7" refreshedVersion="4"/>
  <connection id="4971" xr16:uid="{00000000-0015-0000-FFFF-FFFFE8090000}" name="接続2119" type="7" refreshedVersion="4"/>
  <connection id="4972" xr16:uid="{00000000-0015-0000-FFFF-FFFFE9090000}" name="接続212" type="7" refreshedVersion="4"/>
  <connection id="4973" xr16:uid="{00000000-0015-0000-FFFF-FFFFEA090000}" name="接続2120" type="7" refreshedVersion="4"/>
  <connection id="4974" xr16:uid="{00000000-0015-0000-FFFF-FFFFEB090000}" name="接続2121" type="7" refreshedVersion="4"/>
  <connection id="4975" xr16:uid="{00000000-0015-0000-FFFF-FFFFEC090000}" name="接続2122" type="7" refreshedVersion="4"/>
  <connection id="4976" xr16:uid="{00000000-0015-0000-FFFF-FFFFED090000}" name="接続2123" type="7" refreshedVersion="4"/>
  <connection id="4977" xr16:uid="{00000000-0015-0000-FFFF-FFFFEE090000}" name="接続2124" type="7" refreshedVersion="4"/>
  <connection id="4978" xr16:uid="{00000000-0015-0000-FFFF-FFFFEF090000}" name="接続2125" type="7" refreshedVersion="4"/>
  <connection id="4979" xr16:uid="{00000000-0015-0000-FFFF-FFFFF0090000}" name="接続2126" type="7" refreshedVersion="4"/>
  <connection id="4980" xr16:uid="{00000000-0015-0000-FFFF-FFFFF1090000}" name="接続2127" type="7" refreshedVersion="4"/>
  <connection id="4981" xr16:uid="{00000000-0015-0000-FFFF-FFFFF2090000}" name="接続2128" type="7" refreshedVersion="4"/>
  <connection id="4982" xr16:uid="{00000000-0015-0000-FFFF-FFFFF3090000}" name="接続2129" type="7" refreshedVersion="4"/>
  <connection id="4983" xr16:uid="{00000000-0015-0000-FFFF-FFFFF4090000}" name="接続213" type="7" refreshedVersion="4"/>
  <connection id="4984" xr16:uid="{00000000-0015-0000-FFFF-FFFFF5090000}" name="接続2130" type="7" refreshedVersion="4"/>
  <connection id="4985" xr16:uid="{00000000-0015-0000-FFFF-FFFFF6090000}" name="接続2131" type="7" refreshedVersion="4"/>
  <connection id="4986" xr16:uid="{00000000-0015-0000-FFFF-FFFFF7090000}" name="接続2132" type="7" refreshedVersion="4"/>
  <connection id="4987" xr16:uid="{00000000-0015-0000-FFFF-FFFFF8090000}" name="接続2133" type="7" refreshedVersion="4"/>
  <connection id="4988" xr16:uid="{00000000-0015-0000-FFFF-FFFFF9090000}" name="接続2134" type="7" refreshedVersion="4"/>
  <connection id="4989" xr16:uid="{00000000-0015-0000-FFFF-FFFFFA090000}" name="接続2135" type="7" refreshedVersion="4"/>
  <connection id="4990" xr16:uid="{00000000-0015-0000-FFFF-FFFFFB090000}" name="接続2136" type="7" refreshedVersion="4"/>
  <connection id="4991" xr16:uid="{00000000-0015-0000-FFFF-FFFFFC090000}" name="接続2137" type="7" refreshedVersion="4"/>
  <connection id="4992" xr16:uid="{00000000-0015-0000-FFFF-FFFFFD090000}" name="接続2138" type="7" refreshedVersion="4"/>
  <connection id="4993" xr16:uid="{00000000-0015-0000-FFFF-FFFFFE090000}" name="接続2139" type="7" refreshedVersion="4"/>
  <connection id="4994" xr16:uid="{00000000-0015-0000-FFFF-FFFFFF090000}" name="接続214" type="7" refreshedVersion="4"/>
  <connection id="4995" xr16:uid="{00000000-0015-0000-FFFF-FFFF000A0000}" name="接続2140" type="7" refreshedVersion="4"/>
  <connection id="4996" xr16:uid="{00000000-0015-0000-FFFF-FFFF010A0000}" name="接続2141" type="7" refreshedVersion="4"/>
  <connection id="4997" xr16:uid="{00000000-0015-0000-FFFF-FFFF020A0000}" name="接続2142" type="7" refreshedVersion="4"/>
  <connection id="4998" xr16:uid="{00000000-0015-0000-FFFF-FFFF030A0000}" name="接続2143" type="7" refreshedVersion="4"/>
  <connection id="4999" xr16:uid="{00000000-0015-0000-FFFF-FFFF040A0000}" name="接続2144" type="7" refreshedVersion="4"/>
  <connection id="5000" xr16:uid="{00000000-0015-0000-FFFF-FFFF050A0000}" name="接続2145" type="7" refreshedVersion="4"/>
  <connection id="5001" xr16:uid="{00000000-0015-0000-FFFF-FFFF060A0000}" name="接続2146" type="7" refreshedVersion="4"/>
  <connection id="5002" xr16:uid="{00000000-0015-0000-FFFF-FFFF070A0000}" name="接続2147" type="7" refreshedVersion="4"/>
  <connection id="5003" xr16:uid="{00000000-0015-0000-FFFF-FFFF080A0000}" name="接続2148" type="7" refreshedVersion="4"/>
  <connection id="5004" xr16:uid="{00000000-0015-0000-FFFF-FFFF090A0000}" name="接続2149" type="7" refreshedVersion="4"/>
  <connection id="5005" xr16:uid="{00000000-0015-0000-FFFF-FFFF0A0A0000}" name="接続215" type="7" refreshedVersion="4"/>
  <connection id="5006" xr16:uid="{00000000-0015-0000-FFFF-FFFF0B0A0000}" name="接続2150" type="7" refreshedVersion="4"/>
  <connection id="5007" xr16:uid="{00000000-0015-0000-FFFF-FFFF0C0A0000}" name="接続2151" type="7" refreshedVersion="4"/>
  <connection id="5008" xr16:uid="{00000000-0015-0000-FFFF-FFFF0D0A0000}" name="接続2152" type="7" refreshedVersion="4"/>
  <connection id="5009" xr16:uid="{00000000-0015-0000-FFFF-FFFF0E0A0000}" name="接続2153" type="7" refreshedVersion="4"/>
  <connection id="5010" xr16:uid="{00000000-0015-0000-FFFF-FFFF0F0A0000}" name="接続2154" type="7" refreshedVersion="4"/>
  <connection id="5011" xr16:uid="{00000000-0015-0000-FFFF-FFFF100A0000}" name="接続2155" type="7" refreshedVersion="4"/>
  <connection id="5012" xr16:uid="{00000000-0015-0000-FFFF-FFFF110A0000}" name="接続2156" type="7" refreshedVersion="4"/>
  <connection id="5013" xr16:uid="{00000000-0015-0000-FFFF-FFFF120A0000}" name="接続2157" type="7" refreshedVersion="4"/>
  <connection id="5014" xr16:uid="{00000000-0015-0000-FFFF-FFFF130A0000}" name="接続2158" type="7" refreshedVersion="4"/>
  <connection id="5015" xr16:uid="{00000000-0015-0000-FFFF-FFFF140A0000}" name="接続2159" type="7" refreshedVersion="4"/>
  <connection id="5016" xr16:uid="{00000000-0015-0000-FFFF-FFFF150A0000}" name="接続216" type="7" refreshedVersion="4"/>
  <connection id="5017" xr16:uid="{00000000-0015-0000-FFFF-FFFF160A0000}" name="接続2160" type="7" refreshedVersion="4"/>
  <connection id="5018" xr16:uid="{00000000-0015-0000-FFFF-FFFF170A0000}" name="接続2161" type="7" refreshedVersion="4"/>
  <connection id="5019" xr16:uid="{00000000-0015-0000-FFFF-FFFF180A0000}" name="接続2162" type="7" refreshedVersion="4"/>
  <connection id="5020" xr16:uid="{00000000-0015-0000-FFFF-FFFF190A0000}" name="接続2163" type="7" refreshedVersion="4"/>
  <connection id="5021" xr16:uid="{00000000-0015-0000-FFFF-FFFF1A0A0000}" name="接続2164" type="7" refreshedVersion="4"/>
  <connection id="5022" xr16:uid="{00000000-0015-0000-FFFF-FFFF1B0A0000}" name="接続2165" type="7" refreshedVersion="4"/>
  <connection id="5023" xr16:uid="{00000000-0015-0000-FFFF-FFFF1C0A0000}" name="接続2166" type="7" refreshedVersion="4"/>
  <connection id="5024" xr16:uid="{00000000-0015-0000-FFFF-FFFF1D0A0000}" name="接続2167" type="7" refreshedVersion="4"/>
  <connection id="5025" xr16:uid="{00000000-0015-0000-FFFF-FFFF1E0A0000}" name="接続2168" type="7" refreshedVersion="4"/>
  <connection id="5026" xr16:uid="{00000000-0015-0000-FFFF-FFFF1F0A0000}" name="接続2169" type="7" refreshedVersion="4"/>
  <connection id="5027" xr16:uid="{00000000-0015-0000-FFFF-FFFF200A0000}" name="接続217" type="7" refreshedVersion="4"/>
  <connection id="5028" xr16:uid="{00000000-0015-0000-FFFF-FFFF210A0000}" name="接続2170" type="7" refreshedVersion="4"/>
  <connection id="5029" xr16:uid="{00000000-0015-0000-FFFF-FFFF220A0000}" name="接続2171" type="7" refreshedVersion="4"/>
  <connection id="5030" xr16:uid="{00000000-0015-0000-FFFF-FFFF230A0000}" name="接続2172" type="7" refreshedVersion="4"/>
  <connection id="5031" xr16:uid="{00000000-0015-0000-FFFF-FFFF240A0000}" name="接続2173" type="7" refreshedVersion="4"/>
  <connection id="5032" xr16:uid="{00000000-0015-0000-FFFF-FFFF250A0000}" name="接続2174" type="7" refreshedVersion="4"/>
  <connection id="5033" xr16:uid="{00000000-0015-0000-FFFF-FFFF260A0000}" name="接続2175" type="7" refreshedVersion="4"/>
  <connection id="5034" xr16:uid="{00000000-0015-0000-FFFF-FFFF270A0000}" name="接続2176" type="7" refreshedVersion="4"/>
  <connection id="5035" xr16:uid="{00000000-0015-0000-FFFF-FFFF280A0000}" name="接続2177" type="7" refreshedVersion="4"/>
  <connection id="5036" xr16:uid="{00000000-0015-0000-FFFF-FFFF290A0000}" name="接続2178" type="7" refreshedVersion="4"/>
  <connection id="5037" xr16:uid="{00000000-0015-0000-FFFF-FFFF2A0A0000}" name="接続2179" type="7" refreshedVersion="4"/>
  <connection id="5038" xr16:uid="{00000000-0015-0000-FFFF-FFFF2B0A0000}" name="接続218" type="7" refreshedVersion="4"/>
  <connection id="5039" xr16:uid="{00000000-0015-0000-FFFF-FFFF2C0A0000}" name="接続2180" type="7" refreshedVersion="4"/>
  <connection id="5040" xr16:uid="{00000000-0015-0000-FFFF-FFFF2D0A0000}" name="接続2181" type="7" refreshedVersion="4"/>
  <connection id="5041" xr16:uid="{00000000-0015-0000-FFFF-FFFF2E0A0000}" name="接続2182" type="7" refreshedVersion="4"/>
  <connection id="5042" xr16:uid="{00000000-0015-0000-FFFF-FFFF2F0A0000}" name="接続2183" type="7" refreshedVersion="4"/>
  <connection id="5043" xr16:uid="{00000000-0015-0000-FFFF-FFFF300A0000}" name="接続2184" type="7" refreshedVersion="4"/>
  <connection id="5044" xr16:uid="{00000000-0015-0000-FFFF-FFFF310A0000}" name="接続2185" type="7" refreshedVersion="4"/>
  <connection id="5045" xr16:uid="{00000000-0015-0000-FFFF-FFFF320A0000}" name="接続2186" type="7" refreshedVersion="4"/>
  <connection id="5046" xr16:uid="{00000000-0015-0000-FFFF-FFFF330A0000}" name="接続2187" type="7" refreshedVersion="4"/>
  <connection id="5047" xr16:uid="{00000000-0015-0000-FFFF-FFFF340A0000}" name="接続2188" type="7" refreshedVersion="4"/>
  <connection id="5048" xr16:uid="{00000000-0015-0000-FFFF-FFFF350A0000}" name="接続2189" type="7" refreshedVersion="4"/>
  <connection id="5049" xr16:uid="{00000000-0015-0000-FFFF-FFFF360A0000}" name="接続219" type="7" refreshedVersion="4"/>
  <connection id="5050" xr16:uid="{00000000-0015-0000-FFFF-FFFF370A0000}" name="接続2190" type="7" refreshedVersion="4"/>
  <connection id="5051" xr16:uid="{00000000-0015-0000-FFFF-FFFF380A0000}" name="接続2191" type="7" refreshedVersion="4"/>
  <connection id="5052" xr16:uid="{00000000-0015-0000-FFFF-FFFF390A0000}" name="接続2192" type="7" refreshedVersion="4"/>
  <connection id="5053" xr16:uid="{00000000-0015-0000-FFFF-FFFF3A0A0000}" name="接続2193" type="7" refreshedVersion="4"/>
  <connection id="5054" xr16:uid="{00000000-0015-0000-FFFF-FFFF3B0A0000}" name="接続2194" type="7" refreshedVersion="4"/>
  <connection id="5055" xr16:uid="{00000000-0015-0000-FFFF-FFFF3C0A0000}" name="接続2195" type="7" refreshedVersion="4"/>
  <connection id="5056" xr16:uid="{00000000-0015-0000-FFFF-FFFF3D0A0000}" name="接続2196" type="7" refreshedVersion="4"/>
  <connection id="5057" xr16:uid="{00000000-0015-0000-FFFF-FFFF3E0A0000}" name="接続2197" type="7" refreshedVersion="4"/>
  <connection id="5058" xr16:uid="{00000000-0015-0000-FFFF-FFFF3F0A0000}" name="接続2198" type="7" refreshedVersion="4"/>
  <connection id="5059" xr16:uid="{00000000-0015-0000-FFFF-FFFF400A0000}" name="接続2199" type="7" refreshedVersion="4"/>
  <connection id="5060" xr16:uid="{00000000-0015-0000-FFFF-FFFF410A0000}" name="接続22" type="7" refreshedVersion="3"/>
  <connection id="5061" xr16:uid="{00000000-0015-0000-FFFF-FFFF420A0000}" name="接続220" type="7" refreshedVersion="4"/>
  <connection id="5062" xr16:uid="{00000000-0015-0000-FFFF-FFFF430A0000}" name="接続2200" type="7" refreshedVersion="4"/>
  <connection id="5063" xr16:uid="{00000000-0015-0000-FFFF-FFFF440A0000}" name="接続2201" type="7" refreshedVersion="4"/>
  <connection id="5064" xr16:uid="{00000000-0015-0000-FFFF-FFFF450A0000}" name="接続2202" type="7" refreshedVersion="4"/>
  <connection id="5065" xr16:uid="{00000000-0015-0000-FFFF-FFFF460A0000}" name="接続2203" type="7" refreshedVersion="4"/>
  <connection id="5066" xr16:uid="{00000000-0015-0000-FFFF-FFFF470A0000}" name="接続2204" type="7" refreshedVersion="4"/>
  <connection id="5067" xr16:uid="{00000000-0015-0000-FFFF-FFFF480A0000}" name="接続2205" type="7" refreshedVersion="4"/>
  <connection id="5068" xr16:uid="{00000000-0015-0000-FFFF-FFFF490A0000}" name="接続2206" type="7" refreshedVersion="4"/>
  <connection id="5069" xr16:uid="{00000000-0015-0000-FFFF-FFFF4A0A0000}" name="接続2207" type="7" refreshedVersion="4"/>
  <connection id="5070" xr16:uid="{00000000-0015-0000-FFFF-FFFF4B0A0000}" name="接続2208" type="7" refreshedVersion="4"/>
  <connection id="5071" xr16:uid="{00000000-0015-0000-FFFF-FFFF4C0A0000}" name="接続2209" type="7" refreshedVersion="4"/>
  <connection id="5072" xr16:uid="{00000000-0015-0000-FFFF-FFFF4D0A0000}" name="接続221" type="7" refreshedVersion="4"/>
  <connection id="5073" xr16:uid="{00000000-0015-0000-FFFF-FFFF4E0A0000}" name="接続2210" type="7" refreshedVersion="4"/>
  <connection id="5074" xr16:uid="{00000000-0015-0000-FFFF-FFFF4F0A0000}" name="接続2211" type="7" refreshedVersion="4"/>
  <connection id="5075" xr16:uid="{00000000-0015-0000-FFFF-FFFF500A0000}" name="接続2212" type="7" refreshedVersion="4"/>
  <connection id="5076" xr16:uid="{00000000-0015-0000-FFFF-FFFF510A0000}" name="接続2213" type="7" refreshedVersion="4"/>
  <connection id="5077" xr16:uid="{00000000-0015-0000-FFFF-FFFF520A0000}" name="接続2214" type="7" refreshedVersion="4"/>
  <connection id="5078" xr16:uid="{00000000-0015-0000-FFFF-FFFF530A0000}" name="接続2215" type="7" refreshedVersion="4"/>
  <connection id="5079" xr16:uid="{00000000-0015-0000-FFFF-FFFF540A0000}" name="接続2216" type="7" refreshedVersion="4"/>
  <connection id="5080" xr16:uid="{00000000-0015-0000-FFFF-FFFF550A0000}" name="接続2217" type="7" refreshedVersion="4"/>
  <connection id="5081" xr16:uid="{00000000-0015-0000-FFFF-FFFF560A0000}" name="接続2218" type="7" refreshedVersion="4"/>
  <connection id="5082" xr16:uid="{00000000-0015-0000-FFFF-FFFF570A0000}" name="接続2219" type="7" refreshedVersion="4"/>
  <connection id="5083" xr16:uid="{00000000-0015-0000-FFFF-FFFF580A0000}" name="接続222" type="7" refreshedVersion="4"/>
  <connection id="5084" xr16:uid="{00000000-0015-0000-FFFF-FFFF590A0000}" name="接続2220" type="7" refreshedVersion="4"/>
  <connection id="5085" xr16:uid="{00000000-0015-0000-FFFF-FFFF5A0A0000}" name="接続2221" type="7" refreshedVersion="4"/>
  <connection id="5086" xr16:uid="{00000000-0015-0000-FFFF-FFFF5B0A0000}" name="接続2222" type="7" refreshedVersion="4"/>
  <connection id="5087" xr16:uid="{00000000-0015-0000-FFFF-FFFF5C0A0000}" name="接続2223" type="7" refreshedVersion="4"/>
  <connection id="5088" xr16:uid="{00000000-0015-0000-FFFF-FFFF5D0A0000}" name="接続2224" type="7" refreshedVersion="4"/>
  <connection id="5089" xr16:uid="{00000000-0015-0000-FFFF-FFFF5E0A0000}" name="接続2225" type="7" refreshedVersion="4"/>
  <connection id="5090" xr16:uid="{00000000-0015-0000-FFFF-FFFF5F0A0000}" name="接続2226" type="7" refreshedVersion="4"/>
  <connection id="5091" xr16:uid="{00000000-0015-0000-FFFF-FFFF600A0000}" name="接続2227" type="7" refreshedVersion="4"/>
  <connection id="5092" xr16:uid="{00000000-0015-0000-FFFF-FFFF610A0000}" name="接続2228" type="7" refreshedVersion="4"/>
  <connection id="5093" xr16:uid="{00000000-0015-0000-FFFF-FFFF620A0000}" name="接続2229" type="7" refreshedVersion="4"/>
  <connection id="5094" xr16:uid="{00000000-0015-0000-FFFF-FFFF630A0000}" name="接続223" type="7" refreshedVersion="4"/>
  <connection id="5095" xr16:uid="{00000000-0015-0000-FFFF-FFFF640A0000}" name="接続2230" type="7" refreshedVersion="4"/>
  <connection id="5096" xr16:uid="{00000000-0015-0000-FFFF-FFFF650A0000}" name="接続2231" type="7" refreshedVersion="4"/>
  <connection id="5097" xr16:uid="{00000000-0015-0000-FFFF-FFFF660A0000}" name="接続2232" type="7" refreshedVersion="4"/>
  <connection id="5098" xr16:uid="{00000000-0015-0000-FFFF-FFFF670A0000}" name="接続2233" type="7" refreshedVersion="4"/>
  <connection id="5099" xr16:uid="{00000000-0015-0000-FFFF-FFFF680A0000}" name="接続2234" type="7" refreshedVersion="4"/>
  <connection id="5100" xr16:uid="{00000000-0015-0000-FFFF-FFFF690A0000}" name="接続2235" type="7" refreshedVersion="4"/>
  <connection id="5101" xr16:uid="{00000000-0015-0000-FFFF-FFFF6A0A0000}" name="接続2236" type="7" refreshedVersion="4"/>
  <connection id="5102" xr16:uid="{00000000-0015-0000-FFFF-FFFF6B0A0000}" name="接続2237" type="7" refreshedVersion="4"/>
  <connection id="5103" xr16:uid="{00000000-0015-0000-FFFF-FFFF6C0A0000}" name="接続2238" type="7" refreshedVersion="4"/>
  <connection id="5104" xr16:uid="{00000000-0015-0000-FFFF-FFFF6D0A0000}" name="接続2239" type="7" refreshedVersion="4"/>
  <connection id="5105" xr16:uid="{00000000-0015-0000-FFFF-FFFF6E0A0000}" name="接続224" type="7" refreshedVersion="4"/>
  <connection id="5106" xr16:uid="{00000000-0015-0000-FFFF-FFFF6F0A0000}" name="接続2240" type="7" refreshedVersion="4"/>
  <connection id="5107" xr16:uid="{00000000-0015-0000-FFFF-FFFF700A0000}" name="接続2241" type="7" refreshedVersion="4"/>
  <connection id="5108" xr16:uid="{00000000-0015-0000-FFFF-FFFF710A0000}" name="接続2242" type="7" refreshedVersion="4"/>
  <connection id="5109" xr16:uid="{00000000-0015-0000-FFFF-FFFF720A0000}" name="接続2243" type="7" refreshedVersion="4"/>
  <connection id="5110" xr16:uid="{00000000-0015-0000-FFFF-FFFF730A0000}" name="接続2244" type="7" refreshedVersion="4"/>
  <connection id="5111" xr16:uid="{00000000-0015-0000-FFFF-FFFF740A0000}" name="接続2245" type="7" refreshedVersion="4"/>
  <connection id="5112" xr16:uid="{00000000-0015-0000-FFFF-FFFF750A0000}" name="接続2246" type="7" refreshedVersion="4"/>
  <connection id="5113" xr16:uid="{00000000-0015-0000-FFFF-FFFF760A0000}" name="接続2247" type="7" refreshedVersion="4"/>
  <connection id="5114" xr16:uid="{00000000-0015-0000-FFFF-FFFF770A0000}" name="接続2248" type="7" refreshedVersion="4"/>
  <connection id="5115" xr16:uid="{00000000-0015-0000-FFFF-FFFF780A0000}" name="接続2249" type="7" refreshedVersion="4"/>
  <connection id="5116" xr16:uid="{00000000-0015-0000-FFFF-FFFF790A0000}" name="接続225" type="7" refreshedVersion="4"/>
  <connection id="5117" xr16:uid="{00000000-0015-0000-FFFF-FFFF7A0A0000}" name="接続2250" type="7" refreshedVersion="4"/>
  <connection id="5118" xr16:uid="{00000000-0015-0000-FFFF-FFFF7B0A0000}" name="接続2251" type="7" refreshedVersion="4"/>
  <connection id="5119" xr16:uid="{00000000-0015-0000-FFFF-FFFF7C0A0000}" name="接続2252" type="7" refreshedVersion="4"/>
  <connection id="5120" xr16:uid="{00000000-0015-0000-FFFF-FFFF7D0A0000}" name="接続2253" type="7" refreshedVersion="4"/>
  <connection id="5121" xr16:uid="{00000000-0015-0000-FFFF-FFFF7E0A0000}" name="接続2254" type="7" refreshedVersion="4"/>
  <connection id="5122" xr16:uid="{00000000-0015-0000-FFFF-FFFF7F0A0000}" name="接続2255" type="7" refreshedVersion="4"/>
  <connection id="5123" xr16:uid="{00000000-0015-0000-FFFF-FFFF800A0000}" name="接続2256" type="7" refreshedVersion="4"/>
  <connection id="5124" xr16:uid="{00000000-0015-0000-FFFF-FFFF810A0000}" name="接続2257" type="7" refreshedVersion="4"/>
  <connection id="5125" xr16:uid="{00000000-0015-0000-FFFF-FFFF820A0000}" name="接続2258" type="7" refreshedVersion="4"/>
  <connection id="5126" xr16:uid="{00000000-0015-0000-FFFF-FFFF830A0000}" name="接続2259" type="7" refreshedVersion="4"/>
  <connection id="5127" xr16:uid="{00000000-0015-0000-FFFF-FFFF840A0000}" name="接続226" type="7" refreshedVersion="4"/>
  <connection id="5128" xr16:uid="{00000000-0015-0000-FFFF-FFFF850A0000}" name="接続2260" type="7" refreshedVersion="4"/>
  <connection id="5129" xr16:uid="{00000000-0015-0000-FFFF-FFFF860A0000}" name="接続2261" type="7" refreshedVersion="4"/>
  <connection id="5130" xr16:uid="{00000000-0015-0000-FFFF-FFFF870A0000}" name="接続2262" type="7" refreshedVersion="4"/>
  <connection id="5131" xr16:uid="{00000000-0015-0000-FFFF-FFFF880A0000}" name="接続2263" type="7" refreshedVersion="4"/>
  <connection id="5132" xr16:uid="{00000000-0015-0000-FFFF-FFFF890A0000}" name="接続2264" type="7" refreshedVersion="4"/>
  <connection id="5133" xr16:uid="{00000000-0015-0000-FFFF-FFFF8A0A0000}" name="接続2265" type="7" refreshedVersion="4"/>
  <connection id="5134" xr16:uid="{00000000-0015-0000-FFFF-FFFF8B0A0000}" name="接続2266" type="7" refreshedVersion="4"/>
  <connection id="5135" xr16:uid="{00000000-0015-0000-FFFF-FFFF8C0A0000}" name="接続2267" type="7" refreshedVersion="4"/>
  <connection id="5136" xr16:uid="{00000000-0015-0000-FFFF-FFFF8D0A0000}" name="接続2268" type="7" refreshedVersion="4"/>
  <connection id="5137" xr16:uid="{00000000-0015-0000-FFFF-FFFF8E0A0000}" name="接続2269" type="7" refreshedVersion="4"/>
  <connection id="5138" xr16:uid="{00000000-0015-0000-FFFF-FFFF8F0A0000}" name="接続227" type="7" refreshedVersion="4"/>
  <connection id="5139" xr16:uid="{00000000-0015-0000-FFFF-FFFF900A0000}" name="接続2270" type="7" refreshedVersion="4"/>
  <connection id="5140" xr16:uid="{00000000-0015-0000-FFFF-FFFF910A0000}" name="接続2271" type="7" refreshedVersion="4"/>
  <connection id="5141" xr16:uid="{00000000-0015-0000-FFFF-FFFF920A0000}" name="接続2272" type="7" refreshedVersion="4"/>
  <connection id="5142" xr16:uid="{00000000-0015-0000-FFFF-FFFF930A0000}" name="接続2273" type="7" refreshedVersion="4"/>
  <connection id="5143" xr16:uid="{00000000-0015-0000-FFFF-FFFF940A0000}" name="接続2274" type="7" refreshedVersion="4"/>
  <connection id="5144" xr16:uid="{00000000-0015-0000-FFFF-FFFF950A0000}" name="接続2275" type="7" refreshedVersion="4"/>
  <connection id="5145" xr16:uid="{00000000-0015-0000-FFFF-FFFF960A0000}" name="接続2276" type="7" refreshedVersion="4"/>
  <connection id="5146" xr16:uid="{00000000-0015-0000-FFFF-FFFF970A0000}" name="接続2277" type="7" refreshedVersion="4"/>
  <connection id="5147" xr16:uid="{00000000-0015-0000-FFFF-FFFF980A0000}" name="接続2278" type="7" refreshedVersion="4"/>
  <connection id="5148" xr16:uid="{00000000-0015-0000-FFFF-FFFF990A0000}" name="接続2279" type="7" refreshedVersion="4"/>
  <connection id="5149" xr16:uid="{00000000-0015-0000-FFFF-FFFF9A0A0000}" name="接続228" type="7" refreshedVersion="4"/>
  <connection id="5150" xr16:uid="{00000000-0015-0000-FFFF-FFFF9B0A0000}" name="接続2280" type="7" refreshedVersion="4"/>
  <connection id="5151" xr16:uid="{00000000-0015-0000-FFFF-FFFF9C0A0000}" name="接続2281" type="7" refreshedVersion="4"/>
  <connection id="5152" xr16:uid="{00000000-0015-0000-FFFF-FFFF9D0A0000}" name="接続2282" type="7" refreshedVersion="4"/>
  <connection id="5153" xr16:uid="{00000000-0015-0000-FFFF-FFFF9E0A0000}" name="接続2283" type="7" refreshedVersion="4"/>
  <connection id="5154" xr16:uid="{00000000-0015-0000-FFFF-FFFF9F0A0000}" name="接続2284" type="7" refreshedVersion="4"/>
  <connection id="5155" xr16:uid="{00000000-0015-0000-FFFF-FFFFA00A0000}" name="接続2285" type="7" refreshedVersion="4"/>
  <connection id="5156" xr16:uid="{00000000-0015-0000-FFFF-FFFFA10A0000}" name="接続2286" type="7" refreshedVersion="4"/>
  <connection id="5157" xr16:uid="{00000000-0015-0000-FFFF-FFFFA20A0000}" name="接続2287" type="7" refreshedVersion="4"/>
  <connection id="5158" xr16:uid="{00000000-0015-0000-FFFF-FFFFA30A0000}" name="接続2288" type="7" refreshedVersion="4"/>
  <connection id="5159" xr16:uid="{00000000-0015-0000-FFFF-FFFFA40A0000}" name="接続2289" type="7" refreshedVersion="4"/>
  <connection id="5160" xr16:uid="{00000000-0015-0000-FFFF-FFFFA50A0000}" name="接続229" type="7" refreshedVersion="4"/>
  <connection id="5161" xr16:uid="{00000000-0015-0000-FFFF-FFFFA60A0000}" name="接続2290" type="7" refreshedVersion="4"/>
  <connection id="5162" xr16:uid="{00000000-0015-0000-FFFF-FFFFA70A0000}" name="接続2291" type="7" refreshedVersion="4"/>
  <connection id="5163" xr16:uid="{00000000-0015-0000-FFFF-FFFFA80A0000}" name="接続2292" type="7" refreshedVersion="4"/>
  <connection id="5164" xr16:uid="{00000000-0015-0000-FFFF-FFFFA90A0000}" name="接続2293" type="7" refreshedVersion="4"/>
  <connection id="5165" xr16:uid="{00000000-0015-0000-FFFF-FFFFAA0A0000}" name="接続2294" type="7" refreshedVersion="4"/>
  <connection id="5166" xr16:uid="{00000000-0015-0000-FFFF-FFFFAB0A0000}" name="接続2295" type="7" refreshedVersion="4"/>
  <connection id="5167" xr16:uid="{00000000-0015-0000-FFFF-FFFFAC0A0000}" name="接続2296" type="7" refreshedVersion="4"/>
  <connection id="5168" xr16:uid="{00000000-0015-0000-FFFF-FFFFAD0A0000}" name="接続2297" type="7" refreshedVersion="4"/>
  <connection id="5169" xr16:uid="{00000000-0015-0000-FFFF-FFFFAE0A0000}" name="接続2298" type="7" refreshedVersion="4"/>
  <connection id="5170" xr16:uid="{00000000-0015-0000-FFFF-FFFFAF0A0000}" name="接続2299" type="7" refreshedVersion="4"/>
  <connection id="5171" xr16:uid="{00000000-0015-0000-FFFF-FFFFB00A0000}" name="接続23" type="7" refreshedVersion="3"/>
  <connection id="5172" xr16:uid="{00000000-0015-0000-FFFF-FFFFB10A0000}" name="接続230" type="7" refreshedVersion="4"/>
  <connection id="5173" xr16:uid="{00000000-0015-0000-FFFF-FFFFB20A0000}" name="接続2300" type="7" refreshedVersion="4"/>
  <connection id="5174" xr16:uid="{00000000-0015-0000-FFFF-FFFFB30A0000}" name="接続2301" type="7" refreshedVersion="4"/>
  <connection id="5175" xr16:uid="{00000000-0015-0000-FFFF-FFFFB40A0000}" name="接続2302" type="7" refreshedVersion="4"/>
  <connection id="5176" xr16:uid="{00000000-0015-0000-FFFF-FFFFB50A0000}" name="接続2303" type="7" refreshedVersion="4"/>
  <connection id="5177" xr16:uid="{00000000-0015-0000-FFFF-FFFFB60A0000}" name="接続2304" type="7" refreshedVersion="4"/>
  <connection id="5178" xr16:uid="{00000000-0015-0000-FFFF-FFFFB70A0000}" name="接続2305" type="7" refreshedVersion="4"/>
  <connection id="5179" xr16:uid="{00000000-0015-0000-FFFF-FFFFB80A0000}" name="接続2306" type="7" refreshedVersion="4"/>
  <connection id="5180" xr16:uid="{00000000-0015-0000-FFFF-FFFFB90A0000}" name="接続2307" type="7" refreshedVersion="4"/>
  <connection id="5181" xr16:uid="{00000000-0015-0000-FFFF-FFFFBA0A0000}" name="接続2308" type="7" refreshedVersion="4"/>
  <connection id="5182" xr16:uid="{00000000-0015-0000-FFFF-FFFFBB0A0000}" name="接続2309" type="7" refreshedVersion="4"/>
  <connection id="5183" xr16:uid="{00000000-0015-0000-FFFF-FFFFBC0A0000}" name="接続231" type="7" refreshedVersion="4"/>
  <connection id="5184" xr16:uid="{00000000-0015-0000-FFFF-FFFFBD0A0000}" name="接続2310" type="7" refreshedVersion="4"/>
  <connection id="5185" xr16:uid="{00000000-0015-0000-FFFF-FFFFBE0A0000}" name="接続2311" type="7" refreshedVersion="4"/>
  <connection id="5186" xr16:uid="{00000000-0015-0000-FFFF-FFFFBF0A0000}" name="接続2312" type="7" refreshedVersion="4"/>
  <connection id="5187" xr16:uid="{00000000-0015-0000-FFFF-FFFFC00A0000}" name="接続2313" type="7" refreshedVersion="4"/>
  <connection id="5188" xr16:uid="{00000000-0015-0000-FFFF-FFFFC10A0000}" name="接続2314" type="7" refreshedVersion="4"/>
  <connection id="5189" xr16:uid="{00000000-0015-0000-FFFF-FFFFC20A0000}" name="接続2315" type="7" refreshedVersion="4"/>
  <connection id="5190" xr16:uid="{00000000-0015-0000-FFFF-FFFFC30A0000}" name="接続2316" type="7" refreshedVersion="4"/>
  <connection id="5191" xr16:uid="{00000000-0015-0000-FFFF-FFFFC40A0000}" name="接続2317" type="7" refreshedVersion="4"/>
  <connection id="5192" xr16:uid="{00000000-0015-0000-FFFF-FFFFC50A0000}" name="接続2318" type="7" refreshedVersion="4"/>
  <connection id="5193" xr16:uid="{00000000-0015-0000-FFFF-FFFFC60A0000}" name="接続2319" type="7" refreshedVersion="4"/>
  <connection id="5194" xr16:uid="{00000000-0015-0000-FFFF-FFFFC70A0000}" name="接続232" type="7" refreshedVersion="4"/>
  <connection id="5195" xr16:uid="{00000000-0015-0000-FFFF-FFFFC80A0000}" name="接続2320" type="7" refreshedVersion="4"/>
  <connection id="5196" xr16:uid="{00000000-0015-0000-FFFF-FFFFC90A0000}" name="接続2321" type="7" refreshedVersion="4"/>
  <connection id="5197" xr16:uid="{00000000-0015-0000-FFFF-FFFFCA0A0000}" name="接続2322" type="7" refreshedVersion="4"/>
  <connection id="5198" xr16:uid="{00000000-0015-0000-FFFF-FFFFCB0A0000}" name="接続2323" type="7" refreshedVersion="4"/>
  <connection id="5199" xr16:uid="{00000000-0015-0000-FFFF-FFFFCC0A0000}" name="接続2324" type="7" refreshedVersion="4"/>
  <connection id="5200" xr16:uid="{00000000-0015-0000-FFFF-FFFFCD0A0000}" name="接続2325" type="7" refreshedVersion="4"/>
  <connection id="5201" xr16:uid="{00000000-0015-0000-FFFF-FFFFCE0A0000}" name="接続2326" type="7" refreshedVersion="4"/>
  <connection id="5202" xr16:uid="{00000000-0015-0000-FFFF-FFFFCF0A0000}" name="接続2327" type="7" refreshedVersion="4"/>
  <connection id="5203" xr16:uid="{00000000-0015-0000-FFFF-FFFFD00A0000}" name="接続2328" type="7" refreshedVersion="4"/>
  <connection id="5204" xr16:uid="{00000000-0015-0000-FFFF-FFFFD10A0000}" name="接続2329" type="7" refreshedVersion="4"/>
  <connection id="5205" xr16:uid="{00000000-0015-0000-FFFF-FFFFD20A0000}" name="接続233" type="7" refreshedVersion="4"/>
  <connection id="5206" xr16:uid="{00000000-0015-0000-FFFF-FFFFD30A0000}" name="接続2330" type="7" refreshedVersion="4"/>
  <connection id="5207" xr16:uid="{00000000-0015-0000-FFFF-FFFFD40A0000}" name="接続2331" type="7" refreshedVersion="4"/>
  <connection id="5208" xr16:uid="{00000000-0015-0000-FFFF-FFFFD50A0000}" name="接続2332" type="7" refreshedVersion="4"/>
  <connection id="5209" xr16:uid="{00000000-0015-0000-FFFF-FFFFD60A0000}" name="接続2333" type="7" refreshedVersion="4"/>
  <connection id="5210" xr16:uid="{00000000-0015-0000-FFFF-FFFFD70A0000}" name="接続2334" type="7" refreshedVersion="4"/>
  <connection id="5211" xr16:uid="{00000000-0015-0000-FFFF-FFFFD80A0000}" name="接続2335" type="7" refreshedVersion="4"/>
  <connection id="5212" xr16:uid="{00000000-0015-0000-FFFF-FFFFD90A0000}" name="接続2336" type="7" refreshedVersion="4"/>
  <connection id="5213" xr16:uid="{00000000-0015-0000-FFFF-FFFFDA0A0000}" name="接続2337" type="7" refreshedVersion="4"/>
  <connection id="5214" xr16:uid="{00000000-0015-0000-FFFF-FFFFDB0A0000}" name="接続2338" type="7" refreshedVersion="4"/>
  <connection id="5215" xr16:uid="{00000000-0015-0000-FFFF-FFFFDC0A0000}" name="接続2339" type="7" refreshedVersion="4"/>
  <connection id="5216" xr16:uid="{00000000-0015-0000-FFFF-FFFFDD0A0000}" name="接続234" type="7" refreshedVersion="4"/>
  <connection id="5217" xr16:uid="{00000000-0015-0000-FFFF-FFFFDE0A0000}" name="接続2340" type="7" refreshedVersion="4"/>
  <connection id="5218" xr16:uid="{00000000-0015-0000-FFFF-FFFFDF0A0000}" name="接続2341" type="7" refreshedVersion="4"/>
  <connection id="5219" xr16:uid="{00000000-0015-0000-FFFF-FFFFE00A0000}" name="接続2342" type="7" refreshedVersion="4"/>
  <connection id="5220" xr16:uid="{00000000-0015-0000-FFFF-FFFFE10A0000}" name="接続2343" type="7" refreshedVersion="4"/>
  <connection id="5221" xr16:uid="{00000000-0015-0000-FFFF-FFFFE20A0000}" name="接続2344" type="7" refreshedVersion="4"/>
  <connection id="5222" xr16:uid="{00000000-0015-0000-FFFF-FFFFE30A0000}" name="接続2345" type="7" refreshedVersion="4"/>
  <connection id="5223" xr16:uid="{00000000-0015-0000-FFFF-FFFFE40A0000}" name="接続2346" type="7" refreshedVersion="4"/>
  <connection id="5224" xr16:uid="{00000000-0015-0000-FFFF-FFFFE50A0000}" name="接続2347" type="7" refreshedVersion="4"/>
  <connection id="5225" xr16:uid="{00000000-0015-0000-FFFF-FFFFE60A0000}" name="接続2348" type="7" refreshedVersion="4"/>
  <connection id="5226" xr16:uid="{00000000-0015-0000-FFFF-FFFFE70A0000}" name="接続2349" type="7" refreshedVersion="4"/>
  <connection id="5227" xr16:uid="{00000000-0015-0000-FFFF-FFFFE80A0000}" name="接続235" type="7" refreshedVersion="4"/>
  <connection id="5228" xr16:uid="{00000000-0015-0000-FFFF-FFFFE90A0000}" name="接続2350" type="7" refreshedVersion="4"/>
  <connection id="5229" xr16:uid="{00000000-0015-0000-FFFF-FFFFEA0A0000}" name="接続2351" type="7" refreshedVersion="4"/>
  <connection id="5230" xr16:uid="{00000000-0015-0000-FFFF-FFFFEB0A0000}" name="接続2352" type="7" refreshedVersion="4"/>
  <connection id="5231" xr16:uid="{00000000-0015-0000-FFFF-FFFFEC0A0000}" name="接続2353" type="7" refreshedVersion="4"/>
  <connection id="5232" xr16:uid="{00000000-0015-0000-FFFF-FFFFED0A0000}" name="接続2354" type="7" refreshedVersion="4"/>
  <connection id="5233" xr16:uid="{00000000-0015-0000-FFFF-FFFFEE0A0000}" name="接続2355" type="7" refreshedVersion="4"/>
  <connection id="5234" xr16:uid="{00000000-0015-0000-FFFF-FFFFEF0A0000}" name="接続2356" type="7" refreshedVersion="4"/>
  <connection id="5235" xr16:uid="{00000000-0015-0000-FFFF-FFFFF00A0000}" name="接続2357" type="7" refreshedVersion="4"/>
  <connection id="5236" xr16:uid="{00000000-0015-0000-FFFF-FFFFF10A0000}" name="接続2358" type="7" refreshedVersion="4"/>
  <connection id="5237" xr16:uid="{00000000-0015-0000-FFFF-FFFFF20A0000}" name="接続2359" type="7" refreshedVersion="4"/>
  <connection id="5238" xr16:uid="{00000000-0015-0000-FFFF-FFFFF30A0000}" name="接続236" type="7" refreshedVersion="4"/>
  <connection id="5239" xr16:uid="{00000000-0015-0000-FFFF-FFFFF40A0000}" name="接続2360" type="7" refreshedVersion="4"/>
  <connection id="5240" xr16:uid="{00000000-0015-0000-FFFF-FFFFF50A0000}" name="接続2361" type="7" refreshedVersion="4"/>
  <connection id="5241" xr16:uid="{00000000-0015-0000-FFFF-FFFFF60A0000}" name="接続2362" type="7" refreshedVersion="4"/>
  <connection id="5242" xr16:uid="{00000000-0015-0000-FFFF-FFFFF70A0000}" name="接続2363" type="7" refreshedVersion="4"/>
  <connection id="5243" xr16:uid="{00000000-0015-0000-FFFF-FFFFF80A0000}" name="接続2364" type="7" refreshedVersion="4"/>
  <connection id="5244" xr16:uid="{00000000-0015-0000-FFFF-FFFFF90A0000}" name="接続2365" type="7" refreshedVersion="4"/>
  <connection id="5245" xr16:uid="{00000000-0015-0000-FFFF-FFFFFA0A0000}" name="接続2366" type="7" refreshedVersion="4"/>
  <connection id="5246" xr16:uid="{00000000-0015-0000-FFFF-FFFFFB0A0000}" name="接続2367" type="7" refreshedVersion="4"/>
  <connection id="5247" xr16:uid="{00000000-0015-0000-FFFF-FFFFFC0A0000}" name="接続2368" type="7" refreshedVersion="4"/>
  <connection id="5248" xr16:uid="{00000000-0015-0000-FFFF-FFFFFD0A0000}" name="接続2369" type="7" refreshedVersion="4"/>
  <connection id="5249" xr16:uid="{00000000-0015-0000-FFFF-FFFFFE0A0000}" name="接続237" type="7" refreshedVersion="4"/>
  <connection id="5250" xr16:uid="{00000000-0015-0000-FFFF-FFFFFF0A0000}" name="接続2370" type="7" refreshedVersion="4"/>
  <connection id="5251" xr16:uid="{00000000-0015-0000-FFFF-FFFF000B0000}" name="接続2371" type="7" refreshedVersion="4"/>
  <connection id="5252" xr16:uid="{00000000-0015-0000-FFFF-FFFF010B0000}" name="接続2372" type="7" refreshedVersion="4"/>
  <connection id="5253" xr16:uid="{00000000-0015-0000-FFFF-FFFF020B0000}" name="接続2373" type="7" refreshedVersion="4"/>
  <connection id="5254" xr16:uid="{00000000-0015-0000-FFFF-FFFF030B0000}" name="接続2374" type="7" refreshedVersion="4"/>
  <connection id="5255" xr16:uid="{00000000-0015-0000-FFFF-FFFF040B0000}" name="接続2375" type="7" refreshedVersion="4"/>
  <connection id="5256" xr16:uid="{00000000-0015-0000-FFFF-FFFF050B0000}" name="接続2376" type="7" refreshedVersion="4"/>
  <connection id="5257" xr16:uid="{00000000-0015-0000-FFFF-FFFF060B0000}" name="接続2377" type="7" refreshedVersion="4"/>
  <connection id="5258" xr16:uid="{00000000-0015-0000-FFFF-FFFF070B0000}" name="接続2378" type="7" refreshedVersion="4"/>
  <connection id="5259" xr16:uid="{00000000-0015-0000-FFFF-FFFF080B0000}" name="接続2379" type="7" refreshedVersion="4"/>
  <connection id="5260" xr16:uid="{00000000-0015-0000-FFFF-FFFF090B0000}" name="接続238" type="7" refreshedVersion="4"/>
  <connection id="5261" xr16:uid="{00000000-0015-0000-FFFF-FFFF0A0B0000}" name="接続2380" type="7" refreshedVersion="4"/>
  <connection id="5262" xr16:uid="{00000000-0015-0000-FFFF-FFFF0B0B0000}" name="接続2381" type="7" refreshedVersion="4"/>
  <connection id="5263" xr16:uid="{00000000-0015-0000-FFFF-FFFF0C0B0000}" name="接続2382" type="7" refreshedVersion="4"/>
  <connection id="5264" xr16:uid="{00000000-0015-0000-FFFF-FFFF0D0B0000}" name="接続2383" type="7" refreshedVersion="4"/>
  <connection id="5265" xr16:uid="{00000000-0015-0000-FFFF-FFFF0E0B0000}" name="接続2384" type="7" refreshedVersion="4"/>
  <connection id="5266" xr16:uid="{00000000-0015-0000-FFFF-FFFF0F0B0000}" name="接続2385" type="7" refreshedVersion="4"/>
  <connection id="5267" xr16:uid="{00000000-0015-0000-FFFF-FFFF100B0000}" name="接続2386" type="7" refreshedVersion="4"/>
  <connection id="5268" xr16:uid="{00000000-0015-0000-FFFF-FFFF110B0000}" name="接続2387" type="7" refreshedVersion="4"/>
  <connection id="5269" xr16:uid="{00000000-0015-0000-FFFF-FFFF120B0000}" name="接続2388" type="7" refreshedVersion="4"/>
  <connection id="5270" xr16:uid="{00000000-0015-0000-FFFF-FFFF130B0000}" name="接続2389" type="7" refreshedVersion="4"/>
  <connection id="5271" xr16:uid="{00000000-0015-0000-FFFF-FFFF140B0000}" name="接続239" type="7" refreshedVersion="4"/>
  <connection id="5272" xr16:uid="{00000000-0015-0000-FFFF-FFFF150B0000}" name="接続2390" type="7" refreshedVersion="4"/>
  <connection id="5273" xr16:uid="{00000000-0015-0000-FFFF-FFFF160B0000}" name="接続2391" type="7" refreshedVersion="4"/>
  <connection id="5274" xr16:uid="{00000000-0015-0000-FFFF-FFFF170B0000}" name="接続2392" type="7" refreshedVersion="4"/>
  <connection id="5275" xr16:uid="{00000000-0015-0000-FFFF-FFFF180B0000}" name="接続2393" type="7" refreshedVersion="4"/>
  <connection id="5276" xr16:uid="{00000000-0015-0000-FFFF-FFFF190B0000}" name="接続2394" type="7" refreshedVersion="4"/>
  <connection id="5277" xr16:uid="{00000000-0015-0000-FFFF-FFFF1A0B0000}" name="接続2395" type="7" refreshedVersion="4"/>
  <connection id="5278" xr16:uid="{00000000-0015-0000-FFFF-FFFF1B0B0000}" name="接続2396" type="7" refreshedVersion="4"/>
  <connection id="5279" xr16:uid="{00000000-0015-0000-FFFF-FFFF1C0B0000}" name="接続2397" type="7" refreshedVersion="4"/>
  <connection id="5280" xr16:uid="{00000000-0015-0000-FFFF-FFFF1D0B0000}" name="接続2398" type="7" refreshedVersion="4"/>
  <connection id="5281" xr16:uid="{00000000-0015-0000-FFFF-FFFF1E0B0000}" name="接続2399" type="7" refreshedVersion="4"/>
  <connection id="5282" xr16:uid="{00000000-0015-0000-FFFF-FFFF1F0B0000}" name="接続24" type="7" refreshedVersion="3"/>
  <connection id="5283" xr16:uid="{00000000-0015-0000-FFFF-FFFF200B0000}" name="接続240" type="7" refreshedVersion="4"/>
  <connection id="5284" xr16:uid="{00000000-0015-0000-FFFF-FFFF210B0000}" name="接続2400" type="7" refreshedVersion="4"/>
  <connection id="5285" xr16:uid="{00000000-0015-0000-FFFF-FFFF220B0000}" name="接続2401" type="7" refreshedVersion="4"/>
  <connection id="5286" xr16:uid="{00000000-0015-0000-FFFF-FFFF230B0000}" name="接続2402" type="7" refreshedVersion="4"/>
  <connection id="5287" xr16:uid="{00000000-0015-0000-FFFF-FFFF240B0000}" name="接続2403" type="7" refreshedVersion="4"/>
  <connection id="5288" xr16:uid="{00000000-0015-0000-FFFF-FFFF250B0000}" name="接続2404" type="7" refreshedVersion="4"/>
  <connection id="5289" xr16:uid="{00000000-0015-0000-FFFF-FFFF260B0000}" name="接続2405" type="7" refreshedVersion="4"/>
  <connection id="5290" xr16:uid="{00000000-0015-0000-FFFF-FFFF270B0000}" name="接続2406" type="7" refreshedVersion="4"/>
  <connection id="5291" xr16:uid="{00000000-0015-0000-FFFF-FFFF280B0000}" name="接続2407" type="7" refreshedVersion="4"/>
  <connection id="5292" xr16:uid="{00000000-0015-0000-FFFF-FFFF290B0000}" name="接続2408" type="7" refreshedVersion="4"/>
  <connection id="5293" xr16:uid="{00000000-0015-0000-FFFF-FFFF2A0B0000}" name="接続2409" type="7" refreshedVersion="4"/>
  <connection id="5294" xr16:uid="{00000000-0015-0000-FFFF-FFFF2B0B0000}" name="接続241" type="7" refreshedVersion="4"/>
  <connection id="5295" xr16:uid="{00000000-0015-0000-FFFF-FFFF2C0B0000}" name="接続2410" type="7" refreshedVersion="4"/>
  <connection id="5296" xr16:uid="{00000000-0015-0000-FFFF-FFFF2D0B0000}" name="接続2411" type="7" refreshedVersion="4"/>
  <connection id="5297" xr16:uid="{00000000-0015-0000-FFFF-FFFF2E0B0000}" name="接続2412" type="7" refreshedVersion="4"/>
  <connection id="5298" xr16:uid="{00000000-0015-0000-FFFF-FFFF2F0B0000}" name="接続2413" type="7" refreshedVersion="4"/>
  <connection id="5299" xr16:uid="{00000000-0015-0000-FFFF-FFFF300B0000}" name="接続2414" type="7" refreshedVersion="4"/>
  <connection id="5300" xr16:uid="{00000000-0015-0000-FFFF-FFFF310B0000}" name="接続2415" type="7" refreshedVersion="4"/>
  <connection id="5301" xr16:uid="{00000000-0015-0000-FFFF-FFFF320B0000}" name="接続2416" type="7" refreshedVersion="4"/>
  <connection id="5302" xr16:uid="{00000000-0015-0000-FFFF-FFFF330B0000}" name="接続2417" type="7" refreshedVersion="4"/>
  <connection id="5303" xr16:uid="{00000000-0015-0000-FFFF-FFFF340B0000}" name="接続2418" type="7" refreshedVersion="4"/>
  <connection id="5304" xr16:uid="{00000000-0015-0000-FFFF-FFFF350B0000}" name="接続2419" type="7" refreshedVersion="4"/>
  <connection id="5305" xr16:uid="{00000000-0015-0000-FFFF-FFFF360B0000}" name="接続242" type="7" refreshedVersion="4"/>
  <connection id="5306" xr16:uid="{00000000-0015-0000-FFFF-FFFF370B0000}" name="接続2420" type="7" refreshedVersion="4"/>
  <connection id="5307" xr16:uid="{00000000-0015-0000-FFFF-FFFF380B0000}" name="接続2421" type="7" refreshedVersion="4"/>
  <connection id="5308" xr16:uid="{00000000-0015-0000-FFFF-FFFF390B0000}" name="接続2422" type="7" refreshedVersion="4"/>
  <connection id="5309" xr16:uid="{00000000-0015-0000-FFFF-FFFF3A0B0000}" name="接続2423" type="7" refreshedVersion="4"/>
  <connection id="5310" xr16:uid="{00000000-0015-0000-FFFF-FFFF3B0B0000}" name="接続2424" type="7" refreshedVersion="4"/>
  <connection id="5311" xr16:uid="{00000000-0015-0000-FFFF-FFFF3C0B0000}" name="接続2425" type="7" refreshedVersion="4"/>
  <connection id="5312" xr16:uid="{00000000-0015-0000-FFFF-FFFF3D0B0000}" name="接続2426" type="7" refreshedVersion="4"/>
  <connection id="5313" xr16:uid="{00000000-0015-0000-FFFF-FFFF3E0B0000}" name="接続2427" type="7" refreshedVersion="4"/>
  <connection id="5314" xr16:uid="{00000000-0015-0000-FFFF-FFFF3F0B0000}" name="接続2428" type="7" refreshedVersion="4"/>
  <connection id="5315" xr16:uid="{00000000-0015-0000-FFFF-FFFF400B0000}" name="接続2429" type="7" refreshedVersion="4"/>
  <connection id="5316" xr16:uid="{00000000-0015-0000-FFFF-FFFF410B0000}" name="接続243" type="7" refreshedVersion="4"/>
  <connection id="5317" xr16:uid="{00000000-0015-0000-FFFF-FFFF420B0000}" name="接続2430" type="7" refreshedVersion="4"/>
  <connection id="5318" xr16:uid="{00000000-0015-0000-FFFF-FFFF430B0000}" name="接続2431" type="7" refreshedVersion="4"/>
  <connection id="5319" xr16:uid="{00000000-0015-0000-FFFF-FFFF440B0000}" name="接続2432" type="7" refreshedVersion="4"/>
  <connection id="5320" xr16:uid="{00000000-0015-0000-FFFF-FFFF450B0000}" name="接続2433" type="7" refreshedVersion="4"/>
  <connection id="5321" xr16:uid="{00000000-0015-0000-FFFF-FFFF460B0000}" name="接続2434" type="7" refreshedVersion="4"/>
  <connection id="5322" xr16:uid="{00000000-0015-0000-FFFF-FFFF470B0000}" name="接続2435" type="7" refreshedVersion="4"/>
  <connection id="5323" xr16:uid="{00000000-0015-0000-FFFF-FFFF480B0000}" name="接続2436" type="7" refreshedVersion="4"/>
  <connection id="5324" xr16:uid="{00000000-0015-0000-FFFF-FFFF490B0000}" name="接続2437" type="7" refreshedVersion="4"/>
  <connection id="5325" xr16:uid="{00000000-0015-0000-FFFF-FFFF4A0B0000}" name="接続2438" type="7" refreshedVersion="4"/>
  <connection id="5326" xr16:uid="{00000000-0015-0000-FFFF-FFFF4B0B0000}" name="接続2439" type="7" refreshedVersion="4"/>
  <connection id="5327" xr16:uid="{00000000-0015-0000-FFFF-FFFF4C0B0000}" name="接続244" type="7" refreshedVersion="4"/>
  <connection id="5328" xr16:uid="{00000000-0015-0000-FFFF-FFFF4D0B0000}" name="接続2440" type="7" refreshedVersion="4"/>
  <connection id="5329" xr16:uid="{00000000-0015-0000-FFFF-FFFF4E0B0000}" name="接続2441" type="7" refreshedVersion="4"/>
  <connection id="5330" xr16:uid="{00000000-0015-0000-FFFF-FFFF4F0B0000}" name="接続2442" type="7" refreshedVersion="4"/>
  <connection id="5331" xr16:uid="{00000000-0015-0000-FFFF-FFFF500B0000}" name="接続2443" type="7" refreshedVersion="4"/>
  <connection id="5332" xr16:uid="{00000000-0015-0000-FFFF-FFFF510B0000}" name="接続2444" type="7" refreshedVersion="4"/>
  <connection id="5333" xr16:uid="{00000000-0015-0000-FFFF-FFFF520B0000}" name="接続2445" type="7" refreshedVersion="4"/>
  <connection id="5334" xr16:uid="{00000000-0015-0000-FFFF-FFFF530B0000}" name="接続2446" type="7" refreshedVersion="4"/>
  <connection id="5335" xr16:uid="{00000000-0015-0000-FFFF-FFFF540B0000}" name="接続2447" type="7" refreshedVersion="4"/>
  <connection id="5336" xr16:uid="{00000000-0015-0000-FFFF-FFFF550B0000}" name="接続2448" type="7" refreshedVersion="4"/>
  <connection id="5337" xr16:uid="{00000000-0015-0000-FFFF-FFFF560B0000}" name="接続2449" type="7" refreshedVersion="4"/>
  <connection id="5338" xr16:uid="{00000000-0015-0000-FFFF-FFFF570B0000}" name="接続245" type="7" refreshedVersion="4"/>
  <connection id="5339" xr16:uid="{00000000-0015-0000-FFFF-FFFF580B0000}" name="接続2450" type="7" refreshedVersion="4"/>
  <connection id="5340" xr16:uid="{00000000-0015-0000-FFFF-FFFF590B0000}" name="接続2451" type="7" refreshedVersion="4"/>
  <connection id="5341" xr16:uid="{00000000-0015-0000-FFFF-FFFF5A0B0000}" name="接続2452" type="7" refreshedVersion="4"/>
  <connection id="5342" xr16:uid="{00000000-0015-0000-FFFF-FFFF5B0B0000}" name="接続2453" type="7" refreshedVersion="4"/>
  <connection id="5343" xr16:uid="{00000000-0015-0000-FFFF-FFFF5C0B0000}" name="接続2454" type="7" refreshedVersion="4"/>
  <connection id="5344" xr16:uid="{00000000-0015-0000-FFFF-FFFF5D0B0000}" name="接続2455" type="7" refreshedVersion="4"/>
  <connection id="5345" xr16:uid="{00000000-0015-0000-FFFF-FFFF5E0B0000}" name="接続2456" type="7" refreshedVersion="4"/>
  <connection id="5346" xr16:uid="{00000000-0015-0000-FFFF-FFFF5F0B0000}" name="接続2457" type="7" refreshedVersion="4"/>
  <connection id="5347" xr16:uid="{00000000-0015-0000-FFFF-FFFF600B0000}" name="接続2458" type="7" refreshedVersion="4"/>
  <connection id="5348" xr16:uid="{00000000-0015-0000-FFFF-FFFF610B0000}" name="接続2459" type="7" refreshedVersion="4"/>
  <connection id="5349" xr16:uid="{00000000-0015-0000-FFFF-FFFF620B0000}" name="接続246" type="7" refreshedVersion="4"/>
  <connection id="5350" xr16:uid="{00000000-0015-0000-FFFF-FFFF630B0000}" name="接続2460" type="7" refreshedVersion="4"/>
  <connection id="5351" xr16:uid="{00000000-0015-0000-FFFF-FFFF640B0000}" name="接続2461" type="7" refreshedVersion="4"/>
  <connection id="5352" xr16:uid="{00000000-0015-0000-FFFF-FFFF650B0000}" name="接続2462" type="7" refreshedVersion="4"/>
  <connection id="5353" xr16:uid="{00000000-0015-0000-FFFF-FFFF660B0000}" name="接続2463" type="7" refreshedVersion="4"/>
  <connection id="5354" xr16:uid="{00000000-0015-0000-FFFF-FFFF670B0000}" name="接続2464" type="7" refreshedVersion="4"/>
  <connection id="5355" xr16:uid="{00000000-0015-0000-FFFF-FFFF680B0000}" name="接続2465" type="7" refreshedVersion="4"/>
  <connection id="5356" xr16:uid="{00000000-0015-0000-FFFF-FFFF690B0000}" name="接続2466" type="7" refreshedVersion="4"/>
  <connection id="5357" xr16:uid="{00000000-0015-0000-FFFF-FFFF6A0B0000}" name="接続2467" type="7" refreshedVersion="4"/>
  <connection id="5358" xr16:uid="{00000000-0015-0000-FFFF-FFFF6B0B0000}" name="接続2468" type="7" refreshedVersion="4"/>
  <connection id="5359" xr16:uid="{00000000-0015-0000-FFFF-FFFF6C0B0000}" name="接続2469" type="7" refreshedVersion="4"/>
  <connection id="5360" xr16:uid="{00000000-0015-0000-FFFF-FFFF6D0B0000}" name="接続247" type="7" refreshedVersion="4"/>
  <connection id="5361" xr16:uid="{00000000-0015-0000-FFFF-FFFF6E0B0000}" name="接続2470" type="7" refreshedVersion="4"/>
  <connection id="5362" xr16:uid="{00000000-0015-0000-FFFF-FFFF6F0B0000}" name="接続2471" type="7" refreshedVersion="4"/>
  <connection id="5363" xr16:uid="{00000000-0015-0000-FFFF-FFFF700B0000}" name="接続2472" type="7" refreshedVersion="4"/>
  <connection id="5364" xr16:uid="{00000000-0015-0000-FFFF-FFFF710B0000}" name="接続2473" type="7" refreshedVersion="4"/>
  <connection id="5365" xr16:uid="{00000000-0015-0000-FFFF-FFFF720B0000}" name="接続2474" type="7" refreshedVersion="4"/>
  <connection id="5366" xr16:uid="{00000000-0015-0000-FFFF-FFFF730B0000}" name="接続2475" type="7" refreshedVersion="4"/>
  <connection id="5367" xr16:uid="{00000000-0015-0000-FFFF-FFFF740B0000}" name="接続2476" type="7" refreshedVersion="4"/>
  <connection id="5368" xr16:uid="{00000000-0015-0000-FFFF-FFFF750B0000}" name="接続2477" type="7" refreshedVersion="4"/>
  <connection id="5369" xr16:uid="{00000000-0015-0000-FFFF-FFFF760B0000}" name="接続2478" type="7" refreshedVersion="4"/>
  <connection id="5370" xr16:uid="{00000000-0015-0000-FFFF-FFFF770B0000}" name="接続2479" type="7" refreshedVersion="4"/>
  <connection id="5371" xr16:uid="{00000000-0015-0000-FFFF-FFFF780B0000}" name="接続248" type="7" refreshedVersion="4"/>
  <connection id="5372" xr16:uid="{00000000-0015-0000-FFFF-FFFF790B0000}" name="接続2480" type="7" refreshedVersion="4"/>
  <connection id="5373" xr16:uid="{00000000-0015-0000-FFFF-FFFF7A0B0000}" name="接続2481" type="7" refreshedVersion="4"/>
  <connection id="5374" xr16:uid="{00000000-0015-0000-FFFF-FFFF7B0B0000}" name="接続2482" type="7" refreshedVersion="4"/>
  <connection id="5375" xr16:uid="{00000000-0015-0000-FFFF-FFFF7C0B0000}" name="接続2483" type="7" refreshedVersion="4"/>
  <connection id="5376" xr16:uid="{00000000-0015-0000-FFFF-FFFF7D0B0000}" name="接続2484" type="7" refreshedVersion="4"/>
  <connection id="5377" xr16:uid="{00000000-0015-0000-FFFF-FFFF7E0B0000}" name="接続2485" type="7" refreshedVersion="4"/>
  <connection id="5378" xr16:uid="{00000000-0015-0000-FFFF-FFFF7F0B0000}" name="接続2486" type="7" refreshedVersion="4"/>
  <connection id="5379" xr16:uid="{00000000-0015-0000-FFFF-FFFF800B0000}" name="接続2487" type="7" refreshedVersion="4"/>
  <connection id="5380" xr16:uid="{00000000-0015-0000-FFFF-FFFF810B0000}" name="接続2488" type="7" refreshedVersion="4"/>
  <connection id="5381" xr16:uid="{00000000-0015-0000-FFFF-FFFF820B0000}" name="接続2489" type="7" refreshedVersion="4"/>
  <connection id="5382" xr16:uid="{00000000-0015-0000-FFFF-FFFF830B0000}" name="接続249" type="7" refreshedVersion="4"/>
  <connection id="5383" xr16:uid="{00000000-0015-0000-FFFF-FFFF840B0000}" name="接続2490" type="7" refreshedVersion="4"/>
  <connection id="5384" xr16:uid="{00000000-0015-0000-FFFF-FFFF850B0000}" name="接続2491" type="7" refreshedVersion="4"/>
  <connection id="5385" xr16:uid="{00000000-0015-0000-FFFF-FFFF860B0000}" name="接続2492" type="7" refreshedVersion="4"/>
  <connection id="5386" xr16:uid="{00000000-0015-0000-FFFF-FFFF870B0000}" name="接続2493" type="7" refreshedVersion="4"/>
  <connection id="5387" xr16:uid="{00000000-0015-0000-FFFF-FFFF880B0000}" name="接続2494" type="7" refreshedVersion="4"/>
  <connection id="5388" xr16:uid="{00000000-0015-0000-FFFF-FFFF890B0000}" name="接続2495" type="7" refreshedVersion="4"/>
  <connection id="5389" xr16:uid="{00000000-0015-0000-FFFF-FFFF8A0B0000}" name="接続2496" type="7" refreshedVersion="4"/>
  <connection id="5390" xr16:uid="{00000000-0015-0000-FFFF-FFFF8B0B0000}" name="接続2497" type="7" refreshedVersion="4"/>
  <connection id="5391" xr16:uid="{00000000-0015-0000-FFFF-FFFF8C0B0000}" name="接続2498" type="7" refreshedVersion="4"/>
  <connection id="5392" xr16:uid="{00000000-0015-0000-FFFF-FFFF8D0B0000}" name="接続2499" type="7" refreshedVersion="4"/>
  <connection id="5393" xr16:uid="{00000000-0015-0000-FFFF-FFFF8E0B0000}" name="接続25" type="7" refreshedVersion="4"/>
  <connection id="5394" xr16:uid="{00000000-0015-0000-FFFF-FFFF8F0B0000}" name="接続250" type="7" refreshedVersion="4"/>
  <connection id="5395" xr16:uid="{00000000-0015-0000-FFFF-FFFF900B0000}" name="接続2500" type="7" refreshedVersion="4"/>
  <connection id="5396" xr16:uid="{00000000-0015-0000-FFFF-FFFF910B0000}" name="接続2501" type="7" refreshedVersion="4"/>
  <connection id="5397" xr16:uid="{00000000-0015-0000-FFFF-FFFF920B0000}" name="接続2502" type="7" refreshedVersion="4"/>
  <connection id="5398" xr16:uid="{00000000-0015-0000-FFFF-FFFF930B0000}" name="接続2503" type="7" refreshedVersion="4"/>
  <connection id="5399" xr16:uid="{00000000-0015-0000-FFFF-FFFF940B0000}" name="接続2504" type="7" refreshedVersion="4"/>
  <connection id="5400" xr16:uid="{00000000-0015-0000-FFFF-FFFF950B0000}" name="接続2505" type="7" refreshedVersion="4"/>
  <connection id="5401" xr16:uid="{00000000-0015-0000-FFFF-FFFF960B0000}" name="接続2506" type="7" refreshedVersion="4"/>
  <connection id="5402" xr16:uid="{00000000-0015-0000-FFFF-FFFF970B0000}" name="接続2507" type="7" refreshedVersion="4"/>
  <connection id="5403" xr16:uid="{00000000-0015-0000-FFFF-FFFF980B0000}" name="接続2508" type="7" refreshedVersion="4"/>
  <connection id="5404" xr16:uid="{00000000-0015-0000-FFFF-FFFF990B0000}" name="接続2509" type="7" refreshedVersion="4"/>
  <connection id="5405" xr16:uid="{00000000-0015-0000-FFFF-FFFF9A0B0000}" name="接続251" type="7" refreshedVersion="4"/>
  <connection id="5406" xr16:uid="{00000000-0015-0000-FFFF-FFFF9B0B0000}" name="接続2510" type="7" refreshedVersion="4"/>
  <connection id="5407" xr16:uid="{00000000-0015-0000-FFFF-FFFF9C0B0000}" name="接続2511" type="7" refreshedVersion="4"/>
  <connection id="5408" xr16:uid="{00000000-0015-0000-FFFF-FFFF9D0B0000}" name="接続2512" type="7" refreshedVersion="4"/>
  <connection id="5409" xr16:uid="{00000000-0015-0000-FFFF-FFFF9E0B0000}" name="接続2513" type="7" refreshedVersion="4"/>
  <connection id="5410" xr16:uid="{00000000-0015-0000-FFFF-FFFF9F0B0000}" name="接続2514" type="7" refreshedVersion="4"/>
  <connection id="5411" xr16:uid="{00000000-0015-0000-FFFF-FFFFA00B0000}" name="接続2515" type="7" refreshedVersion="4"/>
  <connection id="5412" xr16:uid="{00000000-0015-0000-FFFF-FFFFA10B0000}" name="接続2516" type="7" refreshedVersion="4"/>
  <connection id="5413" xr16:uid="{00000000-0015-0000-FFFF-FFFFA20B0000}" name="接続2517" type="7" refreshedVersion="4"/>
  <connection id="5414" xr16:uid="{00000000-0015-0000-FFFF-FFFFA30B0000}" name="接続2518" type="7" refreshedVersion="4"/>
  <connection id="5415" xr16:uid="{00000000-0015-0000-FFFF-FFFFA40B0000}" name="接続2519" type="7" refreshedVersion="4"/>
  <connection id="5416" xr16:uid="{00000000-0015-0000-FFFF-FFFFA50B0000}" name="接続252" type="7" refreshedVersion="4"/>
  <connection id="5417" xr16:uid="{00000000-0015-0000-FFFF-FFFFA60B0000}" name="接続2520" type="7" refreshedVersion="4"/>
  <connection id="5418" xr16:uid="{00000000-0015-0000-FFFF-FFFFA70B0000}" name="接続2521" type="7" refreshedVersion="4"/>
  <connection id="5419" xr16:uid="{00000000-0015-0000-FFFF-FFFFA80B0000}" name="接続2522" type="7" refreshedVersion="4"/>
  <connection id="5420" xr16:uid="{00000000-0015-0000-FFFF-FFFFA90B0000}" name="接続2523" type="7" refreshedVersion="4"/>
  <connection id="5421" xr16:uid="{00000000-0015-0000-FFFF-FFFFAA0B0000}" name="接続2524" type="7" refreshedVersion="4"/>
  <connection id="5422" xr16:uid="{00000000-0015-0000-FFFF-FFFFAB0B0000}" name="接続2525" type="7" refreshedVersion="4"/>
  <connection id="5423" xr16:uid="{00000000-0015-0000-FFFF-FFFFAC0B0000}" name="接続2526" type="7" refreshedVersion="4"/>
  <connection id="5424" xr16:uid="{00000000-0015-0000-FFFF-FFFFAD0B0000}" name="接続2527" type="7" refreshedVersion="4"/>
  <connection id="5425" xr16:uid="{00000000-0015-0000-FFFF-FFFFAE0B0000}" name="接続2528" type="7" refreshedVersion="4"/>
  <connection id="5426" xr16:uid="{00000000-0015-0000-FFFF-FFFFAF0B0000}" name="接続2529" type="7" refreshedVersion="4"/>
  <connection id="5427" xr16:uid="{00000000-0015-0000-FFFF-FFFFB00B0000}" name="接続253" type="7" refreshedVersion="4"/>
  <connection id="5428" xr16:uid="{00000000-0015-0000-FFFF-FFFFB10B0000}" name="接続2530" type="7" refreshedVersion="4"/>
  <connection id="5429" xr16:uid="{00000000-0015-0000-FFFF-FFFFB20B0000}" name="接続2531" type="7" refreshedVersion="4"/>
  <connection id="5430" xr16:uid="{00000000-0015-0000-FFFF-FFFFB30B0000}" name="接続2532" type="7" refreshedVersion="4"/>
  <connection id="5431" xr16:uid="{00000000-0015-0000-FFFF-FFFFB40B0000}" name="接続2533" type="7" refreshedVersion="4"/>
  <connection id="5432" xr16:uid="{00000000-0015-0000-FFFF-FFFFB50B0000}" name="接続2534" type="7" refreshedVersion="4"/>
  <connection id="5433" xr16:uid="{00000000-0015-0000-FFFF-FFFFB60B0000}" name="接続2535" type="7" refreshedVersion="4"/>
  <connection id="5434" xr16:uid="{00000000-0015-0000-FFFF-FFFFB70B0000}" name="接続2536" type="7" refreshedVersion="4"/>
  <connection id="5435" xr16:uid="{00000000-0015-0000-FFFF-FFFFB80B0000}" name="接続2537" type="7" refreshedVersion="4"/>
  <connection id="5436" xr16:uid="{00000000-0015-0000-FFFF-FFFFB90B0000}" name="接続2538" type="7" refreshedVersion="4"/>
  <connection id="5437" xr16:uid="{00000000-0015-0000-FFFF-FFFFBA0B0000}" name="接続2539" type="7" refreshedVersion="4"/>
  <connection id="5438" xr16:uid="{00000000-0015-0000-FFFF-FFFFBB0B0000}" name="接続254" type="7" refreshedVersion="4"/>
  <connection id="5439" xr16:uid="{00000000-0015-0000-FFFF-FFFFBC0B0000}" name="接続2540" type="7" refreshedVersion="4"/>
  <connection id="5440" xr16:uid="{00000000-0015-0000-FFFF-FFFFBD0B0000}" name="接続2541" type="7" refreshedVersion="4"/>
  <connection id="5441" xr16:uid="{00000000-0015-0000-FFFF-FFFFBE0B0000}" name="接続2542" type="7" refreshedVersion="4"/>
  <connection id="5442" xr16:uid="{00000000-0015-0000-FFFF-FFFFBF0B0000}" name="接続2543" type="7" refreshedVersion="4"/>
  <connection id="5443" xr16:uid="{00000000-0015-0000-FFFF-FFFFC00B0000}" name="接続2544" type="7" refreshedVersion="4"/>
  <connection id="5444" xr16:uid="{00000000-0015-0000-FFFF-FFFFC10B0000}" name="接続2545" type="7" refreshedVersion="4"/>
  <connection id="5445" xr16:uid="{00000000-0015-0000-FFFF-FFFFC20B0000}" name="接続2546" type="7" refreshedVersion="4"/>
  <connection id="5446" xr16:uid="{00000000-0015-0000-FFFF-FFFFC30B0000}" name="接続2547" type="7" refreshedVersion="4"/>
  <connection id="5447" xr16:uid="{00000000-0015-0000-FFFF-FFFFC40B0000}" name="接続2548" type="7" refreshedVersion="4"/>
  <connection id="5448" xr16:uid="{00000000-0015-0000-FFFF-FFFFC50B0000}" name="接続2549" type="7" refreshedVersion="4"/>
  <connection id="5449" xr16:uid="{00000000-0015-0000-FFFF-FFFFC60B0000}" name="接続255" type="7" refreshedVersion="4"/>
  <connection id="5450" xr16:uid="{00000000-0015-0000-FFFF-FFFFC70B0000}" name="接続2550" type="7" refreshedVersion="4"/>
  <connection id="5451" xr16:uid="{00000000-0015-0000-FFFF-FFFFC80B0000}" name="接続2551" type="7" refreshedVersion="4"/>
  <connection id="5452" xr16:uid="{00000000-0015-0000-FFFF-FFFFC90B0000}" name="接続2552" type="7" refreshedVersion="4"/>
  <connection id="5453" xr16:uid="{00000000-0015-0000-FFFF-FFFFCA0B0000}" name="接続2553" type="7" refreshedVersion="4"/>
  <connection id="5454" xr16:uid="{00000000-0015-0000-FFFF-FFFFCB0B0000}" name="接続2554" type="7" refreshedVersion="4"/>
  <connection id="5455" xr16:uid="{00000000-0015-0000-FFFF-FFFFCC0B0000}" name="接続2555" type="7" refreshedVersion="4"/>
  <connection id="5456" xr16:uid="{00000000-0015-0000-FFFF-FFFFCD0B0000}" name="接続2556" type="7" refreshedVersion="4"/>
  <connection id="5457" xr16:uid="{00000000-0015-0000-FFFF-FFFFCE0B0000}" name="接続2557" type="7" refreshedVersion="4"/>
  <connection id="5458" xr16:uid="{00000000-0015-0000-FFFF-FFFFCF0B0000}" name="接続2558" type="7" refreshedVersion="4"/>
  <connection id="5459" xr16:uid="{00000000-0015-0000-FFFF-FFFFD00B0000}" name="接続2559" type="7" refreshedVersion="4"/>
  <connection id="5460" xr16:uid="{00000000-0015-0000-FFFF-FFFFD10B0000}" name="接続256" type="7" refreshedVersion="4"/>
  <connection id="5461" xr16:uid="{00000000-0015-0000-FFFF-FFFFD20B0000}" name="接続2560" type="7" refreshedVersion="4"/>
  <connection id="5462" xr16:uid="{00000000-0015-0000-FFFF-FFFFD30B0000}" name="接続2561" type="7" refreshedVersion="4"/>
  <connection id="5463" xr16:uid="{00000000-0015-0000-FFFF-FFFFD40B0000}" name="接続2562" type="7" refreshedVersion="4"/>
  <connection id="5464" xr16:uid="{00000000-0015-0000-FFFF-FFFFD50B0000}" name="接続2563" type="7" refreshedVersion="4"/>
  <connection id="5465" xr16:uid="{00000000-0015-0000-FFFF-FFFFD60B0000}" name="接続2564" type="7" refreshedVersion="4"/>
  <connection id="5466" xr16:uid="{00000000-0015-0000-FFFF-FFFFD70B0000}" name="接続2565" type="7" refreshedVersion="4"/>
  <connection id="5467" xr16:uid="{00000000-0015-0000-FFFF-FFFFD80B0000}" name="接続2566" type="7" refreshedVersion="4"/>
  <connection id="5468" xr16:uid="{00000000-0015-0000-FFFF-FFFFD90B0000}" name="接続2567" type="7" refreshedVersion="4"/>
  <connection id="5469" xr16:uid="{00000000-0015-0000-FFFF-FFFFDA0B0000}" name="接続2568" type="7" refreshedVersion="4"/>
  <connection id="5470" xr16:uid="{00000000-0015-0000-FFFF-FFFFDB0B0000}" name="接続2569" type="7" refreshedVersion="4"/>
  <connection id="5471" xr16:uid="{00000000-0015-0000-FFFF-FFFFDC0B0000}" name="接続257" type="7" refreshedVersion="4"/>
  <connection id="5472" xr16:uid="{00000000-0015-0000-FFFF-FFFFDD0B0000}" name="接続2570" type="7" refreshedVersion="4"/>
  <connection id="5473" xr16:uid="{00000000-0015-0000-FFFF-FFFFDE0B0000}" name="接続2571" type="7" refreshedVersion="4"/>
  <connection id="5474" xr16:uid="{00000000-0015-0000-FFFF-FFFFDF0B0000}" name="接続2572" type="7" refreshedVersion="4"/>
  <connection id="5475" xr16:uid="{00000000-0015-0000-FFFF-FFFFE00B0000}" name="接続2573" type="7" refreshedVersion="4"/>
  <connection id="5476" xr16:uid="{00000000-0015-0000-FFFF-FFFFE10B0000}" name="接続2574" type="7" refreshedVersion="4"/>
  <connection id="5477" xr16:uid="{00000000-0015-0000-FFFF-FFFFE20B0000}" name="接続2575" type="7" refreshedVersion="4"/>
  <connection id="5478" xr16:uid="{00000000-0015-0000-FFFF-FFFFE30B0000}" name="接続2576" type="7" refreshedVersion="4"/>
  <connection id="5479" xr16:uid="{00000000-0015-0000-FFFF-FFFFE40B0000}" name="接続2577" type="7" refreshedVersion="4"/>
  <connection id="5480" xr16:uid="{00000000-0015-0000-FFFF-FFFFE50B0000}" name="接続2578" type="7" refreshedVersion="4"/>
  <connection id="5481" xr16:uid="{00000000-0015-0000-FFFF-FFFFE60B0000}" name="接続2579" type="7" refreshedVersion="4"/>
  <connection id="5482" xr16:uid="{00000000-0015-0000-FFFF-FFFFE70B0000}" name="接続258" type="7" refreshedVersion="4"/>
  <connection id="5483" xr16:uid="{00000000-0015-0000-FFFF-FFFFE80B0000}" name="接続2580" type="7" refreshedVersion="4"/>
  <connection id="5484" xr16:uid="{00000000-0015-0000-FFFF-FFFFE90B0000}" name="接続2581" type="7" refreshedVersion="4"/>
  <connection id="5485" xr16:uid="{00000000-0015-0000-FFFF-FFFFEA0B0000}" name="接続2582" type="7" refreshedVersion="4"/>
  <connection id="5486" xr16:uid="{00000000-0015-0000-FFFF-FFFFEB0B0000}" name="接続2583" type="7" refreshedVersion="4"/>
  <connection id="5487" xr16:uid="{00000000-0015-0000-FFFF-FFFFEC0B0000}" name="接続2584" type="7" refreshedVersion="4"/>
  <connection id="5488" xr16:uid="{00000000-0015-0000-FFFF-FFFFED0B0000}" name="接続2585" type="7" refreshedVersion="4"/>
  <connection id="5489" xr16:uid="{00000000-0015-0000-FFFF-FFFFEE0B0000}" name="接続2586" type="7" refreshedVersion="4"/>
  <connection id="5490" xr16:uid="{00000000-0015-0000-FFFF-FFFFEF0B0000}" name="接続2587" type="7" refreshedVersion="4"/>
  <connection id="5491" xr16:uid="{00000000-0015-0000-FFFF-FFFFF00B0000}" name="接続2588" type="7" refreshedVersion="4"/>
  <connection id="5492" xr16:uid="{00000000-0015-0000-FFFF-FFFFF10B0000}" name="接続2589" type="7" refreshedVersion="4"/>
  <connection id="5493" xr16:uid="{00000000-0015-0000-FFFF-FFFFF20B0000}" name="接続259" type="7" refreshedVersion="4"/>
  <connection id="5494" xr16:uid="{00000000-0015-0000-FFFF-FFFFF30B0000}" name="接続2590" type="7" refreshedVersion="4"/>
  <connection id="5495" xr16:uid="{00000000-0015-0000-FFFF-FFFFF40B0000}" name="接続2591" type="7" refreshedVersion="4"/>
  <connection id="5496" xr16:uid="{00000000-0015-0000-FFFF-FFFFF50B0000}" name="接続2592" type="7" refreshedVersion="4"/>
  <connection id="5497" xr16:uid="{00000000-0015-0000-FFFF-FFFFF60B0000}" name="接続2593" type="7" refreshedVersion="4"/>
  <connection id="5498" xr16:uid="{00000000-0015-0000-FFFF-FFFFF70B0000}" name="接続2594" type="7" refreshedVersion="4"/>
  <connection id="5499" xr16:uid="{00000000-0015-0000-FFFF-FFFFF80B0000}" name="接続2595" type="7" refreshedVersion="4"/>
  <connection id="5500" xr16:uid="{00000000-0015-0000-FFFF-FFFFF90B0000}" name="接続2596" type="7" refreshedVersion="4"/>
  <connection id="5501" xr16:uid="{00000000-0015-0000-FFFF-FFFFFA0B0000}" name="接続2597" type="7" refreshedVersion="4"/>
  <connection id="5502" xr16:uid="{00000000-0015-0000-FFFF-FFFFFB0B0000}" name="接続2598" type="7" refreshedVersion="4"/>
  <connection id="5503" xr16:uid="{00000000-0015-0000-FFFF-FFFFFC0B0000}" name="接続2599" type="7" refreshedVersion="4"/>
  <connection id="5504" xr16:uid="{00000000-0015-0000-FFFF-FFFFFD0B0000}" name="接続26" type="7" refreshedVersion="4"/>
  <connection id="5505" xr16:uid="{00000000-0015-0000-FFFF-FFFFFE0B0000}" name="接続260" type="7" refreshedVersion="4"/>
  <connection id="5506" xr16:uid="{00000000-0015-0000-FFFF-FFFFFF0B0000}" name="接続2600" type="7" refreshedVersion="4"/>
  <connection id="5507" xr16:uid="{00000000-0015-0000-FFFF-FFFF000C0000}" name="接続2601" type="7" refreshedVersion="4"/>
  <connection id="5508" xr16:uid="{00000000-0015-0000-FFFF-FFFF010C0000}" name="接続2602" type="7" refreshedVersion="4"/>
  <connection id="5509" xr16:uid="{00000000-0015-0000-FFFF-FFFF020C0000}" name="接続2603" type="7" refreshedVersion="4"/>
  <connection id="5510" xr16:uid="{00000000-0015-0000-FFFF-FFFF030C0000}" name="接続2604" type="7" refreshedVersion="4"/>
  <connection id="5511" xr16:uid="{00000000-0015-0000-FFFF-FFFF040C0000}" name="接続2605" type="7" refreshedVersion="4"/>
  <connection id="5512" xr16:uid="{00000000-0015-0000-FFFF-FFFF050C0000}" name="接続2606" type="7" refreshedVersion="4"/>
  <connection id="5513" xr16:uid="{00000000-0015-0000-FFFF-FFFF060C0000}" name="接続2607" type="7" refreshedVersion="4"/>
  <connection id="5514" xr16:uid="{00000000-0015-0000-FFFF-FFFF070C0000}" name="接続2608" type="7" refreshedVersion="4"/>
  <connection id="5515" xr16:uid="{00000000-0015-0000-FFFF-FFFF080C0000}" name="接続2609" type="7" refreshedVersion="4"/>
  <connection id="5516" xr16:uid="{00000000-0015-0000-FFFF-FFFF090C0000}" name="接続261" type="7" refreshedVersion="4"/>
  <connection id="5517" xr16:uid="{00000000-0015-0000-FFFF-FFFF0A0C0000}" name="接続2610" type="7" refreshedVersion="4"/>
  <connection id="5518" xr16:uid="{00000000-0015-0000-FFFF-FFFF0B0C0000}" name="接続2611" type="7" refreshedVersion="4"/>
  <connection id="5519" xr16:uid="{00000000-0015-0000-FFFF-FFFF0C0C0000}" name="接続2612" type="7" refreshedVersion="4"/>
  <connection id="5520" xr16:uid="{00000000-0015-0000-FFFF-FFFF0D0C0000}" name="接続2613" type="7" refreshedVersion="4"/>
  <connection id="5521" xr16:uid="{00000000-0015-0000-FFFF-FFFF0E0C0000}" name="接続2614" type="7" refreshedVersion="4"/>
  <connection id="5522" xr16:uid="{00000000-0015-0000-FFFF-FFFF0F0C0000}" name="接続2615" type="7" refreshedVersion="4"/>
  <connection id="5523" xr16:uid="{00000000-0015-0000-FFFF-FFFF100C0000}" name="接続2616" type="7" refreshedVersion="4"/>
  <connection id="5524" xr16:uid="{00000000-0015-0000-FFFF-FFFF110C0000}" name="接続2617" type="7" refreshedVersion="4"/>
  <connection id="5525" xr16:uid="{00000000-0015-0000-FFFF-FFFF120C0000}" name="接続2618" type="7" refreshedVersion="4"/>
  <connection id="5526" xr16:uid="{00000000-0015-0000-FFFF-FFFF130C0000}" name="接続2619" type="7" refreshedVersion="4"/>
  <connection id="5527" xr16:uid="{00000000-0015-0000-FFFF-FFFF140C0000}" name="接続262" type="7" refreshedVersion="4"/>
  <connection id="5528" xr16:uid="{00000000-0015-0000-FFFF-FFFF150C0000}" name="接続2620" type="7" refreshedVersion="4"/>
  <connection id="5529" xr16:uid="{00000000-0015-0000-FFFF-FFFF160C0000}" name="接続2621" type="7" refreshedVersion="4"/>
  <connection id="5530" xr16:uid="{00000000-0015-0000-FFFF-FFFF170C0000}" name="接続2622" type="7" refreshedVersion="4"/>
  <connection id="5531" xr16:uid="{00000000-0015-0000-FFFF-FFFF180C0000}" name="接続2623" type="7" refreshedVersion="4"/>
  <connection id="5532" xr16:uid="{00000000-0015-0000-FFFF-FFFF190C0000}" name="接続2624" type="7" refreshedVersion="4"/>
  <connection id="5533" xr16:uid="{00000000-0015-0000-FFFF-FFFF1A0C0000}" name="接続2625" type="7" refreshedVersion="4"/>
  <connection id="5534" xr16:uid="{00000000-0015-0000-FFFF-FFFF1B0C0000}" name="接続2626" type="7" refreshedVersion="4"/>
  <connection id="5535" xr16:uid="{00000000-0015-0000-FFFF-FFFF1C0C0000}" name="接続2627" type="7" refreshedVersion="4"/>
  <connection id="5536" xr16:uid="{00000000-0015-0000-FFFF-FFFF1D0C0000}" name="接続2628" type="7" refreshedVersion="4"/>
  <connection id="5537" xr16:uid="{00000000-0015-0000-FFFF-FFFF1E0C0000}" name="接続2629" type="7" refreshedVersion="4"/>
  <connection id="5538" xr16:uid="{00000000-0015-0000-FFFF-FFFF1F0C0000}" name="接続263" type="7" refreshedVersion="4"/>
  <connection id="5539" xr16:uid="{00000000-0015-0000-FFFF-FFFF200C0000}" name="接続2630" type="7" refreshedVersion="4"/>
  <connection id="5540" xr16:uid="{00000000-0015-0000-FFFF-FFFF210C0000}" name="接続2631" type="7" refreshedVersion="4"/>
  <connection id="5541" xr16:uid="{00000000-0015-0000-FFFF-FFFF220C0000}" name="接続2632" type="7" refreshedVersion="4"/>
  <connection id="5542" xr16:uid="{00000000-0015-0000-FFFF-FFFF230C0000}" name="接続2633" type="7" refreshedVersion="4"/>
  <connection id="5543" xr16:uid="{00000000-0015-0000-FFFF-FFFF240C0000}" name="接続2634" type="7" refreshedVersion="4"/>
  <connection id="5544" xr16:uid="{00000000-0015-0000-FFFF-FFFF250C0000}" name="接続2635" type="7" refreshedVersion="4"/>
  <connection id="5545" xr16:uid="{00000000-0015-0000-FFFF-FFFF260C0000}" name="接続2636" type="7" refreshedVersion="4"/>
  <connection id="5546" xr16:uid="{00000000-0015-0000-FFFF-FFFF270C0000}" name="接続2637" type="7" refreshedVersion="4"/>
  <connection id="5547" xr16:uid="{00000000-0015-0000-FFFF-FFFF280C0000}" name="接続2638" type="7" refreshedVersion="4"/>
  <connection id="5548" xr16:uid="{00000000-0015-0000-FFFF-FFFF290C0000}" name="接続2639" type="7" refreshedVersion="4"/>
  <connection id="5549" xr16:uid="{00000000-0015-0000-FFFF-FFFF2A0C0000}" name="接続264" type="7" refreshedVersion="4"/>
  <connection id="5550" xr16:uid="{00000000-0015-0000-FFFF-FFFF2B0C0000}" name="接続2640" type="7" refreshedVersion="4"/>
  <connection id="5551" xr16:uid="{00000000-0015-0000-FFFF-FFFF2C0C0000}" name="接続2641" type="7" refreshedVersion="4"/>
  <connection id="5552" xr16:uid="{00000000-0015-0000-FFFF-FFFF2D0C0000}" name="接続2642" type="7" refreshedVersion="4"/>
  <connection id="5553" xr16:uid="{00000000-0015-0000-FFFF-FFFF2E0C0000}" name="接続2643" type="7" refreshedVersion="4"/>
  <connection id="5554" xr16:uid="{00000000-0015-0000-FFFF-FFFF2F0C0000}" name="接続2644" type="7" refreshedVersion="4"/>
  <connection id="5555" xr16:uid="{00000000-0015-0000-FFFF-FFFF300C0000}" name="接続2645" type="7" refreshedVersion="4"/>
  <connection id="5556" xr16:uid="{00000000-0015-0000-FFFF-FFFF310C0000}" name="接続2646" type="7" refreshedVersion="4"/>
  <connection id="5557" xr16:uid="{00000000-0015-0000-FFFF-FFFF320C0000}" name="接続2647" type="7" refreshedVersion="4"/>
  <connection id="5558" xr16:uid="{00000000-0015-0000-FFFF-FFFF330C0000}" name="接続2648" type="7" refreshedVersion="4"/>
  <connection id="5559" xr16:uid="{00000000-0015-0000-FFFF-FFFF340C0000}" name="接続2649" type="7" refreshedVersion="4"/>
  <connection id="5560" xr16:uid="{00000000-0015-0000-FFFF-FFFF350C0000}" name="接続265" type="7" refreshedVersion="4"/>
  <connection id="5561" xr16:uid="{00000000-0015-0000-FFFF-FFFF360C0000}" name="接続2650" type="7" refreshedVersion="4"/>
  <connection id="5562" xr16:uid="{00000000-0015-0000-FFFF-FFFF370C0000}" name="接続2651" type="7" refreshedVersion="4"/>
  <connection id="5563" xr16:uid="{00000000-0015-0000-FFFF-FFFF380C0000}" name="接続2652" type="7" refreshedVersion="4"/>
  <connection id="5564" xr16:uid="{00000000-0015-0000-FFFF-FFFF390C0000}" name="接続2653" type="7" refreshedVersion="4"/>
  <connection id="5565" xr16:uid="{00000000-0015-0000-FFFF-FFFF3A0C0000}" name="接続2654" type="7" refreshedVersion="4"/>
  <connection id="5566" xr16:uid="{00000000-0015-0000-FFFF-FFFF3B0C0000}" name="接続2655" type="7" refreshedVersion="4"/>
  <connection id="5567" xr16:uid="{00000000-0015-0000-FFFF-FFFF3C0C0000}" name="接続2656" type="7" refreshedVersion="4"/>
  <connection id="5568" xr16:uid="{00000000-0015-0000-FFFF-FFFF3D0C0000}" name="接続2657" type="7" refreshedVersion="4"/>
  <connection id="5569" xr16:uid="{00000000-0015-0000-FFFF-FFFF3E0C0000}" name="接続2658" type="7" refreshedVersion="4"/>
  <connection id="5570" xr16:uid="{00000000-0015-0000-FFFF-FFFF3F0C0000}" name="接続2659" type="7" refreshedVersion="4"/>
  <connection id="5571" xr16:uid="{00000000-0015-0000-FFFF-FFFF400C0000}" name="接続266" type="7" refreshedVersion="4"/>
  <connection id="5572" xr16:uid="{00000000-0015-0000-FFFF-FFFF410C0000}" name="接続2660" type="7" refreshedVersion="4"/>
  <connection id="5573" xr16:uid="{00000000-0015-0000-FFFF-FFFF420C0000}" name="接続2661" type="7" refreshedVersion="4"/>
  <connection id="5574" xr16:uid="{00000000-0015-0000-FFFF-FFFF430C0000}" name="接続2662" type="7" refreshedVersion="4"/>
  <connection id="5575" xr16:uid="{00000000-0015-0000-FFFF-FFFF440C0000}" name="接続2663" type="7" refreshedVersion="4"/>
  <connection id="5576" xr16:uid="{00000000-0015-0000-FFFF-FFFF450C0000}" name="接続2664" type="7" refreshedVersion="4"/>
  <connection id="5577" xr16:uid="{00000000-0015-0000-FFFF-FFFF460C0000}" name="接続2665" type="7" refreshedVersion="4"/>
  <connection id="5578" xr16:uid="{00000000-0015-0000-FFFF-FFFF470C0000}" name="接続2666" type="7" refreshedVersion="4"/>
  <connection id="5579" xr16:uid="{00000000-0015-0000-FFFF-FFFF480C0000}" name="接続2667" type="7" refreshedVersion="4"/>
  <connection id="5580" xr16:uid="{00000000-0015-0000-FFFF-FFFF490C0000}" name="接続2668" type="7" refreshedVersion="4"/>
  <connection id="5581" xr16:uid="{00000000-0015-0000-FFFF-FFFF4A0C0000}" name="接続2669" type="7" refreshedVersion="4"/>
  <connection id="5582" xr16:uid="{00000000-0015-0000-FFFF-FFFF4B0C0000}" name="接続267" type="7" refreshedVersion="4"/>
  <connection id="5583" xr16:uid="{00000000-0015-0000-FFFF-FFFF4C0C0000}" name="接続2670" type="7" refreshedVersion="4"/>
  <connection id="5584" xr16:uid="{00000000-0015-0000-FFFF-FFFF4D0C0000}" name="接続2671" type="7" refreshedVersion="4"/>
  <connection id="5585" xr16:uid="{00000000-0015-0000-FFFF-FFFF4E0C0000}" name="接続2672" type="7" refreshedVersion="4"/>
  <connection id="5586" xr16:uid="{00000000-0015-0000-FFFF-FFFF4F0C0000}" name="接続2673" type="7" refreshedVersion="4"/>
  <connection id="5587" xr16:uid="{00000000-0015-0000-FFFF-FFFF500C0000}" name="接続2674" type="7" refreshedVersion="4"/>
  <connection id="5588" xr16:uid="{00000000-0015-0000-FFFF-FFFF510C0000}" name="接続2675" type="7" refreshedVersion="4"/>
  <connection id="5589" xr16:uid="{00000000-0015-0000-FFFF-FFFF520C0000}" name="接続2676" type="7" refreshedVersion="4"/>
  <connection id="5590" xr16:uid="{00000000-0015-0000-FFFF-FFFF530C0000}" name="接続2677" type="7" refreshedVersion="4"/>
  <connection id="5591" xr16:uid="{00000000-0015-0000-FFFF-FFFF540C0000}" name="接続2678" type="7" refreshedVersion="4"/>
  <connection id="5592" xr16:uid="{00000000-0015-0000-FFFF-FFFF550C0000}" name="接続2679" type="7" refreshedVersion="4"/>
  <connection id="5593" xr16:uid="{00000000-0015-0000-FFFF-FFFF560C0000}" name="接続268" type="7" refreshedVersion="4"/>
  <connection id="5594" xr16:uid="{00000000-0015-0000-FFFF-FFFF570C0000}" name="接続2680" type="7" refreshedVersion="4"/>
  <connection id="5595" xr16:uid="{00000000-0015-0000-FFFF-FFFF580C0000}" name="接続2681" type="7" refreshedVersion="4"/>
  <connection id="5596" xr16:uid="{00000000-0015-0000-FFFF-FFFF590C0000}" name="接続2682" type="7" refreshedVersion="4"/>
  <connection id="5597" xr16:uid="{00000000-0015-0000-FFFF-FFFF5A0C0000}" name="接続2683" type="7" refreshedVersion="4"/>
  <connection id="5598" xr16:uid="{00000000-0015-0000-FFFF-FFFF5B0C0000}" name="接続2684" type="7" refreshedVersion="4"/>
  <connection id="5599" xr16:uid="{00000000-0015-0000-FFFF-FFFF5C0C0000}" name="接続2685" type="7" refreshedVersion="4"/>
  <connection id="5600" xr16:uid="{00000000-0015-0000-FFFF-FFFF5D0C0000}" name="接続2686" type="7" refreshedVersion="4"/>
  <connection id="5601" xr16:uid="{00000000-0015-0000-FFFF-FFFF5E0C0000}" name="接続2687" type="7" refreshedVersion="4"/>
  <connection id="5602" xr16:uid="{00000000-0015-0000-FFFF-FFFF5F0C0000}" name="接続2688" type="7" refreshedVersion="4"/>
  <connection id="5603" xr16:uid="{00000000-0015-0000-FFFF-FFFF600C0000}" name="接続2689" type="7" refreshedVersion="4"/>
  <connection id="5604" xr16:uid="{00000000-0015-0000-FFFF-FFFF610C0000}" name="接続269" type="7" refreshedVersion="4"/>
  <connection id="5605" xr16:uid="{00000000-0015-0000-FFFF-FFFF620C0000}" name="接続2690" type="7" refreshedVersion="4"/>
  <connection id="5606" xr16:uid="{00000000-0015-0000-FFFF-FFFF630C0000}" name="接続2691" type="7" refreshedVersion="4"/>
  <connection id="5607" xr16:uid="{00000000-0015-0000-FFFF-FFFF640C0000}" name="接続2692" type="7" refreshedVersion="4"/>
  <connection id="5608" xr16:uid="{00000000-0015-0000-FFFF-FFFF650C0000}" name="接続2693" type="7" refreshedVersion="4"/>
  <connection id="5609" xr16:uid="{00000000-0015-0000-FFFF-FFFF660C0000}" name="接続2694" type="7" refreshedVersion="4"/>
  <connection id="5610" xr16:uid="{00000000-0015-0000-FFFF-FFFF670C0000}" name="接続2695" type="7" refreshedVersion="4"/>
  <connection id="5611" xr16:uid="{00000000-0015-0000-FFFF-FFFF680C0000}" name="接続2696" type="7" refreshedVersion="4"/>
  <connection id="5612" xr16:uid="{00000000-0015-0000-FFFF-FFFF690C0000}" name="接続2697" type="7" refreshedVersion="4"/>
  <connection id="5613" xr16:uid="{00000000-0015-0000-FFFF-FFFF6A0C0000}" name="接続2698" type="7" refreshedVersion="4"/>
  <connection id="5614" xr16:uid="{00000000-0015-0000-FFFF-FFFF6B0C0000}" name="接続2699" type="7" refreshedVersion="4"/>
  <connection id="5615" xr16:uid="{00000000-0015-0000-FFFF-FFFF6C0C0000}" name="接続27" type="7" refreshedVersion="4"/>
  <connection id="5616" xr16:uid="{00000000-0015-0000-FFFF-FFFF6D0C0000}" name="接続270" type="7" refreshedVersion="4"/>
  <connection id="5617" xr16:uid="{00000000-0015-0000-FFFF-FFFF6E0C0000}" name="接続2700" type="7" refreshedVersion="4"/>
  <connection id="5618" xr16:uid="{00000000-0015-0000-FFFF-FFFF6F0C0000}" name="接続2701" type="7" refreshedVersion="4"/>
  <connection id="5619" xr16:uid="{00000000-0015-0000-FFFF-FFFF700C0000}" name="接続2702" type="7" refreshedVersion="4"/>
  <connection id="5620" xr16:uid="{00000000-0015-0000-FFFF-FFFF710C0000}" name="接続2703" type="7" refreshedVersion="4"/>
  <connection id="5621" xr16:uid="{00000000-0015-0000-FFFF-FFFF720C0000}" name="接続2704" type="7" refreshedVersion="4"/>
  <connection id="5622" xr16:uid="{00000000-0015-0000-FFFF-FFFF730C0000}" name="接続2705" type="7" refreshedVersion="4"/>
  <connection id="5623" xr16:uid="{00000000-0015-0000-FFFF-FFFF740C0000}" name="接続2706" type="7" refreshedVersion="4"/>
  <connection id="5624" xr16:uid="{00000000-0015-0000-FFFF-FFFF750C0000}" name="接続2707" type="7" refreshedVersion="4"/>
  <connection id="5625" xr16:uid="{00000000-0015-0000-FFFF-FFFF760C0000}" name="接続2708" type="7" refreshedVersion="4"/>
  <connection id="5626" xr16:uid="{00000000-0015-0000-FFFF-FFFF770C0000}" name="接続2709" type="7" refreshedVersion="4"/>
  <connection id="5627" xr16:uid="{00000000-0015-0000-FFFF-FFFF780C0000}" name="接続271" type="7" refreshedVersion="4"/>
  <connection id="5628" xr16:uid="{00000000-0015-0000-FFFF-FFFF790C0000}" name="接続2710" type="7" refreshedVersion="4"/>
  <connection id="5629" xr16:uid="{00000000-0015-0000-FFFF-FFFF7A0C0000}" name="接続2711" type="7" refreshedVersion="4"/>
  <connection id="5630" xr16:uid="{00000000-0015-0000-FFFF-FFFF7B0C0000}" name="接続2712" type="7" refreshedVersion="4"/>
  <connection id="5631" xr16:uid="{00000000-0015-0000-FFFF-FFFF7C0C0000}" name="接続2713" type="7" refreshedVersion="4"/>
  <connection id="5632" xr16:uid="{00000000-0015-0000-FFFF-FFFF7D0C0000}" name="接続2714" type="7" refreshedVersion="4"/>
  <connection id="5633" xr16:uid="{00000000-0015-0000-FFFF-FFFF7E0C0000}" name="接続2715" type="7" refreshedVersion="4"/>
  <connection id="5634" xr16:uid="{00000000-0015-0000-FFFF-FFFF7F0C0000}" name="接続2716" type="7" refreshedVersion="4"/>
  <connection id="5635" xr16:uid="{00000000-0015-0000-FFFF-FFFF800C0000}" name="接続2717" type="7" refreshedVersion="4"/>
  <connection id="5636" xr16:uid="{00000000-0015-0000-FFFF-FFFF810C0000}" name="接続2718" type="7" refreshedVersion="4"/>
  <connection id="5637" xr16:uid="{00000000-0015-0000-FFFF-FFFF820C0000}" name="接続2719" type="7" refreshedVersion="4"/>
  <connection id="5638" xr16:uid="{00000000-0015-0000-FFFF-FFFF830C0000}" name="接続272" type="7" refreshedVersion="4"/>
  <connection id="5639" xr16:uid="{00000000-0015-0000-FFFF-FFFF840C0000}" name="接続2720" type="7" refreshedVersion="4"/>
  <connection id="5640" xr16:uid="{00000000-0015-0000-FFFF-FFFF850C0000}" name="接続2721" type="7" refreshedVersion="4"/>
  <connection id="5641" xr16:uid="{00000000-0015-0000-FFFF-FFFF860C0000}" name="接続2722" type="7" refreshedVersion="4"/>
  <connection id="5642" xr16:uid="{00000000-0015-0000-FFFF-FFFF870C0000}" name="接続2723" type="7" refreshedVersion="4"/>
  <connection id="5643" xr16:uid="{00000000-0015-0000-FFFF-FFFF880C0000}" name="接続2724" type="7" refreshedVersion="4"/>
  <connection id="5644" xr16:uid="{00000000-0015-0000-FFFF-FFFF890C0000}" name="接続2725" type="7" refreshedVersion="4"/>
  <connection id="5645" xr16:uid="{00000000-0015-0000-FFFF-FFFF8A0C0000}" name="接続2726" type="7" refreshedVersion="4"/>
  <connection id="5646" xr16:uid="{00000000-0015-0000-FFFF-FFFF8B0C0000}" name="接続2727" type="7" refreshedVersion="4"/>
  <connection id="5647" xr16:uid="{00000000-0015-0000-FFFF-FFFF8C0C0000}" name="接続2728" type="7" refreshedVersion="4"/>
  <connection id="5648" xr16:uid="{00000000-0015-0000-FFFF-FFFF8D0C0000}" name="接続2729" type="7" refreshedVersion="4"/>
  <connection id="5649" xr16:uid="{00000000-0015-0000-FFFF-FFFF8E0C0000}" name="接続273" type="7" refreshedVersion="4"/>
  <connection id="5650" xr16:uid="{00000000-0015-0000-FFFF-FFFF8F0C0000}" name="接続2730" type="7" refreshedVersion="4"/>
  <connection id="5651" xr16:uid="{00000000-0015-0000-FFFF-FFFF900C0000}" name="接続2731" type="7" refreshedVersion="4"/>
  <connection id="5652" xr16:uid="{00000000-0015-0000-FFFF-FFFF910C0000}" name="接続2732" type="7" refreshedVersion="4"/>
  <connection id="5653" xr16:uid="{00000000-0015-0000-FFFF-FFFF920C0000}" name="接続2733" type="7" refreshedVersion="4"/>
  <connection id="5654" xr16:uid="{00000000-0015-0000-FFFF-FFFF930C0000}" name="接続2734" type="7" refreshedVersion="4"/>
  <connection id="5655" xr16:uid="{00000000-0015-0000-FFFF-FFFF940C0000}" name="接続2735" type="7" refreshedVersion="4"/>
  <connection id="5656" xr16:uid="{00000000-0015-0000-FFFF-FFFF950C0000}" name="接続2736" type="7" refreshedVersion="4"/>
  <connection id="5657" xr16:uid="{00000000-0015-0000-FFFF-FFFF960C0000}" name="接続2737" type="7" refreshedVersion="4"/>
  <connection id="5658" xr16:uid="{00000000-0015-0000-FFFF-FFFF970C0000}" name="接続2738" type="7" refreshedVersion="4"/>
  <connection id="5659" xr16:uid="{00000000-0015-0000-FFFF-FFFF980C0000}" name="接続2739" type="7" refreshedVersion="4"/>
  <connection id="5660" xr16:uid="{00000000-0015-0000-FFFF-FFFF990C0000}" name="接続274" type="7" refreshedVersion="4"/>
  <connection id="5661" xr16:uid="{00000000-0015-0000-FFFF-FFFF9A0C0000}" name="接続2740" type="7" refreshedVersion="4"/>
  <connection id="5662" xr16:uid="{00000000-0015-0000-FFFF-FFFF9B0C0000}" name="接続2741" type="7" refreshedVersion="4"/>
  <connection id="5663" xr16:uid="{00000000-0015-0000-FFFF-FFFF9C0C0000}" name="接続2742" type="7" refreshedVersion="4"/>
  <connection id="5664" xr16:uid="{00000000-0015-0000-FFFF-FFFF9D0C0000}" name="接続2743" type="7" refreshedVersion="4"/>
  <connection id="5665" xr16:uid="{00000000-0015-0000-FFFF-FFFF9E0C0000}" name="接続2744" type="7" refreshedVersion="4"/>
  <connection id="5666" xr16:uid="{00000000-0015-0000-FFFF-FFFF9F0C0000}" name="接続2745" type="7" refreshedVersion="4"/>
  <connection id="5667" xr16:uid="{00000000-0015-0000-FFFF-FFFFA00C0000}" name="接続2746" type="7" refreshedVersion="4"/>
  <connection id="5668" xr16:uid="{00000000-0015-0000-FFFF-FFFFA10C0000}" name="接続2747" type="7" refreshedVersion="4"/>
  <connection id="5669" xr16:uid="{00000000-0015-0000-FFFF-FFFFA20C0000}" name="接続2748" type="7" refreshedVersion="4"/>
  <connection id="5670" xr16:uid="{00000000-0015-0000-FFFF-FFFFA30C0000}" name="接続2749" type="7" refreshedVersion="4"/>
  <connection id="5671" xr16:uid="{00000000-0015-0000-FFFF-FFFFA40C0000}" name="接続275" type="7" refreshedVersion="4"/>
  <connection id="5672" xr16:uid="{00000000-0015-0000-FFFF-FFFFA50C0000}" name="接続2750" type="7" refreshedVersion="4"/>
  <connection id="5673" xr16:uid="{00000000-0015-0000-FFFF-FFFFA60C0000}" name="接続2751" type="7" refreshedVersion="4"/>
  <connection id="5674" xr16:uid="{00000000-0015-0000-FFFF-FFFFA70C0000}" name="接続2752" type="7" refreshedVersion="4"/>
  <connection id="5675" xr16:uid="{00000000-0015-0000-FFFF-FFFFA80C0000}" name="接続2753" type="7" refreshedVersion="4"/>
  <connection id="5676" xr16:uid="{00000000-0015-0000-FFFF-FFFFA90C0000}" name="接続2754" type="7" refreshedVersion="4"/>
  <connection id="5677" xr16:uid="{00000000-0015-0000-FFFF-FFFFAA0C0000}" name="接続2755" type="7" refreshedVersion="4"/>
  <connection id="5678" xr16:uid="{00000000-0015-0000-FFFF-FFFFAB0C0000}" name="接続2756" type="7" refreshedVersion="4"/>
  <connection id="5679" xr16:uid="{00000000-0015-0000-FFFF-FFFFAC0C0000}" name="接続2757" type="7" refreshedVersion="4"/>
  <connection id="5680" xr16:uid="{00000000-0015-0000-FFFF-FFFFAD0C0000}" name="接続2758" type="7" refreshedVersion="4"/>
  <connection id="5681" xr16:uid="{00000000-0015-0000-FFFF-FFFFAE0C0000}" name="接続2759" type="7" refreshedVersion="4"/>
  <connection id="5682" xr16:uid="{00000000-0015-0000-FFFF-FFFFAF0C0000}" name="接続276" type="7" refreshedVersion="4"/>
  <connection id="5683" xr16:uid="{00000000-0015-0000-FFFF-FFFFB00C0000}" name="接続2760" type="7" refreshedVersion="4"/>
  <connection id="5684" xr16:uid="{00000000-0015-0000-FFFF-FFFFB10C0000}" name="接続2761" type="7" refreshedVersion="4"/>
  <connection id="5685" xr16:uid="{00000000-0015-0000-FFFF-FFFFB20C0000}" name="接続2762" type="7" refreshedVersion="4"/>
  <connection id="5686" xr16:uid="{00000000-0015-0000-FFFF-FFFFB30C0000}" name="接続2763" type="7" refreshedVersion="4"/>
  <connection id="5687" xr16:uid="{00000000-0015-0000-FFFF-FFFFB40C0000}" name="接続2764" type="7" refreshedVersion="4"/>
  <connection id="5688" xr16:uid="{00000000-0015-0000-FFFF-FFFFB50C0000}" name="接続2765" type="7" refreshedVersion="4"/>
  <connection id="5689" xr16:uid="{00000000-0015-0000-FFFF-FFFFB60C0000}" name="接続2766" type="7" refreshedVersion="4"/>
  <connection id="5690" xr16:uid="{00000000-0015-0000-FFFF-FFFFB70C0000}" name="接続2767" type="7" refreshedVersion="4"/>
  <connection id="5691" xr16:uid="{00000000-0015-0000-FFFF-FFFFB80C0000}" name="接続2768" type="7" refreshedVersion="4"/>
  <connection id="5692" xr16:uid="{00000000-0015-0000-FFFF-FFFFB90C0000}" name="接続2769" type="7" refreshedVersion="4"/>
  <connection id="5693" xr16:uid="{00000000-0015-0000-FFFF-FFFFBA0C0000}" name="接続277" type="7" refreshedVersion="4"/>
  <connection id="5694" xr16:uid="{00000000-0015-0000-FFFF-FFFFBB0C0000}" name="接続2770" type="7" refreshedVersion="4"/>
  <connection id="5695" xr16:uid="{00000000-0015-0000-FFFF-FFFFBC0C0000}" name="接続2771" type="7" refreshedVersion="4"/>
  <connection id="5696" xr16:uid="{00000000-0015-0000-FFFF-FFFFBD0C0000}" name="接続2772" type="7" refreshedVersion="4"/>
  <connection id="5697" xr16:uid="{00000000-0015-0000-FFFF-FFFFBE0C0000}" name="接続2773" type="7" refreshedVersion="4"/>
  <connection id="5698" xr16:uid="{00000000-0015-0000-FFFF-FFFFBF0C0000}" name="接続2774" type="7" refreshedVersion="4"/>
  <connection id="5699" xr16:uid="{00000000-0015-0000-FFFF-FFFFC00C0000}" name="接続2775" type="7" refreshedVersion="4"/>
  <connection id="5700" xr16:uid="{00000000-0015-0000-FFFF-FFFFC10C0000}" name="接続2776" type="7" refreshedVersion="4"/>
  <connection id="5701" xr16:uid="{00000000-0015-0000-FFFF-FFFFC20C0000}" name="接続2777" type="7" refreshedVersion="4"/>
  <connection id="5702" xr16:uid="{00000000-0015-0000-FFFF-FFFFC30C0000}" name="接続2778" type="7" refreshedVersion="4"/>
  <connection id="5703" xr16:uid="{00000000-0015-0000-FFFF-FFFFC40C0000}" name="接続2779" type="7" refreshedVersion="4"/>
  <connection id="5704" xr16:uid="{00000000-0015-0000-FFFF-FFFFC50C0000}" name="接続278" type="7" refreshedVersion="4"/>
  <connection id="5705" xr16:uid="{00000000-0015-0000-FFFF-FFFFC60C0000}" name="接続2780" type="7" refreshedVersion="4"/>
  <connection id="5706" xr16:uid="{00000000-0015-0000-FFFF-FFFFC70C0000}" name="接続2781" type="7" refreshedVersion="4"/>
  <connection id="5707" xr16:uid="{00000000-0015-0000-FFFF-FFFFC80C0000}" name="接続2782" type="7" refreshedVersion="4"/>
  <connection id="5708" xr16:uid="{00000000-0015-0000-FFFF-FFFFC90C0000}" name="接続2783" type="7" refreshedVersion="4"/>
  <connection id="5709" xr16:uid="{00000000-0015-0000-FFFF-FFFFCA0C0000}" name="接続2784" type="7" refreshedVersion="4"/>
  <connection id="5710" xr16:uid="{00000000-0015-0000-FFFF-FFFFCB0C0000}" name="接続2785" type="7" refreshedVersion="4"/>
  <connection id="5711" xr16:uid="{00000000-0015-0000-FFFF-FFFFCC0C0000}" name="接続2786" type="7" refreshedVersion="4"/>
  <connection id="5712" xr16:uid="{00000000-0015-0000-FFFF-FFFFCD0C0000}" name="接続2787" type="7" refreshedVersion="4"/>
  <connection id="5713" xr16:uid="{00000000-0015-0000-FFFF-FFFFCE0C0000}" name="接続2788" type="7" refreshedVersion="4"/>
  <connection id="5714" xr16:uid="{00000000-0015-0000-FFFF-FFFFCF0C0000}" name="接続2789" type="7" refreshedVersion="4"/>
  <connection id="5715" xr16:uid="{00000000-0015-0000-FFFF-FFFFD00C0000}" name="接続279" type="7" refreshedVersion="4"/>
  <connection id="5716" xr16:uid="{00000000-0015-0000-FFFF-FFFFD10C0000}" name="接続2790" type="7" refreshedVersion="4"/>
  <connection id="5717" xr16:uid="{00000000-0015-0000-FFFF-FFFFD20C0000}" name="接続2791" type="7" refreshedVersion="4"/>
  <connection id="5718" xr16:uid="{00000000-0015-0000-FFFF-FFFFD30C0000}" name="接続2792" type="7" refreshedVersion="4"/>
  <connection id="5719" xr16:uid="{00000000-0015-0000-FFFF-FFFFD40C0000}" name="接続2793" type="7" refreshedVersion="4"/>
  <connection id="5720" xr16:uid="{00000000-0015-0000-FFFF-FFFFD50C0000}" name="接続2794" type="7" refreshedVersion="4"/>
  <connection id="5721" xr16:uid="{00000000-0015-0000-FFFF-FFFFD60C0000}" name="接続2795" type="7" refreshedVersion="4"/>
  <connection id="5722" xr16:uid="{00000000-0015-0000-FFFF-FFFFD70C0000}" name="接続2796" type="7" refreshedVersion="4"/>
  <connection id="5723" xr16:uid="{00000000-0015-0000-FFFF-FFFFD80C0000}" name="接続2797" type="7" refreshedVersion="4"/>
  <connection id="5724" xr16:uid="{00000000-0015-0000-FFFF-FFFFD90C0000}" name="接続2798" type="7" refreshedVersion="4"/>
  <connection id="5725" xr16:uid="{00000000-0015-0000-FFFF-FFFFDA0C0000}" name="接続2799" type="7" refreshedVersion="4"/>
  <connection id="5726" xr16:uid="{00000000-0015-0000-FFFF-FFFFDB0C0000}" name="接続28" type="7" refreshedVersion="4"/>
  <connection id="5727" xr16:uid="{00000000-0015-0000-FFFF-FFFFDC0C0000}" name="接続280" type="7" refreshedVersion="4"/>
  <connection id="5728" xr16:uid="{00000000-0015-0000-FFFF-FFFFDD0C0000}" name="接続2800" type="7" refreshedVersion="4"/>
  <connection id="5729" xr16:uid="{00000000-0015-0000-FFFF-FFFFDE0C0000}" name="接続2801" type="7" refreshedVersion="4"/>
  <connection id="5730" xr16:uid="{00000000-0015-0000-FFFF-FFFFDF0C0000}" name="接続2802" type="7" refreshedVersion="4"/>
  <connection id="5731" xr16:uid="{00000000-0015-0000-FFFF-FFFFE00C0000}" name="接続2803" type="7" refreshedVersion="4"/>
  <connection id="5732" xr16:uid="{00000000-0015-0000-FFFF-FFFFE10C0000}" name="接続2804" type="7" refreshedVersion="4"/>
  <connection id="5733" xr16:uid="{00000000-0015-0000-FFFF-FFFFE20C0000}" name="接続2805" type="7" refreshedVersion="4"/>
  <connection id="5734" xr16:uid="{00000000-0015-0000-FFFF-FFFFE30C0000}" name="接続2806" type="7" refreshedVersion="4"/>
  <connection id="5735" xr16:uid="{00000000-0015-0000-FFFF-FFFFE40C0000}" name="接続2807" type="7" refreshedVersion="4"/>
  <connection id="5736" xr16:uid="{00000000-0015-0000-FFFF-FFFFE50C0000}" name="接続2808" type="7" refreshedVersion="4"/>
  <connection id="5737" xr16:uid="{00000000-0015-0000-FFFF-FFFFE60C0000}" name="接続2809" type="7" refreshedVersion="4"/>
  <connection id="5738" xr16:uid="{00000000-0015-0000-FFFF-FFFFE70C0000}" name="接続281" type="7" refreshedVersion="4"/>
  <connection id="5739" xr16:uid="{00000000-0015-0000-FFFF-FFFFE80C0000}" name="接続2810" type="7" refreshedVersion="4"/>
  <connection id="5740" xr16:uid="{00000000-0015-0000-FFFF-FFFFE90C0000}" name="接続2811" type="7" refreshedVersion="4"/>
  <connection id="5741" xr16:uid="{00000000-0015-0000-FFFF-FFFFEA0C0000}" name="接続2812" type="7" refreshedVersion="4"/>
  <connection id="5742" xr16:uid="{00000000-0015-0000-FFFF-FFFFEB0C0000}" name="接続2813" type="7" refreshedVersion="4"/>
  <connection id="5743" xr16:uid="{00000000-0015-0000-FFFF-FFFFEC0C0000}" name="接続2814" type="7" refreshedVersion="4"/>
  <connection id="5744" xr16:uid="{00000000-0015-0000-FFFF-FFFFED0C0000}" name="接続2815" type="7" refreshedVersion="4"/>
  <connection id="5745" xr16:uid="{00000000-0015-0000-FFFF-FFFFEE0C0000}" name="接続2816" type="7" refreshedVersion="4"/>
  <connection id="5746" xr16:uid="{00000000-0015-0000-FFFF-FFFFEF0C0000}" name="接続2817" type="7" refreshedVersion="4"/>
  <connection id="5747" xr16:uid="{00000000-0015-0000-FFFF-FFFFF00C0000}" name="接続2818" type="7" refreshedVersion="4"/>
  <connection id="5748" xr16:uid="{00000000-0015-0000-FFFF-FFFFF10C0000}" name="接続2819" type="7" refreshedVersion="4"/>
  <connection id="5749" xr16:uid="{00000000-0015-0000-FFFF-FFFFF20C0000}" name="接続282" type="7" refreshedVersion="4"/>
  <connection id="5750" xr16:uid="{00000000-0015-0000-FFFF-FFFFF30C0000}" name="接続2820" type="7" refreshedVersion="4"/>
  <connection id="5751" xr16:uid="{00000000-0015-0000-FFFF-FFFFF40C0000}" name="接続2821" type="7" refreshedVersion="4"/>
  <connection id="5752" xr16:uid="{00000000-0015-0000-FFFF-FFFFF50C0000}" name="接続2822" type="7" refreshedVersion="4"/>
  <connection id="5753" xr16:uid="{00000000-0015-0000-FFFF-FFFFF60C0000}" name="接続2823" type="7" refreshedVersion="4"/>
  <connection id="5754" xr16:uid="{00000000-0015-0000-FFFF-FFFFF70C0000}" name="接続2824" type="7" refreshedVersion="4"/>
  <connection id="5755" xr16:uid="{00000000-0015-0000-FFFF-FFFFF80C0000}" name="接続2825" type="7" refreshedVersion="4"/>
  <connection id="5756" xr16:uid="{00000000-0015-0000-FFFF-FFFFF90C0000}" name="接続2826" type="7" refreshedVersion="4"/>
  <connection id="5757" xr16:uid="{00000000-0015-0000-FFFF-FFFFFA0C0000}" name="接続2827" type="7" refreshedVersion="4"/>
  <connection id="5758" xr16:uid="{00000000-0015-0000-FFFF-FFFFFB0C0000}" name="接続2828" type="7" refreshedVersion="4"/>
  <connection id="5759" xr16:uid="{00000000-0015-0000-FFFF-FFFFFC0C0000}" name="接続2829" type="7" refreshedVersion="4"/>
  <connection id="5760" xr16:uid="{00000000-0015-0000-FFFF-FFFFFD0C0000}" name="接続283" type="7" refreshedVersion="4"/>
  <connection id="5761" xr16:uid="{00000000-0015-0000-FFFF-FFFFFE0C0000}" name="接続2830" type="7" refreshedVersion="4"/>
  <connection id="5762" xr16:uid="{00000000-0015-0000-FFFF-FFFFFF0C0000}" name="接続2831" type="7" refreshedVersion="4"/>
  <connection id="5763" xr16:uid="{00000000-0015-0000-FFFF-FFFF000D0000}" name="接続2832" type="7" refreshedVersion="4"/>
  <connection id="5764" xr16:uid="{00000000-0015-0000-FFFF-FFFF010D0000}" name="接続2833" type="7" refreshedVersion="4"/>
  <connection id="5765" xr16:uid="{00000000-0015-0000-FFFF-FFFF020D0000}" name="接続2834" type="7" refreshedVersion="4"/>
  <connection id="5766" xr16:uid="{00000000-0015-0000-FFFF-FFFF030D0000}" name="接続2835" type="7" refreshedVersion="4"/>
  <connection id="5767" xr16:uid="{00000000-0015-0000-FFFF-FFFF040D0000}" name="接続2836" type="7" refreshedVersion="4"/>
  <connection id="5768" xr16:uid="{00000000-0015-0000-FFFF-FFFF050D0000}" name="接続2837" type="7" refreshedVersion="4"/>
  <connection id="5769" xr16:uid="{00000000-0015-0000-FFFF-FFFF060D0000}" name="接続2838" type="7" refreshedVersion="4"/>
  <connection id="5770" xr16:uid="{00000000-0015-0000-FFFF-FFFF070D0000}" name="接続2839" type="7" refreshedVersion="4"/>
  <connection id="5771" xr16:uid="{00000000-0015-0000-FFFF-FFFF080D0000}" name="接続284" type="7" refreshedVersion="4"/>
  <connection id="5772" xr16:uid="{00000000-0015-0000-FFFF-FFFF090D0000}" name="接続2840" type="7" refreshedVersion="4"/>
  <connection id="5773" xr16:uid="{00000000-0015-0000-FFFF-FFFF0A0D0000}" name="接続2841" type="7" refreshedVersion="4"/>
  <connection id="5774" xr16:uid="{00000000-0015-0000-FFFF-FFFF0B0D0000}" name="接続2842" type="7" refreshedVersion="4"/>
  <connection id="5775" xr16:uid="{00000000-0015-0000-FFFF-FFFF0C0D0000}" name="接続2843" type="7" refreshedVersion="4"/>
  <connection id="5776" xr16:uid="{00000000-0015-0000-FFFF-FFFF0D0D0000}" name="接続2844" type="7" refreshedVersion="4"/>
  <connection id="5777" xr16:uid="{00000000-0015-0000-FFFF-FFFF0E0D0000}" name="接続2845" type="7" refreshedVersion="4"/>
  <connection id="5778" xr16:uid="{00000000-0015-0000-FFFF-FFFF0F0D0000}" name="接続2846" type="7" refreshedVersion="4"/>
  <connection id="5779" xr16:uid="{00000000-0015-0000-FFFF-FFFF100D0000}" name="接続2847" type="7" refreshedVersion="4"/>
  <connection id="5780" xr16:uid="{00000000-0015-0000-FFFF-FFFF110D0000}" name="接続2848" type="7" refreshedVersion="4"/>
  <connection id="5781" xr16:uid="{00000000-0015-0000-FFFF-FFFF120D0000}" name="接続2849" type="7" refreshedVersion="4"/>
  <connection id="5782" xr16:uid="{00000000-0015-0000-FFFF-FFFF130D0000}" name="接続285" type="7" refreshedVersion="4"/>
  <connection id="5783" xr16:uid="{00000000-0015-0000-FFFF-FFFF140D0000}" name="接続2850" type="7" refreshedVersion="4"/>
  <connection id="5784" xr16:uid="{00000000-0015-0000-FFFF-FFFF150D0000}" name="接続2851" type="7" refreshedVersion="4"/>
  <connection id="5785" xr16:uid="{00000000-0015-0000-FFFF-FFFF160D0000}" name="接続2852" type="7" refreshedVersion="4"/>
  <connection id="5786" xr16:uid="{00000000-0015-0000-FFFF-FFFF170D0000}" name="接続2853" type="7" refreshedVersion="4"/>
  <connection id="5787" xr16:uid="{00000000-0015-0000-FFFF-FFFF180D0000}" name="接続2854" type="7" refreshedVersion="4"/>
  <connection id="5788" xr16:uid="{00000000-0015-0000-FFFF-FFFF190D0000}" name="接続2855" type="7" refreshedVersion="4"/>
  <connection id="5789" xr16:uid="{00000000-0015-0000-FFFF-FFFF1A0D0000}" name="接続2856" type="7" refreshedVersion="4"/>
  <connection id="5790" xr16:uid="{00000000-0015-0000-FFFF-FFFF1B0D0000}" name="接続2857" type="7" refreshedVersion="4"/>
  <connection id="5791" xr16:uid="{00000000-0015-0000-FFFF-FFFF1C0D0000}" name="接続2858" type="7" refreshedVersion="4"/>
  <connection id="5792" xr16:uid="{00000000-0015-0000-FFFF-FFFF1D0D0000}" name="接続2859" type="7" refreshedVersion="4"/>
  <connection id="5793" xr16:uid="{00000000-0015-0000-FFFF-FFFF1E0D0000}" name="接続286" type="7" refreshedVersion="4"/>
  <connection id="5794" xr16:uid="{00000000-0015-0000-FFFF-FFFF1F0D0000}" name="接続2860" type="7" refreshedVersion="4"/>
  <connection id="5795" xr16:uid="{00000000-0015-0000-FFFF-FFFF200D0000}" name="接続2861" type="7" refreshedVersion="4"/>
  <connection id="5796" xr16:uid="{00000000-0015-0000-FFFF-FFFF210D0000}" name="接続2862" type="7" refreshedVersion="4"/>
  <connection id="5797" xr16:uid="{00000000-0015-0000-FFFF-FFFF220D0000}" name="接続2863" type="7" refreshedVersion="4"/>
  <connection id="5798" xr16:uid="{00000000-0015-0000-FFFF-FFFF230D0000}" name="接続2864" type="7" refreshedVersion="4"/>
  <connection id="5799" xr16:uid="{00000000-0015-0000-FFFF-FFFF240D0000}" name="接続2865" type="7" refreshedVersion="4"/>
  <connection id="5800" xr16:uid="{00000000-0015-0000-FFFF-FFFF250D0000}" name="接続2866" type="7" refreshedVersion="4"/>
  <connection id="5801" xr16:uid="{00000000-0015-0000-FFFF-FFFF260D0000}" name="接続2867" type="7" refreshedVersion="4"/>
  <connection id="5802" xr16:uid="{00000000-0015-0000-FFFF-FFFF270D0000}" name="接続2868" type="7" refreshedVersion="4"/>
  <connection id="5803" xr16:uid="{00000000-0015-0000-FFFF-FFFF280D0000}" name="接続2869" type="7" refreshedVersion="4"/>
  <connection id="5804" xr16:uid="{00000000-0015-0000-FFFF-FFFF290D0000}" name="接続287" type="7" refreshedVersion="4"/>
  <connection id="5805" xr16:uid="{00000000-0015-0000-FFFF-FFFF2A0D0000}" name="接続2870" type="7" refreshedVersion="4"/>
  <connection id="5806" xr16:uid="{00000000-0015-0000-FFFF-FFFF2B0D0000}" name="接続2871" type="7" refreshedVersion="4"/>
  <connection id="5807" xr16:uid="{00000000-0015-0000-FFFF-FFFF2C0D0000}" name="接続2872" type="7" refreshedVersion="4"/>
  <connection id="5808" xr16:uid="{00000000-0015-0000-FFFF-FFFF2D0D0000}" name="接続2873" type="7" refreshedVersion="4"/>
  <connection id="5809" xr16:uid="{00000000-0015-0000-FFFF-FFFF2E0D0000}" name="接続2874" type="7" refreshedVersion="4"/>
  <connection id="5810" xr16:uid="{00000000-0015-0000-FFFF-FFFF2F0D0000}" name="接続2875" type="7" refreshedVersion="4"/>
  <connection id="5811" xr16:uid="{00000000-0015-0000-FFFF-FFFF300D0000}" name="接続2876" type="7" refreshedVersion="4"/>
  <connection id="5812" xr16:uid="{00000000-0015-0000-FFFF-FFFF310D0000}" name="接続2877" type="7" refreshedVersion="4"/>
  <connection id="5813" xr16:uid="{00000000-0015-0000-FFFF-FFFF320D0000}" name="接続2878" type="7" refreshedVersion="4"/>
  <connection id="5814" xr16:uid="{00000000-0015-0000-FFFF-FFFF330D0000}" name="接続2879" type="7" refreshedVersion="4"/>
  <connection id="5815" xr16:uid="{00000000-0015-0000-FFFF-FFFF340D0000}" name="接続288" type="7" refreshedVersion="4"/>
  <connection id="5816" xr16:uid="{00000000-0015-0000-FFFF-FFFF350D0000}" name="接続2880" type="7" refreshedVersion="4"/>
  <connection id="5817" xr16:uid="{00000000-0015-0000-FFFF-FFFF360D0000}" name="接続2881" type="7" refreshedVersion="4"/>
  <connection id="5818" xr16:uid="{00000000-0015-0000-FFFF-FFFF370D0000}" name="接続2882" type="7" refreshedVersion="4"/>
  <connection id="5819" xr16:uid="{00000000-0015-0000-FFFF-FFFF380D0000}" name="接続2883" type="7" refreshedVersion="4"/>
  <connection id="5820" xr16:uid="{00000000-0015-0000-FFFF-FFFF390D0000}" name="接続2884" type="7" refreshedVersion="4"/>
  <connection id="5821" xr16:uid="{00000000-0015-0000-FFFF-FFFF3A0D0000}" name="接続2885" type="7" refreshedVersion="4"/>
  <connection id="5822" xr16:uid="{00000000-0015-0000-FFFF-FFFF3B0D0000}" name="接続2886" type="7" refreshedVersion="4"/>
  <connection id="5823" xr16:uid="{00000000-0015-0000-FFFF-FFFF3C0D0000}" name="接続2887" type="7" refreshedVersion="4"/>
  <connection id="5824" xr16:uid="{00000000-0015-0000-FFFF-FFFF3D0D0000}" name="接続2888" type="7" refreshedVersion="4"/>
  <connection id="5825" xr16:uid="{00000000-0015-0000-FFFF-FFFF3E0D0000}" name="接続2889" type="7" refreshedVersion="4"/>
  <connection id="5826" xr16:uid="{00000000-0015-0000-FFFF-FFFF3F0D0000}" name="接続289" type="7" refreshedVersion="4"/>
  <connection id="5827" xr16:uid="{00000000-0015-0000-FFFF-FFFF400D0000}" name="接続2890" type="7" refreshedVersion="4"/>
  <connection id="5828" xr16:uid="{00000000-0015-0000-FFFF-FFFF410D0000}" name="接続2891" type="7" refreshedVersion="4"/>
  <connection id="5829" xr16:uid="{00000000-0015-0000-FFFF-FFFF420D0000}" name="接続2892" type="7" refreshedVersion="4"/>
  <connection id="5830" xr16:uid="{00000000-0015-0000-FFFF-FFFF430D0000}" name="接続2893" type="7" refreshedVersion="4"/>
  <connection id="5831" xr16:uid="{00000000-0015-0000-FFFF-FFFF440D0000}" name="接続2894" type="7" refreshedVersion="4"/>
  <connection id="5832" xr16:uid="{00000000-0015-0000-FFFF-FFFF450D0000}" name="接続2895" type="7" refreshedVersion="4"/>
  <connection id="5833" xr16:uid="{00000000-0015-0000-FFFF-FFFF460D0000}" name="接続2896" type="7" refreshedVersion="4"/>
  <connection id="5834" xr16:uid="{00000000-0015-0000-FFFF-FFFF470D0000}" name="接続2897" type="7" refreshedVersion="4"/>
  <connection id="5835" xr16:uid="{00000000-0015-0000-FFFF-FFFF480D0000}" name="接続2898" type="7" refreshedVersion="4"/>
  <connection id="5836" xr16:uid="{00000000-0015-0000-FFFF-FFFF490D0000}" name="接続2899" type="7" refreshedVersion="4"/>
  <connection id="5837" xr16:uid="{00000000-0015-0000-FFFF-FFFF4A0D0000}" name="接続29" type="7" refreshedVersion="4"/>
  <connection id="5838" xr16:uid="{00000000-0015-0000-FFFF-FFFF4B0D0000}" name="接続290" type="7" refreshedVersion="4"/>
  <connection id="5839" xr16:uid="{00000000-0015-0000-FFFF-FFFF4C0D0000}" name="接続2900" type="7" refreshedVersion="4"/>
  <connection id="5840" xr16:uid="{00000000-0015-0000-FFFF-FFFF4D0D0000}" name="接続2901" type="7" refreshedVersion="4"/>
  <connection id="5841" xr16:uid="{00000000-0015-0000-FFFF-FFFF4E0D0000}" name="接続2902" type="7" refreshedVersion="4"/>
  <connection id="5842" xr16:uid="{00000000-0015-0000-FFFF-FFFF4F0D0000}" name="接続2903" type="7" refreshedVersion="4"/>
  <connection id="5843" xr16:uid="{00000000-0015-0000-FFFF-FFFF500D0000}" name="接続2904" type="7" refreshedVersion="4"/>
  <connection id="5844" xr16:uid="{00000000-0015-0000-FFFF-FFFF510D0000}" name="接続2905" type="7" refreshedVersion="4"/>
  <connection id="5845" xr16:uid="{00000000-0015-0000-FFFF-FFFF520D0000}" name="接続2906" type="7" refreshedVersion="4"/>
  <connection id="5846" xr16:uid="{00000000-0015-0000-FFFF-FFFF530D0000}" name="接続2907" type="7" refreshedVersion="4"/>
  <connection id="5847" xr16:uid="{00000000-0015-0000-FFFF-FFFF540D0000}" name="接続2908" type="7" refreshedVersion="4"/>
  <connection id="5848" xr16:uid="{00000000-0015-0000-FFFF-FFFF550D0000}" name="接続2909" type="7" refreshedVersion="4"/>
  <connection id="5849" xr16:uid="{00000000-0015-0000-FFFF-FFFF560D0000}" name="接続291" type="7" refreshedVersion="4"/>
  <connection id="5850" xr16:uid="{00000000-0015-0000-FFFF-FFFF570D0000}" name="接続2910" type="7" refreshedVersion="4"/>
  <connection id="5851" xr16:uid="{00000000-0015-0000-FFFF-FFFF580D0000}" name="接続2911" type="7" refreshedVersion="4"/>
  <connection id="5852" xr16:uid="{00000000-0015-0000-FFFF-FFFF590D0000}" name="接続2912" type="7" refreshedVersion="4"/>
  <connection id="5853" xr16:uid="{00000000-0015-0000-FFFF-FFFF5A0D0000}" name="接続2913" type="7" refreshedVersion="4"/>
  <connection id="5854" xr16:uid="{00000000-0015-0000-FFFF-FFFF5B0D0000}" name="接続2914" type="7" refreshedVersion="4"/>
  <connection id="5855" xr16:uid="{00000000-0015-0000-FFFF-FFFF5C0D0000}" name="接続2915" type="7" refreshedVersion="4"/>
  <connection id="5856" xr16:uid="{00000000-0015-0000-FFFF-FFFF5D0D0000}" name="接続2916" type="7" refreshedVersion="4"/>
  <connection id="5857" xr16:uid="{00000000-0015-0000-FFFF-FFFF5E0D0000}" name="接続2917" type="7" refreshedVersion="4"/>
  <connection id="5858" xr16:uid="{00000000-0015-0000-FFFF-FFFF5F0D0000}" name="接続2918" type="7" refreshedVersion="4"/>
  <connection id="5859" xr16:uid="{00000000-0015-0000-FFFF-FFFF600D0000}" name="接続2919" type="7" refreshedVersion="4"/>
  <connection id="5860" xr16:uid="{00000000-0015-0000-FFFF-FFFF610D0000}" name="接続292" type="7" refreshedVersion="4"/>
  <connection id="5861" xr16:uid="{00000000-0015-0000-FFFF-FFFF620D0000}" name="接続2920" type="7" refreshedVersion="4"/>
  <connection id="5862" xr16:uid="{00000000-0015-0000-FFFF-FFFF630D0000}" name="接続2921" type="7" refreshedVersion="4"/>
  <connection id="5863" xr16:uid="{00000000-0015-0000-FFFF-FFFF640D0000}" name="接続2922" type="7" refreshedVersion="4"/>
  <connection id="5864" xr16:uid="{00000000-0015-0000-FFFF-FFFF650D0000}" name="接続2923" type="7" refreshedVersion="4"/>
  <connection id="5865" xr16:uid="{00000000-0015-0000-FFFF-FFFF660D0000}" name="接続2924" type="7" refreshedVersion="4"/>
  <connection id="5866" xr16:uid="{00000000-0015-0000-FFFF-FFFF670D0000}" name="接続2925" type="7" refreshedVersion="4"/>
  <connection id="5867" xr16:uid="{00000000-0015-0000-FFFF-FFFF680D0000}" name="接続2926" type="7" refreshedVersion="4"/>
  <connection id="5868" xr16:uid="{00000000-0015-0000-FFFF-FFFF690D0000}" name="接続2927" type="7" refreshedVersion="4"/>
  <connection id="5869" xr16:uid="{00000000-0015-0000-FFFF-FFFF6A0D0000}" name="接続2928" type="7" refreshedVersion="4"/>
  <connection id="5870" xr16:uid="{00000000-0015-0000-FFFF-FFFF6B0D0000}" name="接続2929" type="7" refreshedVersion="4"/>
  <connection id="5871" xr16:uid="{00000000-0015-0000-FFFF-FFFF6C0D0000}" name="接続293" type="7" refreshedVersion="4"/>
  <connection id="5872" xr16:uid="{00000000-0015-0000-FFFF-FFFF6D0D0000}" name="接続2930" type="7" refreshedVersion="4"/>
  <connection id="5873" xr16:uid="{00000000-0015-0000-FFFF-FFFF6E0D0000}" name="接続2931" type="7" refreshedVersion="4"/>
  <connection id="5874" xr16:uid="{00000000-0015-0000-FFFF-FFFF6F0D0000}" name="接続2932" type="7" refreshedVersion="4"/>
  <connection id="5875" xr16:uid="{00000000-0015-0000-FFFF-FFFF700D0000}" name="接続2933" type="7" refreshedVersion="4"/>
  <connection id="5876" xr16:uid="{00000000-0015-0000-FFFF-FFFF710D0000}" name="接続2934" type="7" refreshedVersion="4"/>
  <connection id="5877" xr16:uid="{00000000-0015-0000-FFFF-FFFF720D0000}" name="接続2935" type="7" refreshedVersion="4"/>
  <connection id="5878" xr16:uid="{00000000-0015-0000-FFFF-FFFF730D0000}" name="接続2936" type="7" refreshedVersion="4"/>
  <connection id="5879" xr16:uid="{00000000-0015-0000-FFFF-FFFF740D0000}" name="接続2937" type="7" refreshedVersion="4"/>
  <connection id="5880" xr16:uid="{00000000-0015-0000-FFFF-FFFF750D0000}" name="接続2938" type="7" refreshedVersion="4"/>
  <connection id="5881" xr16:uid="{00000000-0015-0000-FFFF-FFFF760D0000}" name="接続2939" type="7" refreshedVersion="4"/>
  <connection id="5882" xr16:uid="{00000000-0015-0000-FFFF-FFFF770D0000}" name="接続294" type="7" refreshedVersion="4"/>
  <connection id="5883" xr16:uid="{00000000-0015-0000-FFFF-FFFF780D0000}" name="接続2940" type="7" refreshedVersion="4"/>
  <connection id="5884" xr16:uid="{00000000-0015-0000-FFFF-FFFF790D0000}" name="接続2941" type="7" refreshedVersion="4"/>
  <connection id="5885" xr16:uid="{00000000-0015-0000-FFFF-FFFF7A0D0000}" name="接続2942" type="7" refreshedVersion="4"/>
  <connection id="5886" xr16:uid="{00000000-0015-0000-FFFF-FFFF7B0D0000}" name="接続2943" type="7" refreshedVersion="4"/>
  <connection id="5887" xr16:uid="{00000000-0015-0000-FFFF-FFFF7C0D0000}" name="接続2944" type="7" refreshedVersion="4"/>
  <connection id="5888" xr16:uid="{00000000-0015-0000-FFFF-FFFF7D0D0000}" name="接続2945" type="7" refreshedVersion="4"/>
  <connection id="5889" xr16:uid="{00000000-0015-0000-FFFF-FFFF7E0D0000}" name="接続2946" type="7" refreshedVersion="4"/>
  <connection id="5890" xr16:uid="{00000000-0015-0000-FFFF-FFFF7F0D0000}" name="接続2947" type="7" refreshedVersion="4"/>
  <connection id="5891" xr16:uid="{00000000-0015-0000-FFFF-FFFF800D0000}" name="接続2948" type="7" refreshedVersion="4"/>
  <connection id="5892" xr16:uid="{00000000-0015-0000-FFFF-FFFF810D0000}" name="接続2949" type="7" refreshedVersion="4"/>
  <connection id="5893" xr16:uid="{00000000-0015-0000-FFFF-FFFF820D0000}" name="接続295" type="7" refreshedVersion="4"/>
  <connection id="5894" xr16:uid="{00000000-0015-0000-FFFF-FFFF830D0000}" name="接続2950" type="7" refreshedVersion="4"/>
  <connection id="5895" xr16:uid="{00000000-0015-0000-FFFF-FFFF840D0000}" name="接続2951" type="7" refreshedVersion="4"/>
  <connection id="5896" xr16:uid="{00000000-0015-0000-FFFF-FFFF850D0000}" name="接続2952" type="7" refreshedVersion="4"/>
  <connection id="5897" xr16:uid="{00000000-0015-0000-FFFF-FFFF860D0000}" name="接続2953" type="7" refreshedVersion="4"/>
  <connection id="5898" xr16:uid="{00000000-0015-0000-FFFF-FFFF870D0000}" name="接続2954" type="7" refreshedVersion="4"/>
  <connection id="5899" xr16:uid="{00000000-0015-0000-FFFF-FFFF880D0000}" name="接続2955" type="7" refreshedVersion="4"/>
  <connection id="5900" xr16:uid="{00000000-0015-0000-FFFF-FFFF890D0000}" name="接続2956" type="7" refreshedVersion="4"/>
  <connection id="5901" xr16:uid="{00000000-0015-0000-FFFF-FFFF8A0D0000}" name="接続2957" type="7" refreshedVersion="4"/>
  <connection id="5902" xr16:uid="{00000000-0015-0000-FFFF-FFFF8B0D0000}" name="接続2958" type="7" refreshedVersion="4"/>
  <connection id="5903" xr16:uid="{00000000-0015-0000-FFFF-FFFF8C0D0000}" name="接続2959" type="7" refreshedVersion="4"/>
  <connection id="5904" xr16:uid="{00000000-0015-0000-FFFF-FFFF8D0D0000}" name="接続296" type="7" refreshedVersion="4"/>
  <connection id="5905" xr16:uid="{00000000-0015-0000-FFFF-FFFF8E0D0000}" name="接続2960" type="7" refreshedVersion="4"/>
  <connection id="5906" xr16:uid="{00000000-0015-0000-FFFF-FFFF8F0D0000}" name="接続2961" type="7" refreshedVersion="4"/>
  <connection id="5907" xr16:uid="{00000000-0015-0000-FFFF-FFFF900D0000}" name="接続2962" type="7" refreshedVersion="4"/>
  <connection id="5908" xr16:uid="{00000000-0015-0000-FFFF-FFFF910D0000}" name="接続2963" type="7" refreshedVersion="4"/>
  <connection id="5909" xr16:uid="{00000000-0015-0000-FFFF-FFFF920D0000}" name="接続2964" type="7" refreshedVersion="4"/>
  <connection id="5910" xr16:uid="{00000000-0015-0000-FFFF-FFFF930D0000}" name="接続2965" type="7" refreshedVersion="4"/>
  <connection id="5911" xr16:uid="{00000000-0015-0000-FFFF-FFFF940D0000}" name="接続2966" type="7" refreshedVersion="4"/>
  <connection id="5912" xr16:uid="{00000000-0015-0000-FFFF-FFFF950D0000}" name="接続2967" type="7" refreshedVersion="4"/>
  <connection id="5913" xr16:uid="{00000000-0015-0000-FFFF-FFFF960D0000}" name="接続2968" type="7" refreshedVersion="4"/>
  <connection id="5914" xr16:uid="{00000000-0015-0000-FFFF-FFFF970D0000}" name="接続2969" type="7" refreshedVersion="4"/>
  <connection id="5915" xr16:uid="{00000000-0015-0000-FFFF-FFFF980D0000}" name="接続297" type="7" refreshedVersion="4"/>
  <connection id="5916" xr16:uid="{00000000-0015-0000-FFFF-FFFF990D0000}" name="接続2970" type="7" refreshedVersion="4"/>
  <connection id="5917" xr16:uid="{00000000-0015-0000-FFFF-FFFF9A0D0000}" name="接続2971" type="7" refreshedVersion="4"/>
  <connection id="5918" xr16:uid="{00000000-0015-0000-FFFF-FFFF9B0D0000}" name="接続2972" type="7" refreshedVersion="4"/>
  <connection id="5919" xr16:uid="{00000000-0015-0000-FFFF-FFFF9C0D0000}" name="接続2973" type="7" refreshedVersion="4"/>
  <connection id="5920" xr16:uid="{00000000-0015-0000-FFFF-FFFF9D0D0000}" name="接続2974" type="7" refreshedVersion="4"/>
  <connection id="5921" xr16:uid="{00000000-0015-0000-FFFF-FFFF9E0D0000}" name="接続2975" type="7" refreshedVersion="4"/>
  <connection id="5922" xr16:uid="{00000000-0015-0000-FFFF-FFFF9F0D0000}" name="接続2976" type="7" refreshedVersion="4"/>
  <connection id="5923" xr16:uid="{00000000-0015-0000-FFFF-FFFFA00D0000}" name="接続2977" type="7" refreshedVersion="4"/>
  <connection id="5924" xr16:uid="{00000000-0015-0000-FFFF-FFFFA10D0000}" name="接続2978" type="7" refreshedVersion="4"/>
  <connection id="5925" xr16:uid="{00000000-0015-0000-FFFF-FFFFA20D0000}" name="接続2979" type="7" refreshedVersion="4"/>
  <connection id="5926" xr16:uid="{00000000-0015-0000-FFFF-FFFFA30D0000}" name="接続298" type="7" refreshedVersion="4"/>
  <connection id="5927" xr16:uid="{00000000-0015-0000-FFFF-FFFFA40D0000}" name="接続2980" type="7" refreshedVersion="4"/>
  <connection id="5928" xr16:uid="{00000000-0015-0000-FFFF-FFFFA50D0000}" name="接続2981" type="7" refreshedVersion="4"/>
  <connection id="5929" xr16:uid="{00000000-0015-0000-FFFF-FFFFA60D0000}" name="接続2982" type="7" refreshedVersion="4"/>
  <connection id="5930" xr16:uid="{00000000-0015-0000-FFFF-FFFFA70D0000}" name="接続2983" type="7" refreshedVersion="4"/>
  <connection id="5931" xr16:uid="{00000000-0015-0000-FFFF-FFFFA80D0000}" name="接続2984" type="7" refreshedVersion="4"/>
  <connection id="5932" xr16:uid="{00000000-0015-0000-FFFF-FFFFA90D0000}" name="接続2985" type="7" refreshedVersion="4"/>
  <connection id="5933" xr16:uid="{00000000-0015-0000-FFFF-FFFFAA0D0000}" name="接続2986" type="7" refreshedVersion="4"/>
  <connection id="5934" xr16:uid="{00000000-0015-0000-FFFF-FFFFAB0D0000}" name="接続2987" type="7" refreshedVersion="4"/>
  <connection id="5935" xr16:uid="{00000000-0015-0000-FFFF-FFFFAC0D0000}" name="接続2988" type="7" refreshedVersion="4"/>
  <connection id="5936" xr16:uid="{00000000-0015-0000-FFFF-FFFFAD0D0000}" name="接続2989" type="7" refreshedVersion="4"/>
  <connection id="5937" xr16:uid="{00000000-0015-0000-FFFF-FFFFAE0D0000}" name="接続299" type="7" refreshedVersion="4"/>
  <connection id="5938" xr16:uid="{00000000-0015-0000-FFFF-FFFFAF0D0000}" name="接続2990" type="7" refreshedVersion="4"/>
  <connection id="5939" xr16:uid="{00000000-0015-0000-FFFF-FFFFB00D0000}" name="接続2991" type="7" refreshedVersion="4"/>
  <connection id="5940" xr16:uid="{00000000-0015-0000-FFFF-FFFFB10D0000}" name="接続2992" type="7" refreshedVersion="4"/>
  <connection id="5941" xr16:uid="{00000000-0015-0000-FFFF-FFFFB20D0000}" name="接続2993" type="7" refreshedVersion="4"/>
  <connection id="5942" xr16:uid="{00000000-0015-0000-FFFF-FFFFB30D0000}" name="接続2994" type="7" refreshedVersion="4"/>
  <connection id="5943" xr16:uid="{00000000-0015-0000-FFFF-FFFFB40D0000}" name="接続2995" type="7" refreshedVersion="4"/>
  <connection id="5944" xr16:uid="{00000000-0015-0000-FFFF-FFFFB50D0000}" name="接続2996" type="7" refreshedVersion="4"/>
  <connection id="5945" xr16:uid="{00000000-0015-0000-FFFF-FFFFB60D0000}" name="接続2997" type="7" refreshedVersion="4"/>
  <connection id="5946" xr16:uid="{00000000-0015-0000-FFFF-FFFFB70D0000}" name="接続2998" type="7" refreshedVersion="4"/>
  <connection id="5947" xr16:uid="{00000000-0015-0000-FFFF-FFFFB80D0000}" name="接続2999" type="7" refreshedVersion="4"/>
  <connection id="5948" xr16:uid="{00000000-0015-0000-FFFF-FFFFB90D0000}" name="接続3" type="7" refreshedVersion="4"/>
  <connection id="5949" xr16:uid="{00000000-0015-0000-FFFF-FFFFBA0D0000}" name="接続30" type="7" refreshedVersion="4"/>
  <connection id="5950" xr16:uid="{00000000-0015-0000-FFFF-FFFFBB0D0000}" name="接続300" type="7" refreshedVersion="4"/>
  <connection id="5951" xr16:uid="{00000000-0015-0000-FFFF-FFFFBC0D0000}" name="接続3000" type="7" refreshedVersion="4"/>
  <connection id="5952" xr16:uid="{00000000-0015-0000-FFFF-FFFFBD0D0000}" name="接続3001" type="7" refreshedVersion="4"/>
  <connection id="5953" xr16:uid="{00000000-0015-0000-FFFF-FFFFBE0D0000}" name="接続3002" type="7" refreshedVersion="4"/>
  <connection id="5954" xr16:uid="{00000000-0015-0000-FFFF-FFFFBF0D0000}" name="接続3003" type="7" refreshedVersion="4"/>
  <connection id="5955" xr16:uid="{00000000-0015-0000-FFFF-FFFFC00D0000}" name="接続3004" type="7" refreshedVersion="4"/>
  <connection id="5956" xr16:uid="{00000000-0015-0000-FFFF-FFFFC10D0000}" name="接続3005" type="7" refreshedVersion="4"/>
  <connection id="5957" xr16:uid="{00000000-0015-0000-FFFF-FFFFC20D0000}" name="接続3006" type="7" refreshedVersion="4"/>
  <connection id="5958" xr16:uid="{00000000-0015-0000-FFFF-FFFFC30D0000}" name="接続3007" type="7" refreshedVersion="4"/>
  <connection id="5959" xr16:uid="{00000000-0015-0000-FFFF-FFFFC40D0000}" name="接続3008" type="7" refreshedVersion="4"/>
  <connection id="5960" xr16:uid="{00000000-0015-0000-FFFF-FFFFC50D0000}" name="接続3009" type="7" refreshedVersion="4"/>
  <connection id="5961" xr16:uid="{00000000-0015-0000-FFFF-FFFFC60D0000}" name="接続301" type="7" refreshedVersion="4"/>
  <connection id="5962" xr16:uid="{00000000-0015-0000-FFFF-FFFFC70D0000}" name="接続3010" type="7" refreshedVersion="4"/>
  <connection id="5963" xr16:uid="{00000000-0015-0000-FFFF-FFFFC80D0000}" name="接続3011" type="7" refreshedVersion="4"/>
  <connection id="5964" xr16:uid="{00000000-0015-0000-FFFF-FFFFC90D0000}" name="接続3012" type="7" refreshedVersion="4"/>
  <connection id="5965" xr16:uid="{00000000-0015-0000-FFFF-FFFFCA0D0000}" name="接続3013" type="7" refreshedVersion="4"/>
  <connection id="5966" xr16:uid="{00000000-0015-0000-FFFF-FFFFCB0D0000}" name="接続3014" type="7" refreshedVersion="4"/>
  <connection id="5967" xr16:uid="{00000000-0015-0000-FFFF-FFFFCC0D0000}" name="接続3015" type="7" refreshedVersion="4"/>
  <connection id="5968" xr16:uid="{00000000-0015-0000-FFFF-FFFFCD0D0000}" name="接続3016" type="7" refreshedVersion="4"/>
  <connection id="5969" xr16:uid="{00000000-0015-0000-FFFF-FFFFCE0D0000}" name="接続3017" type="7" refreshedVersion="4"/>
  <connection id="5970" xr16:uid="{00000000-0015-0000-FFFF-FFFFCF0D0000}" name="接続3018" type="7" refreshedVersion="4"/>
  <connection id="5971" xr16:uid="{00000000-0015-0000-FFFF-FFFFD00D0000}" name="接続3019" type="7" refreshedVersion="4"/>
  <connection id="5972" xr16:uid="{00000000-0015-0000-FFFF-FFFFD10D0000}" name="接続302" type="7" refreshedVersion="4"/>
  <connection id="5973" xr16:uid="{00000000-0015-0000-FFFF-FFFFD20D0000}" name="接続3020" type="7" refreshedVersion="4"/>
  <connection id="5974" xr16:uid="{00000000-0015-0000-FFFF-FFFFD30D0000}" name="接続3021" type="7" refreshedVersion="4"/>
  <connection id="5975" xr16:uid="{00000000-0015-0000-FFFF-FFFFD40D0000}" name="接続3022" type="7" refreshedVersion="4"/>
  <connection id="5976" xr16:uid="{00000000-0015-0000-FFFF-FFFFD50D0000}" name="接続3023" type="7" refreshedVersion="4"/>
  <connection id="5977" xr16:uid="{00000000-0015-0000-FFFF-FFFFD60D0000}" name="接続3024" type="7" refreshedVersion="4"/>
  <connection id="5978" xr16:uid="{00000000-0015-0000-FFFF-FFFFD70D0000}" name="接続3025" type="7" refreshedVersion="4"/>
  <connection id="5979" xr16:uid="{00000000-0015-0000-FFFF-FFFFD80D0000}" name="接続3026" type="7" refreshedVersion="4"/>
  <connection id="5980" xr16:uid="{00000000-0015-0000-FFFF-FFFFD90D0000}" name="接続3027" type="7" refreshedVersion="4"/>
  <connection id="5981" xr16:uid="{00000000-0015-0000-FFFF-FFFFDA0D0000}" name="接続3028" type="7" refreshedVersion="4"/>
  <connection id="5982" xr16:uid="{00000000-0015-0000-FFFF-FFFFDB0D0000}" name="接続3029" type="7" refreshedVersion="4"/>
  <connection id="5983" xr16:uid="{00000000-0015-0000-FFFF-FFFFDC0D0000}" name="接続303" type="7" refreshedVersion="4"/>
  <connection id="5984" xr16:uid="{00000000-0015-0000-FFFF-FFFFDD0D0000}" name="接続3030" type="7" refreshedVersion="4"/>
  <connection id="5985" xr16:uid="{00000000-0015-0000-FFFF-FFFFDE0D0000}" name="接続3031" type="7" refreshedVersion="4"/>
  <connection id="5986" xr16:uid="{00000000-0015-0000-FFFF-FFFFDF0D0000}" name="接続3032" type="7" refreshedVersion="4"/>
  <connection id="5987" xr16:uid="{00000000-0015-0000-FFFF-FFFFE00D0000}" name="接続3033" type="7" refreshedVersion="4"/>
  <connection id="5988" xr16:uid="{00000000-0015-0000-FFFF-FFFFE10D0000}" name="接続3034" type="7" refreshedVersion="4"/>
  <connection id="5989" xr16:uid="{00000000-0015-0000-FFFF-FFFFE20D0000}" name="接続3035" type="7" refreshedVersion="4"/>
  <connection id="5990" xr16:uid="{00000000-0015-0000-FFFF-FFFFE30D0000}" name="接続3036" type="7" refreshedVersion="4"/>
  <connection id="5991" xr16:uid="{00000000-0015-0000-FFFF-FFFFE40D0000}" name="接続3037" type="7" refreshedVersion="4"/>
  <connection id="5992" xr16:uid="{00000000-0015-0000-FFFF-FFFFE50D0000}" name="接続3038" type="7" refreshedVersion="4"/>
  <connection id="5993" xr16:uid="{00000000-0015-0000-FFFF-FFFFE60D0000}" name="接続3039" type="7" refreshedVersion="4"/>
  <connection id="5994" xr16:uid="{00000000-0015-0000-FFFF-FFFFE70D0000}" name="接続304" type="7" refreshedVersion="4"/>
  <connection id="5995" xr16:uid="{00000000-0015-0000-FFFF-FFFFE80D0000}" name="接続3040" type="7" refreshedVersion="4"/>
  <connection id="5996" xr16:uid="{00000000-0015-0000-FFFF-FFFFE90D0000}" name="接続3041" type="7" refreshedVersion="4"/>
  <connection id="5997" xr16:uid="{00000000-0015-0000-FFFF-FFFFEA0D0000}" name="接続3042" type="7" refreshedVersion="4"/>
  <connection id="5998" xr16:uid="{00000000-0015-0000-FFFF-FFFFEB0D0000}" name="接続3043" type="7" refreshedVersion="4"/>
  <connection id="5999" xr16:uid="{00000000-0015-0000-FFFF-FFFFEC0D0000}" name="接続3044" type="7" refreshedVersion="4"/>
  <connection id="6000" xr16:uid="{00000000-0015-0000-FFFF-FFFFED0D0000}" name="接続3045" type="7" refreshedVersion="4"/>
  <connection id="6001" xr16:uid="{00000000-0015-0000-FFFF-FFFFEE0D0000}" name="接続3046" type="7" refreshedVersion="4"/>
  <connection id="6002" xr16:uid="{00000000-0015-0000-FFFF-FFFFEF0D0000}" name="接続3047" type="7" refreshedVersion="4"/>
  <connection id="6003" xr16:uid="{00000000-0015-0000-FFFF-FFFFF00D0000}" name="接続3048" type="7" refreshedVersion="4"/>
  <connection id="6004" xr16:uid="{00000000-0015-0000-FFFF-FFFFF10D0000}" name="接続3049" type="7" refreshedVersion="4"/>
  <connection id="6005" xr16:uid="{00000000-0015-0000-FFFF-FFFFF20D0000}" name="接続305" type="7" refreshedVersion="4"/>
  <connection id="6006" xr16:uid="{00000000-0015-0000-FFFF-FFFFF30D0000}" name="接続3050" type="7" refreshedVersion="4"/>
  <connection id="6007" xr16:uid="{00000000-0015-0000-FFFF-FFFFF40D0000}" name="接続3051" type="7" refreshedVersion="4"/>
  <connection id="6008" xr16:uid="{00000000-0015-0000-FFFF-FFFFF50D0000}" name="接続3052" type="7" refreshedVersion="4"/>
  <connection id="6009" xr16:uid="{00000000-0015-0000-FFFF-FFFFF60D0000}" name="接続3053" type="7" refreshedVersion="4"/>
  <connection id="6010" xr16:uid="{00000000-0015-0000-FFFF-FFFFF70D0000}" name="接続3054" type="7" refreshedVersion="4"/>
  <connection id="6011" xr16:uid="{00000000-0015-0000-FFFF-FFFFF80D0000}" name="接続3055" type="7" refreshedVersion="4"/>
  <connection id="6012" xr16:uid="{00000000-0015-0000-FFFF-FFFFF90D0000}" name="接続3056" type="7" refreshedVersion="4"/>
  <connection id="6013" xr16:uid="{00000000-0015-0000-FFFF-FFFFFA0D0000}" name="接続3057" type="7" refreshedVersion="4"/>
  <connection id="6014" xr16:uid="{00000000-0015-0000-FFFF-FFFFFB0D0000}" name="接続3058" type="7" refreshedVersion="4"/>
  <connection id="6015" xr16:uid="{00000000-0015-0000-FFFF-FFFFFC0D0000}" name="接続3059" type="7" refreshedVersion="4"/>
  <connection id="6016" xr16:uid="{00000000-0015-0000-FFFF-FFFFFD0D0000}" name="接続306" type="7" refreshedVersion="4"/>
  <connection id="6017" xr16:uid="{00000000-0015-0000-FFFF-FFFFFE0D0000}" name="接続3060" type="7" refreshedVersion="4"/>
  <connection id="6018" xr16:uid="{00000000-0015-0000-FFFF-FFFFFF0D0000}" name="接続3061" type="7" refreshedVersion="4"/>
  <connection id="6019" xr16:uid="{00000000-0015-0000-FFFF-FFFF000E0000}" name="接続3062" type="7" refreshedVersion="4"/>
  <connection id="6020" xr16:uid="{00000000-0015-0000-FFFF-FFFF010E0000}" name="接続3063" type="7" refreshedVersion="4"/>
  <connection id="6021" xr16:uid="{00000000-0015-0000-FFFF-FFFF020E0000}" name="接続3064" type="7" refreshedVersion="4"/>
  <connection id="6022" xr16:uid="{00000000-0015-0000-FFFF-FFFF030E0000}" name="接続3065" type="7" refreshedVersion="4"/>
  <connection id="6023" xr16:uid="{00000000-0015-0000-FFFF-FFFF040E0000}" name="接続3066" type="7" refreshedVersion="4"/>
  <connection id="6024" xr16:uid="{00000000-0015-0000-FFFF-FFFF050E0000}" name="接続3067" type="7" refreshedVersion="4"/>
  <connection id="6025" xr16:uid="{00000000-0015-0000-FFFF-FFFF060E0000}" name="接続3068" type="7" refreshedVersion="4"/>
  <connection id="6026" xr16:uid="{00000000-0015-0000-FFFF-FFFF070E0000}" name="接続3069" type="7" refreshedVersion="4"/>
  <connection id="6027" xr16:uid="{00000000-0015-0000-FFFF-FFFF080E0000}" name="接続307" type="7" refreshedVersion="4"/>
  <connection id="6028" xr16:uid="{00000000-0015-0000-FFFF-FFFF090E0000}" name="接続3070" type="7" refreshedVersion="4"/>
  <connection id="6029" xr16:uid="{00000000-0015-0000-FFFF-FFFF0A0E0000}" name="接続3071" type="7" refreshedVersion="4"/>
  <connection id="6030" xr16:uid="{00000000-0015-0000-FFFF-FFFF0B0E0000}" name="接続3072" type="7" refreshedVersion="4"/>
  <connection id="6031" xr16:uid="{00000000-0015-0000-FFFF-FFFF0C0E0000}" name="接続3073" type="7" refreshedVersion="4"/>
  <connection id="6032" xr16:uid="{00000000-0015-0000-FFFF-FFFF0D0E0000}" name="接続3074" type="7" refreshedVersion="4"/>
  <connection id="6033" xr16:uid="{00000000-0015-0000-FFFF-FFFF0E0E0000}" name="接続3075" type="7" refreshedVersion="4"/>
  <connection id="6034" xr16:uid="{00000000-0015-0000-FFFF-FFFF0F0E0000}" name="接続3076" type="7" refreshedVersion="4"/>
  <connection id="6035" xr16:uid="{00000000-0015-0000-FFFF-FFFF100E0000}" name="接続3077" type="7" refreshedVersion="4"/>
  <connection id="6036" xr16:uid="{00000000-0015-0000-FFFF-FFFF110E0000}" name="接続3078" type="7" refreshedVersion="4"/>
  <connection id="6037" xr16:uid="{00000000-0015-0000-FFFF-FFFF120E0000}" name="接続3079" type="7" refreshedVersion="4"/>
  <connection id="6038" xr16:uid="{00000000-0015-0000-FFFF-FFFF130E0000}" name="接続308" type="7" refreshedVersion="4"/>
  <connection id="6039" xr16:uid="{00000000-0015-0000-FFFF-FFFF140E0000}" name="接続3080" type="7" refreshedVersion="4"/>
  <connection id="6040" xr16:uid="{00000000-0015-0000-FFFF-FFFF150E0000}" name="接続3081" type="7" refreshedVersion="4"/>
  <connection id="6041" xr16:uid="{00000000-0015-0000-FFFF-FFFF160E0000}" name="接続3082" type="7" refreshedVersion="4"/>
  <connection id="6042" xr16:uid="{00000000-0015-0000-FFFF-FFFF170E0000}" name="接続3083" type="7" refreshedVersion="4"/>
  <connection id="6043" xr16:uid="{00000000-0015-0000-FFFF-FFFF180E0000}" name="接続3084" type="7" refreshedVersion="4"/>
  <connection id="6044" xr16:uid="{00000000-0015-0000-FFFF-FFFF190E0000}" name="接続3085" type="7" refreshedVersion="4"/>
  <connection id="6045" xr16:uid="{00000000-0015-0000-FFFF-FFFF1A0E0000}" name="接続3086" type="7" refreshedVersion="4"/>
  <connection id="6046" xr16:uid="{00000000-0015-0000-FFFF-FFFF1B0E0000}" name="接続3087" type="7" refreshedVersion="4"/>
  <connection id="6047" xr16:uid="{00000000-0015-0000-FFFF-FFFF1C0E0000}" name="接続3088" type="7" refreshedVersion="4"/>
  <connection id="6048" xr16:uid="{00000000-0015-0000-FFFF-FFFF1D0E0000}" name="接続3089" type="7" refreshedVersion="4"/>
  <connection id="6049" xr16:uid="{00000000-0015-0000-FFFF-FFFF1E0E0000}" name="接続309" type="7" refreshedVersion="4"/>
  <connection id="6050" xr16:uid="{00000000-0015-0000-FFFF-FFFF1F0E0000}" name="接続3090" type="7" refreshedVersion="4"/>
  <connection id="6051" xr16:uid="{00000000-0015-0000-FFFF-FFFF200E0000}" name="接続3091" type="7" refreshedVersion="4"/>
  <connection id="6052" xr16:uid="{00000000-0015-0000-FFFF-FFFF210E0000}" name="接続3092" type="7" refreshedVersion="4"/>
  <connection id="6053" xr16:uid="{00000000-0015-0000-FFFF-FFFF220E0000}" name="接続3093" type="7" refreshedVersion="4"/>
  <connection id="6054" xr16:uid="{00000000-0015-0000-FFFF-FFFF230E0000}" name="接続3094" type="7" refreshedVersion="4"/>
  <connection id="6055" xr16:uid="{00000000-0015-0000-FFFF-FFFF240E0000}" name="接続3095" type="7" refreshedVersion="4"/>
  <connection id="6056" xr16:uid="{00000000-0015-0000-FFFF-FFFF250E0000}" name="接続3096" type="7" refreshedVersion="4"/>
  <connection id="6057" xr16:uid="{00000000-0015-0000-FFFF-FFFF260E0000}" name="接続3097" type="7" refreshedVersion="4"/>
  <connection id="6058" xr16:uid="{00000000-0015-0000-FFFF-FFFF270E0000}" name="接続3098" type="7" refreshedVersion="4"/>
  <connection id="6059" xr16:uid="{00000000-0015-0000-FFFF-FFFF280E0000}" name="接続3099" type="7" refreshedVersion="4"/>
  <connection id="6060" xr16:uid="{00000000-0015-0000-FFFF-FFFF290E0000}" name="接続31" type="7" refreshedVersion="4"/>
  <connection id="6061" xr16:uid="{00000000-0015-0000-FFFF-FFFF2A0E0000}" name="接続310" type="7" refreshedVersion="4"/>
  <connection id="6062" xr16:uid="{00000000-0015-0000-FFFF-FFFF2B0E0000}" name="接続3100" type="7" refreshedVersion="4"/>
  <connection id="6063" xr16:uid="{00000000-0015-0000-FFFF-FFFF2C0E0000}" name="接続3101" type="7" refreshedVersion="4"/>
  <connection id="6064" xr16:uid="{00000000-0015-0000-FFFF-FFFF2D0E0000}" name="接続3102" type="7" refreshedVersion="4"/>
  <connection id="6065" xr16:uid="{00000000-0015-0000-FFFF-FFFF2E0E0000}" name="接続3103" type="7" refreshedVersion="4"/>
  <connection id="6066" xr16:uid="{00000000-0015-0000-FFFF-FFFF2F0E0000}" name="接続3104" type="7" refreshedVersion="4"/>
  <connection id="6067" xr16:uid="{00000000-0015-0000-FFFF-FFFF300E0000}" name="接続3105" type="7" refreshedVersion="4"/>
  <connection id="6068" xr16:uid="{00000000-0015-0000-FFFF-FFFF310E0000}" name="接続3106" type="7" refreshedVersion="4"/>
  <connection id="6069" xr16:uid="{00000000-0015-0000-FFFF-FFFF320E0000}" name="接続3107" type="7" refreshedVersion="4"/>
  <connection id="6070" xr16:uid="{00000000-0015-0000-FFFF-FFFF330E0000}" name="接続3108" type="7" refreshedVersion="4"/>
  <connection id="6071" xr16:uid="{00000000-0015-0000-FFFF-FFFF340E0000}" name="接続3109" type="7" refreshedVersion="4"/>
  <connection id="6072" xr16:uid="{00000000-0015-0000-FFFF-FFFF350E0000}" name="接続311" type="7" refreshedVersion="4"/>
  <connection id="6073" xr16:uid="{00000000-0015-0000-FFFF-FFFF360E0000}" name="接続3110" type="7" refreshedVersion="4"/>
  <connection id="6074" xr16:uid="{00000000-0015-0000-FFFF-FFFF370E0000}" name="接続3111" type="7" refreshedVersion="4"/>
  <connection id="6075" xr16:uid="{00000000-0015-0000-FFFF-FFFF380E0000}" name="接続3112" type="7" refreshedVersion="4"/>
  <connection id="6076" xr16:uid="{00000000-0015-0000-FFFF-FFFF390E0000}" name="接続3113" type="7" refreshedVersion="4"/>
  <connection id="6077" xr16:uid="{00000000-0015-0000-FFFF-FFFF3A0E0000}" name="接続3114" type="7" refreshedVersion="4"/>
  <connection id="6078" xr16:uid="{00000000-0015-0000-FFFF-FFFF3B0E0000}" name="接続3115" type="7" refreshedVersion="4"/>
  <connection id="6079" xr16:uid="{00000000-0015-0000-FFFF-FFFF3C0E0000}" name="接続3116" type="7" refreshedVersion="4"/>
  <connection id="6080" xr16:uid="{00000000-0015-0000-FFFF-FFFF3D0E0000}" name="接続3117" type="7" refreshedVersion="4"/>
  <connection id="6081" xr16:uid="{00000000-0015-0000-FFFF-FFFF3E0E0000}" name="接続3118" type="7" refreshedVersion="4"/>
  <connection id="6082" xr16:uid="{00000000-0015-0000-FFFF-FFFF3F0E0000}" name="接続3119" type="7" refreshedVersion="4"/>
  <connection id="6083" xr16:uid="{00000000-0015-0000-FFFF-FFFF400E0000}" name="接続312" type="7" refreshedVersion="4"/>
  <connection id="6084" xr16:uid="{00000000-0015-0000-FFFF-FFFF410E0000}" name="接続3120" type="7" refreshedVersion="4"/>
  <connection id="6085" xr16:uid="{00000000-0015-0000-FFFF-FFFF420E0000}" name="接続3121" type="7" refreshedVersion="4"/>
  <connection id="6086" xr16:uid="{00000000-0015-0000-FFFF-FFFF430E0000}" name="接続3122" type="7" refreshedVersion="4"/>
  <connection id="6087" xr16:uid="{00000000-0015-0000-FFFF-FFFF440E0000}" name="接続3123" type="7" refreshedVersion="4"/>
  <connection id="6088" xr16:uid="{00000000-0015-0000-FFFF-FFFF450E0000}" name="接続3124" type="7" refreshedVersion="4"/>
  <connection id="6089" xr16:uid="{00000000-0015-0000-FFFF-FFFF460E0000}" name="接続3125" type="7" refreshedVersion="4"/>
  <connection id="6090" xr16:uid="{00000000-0015-0000-FFFF-FFFF470E0000}" name="接続3126" type="7" refreshedVersion="4"/>
  <connection id="6091" xr16:uid="{00000000-0015-0000-FFFF-FFFF480E0000}" name="接続3127" type="7" refreshedVersion="4"/>
  <connection id="6092" xr16:uid="{00000000-0015-0000-FFFF-FFFF490E0000}" name="接続3128" type="7" refreshedVersion="4"/>
  <connection id="6093" xr16:uid="{00000000-0015-0000-FFFF-FFFF4A0E0000}" name="接続3129" type="7" refreshedVersion="4"/>
  <connection id="6094" xr16:uid="{00000000-0015-0000-FFFF-FFFF4B0E0000}" name="接続313" type="7" refreshedVersion="4"/>
  <connection id="6095" xr16:uid="{00000000-0015-0000-FFFF-FFFF4C0E0000}" name="接続3130" type="7" refreshedVersion="4"/>
  <connection id="6096" xr16:uid="{00000000-0015-0000-FFFF-FFFF4D0E0000}" name="接続3131" type="7" refreshedVersion="4"/>
  <connection id="6097" xr16:uid="{00000000-0015-0000-FFFF-FFFF4E0E0000}" name="接続3132" type="7" refreshedVersion="4"/>
  <connection id="6098" xr16:uid="{00000000-0015-0000-FFFF-FFFF4F0E0000}" name="接続3133" type="7" refreshedVersion="4"/>
  <connection id="6099" xr16:uid="{00000000-0015-0000-FFFF-FFFF500E0000}" name="接続3134" type="7" refreshedVersion="4"/>
  <connection id="6100" xr16:uid="{00000000-0015-0000-FFFF-FFFF510E0000}" name="接続3135" type="7" refreshedVersion="4"/>
  <connection id="6101" xr16:uid="{00000000-0015-0000-FFFF-FFFF520E0000}" name="接続3136" type="7" refreshedVersion="4"/>
  <connection id="6102" xr16:uid="{00000000-0015-0000-FFFF-FFFF530E0000}" name="接続3137" type="7" refreshedVersion="4"/>
  <connection id="6103" xr16:uid="{00000000-0015-0000-FFFF-FFFF540E0000}" name="接続3138" type="7" refreshedVersion="4"/>
  <connection id="6104" xr16:uid="{00000000-0015-0000-FFFF-FFFF550E0000}" name="接続3139" type="7" refreshedVersion="4"/>
  <connection id="6105" xr16:uid="{00000000-0015-0000-FFFF-FFFF560E0000}" name="接続314" type="7" refreshedVersion="4"/>
  <connection id="6106" xr16:uid="{00000000-0015-0000-FFFF-FFFF570E0000}" name="接続3140" type="7" refreshedVersion="4"/>
  <connection id="6107" xr16:uid="{00000000-0015-0000-FFFF-FFFF580E0000}" name="接続3141" type="7" refreshedVersion="4"/>
  <connection id="6108" xr16:uid="{00000000-0015-0000-FFFF-FFFF590E0000}" name="接続3142" type="7" refreshedVersion="4"/>
  <connection id="6109" xr16:uid="{00000000-0015-0000-FFFF-FFFF5A0E0000}" name="接続3143" type="7" refreshedVersion="4"/>
  <connection id="6110" xr16:uid="{00000000-0015-0000-FFFF-FFFF5B0E0000}" name="接続3144" type="7" refreshedVersion="4"/>
  <connection id="6111" xr16:uid="{00000000-0015-0000-FFFF-FFFF5C0E0000}" name="接続3145" type="7" refreshedVersion="4"/>
  <connection id="6112" xr16:uid="{00000000-0015-0000-FFFF-FFFF5D0E0000}" name="接続3146" type="7" refreshedVersion="4"/>
  <connection id="6113" xr16:uid="{00000000-0015-0000-FFFF-FFFF5E0E0000}" name="接続3147" type="7" refreshedVersion="4"/>
  <connection id="6114" xr16:uid="{00000000-0015-0000-FFFF-FFFF5F0E0000}" name="接続3148" type="7" refreshedVersion="4"/>
  <connection id="6115" xr16:uid="{00000000-0015-0000-FFFF-FFFF600E0000}" name="接続3149" type="7" refreshedVersion="4"/>
  <connection id="6116" xr16:uid="{00000000-0015-0000-FFFF-FFFF610E0000}" name="接続315" type="7" refreshedVersion="4"/>
  <connection id="6117" xr16:uid="{00000000-0015-0000-FFFF-FFFF620E0000}" name="接続3150" type="7" refreshedVersion="4"/>
  <connection id="6118" xr16:uid="{00000000-0015-0000-FFFF-FFFF630E0000}" name="接続3151" type="7" refreshedVersion="4"/>
  <connection id="6119" xr16:uid="{00000000-0015-0000-FFFF-FFFF640E0000}" name="接続3152" type="7" refreshedVersion="4"/>
  <connection id="6120" xr16:uid="{00000000-0015-0000-FFFF-FFFF650E0000}" name="接続3153" type="7" refreshedVersion="4"/>
  <connection id="6121" xr16:uid="{00000000-0015-0000-FFFF-FFFF660E0000}" name="接続3154" type="7" refreshedVersion="4"/>
  <connection id="6122" xr16:uid="{00000000-0015-0000-FFFF-FFFF670E0000}" name="接続3155" type="7" refreshedVersion="4"/>
  <connection id="6123" xr16:uid="{00000000-0015-0000-FFFF-FFFF680E0000}" name="接続3156" type="7" refreshedVersion="4"/>
  <connection id="6124" xr16:uid="{00000000-0015-0000-FFFF-FFFF690E0000}" name="接続3157" type="7" refreshedVersion="4"/>
  <connection id="6125" xr16:uid="{00000000-0015-0000-FFFF-FFFF6A0E0000}" name="接続3158" type="7" refreshedVersion="4"/>
  <connection id="6126" xr16:uid="{00000000-0015-0000-FFFF-FFFF6B0E0000}" name="接続3159" type="7" refreshedVersion="4"/>
  <connection id="6127" xr16:uid="{00000000-0015-0000-FFFF-FFFF6C0E0000}" name="接続316" type="7" refreshedVersion="4"/>
  <connection id="6128" xr16:uid="{00000000-0015-0000-FFFF-FFFF6D0E0000}" name="接続3160" type="7" refreshedVersion="4"/>
  <connection id="6129" xr16:uid="{00000000-0015-0000-FFFF-FFFF6E0E0000}" name="接続3161" type="7" refreshedVersion="4"/>
  <connection id="6130" xr16:uid="{00000000-0015-0000-FFFF-FFFF6F0E0000}" name="接続3162" type="7" refreshedVersion="4"/>
  <connection id="6131" xr16:uid="{00000000-0015-0000-FFFF-FFFF700E0000}" name="接続3163" type="7" refreshedVersion="4"/>
  <connection id="6132" xr16:uid="{00000000-0015-0000-FFFF-FFFF710E0000}" name="接続3164" type="7" refreshedVersion="4"/>
  <connection id="6133" xr16:uid="{00000000-0015-0000-FFFF-FFFF720E0000}" name="接続3165" type="7" refreshedVersion="4"/>
  <connection id="6134" xr16:uid="{00000000-0015-0000-FFFF-FFFF730E0000}" name="接続3166" type="7" refreshedVersion="4"/>
  <connection id="6135" xr16:uid="{00000000-0015-0000-FFFF-FFFF740E0000}" name="接続3167" type="7" refreshedVersion="4"/>
  <connection id="6136" xr16:uid="{00000000-0015-0000-FFFF-FFFF750E0000}" name="接続3168" type="7" refreshedVersion="4"/>
  <connection id="6137" xr16:uid="{00000000-0015-0000-FFFF-FFFF760E0000}" name="接続3169" type="7" refreshedVersion="4"/>
  <connection id="6138" xr16:uid="{00000000-0015-0000-FFFF-FFFF770E0000}" name="接続317" type="7" refreshedVersion="4"/>
  <connection id="6139" xr16:uid="{00000000-0015-0000-FFFF-FFFF780E0000}" name="接続3170" type="7" refreshedVersion="4"/>
  <connection id="6140" xr16:uid="{00000000-0015-0000-FFFF-FFFF790E0000}" name="接続3171" type="7" refreshedVersion="4"/>
  <connection id="6141" xr16:uid="{00000000-0015-0000-FFFF-FFFF7A0E0000}" name="接続3172" type="7" refreshedVersion="4"/>
  <connection id="6142" xr16:uid="{00000000-0015-0000-FFFF-FFFF7B0E0000}" name="接続3173" type="7" refreshedVersion="4"/>
  <connection id="6143" xr16:uid="{00000000-0015-0000-FFFF-FFFF7C0E0000}" name="接続3174" type="7" refreshedVersion="4"/>
  <connection id="6144" xr16:uid="{00000000-0015-0000-FFFF-FFFF7D0E0000}" name="接続3175" type="7" refreshedVersion="4"/>
  <connection id="6145" xr16:uid="{00000000-0015-0000-FFFF-FFFF7E0E0000}" name="接続3176" type="7" refreshedVersion="4"/>
  <connection id="6146" xr16:uid="{00000000-0015-0000-FFFF-FFFF7F0E0000}" name="接続3177" type="7" refreshedVersion="4"/>
  <connection id="6147" xr16:uid="{00000000-0015-0000-FFFF-FFFF800E0000}" name="接続3178" type="7" refreshedVersion="4"/>
  <connection id="6148" xr16:uid="{00000000-0015-0000-FFFF-FFFF810E0000}" name="接続3179" type="7" refreshedVersion="4"/>
  <connection id="6149" xr16:uid="{00000000-0015-0000-FFFF-FFFF820E0000}" name="接続318" type="7" refreshedVersion="4"/>
  <connection id="6150" xr16:uid="{00000000-0015-0000-FFFF-FFFF830E0000}" name="接続3180" type="7" refreshedVersion="4"/>
  <connection id="6151" xr16:uid="{00000000-0015-0000-FFFF-FFFF840E0000}" name="接続3181" type="7" refreshedVersion="4"/>
  <connection id="6152" xr16:uid="{00000000-0015-0000-FFFF-FFFF850E0000}" name="接続3182" type="7" refreshedVersion="4"/>
  <connection id="6153" xr16:uid="{00000000-0015-0000-FFFF-FFFF860E0000}" name="接続3183" type="7" refreshedVersion="4"/>
  <connection id="6154" xr16:uid="{00000000-0015-0000-FFFF-FFFF870E0000}" name="接続3184" type="7" refreshedVersion="4"/>
  <connection id="6155" xr16:uid="{00000000-0015-0000-FFFF-FFFF880E0000}" name="接続3185" type="7" refreshedVersion="4"/>
  <connection id="6156" xr16:uid="{00000000-0015-0000-FFFF-FFFF890E0000}" name="接続3186" type="7" refreshedVersion="4"/>
  <connection id="6157" xr16:uid="{00000000-0015-0000-FFFF-FFFF8A0E0000}" name="接続3187" type="7" refreshedVersion="4"/>
  <connection id="6158" xr16:uid="{00000000-0015-0000-FFFF-FFFF8B0E0000}" name="接続3188" type="7" refreshedVersion="4"/>
  <connection id="6159" xr16:uid="{00000000-0015-0000-FFFF-FFFF8C0E0000}" name="接続3189" type="7" refreshedVersion="4"/>
  <connection id="6160" xr16:uid="{00000000-0015-0000-FFFF-FFFF8D0E0000}" name="接続319" type="7" refreshedVersion="4"/>
  <connection id="6161" xr16:uid="{00000000-0015-0000-FFFF-FFFF8E0E0000}" name="接続3190" type="7" refreshedVersion="4"/>
  <connection id="6162" xr16:uid="{00000000-0015-0000-FFFF-FFFF8F0E0000}" name="接続3191" type="7" refreshedVersion="4"/>
  <connection id="6163" xr16:uid="{00000000-0015-0000-FFFF-FFFF900E0000}" name="接続3192" type="7" refreshedVersion="4"/>
  <connection id="6164" xr16:uid="{00000000-0015-0000-FFFF-FFFF910E0000}" name="接続3193" type="7" refreshedVersion="4"/>
  <connection id="6165" xr16:uid="{00000000-0015-0000-FFFF-FFFF920E0000}" name="接続3194" type="7" refreshedVersion="4"/>
  <connection id="6166" xr16:uid="{00000000-0015-0000-FFFF-FFFF930E0000}" name="接続3195" type="7" refreshedVersion="4"/>
  <connection id="6167" xr16:uid="{00000000-0015-0000-FFFF-FFFF940E0000}" name="接続3196" type="7" refreshedVersion="4"/>
  <connection id="6168" xr16:uid="{00000000-0015-0000-FFFF-FFFF950E0000}" name="接続3197" type="7" refreshedVersion="4"/>
  <connection id="6169" xr16:uid="{00000000-0015-0000-FFFF-FFFF960E0000}" name="接続3198" type="7" refreshedVersion="4"/>
  <connection id="6170" xr16:uid="{00000000-0015-0000-FFFF-FFFF970E0000}" name="接続3199" type="7" refreshedVersion="4"/>
  <connection id="6171" xr16:uid="{00000000-0015-0000-FFFF-FFFF980E0000}" name="接続32" type="7" refreshedVersion="4"/>
  <connection id="6172" xr16:uid="{00000000-0015-0000-FFFF-FFFF990E0000}" name="接続320" type="7" refreshedVersion="4"/>
  <connection id="6173" xr16:uid="{00000000-0015-0000-FFFF-FFFF9A0E0000}" name="接続3200" type="7" refreshedVersion="4"/>
  <connection id="6174" xr16:uid="{00000000-0015-0000-FFFF-FFFF9B0E0000}" name="接続3201" type="7" refreshedVersion="4"/>
  <connection id="6175" xr16:uid="{00000000-0015-0000-FFFF-FFFF9C0E0000}" name="接続3202" type="7" refreshedVersion="4"/>
  <connection id="6176" xr16:uid="{00000000-0015-0000-FFFF-FFFF9D0E0000}" name="接続3203" type="7" refreshedVersion="4"/>
  <connection id="6177" xr16:uid="{00000000-0015-0000-FFFF-FFFF9E0E0000}" name="接続3204" type="7" refreshedVersion="4"/>
  <connection id="6178" xr16:uid="{00000000-0015-0000-FFFF-FFFF9F0E0000}" name="接続3205" type="7" refreshedVersion="4"/>
  <connection id="6179" xr16:uid="{00000000-0015-0000-FFFF-FFFFA00E0000}" name="接続3206" type="7" refreshedVersion="4"/>
  <connection id="6180" xr16:uid="{00000000-0015-0000-FFFF-FFFFA10E0000}" name="接続3207" type="7" refreshedVersion="4"/>
  <connection id="6181" xr16:uid="{00000000-0015-0000-FFFF-FFFFA20E0000}" name="接続3208" type="7" refreshedVersion="4"/>
  <connection id="6182" xr16:uid="{00000000-0015-0000-FFFF-FFFFA30E0000}" name="接続3209" type="7" refreshedVersion="4"/>
  <connection id="6183" xr16:uid="{00000000-0015-0000-FFFF-FFFFA40E0000}" name="接続321" type="7" refreshedVersion="4"/>
  <connection id="6184" xr16:uid="{00000000-0015-0000-FFFF-FFFFA50E0000}" name="接続3210" type="7" refreshedVersion="4"/>
  <connection id="6185" xr16:uid="{00000000-0015-0000-FFFF-FFFFA60E0000}" name="接続3211" type="7" refreshedVersion="4"/>
  <connection id="6186" xr16:uid="{00000000-0015-0000-FFFF-FFFFA70E0000}" name="接続3212" type="7" refreshedVersion="4"/>
  <connection id="6187" xr16:uid="{00000000-0015-0000-FFFF-FFFFA80E0000}" name="接続3213" type="7" refreshedVersion="4"/>
  <connection id="6188" xr16:uid="{00000000-0015-0000-FFFF-FFFFA90E0000}" name="接続3214" type="7" refreshedVersion="4"/>
  <connection id="6189" xr16:uid="{00000000-0015-0000-FFFF-FFFFAA0E0000}" name="接続3215" type="7" refreshedVersion="4"/>
  <connection id="6190" xr16:uid="{00000000-0015-0000-FFFF-FFFFAB0E0000}" name="接続3216" type="7" refreshedVersion="4"/>
  <connection id="6191" xr16:uid="{00000000-0015-0000-FFFF-FFFFAC0E0000}" name="接続3217" type="7" refreshedVersion="4"/>
  <connection id="6192" xr16:uid="{00000000-0015-0000-FFFF-FFFFAD0E0000}" name="接続3218" type="7" refreshedVersion="4"/>
  <connection id="6193" xr16:uid="{00000000-0015-0000-FFFF-FFFFAE0E0000}" name="接続3219" type="7" refreshedVersion="4"/>
  <connection id="6194" xr16:uid="{00000000-0015-0000-FFFF-FFFFAF0E0000}" name="接続322" type="7" refreshedVersion="4"/>
  <connection id="6195" xr16:uid="{00000000-0015-0000-FFFF-FFFFB00E0000}" name="接続3220" type="7" refreshedVersion="4"/>
  <connection id="6196" xr16:uid="{00000000-0015-0000-FFFF-FFFFB10E0000}" name="接続3221" type="7" refreshedVersion="4"/>
  <connection id="6197" xr16:uid="{00000000-0015-0000-FFFF-FFFFB20E0000}" name="接続3222" type="7" refreshedVersion="4"/>
  <connection id="6198" xr16:uid="{00000000-0015-0000-FFFF-FFFFB30E0000}" name="接続3223" type="7" refreshedVersion="4"/>
  <connection id="6199" xr16:uid="{00000000-0015-0000-FFFF-FFFFB40E0000}" name="接続3224" type="7" refreshedVersion="4"/>
  <connection id="6200" xr16:uid="{00000000-0015-0000-FFFF-FFFFB50E0000}" name="接続3225" type="7" refreshedVersion="4"/>
  <connection id="6201" xr16:uid="{00000000-0015-0000-FFFF-FFFFB60E0000}" name="接続3226" type="7" refreshedVersion="4"/>
  <connection id="6202" xr16:uid="{00000000-0015-0000-FFFF-FFFFB70E0000}" name="接続3227" type="7" refreshedVersion="4"/>
  <connection id="6203" xr16:uid="{00000000-0015-0000-FFFF-FFFFB80E0000}" name="接続3228" type="7" refreshedVersion="4"/>
  <connection id="6204" xr16:uid="{00000000-0015-0000-FFFF-FFFFB90E0000}" name="接続3229" type="7" refreshedVersion="4"/>
  <connection id="6205" xr16:uid="{00000000-0015-0000-FFFF-FFFFBA0E0000}" name="接続323" type="7" refreshedVersion="4"/>
  <connection id="6206" xr16:uid="{00000000-0015-0000-FFFF-FFFFBB0E0000}" name="接続3230" type="7" refreshedVersion="4"/>
  <connection id="6207" xr16:uid="{00000000-0015-0000-FFFF-FFFFBC0E0000}" name="接続3231" type="7" refreshedVersion="4"/>
  <connection id="6208" xr16:uid="{00000000-0015-0000-FFFF-FFFFBD0E0000}" name="接続3232" type="7" refreshedVersion="4"/>
  <connection id="6209" xr16:uid="{00000000-0015-0000-FFFF-FFFFBE0E0000}" name="接続3233" type="7" refreshedVersion="4"/>
  <connection id="6210" xr16:uid="{00000000-0015-0000-FFFF-FFFFBF0E0000}" name="接続3234" type="7" refreshedVersion="4"/>
  <connection id="6211" xr16:uid="{00000000-0015-0000-FFFF-FFFFC00E0000}" name="接続3235" type="7" refreshedVersion="4"/>
  <connection id="6212" xr16:uid="{00000000-0015-0000-FFFF-FFFFC10E0000}" name="接続3236" type="7" refreshedVersion="4"/>
  <connection id="6213" xr16:uid="{00000000-0015-0000-FFFF-FFFFC20E0000}" name="接続3237" type="7" refreshedVersion="4"/>
  <connection id="6214" xr16:uid="{00000000-0015-0000-FFFF-FFFFC30E0000}" name="接続3238" type="7" refreshedVersion="4"/>
  <connection id="6215" xr16:uid="{00000000-0015-0000-FFFF-FFFFC40E0000}" name="接続3239" type="7" refreshedVersion="4"/>
  <connection id="6216" xr16:uid="{00000000-0015-0000-FFFF-FFFFC50E0000}" name="接続324" type="7" refreshedVersion="4"/>
  <connection id="6217" xr16:uid="{00000000-0015-0000-FFFF-FFFFC60E0000}" name="接続3240" type="7" refreshedVersion="4"/>
  <connection id="6218" xr16:uid="{00000000-0015-0000-FFFF-FFFFC70E0000}" name="接続3241" type="7" refreshedVersion="4"/>
  <connection id="6219" xr16:uid="{00000000-0015-0000-FFFF-FFFFC80E0000}" name="接続3242" type="7" refreshedVersion="4"/>
  <connection id="6220" xr16:uid="{00000000-0015-0000-FFFF-FFFFC90E0000}" name="接続3243" type="7" refreshedVersion="4"/>
  <connection id="6221" xr16:uid="{00000000-0015-0000-FFFF-FFFFCA0E0000}" name="接続3244" type="7" refreshedVersion="4"/>
  <connection id="6222" xr16:uid="{00000000-0015-0000-FFFF-FFFFCB0E0000}" name="接続3245" type="7" refreshedVersion="4"/>
  <connection id="6223" xr16:uid="{00000000-0015-0000-FFFF-FFFFCC0E0000}" name="接続3246" type="7" refreshedVersion="4"/>
  <connection id="6224" xr16:uid="{00000000-0015-0000-FFFF-FFFFCD0E0000}" name="接続3247" type="7" refreshedVersion="4"/>
  <connection id="6225" xr16:uid="{00000000-0015-0000-FFFF-FFFFCE0E0000}" name="接続3248" type="7" refreshedVersion="4"/>
  <connection id="6226" xr16:uid="{00000000-0015-0000-FFFF-FFFFCF0E0000}" name="接続3249" type="7" refreshedVersion="4"/>
  <connection id="6227" xr16:uid="{00000000-0015-0000-FFFF-FFFFD00E0000}" name="接続325" type="7" refreshedVersion="4"/>
  <connection id="6228" xr16:uid="{00000000-0015-0000-FFFF-FFFFD10E0000}" name="接続3250" type="7" refreshedVersion="4"/>
  <connection id="6229" xr16:uid="{00000000-0015-0000-FFFF-FFFFD20E0000}" name="接続3251" type="7" refreshedVersion="4"/>
  <connection id="6230" xr16:uid="{00000000-0015-0000-FFFF-FFFFD30E0000}" name="接続3252" type="7" refreshedVersion="4"/>
  <connection id="6231" xr16:uid="{00000000-0015-0000-FFFF-FFFFD40E0000}" name="接続3253" type="7" refreshedVersion="4"/>
  <connection id="6232" xr16:uid="{00000000-0015-0000-FFFF-FFFFD50E0000}" name="接続3254" type="7" refreshedVersion="4"/>
  <connection id="6233" xr16:uid="{00000000-0015-0000-FFFF-FFFFD60E0000}" name="接続3255" type="7" refreshedVersion="4"/>
  <connection id="6234" xr16:uid="{00000000-0015-0000-FFFF-FFFFD70E0000}" name="接続3256" type="7" refreshedVersion="4"/>
  <connection id="6235" xr16:uid="{00000000-0015-0000-FFFF-FFFFD80E0000}" name="接続3257" type="7" refreshedVersion="4"/>
  <connection id="6236" xr16:uid="{00000000-0015-0000-FFFF-FFFFD90E0000}" name="接続3258" type="7" refreshedVersion="4"/>
  <connection id="6237" xr16:uid="{00000000-0015-0000-FFFF-FFFFDA0E0000}" name="接続3259" type="7" refreshedVersion="4"/>
  <connection id="6238" xr16:uid="{00000000-0015-0000-FFFF-FFFFDB0E0000}" name="接続326" type="7" refreshedVersion="4"/>
  <connection id="6239" xr16:uid="{00000000-0015-0000-FFFF-FFFFDC0E0000}" name="接続3260" type="7" refreshedVersion="4"/>
  <connection id="6240" xr16:uid="{00000000-0015-0000-FFFF-FFFFDD0E0000}" name="接続3261" type="7" refreshedVersion="4"/>
  <connection id="6241" xr16:uid="{00000000-0015-0000-FFFF-FFFFDE0E0000}" name="接続3262" type="7" refreshedVersion="4"/>
  <connection id="6242" xr16:uid="{00000000-0015-0000-FFFF-FFFFDF0E0000}" name="接続3263" type="7" refreshedVersion="4"/>
  <connection id="6243" xr16:uid="{00000000-0015-0000-FFFF-FFFFE00E0000}" name="接続3264" type="7" refreshedVersion="4"/>
  <connection id="6244" xr16:uid="{00000000-0015-0000-FFFF-FFFFE10E0000}" name="接続3265" type="7" refreshedVersion="4"/>
  <connection id="6245" xr16:uid="{00000000-0015-0000-FFFF-FFFFE20E0000}" name="接続3266" type="7" refreshedVersion="4"/>
  <connection id="6246" xr16:uid="{00000000-0015-0000-FFFF-FFFFE30E0000}" name="接続3267" type="7" refreshedVersion="4"/>
  <connection id="6247" xr16:uid="{00000000-0015-0000-FFFF-FFFFE40E0000}" name="接続3268" type="7" refreshedVersion="4"/>
  <connection id="6248" xr16:uid="{00000000-0015-0000-FFFF-FFFFE50E0000}" name="接続3269" type="7" refreshedVersion="4"/>
  <connection id="6249" xr16:uid="{00000000-0015-0000-FFFF-FFFFE60E0000}" name="接続327" type="7" refreshedVersion="4"/>
  <connection id="6250" xr16:uid="{00000000-0015-0000-FFFF-FFFFE70E0000}" name="接続3270" type="7" refreshedVersion="4"/>
  <connection id="6251" xr16:uid="{00000000-0015-0000-FFFF-FFFFE80E0000}" name="接続3271" type="7" refreshedVersion="4"/>
  <connection id="6252" xr16:uid="{00000000-0015-0000-FFFF-FFFFE90E0000}" name="接続3272" type="7" refreshedVersion="4"/>
  <connection id="6253" xr16:uid="{00000000-0015-0000-FFFF-FFFFEA0E0000}" name="接続3273" type="7" refreshedVersion="4"/>
  <connection id="6254" xr16:uid="{00000000-0015-0000-FFFF-FFFFEB0E0000}" name="接続3274" type="7" refreshedVersion="4"/>
  <connection id="6255" xr16:uid="{00000000-0015-0000-FFFF-FFFFEC0E0000}" name="接続3275" type="7" refreshedVersion="4"/>
  <connection id="6256" xr16:uid="{00000000-0015-0000-FFFF-FFFFED0E0000}" name="接続3276" type="7" refreshedVersion="4"/>
  <connection id="6257" xr16:uid="{00000000-0015-0000-FFFF-FFFFEE0E0000}" name="接続3277" type="7" refreshedVersion="4"/>
  <connection id="6258" xr16:uid="{00000000-0015-0000-FFFF-FFFFEF0E0000}" name="接続3278" type="7" refreshedVersion="4"/>
  <connection id="6259" xr16:uid="{00000000-0015-0000-FFFF-FFFFF00E0000}" name="接続3279" type="7" refreshedVersion="4"/>
  <connection id="6260" xr16:uid="{00000000-0015-0000-FFFF-FFFFF10E0000}" name="接続328" type="7" refreshedVersion="4"/>
  <connection id="6261" xr16:uid="{00000000-0015-0000-FFFF-FFFFF20E0000}" name="接続3280" type="7" refreshedVersion="4"/>
  <connection id="6262" xr16:uid="{00000000-0015-0000-FFFF-FFFFF30E0000}" name="接続3281" type="7" refreshedVersion="4"/>
  <connection id="6263" xr16:uid="{00000000-0015-0000-FFFF-FFFFF40E0000}" name="接続3282" type="7" refreshedVersion="4"/>
  <connection id="6264" xr16:uid="{00000000-0015-0000-FFFF-FFFFF50E0000}" name="接続3283" type="7" refreshedVersion="4"/>
  <connection id="6265" xr16:uid="{00000000-0015-0000-FFFF-FFFFF60E0000}" name="接続3284" type="7" refreshedVersion="4"/>
  <connection id="6266" xr16:uid="{00000000-0015-0000-FFFF-FFFFF70E0000}" name="接続3285" type="7" refreshedVersion="4"/>
  <connection id="6267" xr16:uid="{00000000-0015-0000-FFFF-FFFFF80E0000}" name="接続3286" type="7" refreshedVersion="4"/>
  <connection id="6268" xr16:uid="{00000000-0015-0000-FFFF-FFFFF90E0000}" name="接続3287" type="7" refreshedVersion="4"/>
  <connection id="6269" xr16:uid="{00000000-0015-0000-FFFF-FFFFFA0E0000}" name="接続3288" type="7" refreshedVersion="4"/>
  <connection id="6270" xr16:uid="{00000000-0015-0000-FFFF-FFFFFB0E0000}" name="接続3289" type="7" refreshedVersion="4"/>
  <connection id="6271" xr16:uid="{00000000-0015-0000-FFFF-FFFFFC0E0000}" name="接続329" type="7" refreshedVersion="4"/>
  <connection id="6272" xr16:uid="{00000000-0015-0000-FFFF-FFFFFD0E0000}" name="接続3290" type="7" refreshedVersion="4"/>
  <connection id="6273" xr16:uid="{00000000-0015-0000-FFFF-FFFFFE0E0000}" name="接続3291" type="7" refreshedVersion="4"/>
  <connection id="6274" xr16:uid="{00000000-0015-0000-FFFF-FFFFFF0E0000}" name="接続3292" type="7" refreshedVersion="4"/>
  <connection id="6275" xr16:uid="{00000000-0015-0000-FFFF-FFFF000F0000}" name="接続3293" type="7" refreshedVersion="4"/>
  <connection id="6276" xr16:uid="{00000000-0015-0000-FFFF-FFFF010F0000}" name="接続3294" type="7" refreshedVersion="4"/>
  <connection id="6277" xr16:uid="{00000000-0015-0000-FFFF-FFFF020F0000}" name="接続3295" type="7" refreshedVersion="4"/>
  <connection id="6278" xr16:uid="{00000000-0015-0000-FFFF-FFFF030F0000}" name="接続3296" type="7" refreshedVersion="4"/>
  <connection id="6279" xr16:uid="{00000000-0015-0000-FFFF-FFFF040F0000}" name="接続3297" type="7" refreshedVersion="4"/>
  <connection id="6280" xr16:uid="{00000000-0015-0000-FFFF-FFFF050F0000}" name="接続3298" type="7" refreshedVersion="4"/>
  <connection id="6281" xr16:uid="{00000000-0015-0000-FFFF-FFFF060F0000}" name="接続3299" type="7" refreshedVersion="4"/>
  <connection id="6282" xr16:uid="{00000000-0015-0000-FFFF-FFFF070F0000}" name="接続33" type="7" refreshedVersion="4"/>
  <connection id="6283" xr16:uid="{00000000-0015-0000-FFFF-FFFF080F0000}" name="接続330" type="7" refreshedVersion="4"/>
  <connection id="6284" xr16:uid="{00000000-0015-0000-FFFF-FFFF090F0000}" name="接続3300" type="7" refreshedVersion="4"/>
  <connection id="6285" xr16:uid="{00000000-0015-0000-FFFF-FFFF0A0F0000}" name="接続3301" type="7" refreshedVersion="4"/>
  <connection id="6286" xr16:uid="{00000000-0015-0000-FFFF-FFFF0B0F0000}" name="接続3302" type="7" refreshedVersion="4"/>
  <connection id="6287" xr16:uid="{00000000-0015-0000-FFFF-FFFF0C0F0000}" name="接続3303" type="7" refreshedVersion="4"/>
  <connection id="6288" xr16:uid="{00000000-0015-0000-FFFF-FFFF0D0F0000}" name="接続3304" type="7" refreshedVersion="4"/>
  <connection id="6289" xr16:uid="{00000000-0015-0000-FFFF-FFFF0E0F0000}" name="接続3305" type="7" refreshedVersion="4"/>
  <connection id="6290" xr16:uid="{00000000-0015-0000-FFFF-FFFF0F0F0000}" name="接続3306" type="7" refreshedVersion="4"/>
  <connection id="6291" xr16:uid="{00000000-0015-0000-FFFF-FFFF100F0000}" name="接続3307" type="7" refreshedVersion="4"/>
  <connection id="6292" xr16:uid="{00000000-0015-0000-FFFF-FFFF110F0000}" name="接続3308" type="7" refreshedVersion="4"/>
  <connection id="6293" xr16:uid="{00000000-0015-0000-FFFF-FFFF120F0000}" name="接続3309" type="7" refreshedVersion="4"/>
  <connection id="6294" xr16:uid="{00000000-0015-0000-FFFF-FFFF130F0000}" name="接続331" type="7" refreshedVersion="4"/>
  <connection id="6295" xr16:uid="{00000000-0015-0000-FFFF-FFFF140F0000}" name="接続3310" type="7" refreshedVersion="4"/>
  <connection id="6296" xr16:uid="{00000000-0015-0000-FFFF-FFFF150F0000}" name="接続3311" type="7" refreshedVersion="4"/>
  <connection id="6297" xr16:uid="{00000000-0015-0000-FFFF-FFFF160F0000}" name="接続3312" type="7" refreshedVersion="4"/>
  <connection id="6298" xr16:uid="{00000000-0015-0000-FFFF-FFFF170F0000}" name="接続3313" type="7" refreshedVersion="4"/>
  <connection id="6299" xr16:uid="{00000000-0015-0000-FFFF-FFFF180F0000}" name="接続3314" type="7" refreshedVersion="4"/>
  <connection id="6300" xr16:uid="{00000000-0015-0000-FFFF-FFFF190F0000}" name="接続3315" type="7" refreshedVersion="4"/>
  <connection id="6301" xr16:uid="{00000000-0015-0000-FFFF-FFFF1A0F0000}" name="接続3316" type="7" refreshedVersion="4"/>
  <connection id="6302" xr16:uid="{00000000-0015-0000-FFFF-FFFF1B0F0000}" name="接続3317" type="7" refreshedVersion="4"/>
  <connection id="6303" xr16:uid="{00000000-0015-0000-FFFF-FFFF1C0F0000}" name="接続3318" type="7" refreshedVersion="4"/>
  <connection id="6304" xr16:uid="{00000000-0015-0000-FFFF-FFFF1D0F0000}" name="接続3319" type="7" refreshedVersion="4"/>
  <connection id="6305" xr16:uid="{00000000-0015-0000-FFFF-FFFF1E0F0000}" name="接続332" type="7" refreshedVersion="4"/>
  <connection id="6306" xr16:uid="{00000000-0015-0000-FFFF-FFFF1F0F0000}" name="接続3320" type="7" refreshedVersion="4"/>
  <connection id="6307" xr16:uid="{00000000-0015-0000-FFFF-FFFF200F0000}" name="接続3321" type="7" refreshedVersion="4"/>
  <connection id="6308" xr16:uid="{00000000-0015-0000-FFFF-FFFF210F0000}" name="接続3322" type="7" refreshedVersion="4"/>
  <connection id="6309" xr16:uid="{00000000-0015-0000-FFFF-FFFF220F0000}" name="接続3323" type="7" refreshedVersion="4"/>
  <connection id="6310" xr16:uid="{00000000-0015-0000-FFFF-FFFF230F0000}" name="接続3324" type="7" refreshedVersion="4"/>
  <connection id="6311" xr16:uid="{00000000-0015-0000-FFFF-FFFF240F0000}" name="接続3325" type="7" refreshedVersion="4"/>
  <connection id="6312" xr16:uid="{00000000-0015-0000-FFFF-FFFF250F0000}" name="接続3326" type="7" refreshedVersion="4"/>
  <connection id="6313" xr16:uid="{00000000-0015-0000-FFFF-FFFF260F0000}" name="接続3327" type="7" refreshedVersion="4"/>
  <connection id="6314" xr16:uid="{00000000-0015-0000-FFFF-FFFF270F0000}" name="接続3328" type="7" refreshedVersion="4"/>
  <connection id="6315" xr16:uid="{00000000-0015-0000-FFFF-FFFF280F0000}" name="接続3329" type="7" refreshedVersion="4"/>
  <connection id="6316" xr16:uid="{00000000-0015-0000-FFFF-FFFF290F0000}" name="接続333" type="7" refreshedVersion="4"/>
  <connection id="6317" xr16:uid="{00000000-0015-0000-FFFF-FFFF2A0F0000}" name="接続3330" type="7" refreshedVersion="4"/>
  <connection id="6318" xr16:uid="{00000000-0015-0000-FFFF-FFFF2B0F0000}" name="接続3331" type="7" refreshedVersion="4"/>
  <connection id="6319" xr16:uid="{00000000-0015-0000-FFFF-FFFF2C0F0000}" name="接続3332" type="7" refreshedVersion="4"/>
  <connection id="6320" xr16:uid="{00000000-0015-0000-FFFF-FFFF2D0F0000}" name="接続3333" type="7" refreshedVersion="4"/>
  <connection id="6321" xr16:uid="{00000000-0015-0000-FFFF-FFFF2E0F0000}" name="接続3334" type="7" refreshedVersion="4"/>
  <connection id="6322" xr16:uid="{00000000-0015-0000-FFFF-FFFF2F0F0000}" name="接続3335" type="7" refreshedVersion="4"/>
  <connection id="6323" xr16:uid="{00000000-0015-0000-FFFF-FFFF300F0000}" name="接続3336" type="7" refreshedVersion="4"/>
  <connection id="6324" xr16:uid="{00000000-0015-0000-FFFF-FFFF310F0000}" name="接続3337" type="7" refreshedVersion="4"/>
  <connection id="6325" xr16:uid="{00000000-0015-0000-FFFF-FFFF320F0000}" name="接続3338" type="7" refreshedVersion="4"/>
  <connection id="6326" xr16:uid="{00000000-0015-0000-FFFF-FFFF330F0000}" name="接続3339" type="7" refreshedVersion="4"/>
  <connection id="6327" xr16:uid="{00000000-0015-0000-FFFF-FFFF340F0000}" name="接続334" type="7" refreshedVersion="4"/>
  <connection id="6328" xr16:uid="{00000000-0015-0000-FFFF-FFFF350F0000}" name="接続3340" type="7" refreshedVersion="4"/>
  <connection id="6329" xr16:uid="{00000000-0015-0000-FFFF-FFFF360F0000}" name="接続3341" type="7" refreshedVersion="4"/>
  <connection id="6330" xr16:uid="{00000000-0015-0000-FFFF-FFFF370F0000}" name="接続3342" type="7" refreshedVersion="4"/>
  <connection id="6331" xr16:uid="{00000000-0015-0000-FFFF-FFFF380F0000}" name="接続3343" type="7" refreshedVersion="4"/>
  <connection id="6332" xr16:uid="{00000000-0015-0000-FFFF-FFFF390F0000}" name="接続3344" type="7" refreshedVersion="4"/>
  <connection id="6333" xr16:uid="{00000000-0015-0000-FFFF-FFFF3A0F0000}" name="接続3345" type="7" refreshedVersion="4"/>
  <connection id="6334" xr16:uid="{00000000-0015-0000-FFFF-FFFF3B0F0000}" name="接続3346" type="7" refreshedVersion="4"/>
  <connection id="6335" xr16:uid="{00000000-0015-0000-FFFF-FFFF3C0F0000}" name="接続3347" type="7" refreshedVersion="4"/>
  <connection id="6336" xr16:uid="{00000000-0015-0000-FFFF-FFFF3D0F0000}" name="接続3348" type="7" refreshedVersion="4"/>
  <connection id="6337" xr16:uid="{00000000-0015-0000-FFFF-FFFF3E0F0000}" name="接続3349" type="7" refreshedVersion="4"/>
  <connection id="6338" xr16:uid="{00000000-0015-0000-FFFF-FFFF3F0F0000}" name="接続335" type="7" refreshedVersion="4"/>
  <connection id="6339" xr16:uid="{00000000-0015-0000-FFFF-FFFF400F0000}" name="接続3350" type="7" refreshedVersion="4"/>
  <connection id="6340" xr16:uid="{00000000-0015-0000-FFFF-FFFF410F0000}" name="接続3351" type="7" refreshedVersion="4"/>
  <connection id="6341" xr16:uid="{00000000-0015-0000-FFFF-FFFF420F0000}" name="接続3352" type="7" refreshedVersion="4"/>
  <connection id="6342" xr16:uid="{00000000-0015-0000-FFFF-FFFF430F0000}" name="接続3353" type="7" refreshedVersion="4"/>
  <connection id="6343" xr16:uid="{00000000-0015-0000-FFFF-FFFF440F0000}" name="接続3354" type="7" refreshedVersion="4"/>
  <connection id="6344" xr16:uid="{00000000-0015-0000-FFFF-FFFF450F0000}" name="接続3355" type="7" refreshedVersion="4"/>
  <connection id="6345" xr16:uid="{00000000-0015-0000-FFFF-FFFF460F0000}" name="接続3356" type="7" refreshedVersion="4"/>
  <connection id="6346" xr16:uid="{00000000-0015-0000-FFFF-FFFF470F0000}" name="接続3357" type="7" refreshedVersion="4"/>
  <connection id="6347" xr16:uid="{00000000-0015-0000-FFFF-FFFF480F0000}" name="接続3358" type="7" refreshedVersion="4"/>
  <connection id="6348" xr16:uid="{00000000-0015-0000-FFFF-FFFF490F0000}" name="接続3359" type="7" refreshedVersion="4"/>
  <connection id="6349" xr16:uid="{00000000-0015-0000-FFFF-FFFF4A0F0000}" name="接続336" type="7" refreshedVersion="4"/>
  <connection id="6350" xr16:uid="{00000000-0015-0000-FFFF-FFFF4B0F0000}" name="接続3360" type="7" refreshedVersion="4"/>
  <connection id="6351" xr16:uid="{00000000-0015-0000-FFFF-FFFF4C0F0000}" name="接続3361" type="7" refreshedVersion="4"/>
  <connection id="6352" xr16:uid="{00000000-0015-0000-FFFF-FFFF4D0F0000}" name="接続3362" type="7" refreshedVersion="4"/>
  <connection id="6353" xr16:uid="{00000000-0015-0000-FFFF-FFFF4E0F0000}" name="接続3363" type="7" refreshedVersion="4"/>
  <connection id="6354" xr16:uid="{00000000-0015-0000-FFFF-FFFF4F0F0000}" name="接続3364" type="7" refreshedVersion="4"/>
  <connection id="6355" xr16:uid="{00000000-0015-0000-FFFF-FFFF500F0000}" name="接続3365" type="7" refreshedVersion="4"/>
  <connection id="6356" xr16:uid="{00000000-0015-0000-FFFF-FFFF510F0000}" name="接続3366" type="7" refreshedVersion="4"/>
  <connection id="6357" xr16:uid="{00000000-0015-0000-FFFF-FFFF520F0000}" name="接続3367" type="7" refreshedVersion="4"/>
  <connection id="6358" xr16:uid="{00000000-0015-0000-FFFF-FFFF530F0000}" name="接続3368" type="7" refreshedVersion="4"/>
  <connection id="6359" xr16:uid="{00000000-0015-0000-FFFF-FFFF540F0000}" name="接続3369" type="7" refreshedVersion="4"/>
  <connection id="6360" xr16:uid="{00000000-0015-0000-FFFF-FFFF550F0000}" name="接続337" type="7" refreshedVersion="4"/>
  <connection id="6361" xr16:uid="{00000000-0015-0000-FFFF-FFFF560F0000}" name="接続3370" type="7" refreshedVersion="4"/>
  <connection id="6362" xr16:uid="{00000000-0015-0000-FFFF-FFFF570F0000}" name="接続3371" type="7" refreshedVersion="4"/>
  <connection id="6363" xr16:uid="{00000000-0015-0000-FFFF-FFFF580F0000}" name="接続3372" type="7" refreshedVersion="4"/>
  <connection id="6364" xr16:uid="{00000000-0015-0000-FFFF-FFFF590F0000}" name="接続3373" type="7" refreshedVersion="4"/>
  <connection id="6365" xr16:uid="{00000000-0015-0000-FFFF-FFFF5A0F0000}" name="接続3374" type="7" refreshedVersion="4"/>
  <connection id="6366" xr16:uid="{00000000-0015-0000-FFFF-FFFF5B0F0000}" name="接続3375" type="7" refreshedVersion="4"/>
  <connection id="6367" xr16:uid="{00000000-0015-0000-FFFF-FFFF5C0F0000}" name="接続3376" type="7" refreshedVersion="4"/>
  <connection id="6368" xr16:uid="{00000000-0015-0000-FFFF-FFFF5D0F0000}" name="接続3377" type="7" refreshedVersion="4"/>
  <connection id="6369" xr16:uid="{00000000-0015-0000-FFFF-FFFF5E0F0000}" name="接続3378" type="7" refreshedVersion="4"/>
  <connection id="6370" xr16:uid="{00000000-0015-0000-FFFF-FFFF5F0F0000}" name="接続3379" type="7" refreshedVersion="4"/>
  <connection id="6371" xr16:uid="{00000000-0015-0000-FFFF-FFFF600F0000}" name="接続338" type="7" refreshedVersion="4"/>
  <connection id="6372" xr16:uid="{00000000-0015-0000-FFFF-FFFF610F0000}" name="接続3380" type="7" refreshedVersion="4"/>
  <connection id="6373" xr16:uid="{00000000-0015-0000-FFFF-FFFF620F0000}" name="接続3381" type="7" refreshedVersion="4"/>
  <connection id="6374" xr16:uid="{00000000-0015-0000-FFFF-FFFF630F0000}" name="接続3382" type="7" refreshedVersion="4"/>
  <connection id="6375" xr16:uid="{00000000-0015-0000-FFFF-FFFF640F0000}" name="接続3383" type="7" refreshedVersion="4"/>
  <connection id="6376" xr16:uid="{00000000-0015-0000-FFFF-FFFF650F0000}" name="接続3384" type="7" refreshedVersion="4"/>
  <connection id="6377" xr16:uid="{00000000-0015-0000-FFFF-FFFF660F0000}" name="接続3385" type="7" refreshedVersion="4"/>
  <connection id="6378" xr16:uid="{00000000-0015-0000-FFFF-FFFF670F0000}" name="接続3386" type="7" refreshedVersion="4"/>
  <connection id="6379" xr16:uid="{00000000-0015-0000-FFFF-FFFF680F0000}" name="接続3387" type="7" refreshedVersion="4"/>
  <connection id="6380" xr16:uid="{00000000-0015-0000-FFFF-FFFF690F0000}" name="接続3388" type="7" refreshedVersion="4"/>
  <connection id="6381" xr16:uid="{00000000-0015-0000-FFFF-FFFF6A0F0000}" name="接続3389" type="7" refreshedVersion="4"/>
  <connection id="6382" xr16:uid="{00000000-0015-0000-FFFF-FFFF6B0F0000}" name="接続339" type="7" refreshedVersion="4"/>
  <connection id="6383" xr16:uid="{00000000-0015-0000-FFFF-FFFF6C0F0000}" name="接続3390" type="7" refreshedVersion="4"/>
  <connection id="6384" xr16:uid="{00000000-0015-0000-FFFF-FFFF6D0F0000}" name="接続3391" type="7" refreshedVersion="4"/>
  <connection id="6385" xr16:uid="{00000000-0015-0000-FFFF-FFFF6E0F0000}" name="接続3392" type="7" refreshedVersion="4"/>
  <connection id="6386" xr16:uid="{00000000-0015-0000-FFFF-FFFF6F0F0000}" name="接続3393" type="7" refreshedVersion="4"/>
  <connection id="6387" xr16:uid="{00000000-0015-0000-FFFF-FFFF700F0000}" name="接続3394" type="7" refreshedVersion="4"/>
  <connection id="6388" xr16:uid="{00000000-0015-0000-FFFF-FFFF710F0000}" name="接続3395" type="7" refreshedVersion="4"/>
  <connection id="6389" xr16:uid="{00000000-0015-0000-FFFF-FFFF720F0000}" name="接続3396" type="7" refreshedVersion="4"/>
  <connection id="6390" xr16:uid="{00000000-0015-0000-FFFF-FFFF730F0000}" name="接続3397" type="7" refreshedVersion="4"/>
  <connection id="6391" xr16:uid="{00000000-0015-0000-FFFF-FFFF740F0000}" name="接続3398" type="7" refreshedVersion="4"/>
  <connection id="6392" xr16:uid="{00000000-0015-0000-FFFF-FFFF750F0000}" name="接続3399" type="7" refreshedVersion="4"/>
  <connection id="6393" xr16:uid="{00000000-0015-0000-FFFF-FFFF760F0000}" name="接続34" type="7" refreshedVersion="4"/>
  <connection id="6394" xr16:uid="{00000000-0015-0000-FFFF-FFFF770F0000}" name="接続340" type="7" refreshedVersion="4"/>
  <connection id="6395" xr16:uid="{00000000-0015-0000-FFFF-FFFF780F0000}" name="接続3400" type="7" refreshedVersion="4"/>
  <connection id="6396" xr16:uid="{00000000-0015-0000-FFFF-FFFF790F0000}" name="接続3401" type="7" refreshedVersion="4"/>
  <connection id="6397" xr16:uid="{00000000-0015-0000-FFFF-FFFF7A0F0000}" name="接続3402" type="7" refreshedVersion="4"/>
  <connection id="6398" xr16:uid="{00000000-0015-0000-FFFF-FFFF7B0F0000}" name="接続3403" type="7" refreshedVersion="4"/>
  <connection id="6399" xr16:uid="{00000000-0015-0000-FFFF-FFFF7C0F0000}" name="接続3404" type="7" refreshedVersion="4"/>
  <connection id="6400" xr16:uid="{00000000-0015-0000-FFFF-FFFF7D0F0000}" name="接続3405" type="7" refreshedVersion="4"/>
  <connection id="6401" xr16:uid="{00000000-0015-0000-FFFF-FFFF7E0F0000}" name="接続3406" type="7" refreshedVersion="4"/>
  <connection id="6402" xr16:uid="{00000000-0015-0000-FFFF-FFFF7F0F0000}" name="接続3407" type="7" refreshedVersion="4"/>
  <connection id="6403" xr16:uid="{00000000-0015-0000-FFFF-FFFF800F0000}" name="接続3408" type="7" refreshedVersion="4"/>
  <connection id="6404" xr16:uid="{00000000-0015-0000-FFFF-FFFF810F0000}" name="接続3409" type="7" refreshedVersion="4"/>
  <connection id="6405" xr16:uid="{00000000-0015-0000-FFFF-FFFF820F0000}" name="接続341" type="7" refreshedVersion="4"/>
  <connection id="6406" xr16:uid="{00000000-0015-0000-FFFF-FFFF830F0000}" name="接続3410" type="7" refreshedVersion="4"/>
  <connection id="6407" xr16:uid="{00000000-0015-0000-FFFF-FFFF840F0000}" name="接続3411" type="7" refreshedVersion="4"/>
  <connection id="6408" xr16:uid="{00000000-0015-0000-FFFF-FFFF850F0000}" name="接続3412" type="7" refreshedVersion="4"/>
  <connection id="6409" xr16:uid="{00000000-0015-0000-FFFF-FFFF860F0000}" name="接続3413" type="7" refreshedVersion="4"/>
  <connection id="6410" xr16:uid="{00000000-0015-0000-FFFF-FFFF870F0000}" name="接続3414" type="7" refreshedVersion="4"/>
  <connection id="6411" xr16:uid="{00000000-0015-0000-FFFF-FFFF880F0000}" name="接続3415" type="7" refreshedVersion="4"/>
  <connection id="6412" xr16:uid="{00000000-0015-0000-FFFF-FFFF890F0000}" name="接続3416" type="7" refreshedVersion="4"/>
  <connection id="6413" xr16:uid="{00000000-0015-0000-FFFF-FFFF8A0F0000}" name="接続3417" type="7" refreshedVersion="4"/>
  <connection id="6414" xr16:uid="{00000000-0015-0000-FFFF-FFFF8B0F0000}" name="接続3418" type="7" refreshedVersion="4"/>
  <connection id="6415" xr16:uid="{00000000-0015-0000-FFFF-FFFF8C0F0000}" name="接続3419" type="7" refreshedVersion="4"/>
  <connection id="6416" xr16:uid="{00000000-0015-0000-FFFF-FFFF8D0F0000}" name="接続342" type="7" refreshedVersion="4"/>
  <connection id="6417" xr16:uid="{00000000-0015-0000-FFFF-FFFF8E0F0000}" name="接続3420" type="7" refreshedVersion="4"/>
  <connection id="6418" xr16:uid="{00000000-0015-0000-FFFF-FFFF8F0F0000}" name="接続3421" type="7" refreshedVersion="4"/>
  <connection id="6419" xr16:uid="{00000000-0015-0000-FFFF-FFFF900F0000}" name="接続3422" type="7" refreshedVersion="4"/>
  <connection id="6420" xr16:uid="{00000000-0015-0000-FFFF-FFFF910F0000}" name="接続3423" type="7" refreshedVersion="4"/>
  <connection id="6421" xr16:uid="{00000000-0015-0000-FFFF-FFFF920F0000}" name="接続3424" type="7" refreshedVersion="4"/>
  <connection id="6422" xr16:uid="{00000000-0015-0000-FFFF-FFFF930F0000}" name="接続3425" type="7" refreshedVersion="4"/>
  <connection id="6423" xr16:uid="{00000000-0015-0000-FFFF-FFFF940F0000}" name="接続3426" type="7" refreshedVersion="4"/>
  <connection id="6424" xr16:uid="{00000000-0015-0000-FFFF-FFFF950F0000}" name="接続3427" type="7" refreshedVersion="4"/>
  <connection id="6425" xr16:uid="{00000000-0015-0000-FFFF-FFFF960F0000}" name="接続3428" type="7" refreshedVersion="4"/>
  <connection id="6426" xr16:uid="{00000000-0015-0000-FFFF-FFFF970F0000}" name="接続3429" type="7" refreshedVersion="4"/>
  <connection id="6427" xr16:uid="{00000000-0015-0000-FFFF-FFFF980F0000}" name="接続343" type="7" refreshedVersion="4"/>
  <connection id="6428" xr16:uid="{00000000-0015-0000-FFFF-FFFF990F0000}" name="接続3430" type="7" refreshedVersion="4"/>
  <connection id="6429" xr16:uid="{00000000-0015-0000-FFFF-FFFF9A0F0000}" name="接続3431" type="7" refreshedVersion="4"/>
  <connection id="6430" xr16:uid="{00000000-0015-0000-FFFF-FFFF9B0F0000}" name="接続3432" type="7" refreshedVersion="4"/>
  <connection id="6431" xr16:uid="{00000000-0015-0000-FFFF-FFFF9C0F0000}" name="接続3433" type="7" refreshedVersion="4"/>
  <connection id="6432" xr16:uid="{00000000-0015-0000-FFFF-FFFF9D0F0000}" name="接続3434" type="7" refreshedVersion="4"/>
  <connection id="6433" xr16:uid="{00000000-0015-0000-FFFF-FFFF9E0F0000}" name="接続3435" type="7" refreshedVersion="4"/>
  <connection id="6434" xr16:uid="{00000000-0015-0000-FFFF-FFFF9F0F0000}" name="接続3436" type="7" refreshedVersion="4"/>
  <connection id="6435" xr16:uid="{00000000-0015-0000-FFFF-FFFFA00F0000}" name="接続3437" type="7" refreshedVersion="4"/>
  <connection id="6436" xr16:uid="{00000000-0015-0000-FFFF-FFFFA10F0000}" name="接続3438" type="7" refreshedVersion="4"/>
  <connection id="6437" xr16:uid="{00000000-0015-0000-FFFF-FFFFA20F0000}" name="接続3439" type="7" refreshedVersion="4"/>
  <connection id="6438" xr16:uid="{00000000-0015-0000-FFFF-FFFFA30F0000}" name="接続344" type="7" refreshedVersion="4"/>
  <connection id="6439" xr16:uid="{00000000-0015-0000-FFFF-FFFFA40F0000}" name="接続3440" type="7" refreshedVersion="4"/>
  <connection id="6440" xr16:uid="{00000000-0015-0000-FFFF-FFFFA50F0000}" name="接続3441" type="7" refreshedVersion="4"/>
  <connection id="6441" xr16:uid="{00000000-0015-0000-FFFF-FFFFA60F0000}" name="接続3442" type="7" refreshedVersion="4"/>
  <connection id="6442" xr16:uid="{00000000-0015-0000-FFFF-FFFFA70F0000}" name="接続3443" type="7" refreshedVersion="4"/>
  <connection id="6443" xr16:uid="{00000000-0015-0000-FFFF-FFFFA80F0000}" name="接続3444" type="7" refreshedVersion="4"/>
  <connection id="6444" xr16:uid="{00000000-0015-0000-FFFF-FFFFA90F0000}" name="接続3445" type="7" refreshedVersion="4"/>
  <connection id="6445" xr16:uid="{00000000-0015-0000-FFFF-FFFFAA0F0000}" name="接続3446" type="7" refreshedVersion="4"/>
  <connection id="6446" xr16:uid="{00000000-0015-0000-FFFF-FFFFAB0F0000}" name="接続3447" type="7" refreshedVersion="4"/>
  <connection id="6447" xr16:uid="{00000000-0015-0000-FFFF-FFFFAC0F0000}" name="接続3448" type="7" refreshedVersion="4"/>
  <connection id="6448" xr16:uid="{00000000-0015-0000-FFFF-FFFFAD0F0000}" name="接続3449" type="7" refreshedVersion="4"/>
  <connection id="6449" xr16:uid="{00000000-0015-0000-FFFF-FFFFAE0F0000}" name="接続345" type="7" refreshedVersion="4"/>
  <connection id="6450" xr16:uid="{00000000-0015-0000-FFFF-FFFFAF0F0000}" name="接続3450" type="7" refreshedVersion="4"/>
  <connection id="6451" xr16:uid="{00000000-0015-0000-FFFF-FFFFB00F0000}" name="接続3451" type="7" refreshedVersion="4"/>
  <connection id="6452" xr16:uid="{00000000-0015-0000-FFFF-FFFFB10F0000}" name="接続3452" type="7" refreshedVersion="4"/>
  <connection id="6453" xr16:uid="{00000000-0015-0000-FFFF-FFFFB20F0000}" name="接続3453" type="7" refreshedVersion="4"/>
  <connection id="6454" xr16:uid="{00000000-0015-0000-FFFF-FFFFB30F0000}" name="接続3454" type="7" refreshedVersion="4"/>
  <connection id="6455" xr16:uid="{00000000-0015-0000-FFFF-FFFFB40F0000}" name="接続3455" type="7" refreshedVersion="4"/>
  <connection id="6456" xr16:uid="{00000000-0015-0000-FFFF-FFFFB50F0000}" name="接続3456" type="7" refreshedVersion="4"/>
  <connection id="6457" xr16:uid="{00000000-0015-0000-FFFF-FFFFB60F0000}" name="接続3457" type="7" refreshedVersion="4"/>
  <connection id="6458" xr16:uid="{00000000-0015-0000-FFFF-FFFFB70F0000}" name="接続3458" type="7" refreshedVersion="4"/>
  <connection id="6459" xr16:uid="{00000000-0015-0000-FFFF-FFFFB80F0000}" name="接続3459" type="7" refreshedVersion="4"/>
  <connection id="6460" xr16:uid="{00000000-0015-0000-FFFF-FFFFB90F0000}" name="接続346" type="7" refreshedVersion="4"/>
  <connection id="6461" xr16:uid="{00000000-0015-0000-FFFF-FFFFBA0F0000}" name="接続3460" type="7" refreshedVersion="4"/>
  <connection id="6462" xr16:uid="{00000000-0015-0000-FFFF-FFFFBB0F0000}" name="接続3461" type="7" refreshedVersion="4"/>
  <connection id="6463" xr16:uid="{00000000-0015-0000-FFFF-FFFFBC0F0000}" name="接続3462" type="7" refreshedVersion="4"/>
  <connection id="6464" xr16:uid="{00000000-0015-0000-FFFF-FFFFBD0F0000}" name="接続3463" type="7" refreshedVersion="4"/>
  <connection id="6465" xr16:uid="{00000000-0015-0000-FFFF-FFFFBE0F0000}" name="接続3464" type="7" refreshedVersion="4"/>
  <connection id="6466" xr16:uid="{00000000-0015-0000-FFFF-FFFFBF0F0000}" name="接続3465" type="7" refreshedVersion="4"/>
  <connection id="6467" xr16:uid="{00000000-0015-0000-FFFF-FFFFC00F0000}" name="接続3466" type="7" refreshedVersion="4"/>
  <connection id="6468" xr16:uid="{00000000-0015-0000-FFFF-FFFFC10F0000}" name="接続3467" type="7" refreshedVersion="4"/>
  <connection id="6469" xr16:uid="{00000000-0015-0000-FFFF-FFFFC20F0000}" name="接続3468" type="7" refreshedVersion="4"/>
  <connection id="6470" xr16:uid="{00000000-0015-0000-FFFF-FFFFC30F0000}" name="接続3469" type="7" refreshedVersion="4"/>
  <connection id="6471" xr16:uid="{00000000-0015-0000-FFFF-FFFFC40F0000}" name="接続347" type="7" refreshedVersion="4"/>
  <connection id="6472" xr16:uid="{00000000-0015-0000-FFFF-FFFFC50F0000}" name="接続3470" type="7" refreshedVersion="4"/>
  <connection id="6473" xr16:uid="{00000000-0015-0000-FFFF-FFFFC60F0000}" name="接続3471" type="7" refreshedVersion="4"/>
  <connection id="6474" xr16:uid="{00000000-0015-0000-FFFF-FFFFC70F0000}" name="接続3472" type="7" refreshedVersion="4"/>
  <connection id="6475" xr16:uid="{00000000-0015-0000-FFFF-FFFFC80F0000}" name="接続3473" type="7" refreshedVersion="4"/>
  <connection id="6476" xr16:uid="{00000000-0015-0000-FFFF-FFFFC90F0000}" name="接続3474" type="7" refreshedVersion="4"/>
  <connection id="6477" xr16:uid="{00000000-0015-0000-FFFF-FFFFCA0F0000}" name="接続3475" type="7" refreshedVersion="4"/>
  <connection id="6478" xr16:uid="{00000000-0015-0000-FFFF-FFFFCB0F0000}" name="接続3476" type="7" refreshedVersion="4"/>
  <connection id="6479" xr16:uid="{00000000-0015-0000-FFFF-FFFFCC0F0000}" name="接続3477" type="7" refreshedVersion="4"/>
  <connection id="6480" xr16:uid="{00000000-0015-0000-FFFF-FFFFCD0F0000}" name="接続3478" type="7" refreshedVersion="4"/>
  <connection id="6481" xr16:uid="{00000000-0015-0000-FFFF-FFFFCE0F0000}" name="接続3479" type="7" refreshedVersion="4"/>
  <connection id="6482" xr16:uid="{00000000-0015-0000-FFFF-FFFFCF0F0000}" name="接続348" type="7" refreshedVersion="4"/>
  <connection id="6483" xr16:uid="{00000000-0015-0000-FFFF-FFFFD00F0000}" name="接続3480" type="7" refreshedVersion="4"/>
  <connection id="6484" xr16:uid="{00000000-0015-0000-FFFF-FFFFD10F0000}" name="接続3481" type="7" refreshedVersion="4"/>
  <connection id="6485" xr16:uid="{00000000-0015-0000-FFFF-FFFFD20F0000}" name="接続3482" type="7" refreshedVersion="4"/>
  <connection id="6486" xr16:uid="{00000000-0015-0000-FFFF-FFFFD30F0000}" name="接続3483" type="7" refreshedVersion="4"/>
  <connection id="6487" xr16:uid="{00000000-0015-0000-FFFF-FFFFD40F0000}" name="接続3484" type="7" refreshedVersion="4"/>
  <connection id="6488" xr16:uid="{00000000-0015-0000-FFFF-FFFFD50F0000}" name="接続3485" type="7" refreshedVersion="4"/>
  <connection id="6489" xr16:uid="{00000000-0015-0000-FFFF-FFFFD60F0000}" name="接続3486" type="7" refreshedVersion="4"/>
  <connection id="6490" xr16:uid="{00000000-0015-0000-FFFF-FFFFD70F0000}" name="接続3487" type="7" refreshedVersion="4"/>
  <connection id="6491" xr16:uid="{00000000-0015-0000-FFFF-FFFFD80F0000}" name="接続3488" type="7" refreshedVersion="4"/>
  <connection id="6492" xr16:uid="{00000000-0015-0000-FFFF-FFFFD90F0000}" name="接続3489" type="7" refreshedVersion="4"/>
  <connection id="6493" xr16:uid="{00000000-0015-0000-FFFF-FFFFDA0F0000}" name="接続349" type="7" refreshedVersion="4"/>
  <connection id="6494" xr16:uid="{00000000-0015-0000-FFFF-FFFFDB0F0000}" name="接続3490" type="7" refreshedVersion="4"/>
  <connection id="6495" xr16:uid="{00000000-0015-0000-FFFF-FFFFDC0F0000}" name="接続3491" type="7" refreshedVersion="4"/>
  <connection id="6496" xr16:uid="{00000000-0015-0000-FFFF-FFFFDD0F0000}" name="接続3492" type="7" refreshedVersion="4"/>
  <connection id="6497" xr16:uid="{00000000-0015-0000-FFFF-FFFFDE0F0000}" name="接続3493" type="7" refreshedVersion="4"/>
  <connection id="6498" xr16:uid="{00000000-0015-0000-FFFF-FFFFDF0F0000}" name="接続3494" type="7" refreshedVersion="4"/>
  <connection id="6499" xr16:uid="{00000000-0015-0000-FFFF-FFFFE00F0000}" name="接続3495" type="7" refreshedVersion="4"/>
  <connection id="6500" xr16:uid="{00000000-0015-0000-FFFF-FFFFE10F0000}" name="接続3496" type="7" refreshedVersion="4"/>
  <connection id="6501" xr16:uid="{00000000-0015-0000-FFFF-FFFFE20F0000}" name="接続3497" type="7" refreshedVersion="4"/>
  <connection id="6502" xr16:uid="{00000000-0015-0000-FFFF-FFFFE30F0000}" name="接続3498" type="7" refreshedVersion="4"/>
  <connection id="6503" xr16:uid="{00000000-0015-0000-FFFF-FFFFE40F0000}" name="接続3499" type="7" refreshedVersion="4"/>
  <connection id="6504" xr16:uid="{00000000-0015-0000-FFFF-FFFFE50F0000}" name="接続35" type="7" refreshedVersion="4"/>
  <connection id="6505" xr16:uid="{00000000-0015-0000-FFFF-FFFFE60F0000}" name="接続350" type="7" refreshedVersion="4"/>
  <connection id="6506" xr16:uid="{00000000-0015-0000-FFFF-FFFFE70F0000}" name="接続3500" type="7" refreshedVersion="4"/>
  <connection id="6507" xr16:uid="{00000000-0015-0000-FFFF-FFFFE80F0000}" name="接続3501" type="7" refreshedVersion="4"/>
  <connection id="6508" xr16:uid="{00000000-0015-0000-FFFF-FFFFE90F0000}" name="接続3502" type="7" refreshedVersion="4"/>
  <connection id="6509" xr16:uid="{00000000-0015-0000-FFFF-FFFFEA0F0000}" name="接続3503" type="7" refreshedVersion="4"/>
  <connection id="6510" xr16:uid="{00000000-0015-0000-FFFF-FFFFEB0F0000}" name="接続3504" type="7" refreshedVersion="4"/>
  <connection id="6511" xr16:uid="{00000000-0015-0000-FFFF-FFFFEC0F0000}" name="接続3505" type="7" refreshedVersion="4"/>
  <connection id="6512" xr16:uid="{00000000-0015-0000-FFFF-FFFFED0F0000}" name="接続3506" type="7" refreshedVersion="4"/>
  <connection id="6513" xr16:uid="{00000000-0015-0000-FFFF-FFFFEE0F0000}" name="接続3507" type="7" refreshedVersion="4"/>
  <connection id="6514" xr16:uid="{00000000-0015-0000-FFFF-FFFFEF0F0000}" name="接続3508" type="7" refreshedVersion="4"/>
  <connection id="6515" xr16:uid="{00000000-0015-0000-FFFF-FFFFF00F0000}" name="接続3509" type="7" refreshedVersion="4"/>
  <connection id="6516" xr16:uid="{00000000-0015-0000-FFFF-FFFFF10F0000}" name="接続351" type="7" refreshedVersion="4"/>
  <connection id="6517" xr16:uid="{00000000-0015-0000-FFFF-FFFFF20F0000}" name="接続3510" type="7" refreshedVersion="4"/>
  <connection id="6518" xr16:uid="{00000000-0015-0000-FFFF-FFFFF30F0000}" name="接続3511" type="7" refreshedVersion="4"/>
  <connection id="6519" xr16:uid="{00000000-0015-0000-FFFF-FFFFF40F0000}" name="接続3512" type="7" refreshedVersion="4"/>
  <connection id="6520" xr16:uid="{00000000-0015-0000-FFFF-FFFFF50F0000}" name="接続3513" type="7" refreshedVersion="4"/>
  <connection id="6521" xr16:uid="{00000000-0015-0000-FFFF-FFFFF60F0000}" name="接続3514" type="7" refreshedVersion="4"/>
  <connection id="6522" xr16:uid="{00000000-0015-0000-FFFF-FFFFF70F0000}" name="接続3515" type="7" refreshedVersion="4"/>
  <connection id="6523" xr16:uid="{00000000-0015-0000-FFFF-FFFFF80F0000}" name="接続3516" type="7" refreshedVersion="4"/>
  <connection id="6524" xr16:uid="{00000000-0015-0000-FFFF-FFFFF90F0000}" name="接続3517" type="7" refreshedVersion="4"/>
  <connection id="6525" xr16:uid="{00000000-0015-0000-FFFF-FFFFFA0F0000}" name="接続3518" type="7" refreshedVersion="4"/>
  <connection id="6526" xr16:uid="{00000000-0015-0000-FFFF-FFFFFB0F0000}" name="接続3519" type="7" refreshedVersion="4"/>
  <connection id="6527" xr16:uid="{00000000-0015-0000-FFFF-FFFFFC0F0000}" name="接続352" type="7" refreshedVersion="4"/>
  <connection id="6528" xr16:uid="{00000000-0015-0000-FFFF-FFFFFD0F0000}" name="接続3520" type="7" refreshedVersion="4"/>
  <connection id="6529" xr16:uid="{00000000-0015-0000-FFFF-FFFFFE0F0000}" name="接続3521" type="7" refreshedVersion="4"/>
  <connection id="6530" xr16:uid="{00000000-0015-0000-FFFF-FFFFFF0F0000}" name="接続3522" type="7" refreshedVersion="4"/>
  <connection id="6531" xr16:uid="{00000000-0015-0000-FFFF-FFFF00100000}" name="接続3523" type="7" refreshedVersion="4"/>
  <connection id="6532" xr16:uid="{00000000-0015-0000-FFFF-FFFF01100000}" name="接続3524" type="7" refreshedVersion="4"/>
  <connection id="6533" xr16:uid="{00000000-0015-0000-FFFF-FFFF02100000}" name="接続3525" type="7" refreshedVersion="4"/>
  <connection id="6534" xr16:uid="{00000000-0015-0000-FFFF-FFFF03100000}" name="接続3526" type="7" refreshedVersion="4"/>
  <connection id="6535" xr16:uid="{00000000-0015-0000-FFFF-FFFF04100000}" name="接続3527" type="7" refreshedVersion="4"/>
  <connection id="6536" xr16:uid="{00000000-0015-0000-FFFF-FFFF05100000}" name="接続3528" type="7" refreshedVersion="4"/>
  <connection id="6537" xr16:uid="{00000000-0015-0000-FFFF-FFFF06100000}" name="接続3529" type="7" refreshedVersion="4"/>
  <connection id="6538" xr16:uid="{00000000-0015-0000-FFFF-FFFF07100000}" name="接続353" type="7" refreshedVersion="4"/>
  <connection id="6539" xr16:uid="{00000000-0015-0000-FFFF-FFFF08100000}" name="接続3530" type="7" refreshedVersion="4"/>
  <connection id="6540" xr16:uid="{00000000-0015-0000-FFFF-FFFF09100000}" name="接続3531" type="7" refreshedVersion="4"/>
  <connection id="6541" xr16:uid="{00000000-0015-0000-FFFF-FFFF0A100000}" name="接続3532" type="7" refreshedVersion="4"/>
  <connection id="6542" xr16:uid="{00000000-0015-0000-FFFF-FFFF0B100000}" name="接続3533" type="7" refreshedVersion="4"/>
  <connection id="6543" xr16:uid="{00000000-0015-0000-FFFF-FFFF0C100000}" name="接続3534" type="7" refreshedVersion="4"/>
  <connection id="6544" xr16:uid="{00000000-0015-0000-FFFF-FFFF0D100000}" name="接続3535" type="7" refreshedVersion="4"/>
  <connection id="6545" xr16:uid="{00000000-0015-0000-FFFF-FFFF0E100000}" name="接続3536" type="7" refreshedVersion="4"/>
  <connection id="6546" xr16:uid="{00000000-0015-0000-FFFF-FFFF0F100000}" name="接続3537" type="7" refreshedVersion="4"/>
  <connection id="6547" xr16:uid="{00000000-0015-0000-FFFF-FFFF10100000}" name="接続3538" type="7" refreshedVersion="4"/>
  <connection id="6548" xr16:uid="{00000000-0015-0000-FFFF-FFFF11100000}" name="接続3539" type="7" refreshedVersion="4"/>
  <connection id="6549" xr16:uid="{00000000-0015-0000-FFFF-FFFF12100000}" name="接続354" type="7" refreshedVersion="4"/>
  <connection id="6550" xr16:uid="{00000000-0015-0000-FFFF-FFFF13100000}" name="接続3540" type="7" refreshedVersion="4"/>
  <connection id="6551" xr16:uid="{00000000-0015-0000-FFFF-FFFF14100000}" name="接続3541" type="7" refreshedVersion="4"/>
  <connection id="6552" xr16:uid="{00000000-0015-0000-FFFF-FFFF15100000}" name="接続3542" type="7" refreshedVersion="4"/>
  <connection id="6553" xr16:uid="{00000000-0015-0000-FFFF-FFFF16100000}" name="接続3543" type="7" refreshedVersion="4"/>
  <connection id="6554" xr16:uid="{00000000-0015-0000-FFFF-FFFF17100000}" name="接続3544" type="7" refreshedVersion="4"/>
  <connection id="6555" xr16:uid="{00000000-0015-0000-FFFF-FFFF18100000}" name="接続3545" type="7" refreshedVersion="4"/>
  <connection id="6556" xr16:uid="{00000000-0015-0000-FFFF-FFFF19100000}" name="接続3546" type="7" refreshedVersion="4"/>
  <connection id="6557" xr16:uid="{00000000-0015-0000-FFFF-FFFF1A100000}" name="接続3547" type="7" refreshedVersion="4"/>
  <connection id="6558" xr16:uid="{00000000-0015-0000-FFFF-FFFF1B100000}" name="接続3548" type="7" refreshedVersion="4"/>
  <connection id="6559" xr16:uid="{00000000-0015-0000-FFFF-FFFF1C100000}" name="接続3549" type="7" refreshedVersion="4"/>
  <connection id="6560" xr16:uid="{00000000-0015-0000-FFFF-FFFF1D100000}" name="接続355" type="7" refreshedVersion="4"/>
  <connection id="6561" xr16:uid="{00000000-0015-0000-FFFF-FFFF1E100000}" name="接続3550" type="7" refreshedVersion="4"/>
  <connection id="6562" xr16:uid="{00000000-0015-0000-FFFF-FFFF1F100000}" name="接続3551" type="7" refreshedVersion="4"/>
  <connection id="6563" xr16:uid="{00000000-0015-0000-FFFF-FFFF20100000}" name="接続3552" type="7" refreshedVersion="4"/>
  <connection id="6564" xr16:uid="{00000000-0015-0000-FFFF-FFFF21100000}" name="接続3553" type="7" refreshedVersion="4"/>
  <connection id="6565" xr16:uid="{00000000-0015-0000-FFFF-FFFF22100000}" name="接続3554" type="7" refreshedVersion="4"/>
  <connection id="6566" xr16:uid="{00000000-0015-0000-FFFF-FFFF23100000}" name="接続3555" type="7" refreshedVersion="4"/>
  <connection id="6567" xr16:uid="{00000000-0015-0000-FFFF-FFFF24100000}" name="接続3556" type="7" refreshedVersion="4"/>
  <connection id="6568" xr16:uid="{00000000-0015-0000-FFFF-FFFF25100000}" name="接続3557" type="7" refreshedVersion="4"/>
  <connection id="6569" xr16:uid="{00000000-0015-0000-FFFF-FFFF26100000}" name="接続3558" type="7" refreshedVersion="4"/>
  <connection id="6570" xr16:uid="{00000000-0015-0000-FFFF-FFFF27100000}" name="接続3559" type="7" refreshedVersion="4"/>
  <connection id="6571" xr16:uid="{00000000-0015-0000-FFFF-FFFF28100000}" name="接続356" type="7" refreshedVersion="4"/>
  <connection id="6572" xr16:uid="{00000000-0015-0000-FFFF-FFFF29100000}" name="接続3560" type="7" refreshedVersion="4"/>
  <connection id="6573" xr16:uid="{00000000-0015-0000-FFFF-FFFF2A100000}" name="接続3561" type="7" refreshedVersion="4"/>
  <connection id="6574" xr16:uid="{00000000-0015-0000-FFFF-FFFF2B100000}" name="接続3562" type="7" refreshedVersion="4"/>
  <connection id="6575" xr16:uid="{00000000-0015-0000-FFFF-FFFF2C100000}" name="接続3563" type="7" refreshedVersion="4"/>
  <connection id="6576" xr16:uid="{00000000-0015-0000-FFFF-FFFF2D100000}" name="接続3564" type="7" refreshedVersion="4"/>
  <connection id="6577" xr16:uid="{00000000-0015-0000-FFFF-FFFF2E100000}" name="接続3565" type="7" refreshedVersion="4"/>
  <connection id="6578" xr16:uid="{00000000-0015-0000-FFFF-FFFF2F100000}" name="接続3566" type="7" refreshedVersion="4"/>
  <connection id="6579" xr16:uid="{00000000-0015-0000-FFFF-FFFF30100000}" name="接続3567" type="7" refreshedVersion="4"/>
  <connection id="6580" xr16:uid="{00000000-0015-0000-FFFF-FFFF31100000}" name="接続3568" type="7" refreshedVersion="4"/>
  <connection id="6581" xr16:uid="{00000000-0015-0000-FFFF-FFFF32100000}" name="接続3569" type="7" refreshedVersion="4"/>
  <connection id="6582" xr16:uid="{00000000-0015-0000-FFFF-FFFF33100000}" name="接続357" type="7" refreshedVersion="4"/>
  <connection id="6583" xr16:uid="{00000000-0015-0000-FFFF-FFFF34100000}" name="接続3570" type="7" refreshedVersion="4"/>
  <connection id="6584" xr16:uid="{00000000-0015-0000-FFFF-FFFF35100000}" name="接続3571" type="7" refreshedVersion="4"/>
  <connection id="6585" xr16:uid="{00000000-0015-0000-FFFF-FFFF36100000}" name="接続3572" type="7" refreshedVersion="4"/>
  <connection id="6586" xr16:uid="{00000000-0015-0000-FFFF-FFFF37100000}" name="接続3573" type="7" refreshedVersion="4"/>
  <connection id="6587" xr16:uid="{00000000-0015-0000-FFFF-FFFF38100000}" name="接続3574" type="7" refreshedVersion="4"/>
  <connection id="6588" xr16:uid="{00000000-0015-0000-FFFF-FFFF39100000}" name="接続3575" type="7" refreshedVersion="4"/>
  <connection id="6589" xr16:uid="{00000000-0015-0000-FFFF-FFFF3A100000}" name="接続3576" type="7" refreshedVersion="4"/>
  <connection id="6590" xr16:uid="{00000000-0015-0000-FFFF-FFFF3B100000}" name="接続3577" type="7" refreshedVersion="4"/>
  <connection id="6591" xr16:uid="{00000000-0015-0000-FFFF-FFFF3C100000}" name="接続3578" type="7" refreshedVersion="4"/>
  <connection id="6592" xr16:uid="{00000000-0015-0000-FFFF-FFFF3D100000}" name="接続3579" type="7" refreshedVersion="4"/>
  <connection id="6593" xr16:uid="{00000000-0015-0000-FFFF-FFFF3E100000}" name="接続358" type="7" refreshedVersion="4"/>
  <connection id="6594" xr16:uid="{00000000-0015-0000-FFFF-FFFF3F100000}" name="接続3580" type="7" refreshedVersion="4"/>
  <connection id="6595" xr16:uid="{00000000-0015-0000-FFFF-FFFF40100000}" name="接続3581" type="7" refreshedVersion="4"/>
  <connection id="6596" xr16:uid="{00000000-0015-0000-FFFF-FFFF41100000}" name="接続3582" type="7" refreshedVersion="4"/>
  <connection id="6597" xr16:uid="{00000000-0015-0000-FFFF-FFFF42100000}" name="接続3583" type="7" refreshedVersion="4"/>
  <connection id="6598" xr16:uid="{00000000-0015-0000-FFFF-FFFF43100000}" name="接続3584" type="7" refreshedVersion="4"/>
  <connection id="6599" xr16:uid="{00000000-0015-0000-FFFF-FFFF44100000}" name="接続3585" type="7" refreshedVersion="4"/>
  <connection id="6600" xr16:uid="{00000000-0015-0000-FFFF-FFFF45100000}" name="接続3586" type="7" refreshedVersion="4"/>
  <connection id="6601" xr16:uid="{00000000-0015-0000-FFFF-FFFF46100000}" name="接続3587" type="7" refreshedVersion="4"/>
  <connection id="6602" xr16:uid="{00000000-0015-0000-FFFF-FFFF47100000}" name="接続3588" type="7" refreshedVersion="4"/>
  <connection id="6603" xr16:uid="{00000000-0015-0000-FFFF-FFFF48100000}" name="接続3589" type="7" refreshedVersion="4"/>
  <connection id="6604" xr16:uid="{00000000-0015-0000-FFFF-FFFF49100000}" name="接続359" type="7" refreshedVersion="4"/>
  <connection id="6605" xr16:uid="{00000000-0015-0000-FFFF-FFFF4A100000}" name="接続3590" type="7" refreshedVersion="4"/>
  <connection id="6606" xr16:uid="{00000000-0015-0000-FFFF-FFFF4B100000}" name="接続3591" type="7" refreshedVersion="4"/>
  <connection id="6607" xr16:uid="{00000000-0015-0000-FFFF-FFFF4C100000}" name="接続3592" type="7" refreshedVersion="4"/>
  <connection id="6608" xr16:uid="{00000000-0015-0000-FFFF-FFFF4D100000}" name="接続3593" type="7" refreshedVersion="4"/>
  <connection id="6609" xr16:uid="{00000000-0015-0000-FFFF-FFFF4E100000}" name="接続3594" type="7" refreshedVersion="4"/>
  <connection id="6610" xr16:uid="{00000000-0015-0000-FFFF-FFFF4F100000}" name="接続3595" type="7" refreshedVersion="4"/>
  <connection id="6611" xr16:uid="{00000000-0015-0000-FFFF-FFFF50100000}" name="接続3596" type="7" refreshedVersion="4"/>
  <connection id="6612" xr16:uid="{00000000-0015-0000-FFFF-FFFF51100000}" name="接続3597" type="7" refreshedVersion="4"/>
  <connection id="6613" xr16:uid="{00000000-0015-0000-FFFF-FFFF52100000}" name="接続3598" type="7" refreshedVersion="4"/>
  <connection id="6614" xr16:uid="{00000000-0015-0000-FFFF-FFFF53100000}" name="接続3599" type="7" refreshedVersion="4"/>
  <connection id="6615" xr16:uid="{00000000-0015-0000-FFFF-FFFF54100000}" name="接続36" type="7" refreshedVersion="4"/>
  <connection id="6616" xr16:uid="{00000000-0015-0000-FFFF-FFFF55100000}" name="接続360" type="7" refreshedVersion="4"/>
  <connection id="6617" xr16:uid="{00000000-0015-0000-FFFF-FFFF56100000}" name="接続3600" type="7" refreshedVersion="4"/>
  <connection id="6618" xr16:uid="{00000000-0015-0000-FFFF-FFFF57100000}" name="接続3601" type="7" refreshedVersion="4"/>
  <connection id="6619" xr16:uid="{00000000-0015-0000-FFFF-FFFF58100000}" name="接続3602" type="7" refreshedVersion="4"/>
  <connection id="6620" xr16:uid="{00000000-0015-0000-FFFF-FFFF59100000}" name="接続3603" type="7" refreshedVersion="4"/>
  <connection id="6621" xr16:uid="{00000000-0015-0000-FFFF-FFFF5A100000}" name="接続3604" type="7" refreshedVersion="4"/>
  <connection id="6622" xr16:uid="{00000000-0015-0000-FFFF-FFFF5B100000}" name="接続3605" type="7" refreshedVersion="4"/>
  <connection id="6623" xr16:uid="{00000000-0015-0000-FFFF-FFFF5C100000}" name="接続3606" type="7" refreshedVersion="4"/>
  <connection id="6624" xr16:uid="{00000000-0015-0000-FFFF-FFFF5D100000}" name="接続3607" type="7" refreshedVersion="4"/>
  <connection id="6625" xr16:uid="{00000000-0015-0000-FFFF-FFFF5E100000}" name="接続3608" type="7" refreshedVersion="4"/>
  <connection id="6626" xr16:uid="{00000000-0015-0000-FFFF-FFFF5F100000}" name="接続3609" type="7" refreshedVersion="4"/>
  <connection id="6627" xr16:uid="{00000000-0015-0000-FFFF-FFFF60100000}" name="接続361" type="7" refreshedVersion="4"/>
  <connection id="6628" xr16:uid="{00000000-0015-0000-FFFF-FFFF61100000}" name="接続3610" type="7" refreshedVersion="4"/>
  <connection id="6629" xr16:uid="{00000000-0015-0000-FFFF-FFFF62100000}" name="接続3611" type="7" refreshedVersion="4"/>
  <connection id="6630" xr16:uid="{00000000-0015-0000-FFFF-FFFF63100000}" name="接続3612" type="7" refreshedVersion="4"/>
  <connection id="6631" xr16:uid="{00000000-0015-0000-FFFF-FFFF64100000}" name="接続3613" type="7" refreshedVersion="4"/>
  <connection id="6632" xr16:uid="{00000000-0015-0000-FFFF-FFFF65100000}" name="接続3614" type="7" refreshedVersion="4"/>
  <connection id="6633" xr16:uid="{00000000-0015-0000-FFFF-FFFF66100000}" name="接続3615" type="7" refreshedVersion="4"/>
  <connection id="6634" xr16:uid="{00000000-0015-0000-FFFF-FFFF67100000}" name="接続3616" type="7" refreshedVersion="4"/>
  <connection id="6635" xr16:uid="{00000000-0015-0000-FFFF-FFFF68100000}" name="接続3617" type="7" refreshedVersion="4"/>
  <connection id="6636" xr16:uid="{00000000-0015-0000-FFFF-FFFF69100000}" name="接続3618" type="7" refreshedVersion="4"/>
  <connection id="6637" xr16:uid="{00000000-0015-0000-FFFF-FFFF6A100000}" name="接続3619" type="7" refreshedVersion="4"/>
  <connection id="6638" xr16:uid="{00000000-0015-0000-FFFF-FFFF6B100000}" name="接続362" type="7" refreshedVersion="4"/>
  <connection id="6639" xr16:uid="{00000000-0015-0000-FFFF-FFFF6C100000}" name="接続3620" type="7" refreshedVersion="4"/>
  <connection id="6640" xr16:uid="{00000000-0015-0000-FFFF-FFFF6D100000}" name="接続3621" type="7" refreshedVersion="4"/>
  <connection id="6641" xr16:uid="{00000000-0015-0000-FFFF-FFFF6E100000}" name="接続3622" type="7" refreshedVersion="4"/>
  <connection id="6642" xr16:uid="{00000000-0015-0000-FFFF-FFFF6F100000}" name="接続3623" type="7" refreshedVersion="4"/>
  <connection id="6643" xr16:uid="{00000000-0015-0000-FFFF-FFFF70100000}" name="接続3624" type="7" refreshedVersion="4"/>
  <connection id="6644" xr16:uid="{00000000-0015-0000-FFFF-FFFF71100000}" name="接続3625" type="7" refreshedVersion="4"/>
  <connection id="6645" xr16:uid="{00000000-0015-0000-FFFF-FFFF72100000}" name="接続3626" type="7" refreshedVersion="4"/>
  <connection id="6646" xr16:uid="{00000000-0015-0000-FFFF-FFFF73100000}" name="接続3627" type="7" refreshedVersion="4"/>
  <connection id="6647" xr16:uid="{00000000-0015-0000-FFFF-FFFF74100000}" name="接続3628" type="7" refreshedVersion="4"/>
  <connection id="6648" xr16:uid="{00000000-0015-0000-FFFF-FFFF75100000}" name="接続3629" type="7" refreshedVersion="4"/>
  <connection id="6649" xr16:uid="{00000000-0015-0000-FFFF-FFFF76100000}" name="接続363" type="7" refreshedVersion="4"/>
  <connection id="6650" xr16:uid="{00000000-0015-0000-FFFF-FFFF77100000}" name="接続3630" type="7" refreshedVersion="4"/>
  <connection id="6651" xr16:uid="{00000000-0015-0000-FFFF-FFFF78100000}" name="接続3631" type="7" refreshedVersion="4"/>
  <connection id="6652" xr16:uid="{00000000-0015-0000-FFFF-FFFF79100000}" name="接続3632" type="7" refreshedVersion="4"/>
  <connection id="6653" xr16:uid="{00000000-0015-0000-FFFF-FFFF7A100000}" name="接続3633" type="7" refreshedVersion="4"/>
  <connection id="6654" xr16:uid="{00000000-0015-0000-FFFF-FFFF7B100000}" name="接続3634" type="7" refreshedVersion="4"/>
  <connection id="6655" xr16:uid="{00000000-0015-0000-FFFF-FFFF7C100000}" name="接続3635" type="7" refreshedVersion="4"/>
  <connection id="6656" xr16:uid="{00000000-0015-0000-FFFF-FFFF7D100000}" name="接続3636" type="7" refreshedVersion="4"/>
  <connection id="6657" xr16:uid="{00000000-0015-0000-FFFF-FFFF7E100000}" name="接続3637" type="7" refreshedVersion="4"/>
  <connection id="6658" xr16:uid="{00000000-0015-0000-FFFF-FFFF7F100000}" name="接続3638" type="7" refreshedVersion="4"/>
  <connection id="6659" xr16:uid="{00000000-0015-0000-FFFF-FFFF80100000}" name="接続3639" type="7" refreshedVersion="4"/>
  <connection id="6660" xr16:uid="{00000000-0015-0000-FFFF-FFFF81100000}" name="接続364" type="7" refreshedVersion="4"/>
  <connection id="6661" xr16:uid="{00000000-0015-0000-FFFF-FFFF82100000}" name="接続3640" type="7" refreshedVersion="4"/>
  <connection id="6662" xr16:uid="{00000000-0015-0000-FFFF-FFFF83100000}" name="接続3641" type="7" refreshedVersion="4"/>
  <connection id="6663" xr16:uid="{00000000-0015-0000-FFFF-FFFF84100000}" name="接続3642" type="7" refreshedVersion="4"/>
  <connection id="6664" xr16:uid="{00000000-0015-0000-FFFF-FFFF85100000}" name="接続3643" type="7" refreshedVersion="4"/>
  <connection id="6665" xr16:uid="{00000000-0015-0000-FFFF-FFFF86100000}" name="接続3644" type="7" refreshedVersion="4"/>
  <connection id="6666" xr16:uid="{00000000-0015-0000-FFFF-FFFF87100000}" name="接続3645" type="7" refreshedVersion="4"/>
  <connection id="6667" xr16:uid="{00000000-0015-0000-FFFF-FFFF88100000}" name="接続3646" type="7" refreshedVersion="4"/>
  <connection id="6668" xr16:uid="{00000000-0015-0000-FFFF-FFFF89100000}" name="接続3647" type="7" refreshedVersion="4"/>
  <connection id="6669" xr16:uid="{00000000-0015-0000-FFFF-FFFF8A100000}" name="接続3648" type="7" refreshedVersion="4"/>
  <connection id="6670" xr16:uid="{00000000-0015-0000-FFFF-FFFF8B100000}" name="接続3649" type="7" refreshedVersion="4"/>
  <connection id="6671" xr16:uid="{00000000-0015-0000-FFFF-FFFF8C100000}" name="接続365" type="7" refreshedVersion="4"/>
  <connection id="6672" xr16:uid="{00000000-0015-0000-FFFF-FFFF8D100000}" name="接続3650" type="7" refreshedVersion="4"/>
  <connection id="6673" xr16:uid="{00000000-0015-0000-FFFF-FFFF8E100000}" name="接続3651" type="7" refreshedVersion="4"/>
  <connection id="6674" xr16:uid="{00000000-0015-0000-FFFF-FFFF8F100000}" name="接続3652" type="7" refreshedVersion="4"/>
  <connection id="6675" xr16:uid="{00000000-0015-0000-FFFF-FFFF90100000}" name="接続3653" type="7" refreshedVersion="4"/>
  <connection id="6676" xr16:uid="{00000000-0015-0000-FFFF-FFFF91100000}" name="接続3654" type="7" refreshedVersion="4"/>
  <connection id="6677" xr16:uid="{00000000-0015-0000-FFFF-FFFF92100000}" name="接続3655" type="7" refreshedVersion="4"/>
  <connection id="6678" xr16:uid="{00000000-0015-0000-FFFF-FFFF93100000}" name="接続3656" type="7" refreshedVersion="4"/>
  <connection id="6679" xr16:uid="{00000000-0015-0000-FFFF-FFFF94100000}" name="接続3657" type="7" refreshedVersion="4"/>
  <connection id="6680" xr16:uid="{00000000-0015-0000-FFFF-FFFF95100000}" name="接続3658" type="7" refreshedVersion="4"/>
  <connection id="6681" xr16:uid="{00000000-0015-0000-FFFF-FFFF96100000}" name="接続3659" type="7" refreshedVersion="4"/>
  <connection id="6682" xr16:uid="{00000000-0015-0000-FFFF-FFFF97100000}" name="接続366" type="7" refreshedVersion="4"/>
  <connection id="6683" xr16:uid="{00000000-0015-0000-FFFF-FFFF98100000}" name="接続3660" type="7" refreshedVersion="4"/>
  <connection id="6684" xr16:uid="{00000000-0015-0000-FFFF-FFFF99100000}" name="接続3661" type="7" refreshedVersion="4"/>
  <connection id="6685" xr16:uid="{00000000-0015-0000-FFFF-FFFF9A100000}" name="接続3662" type="7" refreshedVersion="4"/>
  <connection id="6686" xr16:uid="{00000000-0015-0000-FFFF-FFFF9B100000}" name="接続3663" type="7" refreshedVersion="4"/>
  <connection id="6687" xr16:uid="{00000000-0015-0000-FFFF-FFFF9C100000}" name="接続3664" type="7" refreshedVersion="4"/>
  <connection id="6688" xr16:uid="{00000000-0015-0000-FFFF-FFFF9D100000}" name="接続3665" type="7" refreshedVersion="4"/>
  <connection id="6689" xr16:uid="{00000000-0015-0000-FFFF-FFFF9E100000}" name="接続3666" type="7" refreshedVersion="4"/>
  <connection id="6690" xr16:uid="{00000000-0015-0000-FFFF-FFFF9F100000}" name="接続3667" type="7" refreshedVersion="4"/>
  <connection id="6691" xr16:uid="{00000000-0015-0000-FFFF-FFFFA0100000}" name="接続3668" type="7" refreshedVersion="4"/>
  <connection id="6692" xr16:uid="{00000000-0015-0000-FFFF-FFFFA1100000}" name="接続3669" type="7" refreshedVersion="4"/>
  <connection id="6693" xr16:uid="{00000000-0015-0000-FFFF-FFFFA2100000}" name="接続367" type="7" refreshedVersion="4"/>
  <connection id="6694" xr16:uid="{00000000-0015-0000-FFFF-FFFFA3100000}" name="接続3670" type="7" refreshedVersion="4"/>
  <connection id="6695" xr16:uid="{00000000-0015-0000-FFFF-FFFFA4100000}" name="接続3671" type="7" refreshedVersion="4"/>
  <connection id="6696" xr16:uid="{00000000-0015-0000-FFFF-FFFFA5100000}" name="接続3672" type="7" refreshedVersion="4"/>
  <connection id="6697" xr16:uid="{00000000-0015-0000-FFFF-FFFFA6100000}" name="接続3673" type="7" refreshedVersion="4"/>
  <connection id="6698" xr16:uid="{00000000-0015-0000-FFFF-FFFFA7100000}" name="接続3674" type="7" refreshedVersion="4"/>
  <connection id="6699" xr16:uid="{00000000-0015-0000-FFFF-FFFFA8100000}" name="接続3675" type="7" refreshedVersion="4"/>
  <connection id="6700" xr16:uid="{00000000-0015-0000-FFFF-FFFFA9100000}" name="接続3676" type="7" refreshedVersion="4"/>
  <connection id="6701" xr16:uid="{00000000-0015-0000-FFFF-FFFFAA100000}" name="接続3677" type="7" refreshedVersion="4"/>
  <connection id="6702" xr16:uid="{00000000-0015-0000-FFFF-FFFFAB100000}" name="接続3678" type="7" refreshedVersion="4"/>
  <connection id="6703" xr16:uid="{00000000-0015-0000-FFFF-FFFFAC100000}" name="接続3679" type="7" refreshedVersion="4"/>
  <connection id="6704" xr16:uid="{00000000-0015-0000-FFFF-FFFFAD100000}" name="接続368" type="7" refreshedVersion="4"/>
  <connection id="6705" xr16:uid="{00000000-0015-0000-FFFF-FFFFAE100000}" name="接続3680" type="7" refreshedVersion="4"/>
  <connection id="6706" xr16:uid="{00000000-0015-0000-FFFF-FFFFAF100000}" name="接続3681" type="7" refreshedVersion="4"/>
  <connection id="6707" xr16:uid="{00000000-0015-0000-FFFF-FFFFB0100000}" name="接続3682" type="7" refreshedVersion="4"/>
  <connection id="6708" xr16:uid="{00000000-0015-0000-FFFF-FFFFB1100000}" name="接続3683" type="7" refreshedVersion="4"/>
  <connection id="6709" xr16:uid="{00000000-0015-0000-FFFF-FFFFB2100000}" name="接続3684" type="7" refreshedVersion="4"/>
  <connection id="6710" xr16:uid="{00000000-0015-0000-FFFF-FFFFB3100000}" name="接続3685" type="7" refreshedVersion="4"/>
  <connection id="6711" xr16:uid="{00000000-0015-0000-FFFF-FFFFB4100000}" name="接続3686" type="7" refreshedVersion="4"/>
  <connection id="6712" xr16:uid="{00000000-0015-0000-FFFF-FFFFB5100000}" name="接続3687" type="7" refreshedVersion="4"/>
  <connection id="6713" xr16:uid="{00000000-0015-0000-FFFF-FFFFB6100000}" name="接続3688" type="7" refreshedVersion="4"/>
  <connection id="6714" xr16:uid="{00000000-0015-0000-FFFF-FFFFB7100000}" name="接続3689" type="7" refreshedVersion="4"/>
  <connection id="6715" xr16:uid="{00000000-0015-0000-FFFF-FFFFB8100000}" name="接続369" type="7" refreshedVersion="4"/>
  <connection id="6716" xr16:uid="{00000000-0015-0000-FFFF-FFFFB9100000}" name="接続3690" type="7" refreshedVersion="4"/>
  <connection id="6717" xr16:uid="{00000000-0015-0000-FFFF-FFFFBA100000}" name="接続3691" type="7" refreshedVersion="4"/>
  <connection id="6718" xr16:uid="{00000000-0015-0000-FFFF-FFFFBB100000}" name="接続3692" type="7" refreshedVersion="4"/>
  <connection id="6719" xr16:uid="{00000000-0015-0000-FFFF-FFFFBC100000}" name="接続3693" type="7" refreshedVersion="4"/>
  <connection id="6720" xr16:uid="{00000000-0015-0000-FFFF-FFFFBD100000}" name="接続3694" type="7" refreshedVersion="4"/>
  <connection id="6721" xr16:uid="{00000000-0015-0000-FFFF-FFFFBE100000}" name="接続3695" type="7" refreshedVersion="4"/>
  <connection id="6722" xr16:uid="{00000000-0015-0000-FFFF-FFFFBF100000}" name="接続3696" type="7" refreshedVersion="4"/>
  <connection id="6723" xr16:uid="{00000000-0015-0000-FFFF-FFFFC0100000}" name="接続3697" type="7" refreshedVersion="4"/>
  <connection id="6724" xr16:uid="{00000000-0015-0000-FFFF-FFFFC1100000}" name="接続3698" type="7" refreshedVersion="4"/>
  <connection id="6725" xr16:uid="{00000000-0015-0000-FFFF-FFFFC2100000}" name="接続3699" type="7" refreshedVersion="4"/>
  <connection id="6726" xr16:uid="{00000000-0015-0000-FFFF-FFFFC3100000}" name="接続37" type="7" refreshedVersion="4"/>
  <connection id="6727" xr16:uid="{00000000-0015-0000-FFFF-FFFFC4100000}" name="接続370" type="7" refreshedVersion="4"/>
  <connection id="6728" xr16:uid="{00000000-0015-0000-FFFF-FFFFC5100000}" name="接続3700" type="7" refreshedVersion="4"/>
  <connection id="6729" xr16:uid="{00000000-0015-0000-FFFF-FFFFC6100000}" name="接続3701" type="7" refreshedVersion="4"/>
  <connection id="6730" xr16:uid="{00000000-0015-0000-FFFF-FFFFC7100000}" name="接続3702" type="7" refreshedVersion="4"/>
  <connection id="6731" xr16:uid="{00000000-0015-0000-FFFF-FFFFC8100000}" name="接続3703" type="7" refreshedVersion="4"/>
  <connection id="6732" xr16:uid="{00000000-0015-0000-FFFF-FFFFC9100000}" name="接続3704" type="7" refreshedVersion="4"/>
  <connection id="6733" xr16:uid="{00000000-0015-0000-FFFF-FFFFCA100000}" name="接続3705" type="7" refreshedVersion="4"/>
  <connection id="6734" xr16:uid="{00000000-0015-0000-FFFF-FFFFCB100000}" name="接続3706" type="7" refreshedVersion="4"/>
  <connection id="6735" xr16:uid="{00000000-0015-0000-FFFF-FFFFCC100000}" name="接続3707" type="7" refreshedVersion="4"/>
  <connection id="6736" xr16:uid="{00000000-0015-0000-FFFF-FFFFCD100000}" name="接続3708" type="7" refreshedVersion="4"/>
  <connection id="6737" xr16:uid="{00000000-0015-0000-FFFF-FFFFCE100000}" name="接続3709" type="7" refreshedVersion="4"/>
  <connection id="6738" xr16:uid="{00000000-0015-0000-FFFF-FFFFCF100000}" name="接続371" type="7" refreshedVersion="4"/>
  <connection id="6739" xr16:uid="{00000000-0015-0000-FFFF-FFFFD0100000}" name="接続3710" type="7" refreshedVersion="4"/>
  <connection id="6740" xr16:uid="{00000000-0015-0000-FFFF-FFFFD1100000}" name="接続3711" type="7" refreshedVersion="4"/>
  <connection id="6741" xr16:uid="{00000000-0015-0000-FFFF-FFFFD2100000}" name="接続3712" type="7" refreshedVersion="4"/>
  <connection id="6742" xr16:uid="{00000000-0015-0000-FFFF-FFFFD3100000}" name="接続3713" type="7" refreshedVersion="4"/>
  <connection id="6743" xr16:uid="{00000000-0015-0000-FFFF-FFFFD4100000}" name="接続3714" type="7" refreshedVersion="4"/>
  <connection id="6744" xr16:uid="{00000000-0015-0000-FFFF-FFFFD5100000}" name="接続3715" type="7" refreshedVersion="4"/>
  <connection id="6745" xr16:uid="{00000000-0015-0000-FFFF-FFFFD6100000}" name="接続3716" type="7" refreshedVersion="4"/>
  <connection id="6746" xr16:uid="{00000000-0015-0000-FFFF-FFFFD7100000}" name="接続3717" type="7" refreshedVersion="4"/>
  <connection id="6747" xr16:uid="{00000000-0015-0000-FFFF-FFFFD8100000}" name="接続3718" type="7" refreshedVersion="4"/>
  <connection id="6748" xr16:uid="{00000000-0015-0000-FFFF-FFFFD9100000}" name="接続3719" type="7" refreshedVersion="4"/>
  <connection id="6749" xr16:uid="{00000000-0015-0000-FFFF-FFFFDA100000}" name="接続372" type="7" refreshedVersion="4"/>
  <connection id="6750" xr16:uid="{00000000-0015-0000-FFFF-FFFFDB100000}" name="接続3720" type="7" refreshedVersion="4"/>
  <connection id="6751" xr16:uid="{00000000-0015-0000-FFFF-FFFFDC100000}" name="接続3721" type="7" refreshedVersion="4"/>
  <connection id="6752" xr16:uid="{00000000-0015-0000-FFFF-FFFFDD100000}" name="接続3722" type="7" refreshedVersion="4"/>
  <connection id="6753" xr16:uid="{00000000-0015-0000-FFFF-FFFFDE100000}" name="接続3723" type="7" refreshedVersion="4"/>
  <connection id="6754" xr16:uid="{00000000-0015-0000-FFFF-FFFFDF100000}" name="接続3724" type="7" refreshedVersion="4"/>
  <connection id="6755" xr16:uid="{00000000-0015-0000-FFFF-FFFFE0100000}" name="接続3725" type="7" refreshedVersion="4"/>
  <connection id="6756" xr16:uid="{00000000-0015-0000-FFFF-FFFFE1100000}" name="接続3726" type="7" refreshedVersion="4"/>
  <connection id="6757" xr16:uid="{00000000-0015-0000-FFFF-FFFFE2100000}" name="接続3727" type="7" refreshedVersion="4"/>
  <connection id="6758" xr16:uid="{00000000-0015-0000-FFFF-FFFFE3100000}" name="接続3728" type="7" refreshedVersion="4"/>
  <connection id="6759" xr16:uid="{00000000-0015-0000-FFFF-FFFFE4100000}" name="接続3729" type="7" refreshedVersion="4"/>
  <connection id="6760" xr16:uid="{00000000-0015-0000-FFFF-FFFFE5100000}" name="接続373" type="7" refreshedVersion="4"/>
  <connection id="6761" xr16:uid="{00000000-0015-0000-FFFF-FFFFE6100000}" name="接続3730" type="7" refreshedVersion="4"/>
  <connection id="6762" xr16:uid="{00000000-0015-0000-FFFF-FFFFE7100000}" name="接続3731" type="7" refreshedVersion="4"/>
  <connection id="6763" xr16:uid="{00000000-0015-0000-FFFF-FFFFE8100000}" name="接続3732" type="7" refreshedVersion="4"/>
  <connection id="6764" xr16:uid="{00000000-0015-0000-FFFF-FFFFE9100000}" name="接続3733" type="7" refreshedVersion="4"/>
  <connection id="6765" xr16:uid="{00000000-0015-0000-FFFF-FFFFEA100000}" name="接続3734" type="7" refreshedVersion="4"/>
  <connection id="6766" xr16:uid="{00000000-0015-0000-FFFF-FFFFEB100000}" name="接続3735" type="7" refreshedVersion="4"/>
  <connection id="6767" xr16:uid="{00000000-0015-0000-FFFF-FFFFEC100000}" name="接続3736" type="7" refreshedVersion="4"/>
  <connection id="6768" xr16:uid="{00000000-0015-0000-FFFF-FFFFED100000}" name="接続3737" type="7" refreshedVersion="4"/>
  <connection id="6769" xr16:uid="{00000000-0015-0000-FFFF-FFFFEE100000}" name="接続3738" type="7" refreshedVersion="4"/>
  <connection id="6770" xr16:uid="{00000000-0015-0000-FFFF-FFFFEF100000}" name="接続3739" type="7" refreshedVersion="4"/>
  <connection id="6771" xr16:uid="{00000000-0015-0000-FFFF-FFFFF0100000}" name="接続374" type="7" refreshedVersion="4"/>
  <connection id="6772" xr16:uid="{00000000-0015-0000-FFFF-FFFFF1100000}" name="接続3740" type="7" refreshedVersion="4"/>
  <connection id="6773" xr16:uid="{00000000-0015-0000-FFFF-FFFFF2100000}" name="接続3741" type="7" refreshedVersion="4"/>
  <connection id="6774" xr16:uid="{00000000-0015-0000-FFFF-FFFFF3100000}" name="接続3742" type="7" refreshedVersion="4"/>
  <connection id="6775" xr16:uid="{00000000-0015-0000-FFFF-FFFFF4100000}" name="接続3743" type="7" refreshedVersion="4"/>
  <connection id="6776" xr16:uid="{00000000-0015-0000-FFFF-FFFFF5100000}" name="接続3744" type="7" refreshedVersion="4"/>
  <connection id="6777" xr16:uid="{00000000-0015-0000-FFFF-FFFFF6100000}" name="接続3745" type="7" refreshedVersion="4"/>
  <connection id="6778" xr16:uid="{00000000-0015-0000-FFFF-FFFFF7100000}" name="接続3746" type="7" refreshedVersion="4"/>
  <connection id="6779" xr16:uid="{00000000-0015-0000-FFFF-FFFFF8100000}" name="接続3747" type="7" refreshedVersion="4"/>
  <connection id="6780" xr16:uid="{00000000-0015-0000-FFFF-FFFFF9100000}" name="接続3748" type="7" refreshedVersion="4"/>
  <connection id="6781" xr16:uid="{00000000-0015-0000-FFFF-FFFFFA100000}" name="接続3749" type="7" refreshedVersion="4"/>
  <connection id="6782" xr16:uid="{00000000-0015-0000-FFFF-FFFFFB100000}" name="接続375" type="7" refreshedVersion="4"/>
  <connection id="6783" xr16:uid="{00000000-0015-0000-FFFF-FFFFFC100000}" name="接続3750" type="7" refreshedVersion="4"/>
  <connection id="6784" xr16:uid="{00000000-0015-0000-FFFF-FFFFFD100000}" name="接続3751" type="7" refreshedVersion="4"/>
  <connection id="6785" xr16:uid="{00000000-0015-0000-FFFF-FFFFFE100000}" name="接続3752" type="7" refreshedVersion="4"/>
  <connection id="6786" xr16:uid="{00000000-0015-0000-FFFF-FFFFFF100000}" name="接続3753" type="7" refreshedVersion="4"/>
  <connection id="6787" xr16:uid="{00000000-0015-0000-FFFF-FFFF00110000}" name="接続3754" type="7" refreshedVersion="4"/>
  <connection id="6788" xr16:uid="{00000000-0015-0000-FFFF-FFFF01110000}" name="接続3755" type="7" refreshedVersion="4"/>
  <connection id="6789" xr16:uid="{00000000-0015-0000-FFFF-FFFF02110000}" name="接続3756" type="7" refreshedVersion="4"/>
  <connection id="6790" xr16:uid="{00000000-0015-0000-FFFF-FFFF03110000}" name="接続3757" type="7" refreshedVersion="4"/>
  <connection id="6791" xr16:uid="{00000000-0015-0000-FFFF-FFFF04110000}" name="接続3758" type="7" refreshedVersion="4"/>
  <connection id="6792" xr16:uid="{00000000-0015-0000-FFFF-FFFF05110000}" name="接続3759" type="7" refreshedVersion="4"/>
  <connection id="6793" xr16:uid="{00000000-0015-0000-FFFF-FFFF06110000}" name="接続376" type="7" refreshedVersion="4"/>
  <connection id="6794" xr16:uid="{00000000-0015-0000-FFFF-FFFF07110000}" name="接続3760" type="7" refreshedVersion="4"/>
  <connection id="6795" xr16:uid="{00000000-0015-0000-FFFF-FFFF08110000}" name="接続3761" type="7" refreshedVersion="4"/>
  <connection id="6796" xr16:uid="{00000000-0015-0000-FFFF-FFFF09110000}" name="接続3762" type="7" refreshedVersion="4"/>
  <connection id="6797" xr16:uid="{00000000-0015-0000-FFFF-FFFF0A110000}" name="接続3763" type="7" refreshedVersion="4"/>
  <connection id="6798" xr16:uid="{00000000-0015-0000-FFFF-FFFF0B110000}" name="接続3764" type="7" refreshedVersion="4"/>
  <connection id="6799" xr16:uid="{00000000-0015-0000-FFFF-FFFF0C110000}" name="接続3765" type="7" refreshedVersion="4"/>
  <connection id="6800" xr16:uid="{00000000-0015-0000-FFFF-FFFF0D110000}" name="接続3766" type="7" refreshedVersion="4"/>
  <connection id="6801" xr16:uid="{00000000-0015-0000-FFFF-FFFF0E110000}" name="接続3767" type="7" refreshedVersion="4"/>
  <connection id="6802" xr16:uid="{00000000-0015-0000-FFFF-FFFF0F110000}" name="接続3768" type="7" refreshedVersion="4"/>
  <connection id="6803" xr16:uid="{00000000-0015-0000-FFFF-FFFF10110000}" name="接続3769" type="7" refreshedVersion="4"/>
  <connection id="6804" xr16:uid="{00000000-0015-0000-FFFF-FFFF11110000}" name="接続377" type="7" refreshedVersion="4"/>
  <connection id="6805" xr16:uid="{00000000-0015-0000-FFFF-FFFF12110000}" name="接続3770" type="7" refreshedVersion="4"/>
  <connection id="6806" xr16:uid="{00000000-0015-0000-FFFF-FFFF13110000}" name="接続3771" type="7" refreshedVersion="4"/>
  <connection id="6807" xr16:uid="{00000000-0015-0000-FFFF-FFFF14110000}" name="接続3772" type="7" refreshedVersion="4"/>
  <connection id="6808" xr16:uid="{00000000-0015-0000-FFFF-FFFF15110000}" name="接続3773" type="7" refreshedVersion="4"/>
  <connection id="6809" xr16:uid="{00000000-0015-0000-FFFF-FFFF16110000}" name="接続3774" type="7" refreshedVersion="4"/>
  <connection id="6810" xr16:uid="{00000000-0015-0000-FFFF-FFFF17110000}" name="接続3775" type="7" refreshedVersion="4"/>
  <connection id="6811" xr16:uid="{00000000-0015-0000-FFFF-FFFF18110000}" name="接続3776" type="7" refreshedVersion="4"/>
  <connection id="6812" xr16:uid="{00000000-0015-0000-FFFF-FFFF19110000}" name="接続3777" type="7" refreshedVersion="4"/>
  <connection id="6813" xr16:uid="{00000000-0015-0000-FFFF-FFFF1A110000}" name="接続3778" type="7" refreshedVersion="4"/>
  <connection id="6814" xr16:uid="{00000000-0015-0000-FFFF-FFFF1B110000}" name="接続3779" type="7" refreshedVersion="4"/>
  <connection id="6815" xr16:uid="{00000000-0015-0000-FFFF-FFFF1C110000}" name="接続378" type="7" refreshedVersion="4"/>
  <connection id="6816" xr16:uid="{00000000-0015-0000-FFFF-FFFF1D110000}" name="接続3780" type="7" refreshedVersion="4"/>
  <connection id="6817" xr16:uid="{00000000-0015-0000-FFFF-FFFF1E110000}" name="接続3781" type="7" refreshedVersion="4"/>
  <connection id="6818" xr16:uid="{00000000-0015-0000-FFFF-FFFF1F110000}" name="接続3782" type="7" refreshedVersion="4"/>
  <connection id="6819" xr16:uid="{00000000-0015-0000-FFFF-FFFF20110000}" name="接続3783" type="7" refreshedVersion="4"/>
  <connection id="6820" xr16:uid="{00000000-0015-0000-FFFF-FFFF21110000}" name="接続3784" type="7" refreshedVersion="4"/>
  <connection id="6821" xr16:uid="{00000000-0015-0000-FFFF-FFFF22110000}" name="接続3785" type="7" refreshedVersion="4"/>
  <connection id="6822" xr16:uid="{00000000-0015-0000-FFFF-FFFF23110000}" name="接続3786" type="7" refreshedVersion="4"/>
  <connection id="6823" xr16:uid="{00000000-0015-0000-FFFF-FFFF24110000}" name="接続3787" type="7" refreshedVersion="4"/>
  <connection id="6824" xr16:uid="{00000000-0015-0000-FFFF-FFFF25110000}" name="接続3788" type="7" refreshedVersion="4"/>
  <connection id="6825" xr16:uid="{00000000-0015-0000-FFFF-FFFF26110000}" name="接続3789" type="7" refreshedVersion="4"/>
  <connection id="6826" xr16:uid="{00000000-0015-0000-FFFF-FFFF27110000}" name="接続379" type="7" refreshedVersion="4"/>
  <connection id="6827" xr16:uid="{00000000-0015-0000-FFFF-FFFF28110000}" name="接続3790" type="7" refreshedVersion="4"/>
  <connection id="6828" xr16:uid="{00000000-0015-0000-FFFF-FFFF29110000}" name="接続3791" type="7" refreshedVersion="4"/>
  <connection id="6829" xr16:uid="{00000000-0015-0000-FFFF-FFFF2A110000}" name="接続3792" type="7" refreshedVersion="4"/>
  <connection id="6830" xr16:uid="{00000000-0015-0000-FFFF-FFFF2B110000}" name="接続3793" type="7" refreshedVersion="4"/>
  <connection id="6831" xr16:uid="{00000000-0015-0000-FFFF-FFFF2C110000}" name="接続3794" type="7" refreshedVersion="4"/>
  <connection id="6832" xr16:uid="{00000000-0015-0000-FFFF-FFFF2D110000}" name="接続3795" type="7" refreshedVersion="4"/>
  <connection id="6833" xr16:uid="{00000000-0015-0000-FFFF-FFFF2E110000}" name="接続3796" type="7" refreshedVersion="4"/>
  <connection id="6834" xr16:uid="{00000000-0015-0000-FFFF-FFFF2F110000}" name="接続3797" type="7" refreshedVersion="4"/>
  <connection id="6835" xr16:uid="{00000000-0015-0000-FFFF-FFFF30110000}" name="接続3798" type="7" refreshedVersion="4"/>
  <connection id="6836" xr16:uid="{00000000-0015-0000-FFFF-FFFF31110000}" name="接続3799" type="7" refreshedVersion="4"/>
  <connection id="6837" xr16:uid="{00000000-0015-0000-FFFF-FFFF32110000}" name="接続38" type="7" refreshedVersion="4"/>
  <connection id="6838" xr16:uid="{00000000-0015-0000-FFFF-FFFF33110000}" name="接続380" type="7" refreshedVersion="4"/>
  <connection id="6839" xr16:uid="{00000000-0015-0000-FFFF-FFFF34110000}" name="接続3800" type="7" refreshedVersion="4"/>
  <connection id="6840" xr16:uid="{00000000-0015-0000-FFFF-FFFF35110000}" name="接続3801" type="7" refreshedVersion="4"/>
  <connection id="6841" xr16:uid="{00000000-0015-0000-FFFF-FFFF36110000}" name="接続3802" type="7" refreshedVersion="4"/>
  <connection id="6842" xr16:uid="{00000000-0015-0000-FFFF-FFFF37110000}" name="接続3803" type="7" refreshedVersion="4"/>
  <connection id="6843" xr16:uid="{00000000-0015-0000-FFFF-FFFF38110000}" name="接続3804" type="7" refreshedVersion="4"/>
  <connection id="6844" xr16:uid="{00000000-0015-0000-FFFF-FFFF39110000}" name="接続3805" type="7" refreshedVersion="4"/>
  <connection id="6845" xr16:uid="{00000000-0015-0000-FFFF-FFFF3A110000}" name="接続3806" type="7" refreshedVersion="4"/>
  <connection id="6846" xr16:uid="{00000000-0015-0000-FFFF-FFFF3B110000}" name="接続3807" type="7" refreshedVersion="4"/>
  <connection id="6847" xr16:uid="{00000000-0015-0000-FFFF-FFFF3C110000}" name="接続3808" type="7" refreshedVersion="4"/>
  <connection id="6848" xr16:uid="{00000000-0015-0000-FFFF-FFFF3D110000}" name="接続3809" type="7" refreshedVersion="4"/>
  <connection id="6849" xr16:uid="{00000000-0015-0000-FFFF-FFFF3E110000}" name="接続381" type="7" refreshedVersion="4"/>
  <connection id="6850" xr16:uid="{00000000-0015-0000-FFFF-FFFF3F110000}" name="接続3810" type="7" refreshedVersion="4"/>
  <connection id="6851" xr16:uid="{00000000-0015-0000-FFFF-FFFF40110000}" name="接続3811" type="7" refreshedVersion="4"/>
  <connection id="6852" xr16:uid="{00000000-0015-0000-FFFF-FFFF41110000}" name="接続3812" type="7" refreshedVersion="4"/>
  <connection id="6853" xr16:uid="{00000000-0015-0000-FFFF-FFFF42110000}" name="接続3813" type="7" refreshedVersion="4"/>
  <connection id="6854" xr16:uid="{00000000-0015-0000-FFFF-FFFF43110000}" name="接続3814" type="7" refreshedVersion="4"/>
  <connection id="6855" xr16:uid="{00000000-0015-0000-FFFF-FFFF44110000}" name="接続3815" type="7" refreshedVersion="4"/>
  <connection id="6856" xr16:uid="{00000000-0015-0000-FFFF-FFFF45110000}" name="接続3816" type="7" refreshedVersion="4"/>
  <connection id="6857" xr16:uid="{00000000-0015-0000-FFFF-FFFF46110000}" name="接続3817" type="7" refreshedVersion="4"/>
  <connection id="6858" xr16:uid="{00000000-0015-0000-FFFF-FFFF47110000}" name="接続3818" type="7" refreshedVersion="4"/>
  <connection id="6859" xr16:uid="{00000000-0015-0000-FFFF-FFFF48110000}" name="接続3819" type="7" refreshedVersion="4"/>
  <connection id="6860" xr16:uid="{00000000-0015-0000-FFFF-FFFF49110000}" name="接続382" type="7" refreshedVersion="4"/>
  <connection id="6861" xr16:uid="{00000000-0015-0000-FFFF-FFFF4A110000}" name="接続3820" type="7" refreshedVersion="4"/>
  <connection id="6862" xr16:uid="{00000000-0015-0000-FFFF-FFFF4B110000}" name="接続3821" type="7" refreshedVersion="4"/>
  <connection id="6863" xr16:uid="{00000000-0015-0000-FFFF-FFFF4C110000}" name="接続3822" type="7" refreshedVersion="4"/>
  <connection id="6864" xr16:uid="{00000000-0015-0000-FFFF-FFFF4D110000}" name="接続3823" type="7" refreshedVersion="4"/>
  <connection id="6865" xr16:uid="{00000000-0015-0000-FFFF-FFFF4E110000}" name="接続3824" type="7" refreshedVersion="4"/>
  <connection id="6866" xr16:uid="{00000000-0015-0000-FFFF-FFFF4F110000}" name="接続3825" type="7" refreshedVersion="4"/>
  <connection id="6867" xr16:uid="{00000000-0015-0000-FFFF-FFFF50110000}" name="接続3826" type="7" refreshedVersion="4"/>
  <connection id="6868" xr16:uid="{00000000-0015-0000-FFFF-FFFF51110000}" name="接続3827" type="7" refreshedVersion="4"/>
  <connection id="6869" xr16:uid="{00000000-0015-0000-FFFF-FFFF52110000}" name="接続3828" type="7" refreshedVersion="4"/>
  <connection id="6870" xr16:uid="{00000000-0015-0000-FFFF-FFFF53110000}" name="接続3829" type="7" refreshedVersion="4"/>
  <connection id="6871" xr16:uid="{00000000-0015-0000-FFFF-FFFF54110000}" name="接続383" type="7" refreshedVersion="4"/>
  <connection id="6872" xr16:uid="{00000000-0015-0000-FFFF-FFFF55110000}" name="接続3830" type="7" refreshedVersion="4"/>
  <connection id="6873" xr16:uid="{00000000-0015-0000-FFFF-FFFF56110000}" name="接続3831" type="7" refreshedVersion="4"/>
  <connection id="6874" xr16:uid="{00000000-0015-0000-FFFF-FFFF57110000}" name="接続3832" type="7" refreshedVersion="4"/>
  <connection id="6875" xr16:uid="{00000000-0015-0000-FFFF-FFFF58110000}" name="接続3833" type="7" refreshedVersion="4"/>
  <connection id="6876" xr16:uid="{00000000-0015-0000-FFFF-FFFF59110000}" name="接続3834" type="7" refreshedVersion="4"/>
  <connection id="6877" xr16:uid="{00000000-0015-0000-FFFF-FFFF5A110000}" name="接続3835" type="7" refreshedVersion="4"/>
  <connection id="6878" xr16:uid="{00000000-0015-0000-FFFF-FFFF5B110000}" name="接続3836" type="7" refreshedVersion="4"/>
  <connection id="6879" xr16:uid="{00000000-0015-0000-FFFF-FFFF5C110000}" name="接続3837" type="7" refreshedVersion="4"/>
  <connection id="6880" xr16:uid="{00000000-0015-0000-FFFF-FFFF5D110000}" name="接続3838" type="7" refreshedVersion="4"/>
  <connection id="6881" xr16:uid="{00000000-0015-0000-FFFF-FFFF5E110000}" name="接続3839" type="7" refreshedVersion="4"/>
  <connection id="6882" xr16:uid="{00000000-0015-0000-FFFF-FFFF5F110000}" name="接続384" type="7" refreshedVersion="4"/>
  <connection id="6883" xr16:uid="{00000000-0015-0000-FFFF-FFFF60110000}" name="接続3840" type="7" refreshedVersion="4"/>
  <connection id="6884" xr16:uid="{00000000-0015-0000-FFFF-FFFF61110000}" name="接続3841" type="7" refreshedVersion="4"/>
  <connection id="6885" xr16:uid="{00000000-0015-0000-FFFF-FFFF62110000}" name="接続3842" type="7" refreshedVersion="4"/>
  <connection id="6886" xr16:uid="{00000000-0015-0000-FFFF-FFFF63110000}" name="接続3843" type="7" refreshedVersion="4"/>
  <connection id="6887" xr16:uid="{00000000-0015-0000-FFFF-FFFF64110000}" name="接続3844" type="7" refreshedVersion="4"/>
  <connection id="6888" xr16:uid="{00000000-0015-0000-FFFF-FFFF65110000}" name="接続3845" type="7" refreshedVersion="4"/>
  <connection id="6889" xr16:uid="{00000000-0015-0000-FFFF-FFFF66110000}" name="接続3846" type="7" refreshedVersion="4"/>
  <connection id="6890" xr16:uid="{00000000-0015-0000-FFFF-FFFF67110000}" name="接続3847" type="7" refreshedVersion="4"/>
  <connection id="6891" xr16:uid="{00000000-0015-0000-FFFF-FFFF68110000}" name="接続3848" type="7" refreshedVersion="4"/>
  <connection id="6892" xr16:uid="{00000000-0015-0000-FFFF-FFFF69110000}" name="接続3849" type="7" refreshedVersion="4"/>
  <connection id="6893" xr16:uid="{00000000-0015-0000-FFFF-FFFF6A110000}" name="接続385" type="7" refreshedVersion="4"/>
  <connection id="6894" xr16:uid="{00000000-0015-0000-FFFF-FFFF6B110000}" name="接続3850" type="7" refreshedVersion="4"/>
  <connection id="6895" xr16:uid="{00000000-0015-0000-FFFF-FFFF6C110000}" name="接続3851" type="7" refreshedVersion="4"/>
  <connection id="6896" xr16:uid="{00000000-0015-0000-FFFF-FFFF6D110000}" name="接続3852" type="7" refreshedVersion="4"/>
  <connection id="6897" xr16:uid="{00000000-0015-0000-FFFF-FFFF6E110000}" name="接続3853" type="7" refreshedVersion="4"/>
  <connection id="6898" xr16:uid="{00000000-0015-0000-FFFF-FFFF6F110000}" name="接続3854" type="7" refreshedVersion="4"/>
  <connection id="6899" xr16:uid="{00000000-0015-0000-FFFF-FFFF70110000}" name="接続3855" type="7" refreshedVersion="4"/>
  <connection id="6900" xr16:uid="{00000000-0015-0000-FFFF-FFFF71110000}" name="接続3856" type="7" refreshedVersion="4"/>
  <connection id="6901" xr16:uid="{00000000-0015-0000-FFFF-FFFF72110000}" name="接続3857" type="7" refreshedVersion="4"/>
  <connection id="6902" xr16:uid="{00000000-0015-0000-FFFF-FFFF73110000}" name="接続3858" type="7" refreshedVersion="4"/>
  <connection id="6903" xr16:uid="{00000000-0015-0000-FFFF-FFFF74110000}" name="接続3859" type="7" refreshedVersion="4"/>
  <connection id="6904" xr16:uid="{00000000-0015-0000-FFFF-FFFF75110000}" name="接続386" type="7" refreshedVersion="4"/>
  <connection id="6905" xr16:uid="{00000000-0015-0000-FFFF-FFFF76110000}" name="接続3860" type="7" refreshedVersion="4"/>
  <connection id="6906" xr16:uid="{00000000-0015-0000-FFFF-FFFF77110000}" name="接続3861" type="7" refreshedVersion="4"/>
  <connection id="6907" xr16:uid="{00000000-0015-0000-FFFF-FFFF78110000}" name="接続3862" type="7" refreshedVersion="4"/>
  <connection id="6908" xr16:uid="{00000000-0015-0000-FFFF-FFFF79110000}" name="接続3863" type="7" refreshedVersion="4"/>
  <connection id="6909" xr16:uid="{00000000-0015-0000-FFFF-FFFF7A110000}" name="接続3864" type="7" refreshedVersion="4"/>
  <connection id="6910" xr16:uid="{00000000-0015-0000-FFFF-FFFF7B110000}" name="接続3865" type="7" refreshedVersion="4"/>
  <connection id="6911" xr16:uid="{00000000-0015-0000-FFFF-FFFF7C110000}" name="接続3866" type="7" refreshedVersion="4"/>
  <connection id="6912" xr16:uid="{00000000-0015-0000-FFFF-FFFF7D110000}" name="接続3867" type="7" refreshedVersion="4"/>
  <connection id="6913" xr16:uid="{00000000-0015-0000-FFFF-FFFF7E110000}" name="接続3868" type="7" refreshedVersion="4"/>
  <connection id="6914" xr16:uid="{00000000-0015-0000-FFFF-FFFF7F110000}" name="接続3869" type="7" refreshedVersion="4"/>
  <connection id="6915" xr16:uid="{00000000-0015-0000-FFFF-FFFF80110000}" name="接続387" type="7" refreshedVersion="4"/>
  <connection id="6916" xr16:uid="{00000000-0015-0000-FFFF-FFFF81110000}" name="接続3870" type="7" refreshedVersion="4"/>
  <connection id="6917" xr16:uid="{00000000-0015-0000-FFFF-FFFF82110000}" name="接続3871" type="7" refreshedVersion="4"/>
  <connection id="6918" xr16:uid="{00000000-0015-0000-FFFF-FFFF83110000}" name="接続3872" type="7" refreshedVersion="4"/>
  <connection id="6919" xr16:uid="{00000000-0015-0000-FFFF-FFFF84110000}" name="接続3873" type="7" refreshedVersion="4"/>
  <connection id="6920" xr16:uid="{00000000-0015-0000-FFFF-FFFF85110000}" name="接続3874" type="7" refreshedVersion="4"/>
  <connection id="6921" xr16:uid="{00000000-0015-0000-FFFF-FFFF86110000}" name="接続3875" type="7" refreshedVersion="4"/>
  <connection id="6922" xr16:uid="{00000000-0015-0000-FFFF-FFFF87110000}" name="接続3876" type="7" refreshedVersion="4"/>
  <connection id="6923" xr16:uid="{00000000-0015-0000-FFFF-FFFF88110000}" name="接続3877" type="7" refreshedVersion="4"/>
  <connection id="6924" xr16:uid="{00000000-0015-0000-FFFF-FFFF89110000}" name="接続3878" type="7" refreshedVersion="4"/>
  <connection id="6925" xr16:uid="{00000000-0015-0000-FFFF-FFFF8A110000}" name="接続3879" type="7" refreshedVersion="4"/>
  <connection id="6926" xr16:uid="{00000000-0015-0000-FFFF-FFFF8B110000}" name="接続388" type="7" refreshedVersion="4"/>
  <connection id="6927" xr16:uid="{00000000-0015-0000-FFFF-FFFF8C110000}" name="接続3880" type="7" refreshedVersion="4"/>
  <connection id="6928" xr16:uid="{00000000-0015-0000-FFFF-FFFF8D110000}" name="接続3881" type="7" refreshedVersion="4"/>
  <connection id="6929" xr16:uid="{00000000-0015-0000-FFFF-FFFF8E110000}" name="接続3882" type="7" refreshedVersion="4"/>
  <connection id="6930" xr16:uid="{00000000-0015-0000-FFFF-FFFF8F110000}" name="接続3883" type="7" refreshedVersion="4"/>
  <connection id="6931" xr16:uid="{00000000-0015-0000-FFFF-FFFF90110000}" name="接続3884" type="7" refreshedVersion="4"/>
  <connection id="6932" xr16:uid="{00000000-0015-0000-FFFF-FFFF91110000}" name="接続3885" type="7" refreshedVersion="4"/>
  <connection id="6933" xr16:uid="{00000000-0015-0000-FFFF-FFFF92110000}" name="接続3886" type="7" refreshedVersion="4"/>
  <connection id="6934" xr16:uid="{00000000-0015-0000-FFFF-FFFF93110000}" name="接続3887" type="7" refreshedVersion="4"/>
  <connection id="6935" xr16:uid="{00000000-0015-0000-FFFF-FFFF94110000}" name="接続3888" type="7" refreshedVersion="4"/>
  <connection id="6936" xr16:uid="{00000000-0015-0000-FFFF-FFFF95110000}" name="接続3889" type="7" refreshedVersion="4"/>
  <connection id="6937" xr16:uid="{00000000-0015-0000-FFFF-FFFF96110000}" name="接続389" type="7" refreshedVersion="4"/>
  <connection id="6938" xr16:uid="{00000000-0015-0000-FFFF-FFFF97110000}" name="接続3890" type="7" refreshedVersion="4"/>
  <connection id="6939" xr16:uid="{00000000-0015-0000-FFFF-FFFF98110000}" name="接続3891" type="7" refreshedVersion="4"/>
  <connection id="6940" xr16:uid="{00000000-0015-0000-FFFF-FFFF99110000}" name="接続3892" type="7" refreshedVersion="4"/>
  <connection id="6941" xr16:uid="{00000000-0015-0000-FFFF-FFFF9A110000}" name="接続3893" type="7" refreshedVersion="4"/>
  <connection id="6942" xr16:uid="{00000000-0015-0000-FFFF-FFFF9B110000}" name="接続3894" type="7" refreshedVersion="4"/>
  <connection id="6943" xr16:uid="{00000000-0015-0000-FFFF-FFFF9C110000}" name="接続3895" type="7" refreshedVersion="4"/>
  <connection id="6944" xr16:uid="{00000000-0015-0000-FFFF-FFFF9D110000}" name="接続3896" type="7" refreshedVersion="4"/>
  <connection id="6945" xr16:uid="{00000000-0015-0000-FFFF-FFFF9E110000}" name="接続3897" type="7" refreshedVersion="4"/>
  <connection id="6946" xr16:uid="{00000000-0015-0000-FFFF-FFFF9F110000}" name="接続3898" type="7" refreshedVersion="4"/>
  <connection id="6947" xr16:uid="{00000000-0015-0000-FFFF-FFFFA0110000}" name="接続3899" type="7" refreshedVersion="4"/>
  <connection id="6948" xr16:uid="{00000000-0015-0000-FFFF-FFFFA1110000}" name="接続39" type="7" refreshedVersion="4"/>
  <connection id="6949" xr16:uid="{00000000-0015-0000-FFFF-FFFFA2110000}" name="接続390" type="7" refreshedVersion="4"/>
  <connection id="6950" xr16:uid="{00000000-0015-0000-FFFF-FFFFA3110000}" name="接続3900" type="7" refreshedVersion="4"/>
  <connection id="6951" xr16:uid="{00000000-0015-0000-FFFF-FFFFA4110000}" name="接続3901" type="7" refreshedVersion="4"/>
  <connection id="6952" xr16:uid="{00000000-0015-0000-FFFF-FFFFA5110000}" name="接続3902" type="7" refreshedVersion="4"/>
  <connection id="6953" xr16:uid="{00000000-0015-0000-FFFF-FFFFA6110000}" name="接続3903" type="7" refreshedVersion="4"/>
  <connection id="6954" xr16:uid="{00000000-0015-0000-FFFF-FFFFA7110000}" name="接続3904" type="7" refreshedVersion="4"/>
  <connection id="6955" xr16:uid="{00000000-0015-0000-FFFF-FFFFA8110000}" name="接続3905" type="7" refreshedVersion="4"/>
  <connection id="6956" xr16:uid="{00000000-0015-0000-FFFF-FFFFA9110000}" name="接続3906" type="7" refreshedVersion="4"/>
  <connection id="6957" xr16:uid="{00000000-0015-0000-FFFF-FFFFAA110000}" name="接続3907" type="7" refreshedVersion="4"/>
  <connection id="6958" xr16:uid="{00000000-0015-0000-FFFF-FFFFAB110000}" name="接続3908" type="7" refreshedVersion="4"/>
  <connection id="6959" xr16:uid="{00000000-0015-0000-FFFF-FFFFAC110000}" name="接続3909" type="7" refreshedVersion="4"/>
  <connection id="6960" xr16:uid="{00000000-0015-0000-FFFF-FFFFAD110000}" name="接続391" type="7" refreshedVersion="4"/>
  <connection id="6961" xr16:uid="{00000000-0015-0000-FFFF-FFFFAE110000}" name="接続3910" type="7" refreshedVersion="4"/>
  <connection id="6962" xr16:uid="{00000000-0015-0000-FFFF-FFFFAF110000}" name="接続3911" type="7" refreshedVersion="4"/>
  <connection id="6963" xr16:uid="{00000000-0015-0000-FFFF-FFFFB0110000}" name="接続3912" type="7" refreshedVersion="4"/>
  <connection id="6964" xr16:uid="{00000000-0015-0000-FFFF-FFFFB1110000}" name="接続3913" type="7" refreshedVersion="4"/>
  <connection id="6965" xr16:uid="{00000000-0015-0000-FFFF-FFFFB2110000}" name="接続3914" type="7" refreshedVersion="4"/>
  <connection id="6966" xr16:uid="{00000000-0015-0000-FFFF-FFFFB3110000}" name="接続3915" type="7" refreshedVersion="4"/>
  <connection id="6967" xr16:uid="{00000000-0015-0000-FFFF-FFFFB4110000}" name="接続3916" type="7" refreshedVersion="4"/>
  <connection id="6968" xr16:uid="{00000000-0015-0000-FFFF-FFFFB5110000}" name="接続3917" type="7" refreshedVersion="4"/>
  <connection id="6969" xr16:uid="{00000000-0015-0000-FFFF-FFFFB6110000}" name="接続3918" type="7" refreshedVersion="4"/>
  <connection id="6970" xr16:uid="{00000000-0015-0000-FFFF-FFFFB7110000}" name="接続3919" type="7" refreshedVersion="4"/>
  <connection id="6971" xr16:uid="{00000000-0015-0000-FFFF-FFFFB8110000}" name="接続392" type="7" refreshedVersion="4"/>
  <connection id="6972" xr16:uid="{00000000-0015-0000-FFFF-FFFFB9110000}" name="接続3920" type="7" refreshedVersion="4"/>
  <connection id="6973" xr16:uid="{00000000-0015-0000-FFFF-FFFFBA110000}" name="接続3921" type="7" refreshedVersion="4"/>
  <connection id="6974" xr16:uid="{00000000-0015-0000-FFFF-FFFFBB110000}" name="接続3922" type="7" refreshedVersion="4"/>
  <connection id="6975" xr16:uid="{00000000-0015-0000-FFFF-FFFFBC110000}" name="接続3923" type="7" refreshedVersion="4"/>
  <connection id="6976" xr16:uid="{00000000-0015-0000-FFFF-FFFFBD110000}" name="接続3924" type="7" refreshedVersion="4"/>
  <connection id="6977" xr16:uid="{00000000-0015-0000-FFFF-FFFFBE110000}" name="接続3925" type="7" refreshedVersion="4"/>
  <connection id="6978" xr16:uid="{00000000-0015-0000-FFFF-FFFFBF110000}" name="接続3926" type="7" refreshedVersion="4"/>
  <connection id="6979" xr16:uid="{00000000-0015-0000-FFFF-FFFFC0110000}" name="接続3927" type="7" refreshedVersion="4"/>
  <connection id="6980" xr16:uid="{00000000-0015-0000-FFFF-FFFFC1110000}" name="接続3928" type="7" refreshedVersion="4"/>
  <connection id="6981" xr16:uid="{00000000-0015-0000-FFFF-FFFFC2110000}" name="接続3929" type="7" refreshedVersion="4"/>
  <connection id="6982" xr16:uid="{00000000-0015-0000-FFFF-FFFFC3110000}" name="接続393" type="7" refreshedVersion="4"/>
  <connection id="6983" xr16:uid="{00000000-0015-0000-FFFF-FFFFC4110000}" name="接続3930" type="7" refreshedVersion="4"/>
  <connection id="6984" xr16:uid="{00000000-0015-0000-FFFF-FFFFC5110000}" name="接続3931" type="7" refreshedVersion="4"/>
  <connection id="6985" xr16:uid="{00000000-0015-0000-FFFF-FFFFC6110000}" name="接続3932" type="7" refreshedVersion="4"/>
  <connection id="6986" xr16:uid="{00000000-0015-0000-FFFF-FFFFC7110000}" name="接続3933" type="7" refreshedVersion="4"/>
  <connection id="6987" xr16:uid="{00000000-0015-0000-FFFF-FFFFC8110000}" name="接続3934" type="7" refreshedVersion="4"/>
  <connection id="6988" xr16:uid="{00000000-0015-0000-FFFF-FFFFC9110000}" name="接続3935" type="7" refreshedVersion="4"/>
  <connection id="6989" xr16:uid="{00000000-0015-0000-FFFF-FFFFCA110000}" name="接続3936" type="7" refreshedVersion="4"/>
  <connection id="6990" xr16:uid="{00000000-0015-0000-FFFF-FFFFCB110000}" name="接続3937" type="7" refreshedVersion="4"/>
  <connection id="6991" xr16:uid="{00000000-0015-0000-FFFF-FFFFCC110000}" name="接続3938" type="7" refreshedVersion="4"/>
  <connection id="6992" xr16:uid="{00000000-0015-0000-FFFF-FFFFCD110000}" name="接続3939" type="7" refreshedVersion="4"/>
  <connection id="6993" xr16:uid="{00000000-0015-0000-FFFF-FFFFCE110000}" name="接続394" type="7" refreshedVersion="4"/>
  <connection id="6994" xr16:uid="{00000000-0015-0000-FFFF-FFFFCF110000}" name="接続3940" type="7" refreshedVersion="4"/>
  <connection id="6995" xr16:uid="{00000000-0015-0000-FFFF-FFFFD0110000}" name="接続3941" type="7" refreshedVersion="4"/>
  <connection id="6996" xr16:uid="{00000000-0015-0000-FFFF-FFFFD1110000}" name="接続3942" type="7" refreshedVersion="4"/>
  <connection id="6997" xr16:uid="{00000000-0015-0000-FFFF-FFFFD2110000}" name="接続3943" type="7" refreshedVersion="4"/>
  <connection id="6998" xr16:uid="{00000000-0015-0000-FFFF-FFFFD3110000}" name="接続3944" type="7" refreshedVersion="4"/>
  <connection id="6999" xr16:uid="{00000000-0015-0000-FFFF-FFFFD4110000}" name="接続3945" type="7" refreshedVersion="4"/>
  <connection id="7000" xr16:uid="{00000000-0015-0000-FFFF-FFFFD5110000}" name="接続3946" type="7" refreshedVersion="4"/>
  <connection id="7001" xr16:uid="{00000000-0015-0000-FFFF-FFFFD6110000}" name="接続3947" type="7" refreshedVersion="4"/>
  <connection id="7002" xr16:uid="{00000000-0015-0000-FFFF-FFFFD7110000}" name="接続3948" type="7" refreshedVersion="4"/>
  <connection id="7003" xr16:uid="{00000000-0015-0000-FFFF-FFFFD8110000}" name="接続3949" type="7" refreshedVersion="4"/>
  <connection id="7004" xr16:uid="{00000000-0015-0000-FFFF-FFFFD9110000}" name="接続395" type="7" refreshedVersion="4"/>
  <connection id="7005" xr16:uid="{00000000-0015-0000-FFFF-FFFFDA110000}" name="接続3950" type="7" refreshedVersion="4"/>
  <connection id="7006" xr16:uid="{00000000-0015-0000-FFFF-FFFFDB110000}" name="接続3951" type="7" refreshedVersion="4"/>
  <connection id="7007" xr16:uid="{00000000-0015-0000-FFFF-FFFFDC110000}" name="接続3952" type="7" refreshedVersion="4"/>
  <connection id="7008" xr16:uid="{00000000-0015-0000-FFFF-FFFFDD110000}" name="接続3953" type="7" refreshedVersion="4"/>
  <connection id="7009" xr16:uid="{00000000-0015-0000-FFFF-FFFFDE110000}" name="接続3954" type="7" refreshedVersion="4"/>
  <connection id="7010" xr16:uid="{00000000-0015-0000-FFFF-FFFFDF110000}" name="接続3955" type="7" refreshedVersion="4"/>
  <connection id="7011" xr16:uid="{00000000-0015-0000-FFFF-FFFFE0110000}" name="接続3956" type="7" refreshedVersion="4"/>
  <connection id="7012" xr16:uid="{00000000-0015-0000-FFFF-FFFFE1110000}" name="接続3957" type="7" refreshedVersion="4"/>
  <connection id="7013" xr16:uid="{00000000-0015-0000-FFFF-FFFFE2110000}" name="接続3958" type="7" refreshedVersion="4"/>
  <connection id="7014" xr16:uid="{00000000-0015-0000-FFFF-FFFFE3110000}" name="接続3959" type="7" refreshedVersion="4"/>
  <connection id="7015" xr16:uid="{00000000-0015-0000-FFFF-FFFFE4110000}" name="接続396" type="7" refreshedVersion="4"/>
  <connection id="7016" xr16:uid="{00000000-0015-0000-FFFF-FFFFE5110000}" name="接続3960" type="7" refreshedVersion="4"/>
  <connection id="7017" xr16:uid="{00000000-0015-0000-FFFF-FFFFE6110000}" name="接続3961" type="7" refreshedVersion="4"/>
  <connection id="7018" xr16:uid="{00000000-0015-0000-FFFF-FFFFE7110000}" name="接続3962" type="7" refreshedVersion="4"/>
  <connection id="7019" xr16:uid="{00000000-0015-0000-FFFF-FFFFE8110000}" name="接続3963" type="7" refreshedVersion="4"/>
  <connection id="7020" xr16:uid="{00000000-0015-0000-FFFF-FFFFE9110000}" name="接続3964" type="7" refreshedVersion="4"/>
  <connection id="7021" xr16:uid="{00000000-0015-0000-FFFF-FFFFEA110000}" name="接続3965" type="7" refreshedVersion="4"/>
  <connection id="7022" xr16:uid="{00000000-0015-0000-FFFF-FFFFEB110000}" name="接続3966" type="7" refreshedVersion="4"/>
  <connection id="7023" xr16:uid="{00000000-0015-0000-FFFF-FFFFEC110000}" name="接続3967" type="7" refreshedVersion="4"/>
  <connection id="7024" xr16:uid="{00000000-0015-0000-FFFF-FFFFED110000}" name="接続3968" type="7" refreshedVersion="4"/>
  <connection id="7025" xr16:uid="{00000000-0015-0000-FFFF-FFFFEE110000}" name="接続3969" type="7" refreshedVersion="4"/>
  <connection id="7026" xr16:uid="{00000000-0015-0000-FFFF-FFFFEF110000}" name="接続397" type="7" refreshedVersion="4"/>
  <connection id="7027" xr16:uid="{00000000-0015-0000-FFFF-FFFFF0110000}" name="接続3970" type="7" refreshedVersion="4"/>
  <connection id="7028" xr16:uid="{00000000-0015-0000-FFFF-FFFFF1110000}" name="接続3971" type="7" refreshedVersion="4"/>
  <connection id="7029" xr16:uid="{00000000-0015-0000-FFFF-FFFFF2110000}" name="接続3972" type="7" refreshedVersion="4"/>
  <connection id="7030" xr16:uid="{00000000-0015-0000-FFFF-FFFFF3110000}" name="接続3973" type="7" refreshedVersion="4"/>
  <connection id="7031" xr16:uid="{00000000-0015-0000-FFFF-FFFFF4110000}" name="接続3974" type="7" refreshedVersion="4"/>
  <connection id="7032" xr16:uid="{00000000-0015-0000-FFFF-FFFFF5110000}" name="接続3975" type="7" refreshedVersion="4"/>
  <connection id="7033" xr16:uid="{00000000-0015-0000-FFFF-FFFFF6110000}" name="接続3976" type="7" refreshedVersion="4"/>
  <connection id="7034" xr16:uid="{00000000-0015-0000-FFFF-FFFFF7110000}" name="接続3977" type="7" refreshedVersion="4"/>
  <connection id="7035" xr16:uid="{00000000-0015-0000-FFFF-FFFFF8110000}" name="接続3978" type="7" refreshedVersion="4"/>
  <connection id="7036" xr16:uid="{00000000-0015-0000-FFFF-FFFFF9110000}" name="接続3979" type="7" refreshedVersion="4"/>
  <connection id="7037" xr16:uid="{00000000-0015-0000-FFFF-FFFFFA110000}" name="接続398" type="7" refreshedVersion="4"/>
  <connection id="7038" xr16:uid="{00000000-0015-0000-FFFF-FFFFFB110000}" name="接続3980" type="7" refreshedVersion="4"/>
  <connection id="7039" xr16:uid="{00000000-0015-0000-FFFF-FFFFFC110000}" name="接続3981" type="7" refreshedVersion="4"/>
  <connection id="7040" xr16:uid="{00000000-0015-0000-FFFF-FFFFFD110000}" name="接続3982" type="7" refreshedVersion="4"/>
  <connection id="7041" xr16:uid="{00000000-0015-0000-FFFF-FFFFFE110000}" name="接続3983" type="7" refreshedVersion="4"/>
  <connection id="7042" xr16:uid="{00000000-0015-0000-FFFF-FFFFFF110000}" name="接続3984" type="7" refreshedVersion="4"/>
  <connection id="7043" xr16:uid="{00000000-0015-0000-FFFF-FFFF00120000}" name="接続3985" type="7" refreshedVersion="4"/>
  <connection id="7044" xr16:uid="{00000000-0015-0000-FFFF-FFFF01120000}" name="接続3986" type="7" refreshedVersion="4"/>
  <connection id="7045" xr16:uid="{00000000-0015-0000-FFFF-FFFF02120000}" name="接続3987" type="7" refreshedVersion="4"/>
  <connection id="7046" xr16:uid="{00000000-0015-0000-FFFF-FFFF03120000}" name="接続3988" type="7" refreshedVersion="4"/>
  <connection id="7047" xr16:uid="{00000000-0015-0000-FFFF-FFFF04120000}" name="接続3989" type="7" refreshedVersion="4"/>
  <connection id="7048" xr16:uid="{00000000-0015-0000-FFFF-FFFF05120000}" name="接続399" type="7" refreshedVersion="4"/>
  <connection id="7049" xr16:uid="{00000000-0015-0000-FFFF-FFFF06120000}" name="接続3990" type="7" refreshedVersion="4"/>
  <connection id="7050" xr16:uid="{00000000-0015-0000-FFFF-FFFF07120000}" name="接続3991" type="7" refreshedVersion="4"/>
  <connection id="7051" xr16:uid="{00000000-0015-0000-FFFF-FFFF08120000}" name="接続3992" type="7" refreshedVersion="4"/>
  <connection id="7052" xr16:uid="{00000000-0015-0000-FFFF-FFFF09120000}" name="接続3993" type="7" refreshedVersion="4"/>
  <connection id="7053" xr16:uid="{00000000-0015-0000-FFFF-FFFF0A120000}" name="接続3994" type="7" refreshedVersion="4"/>
  <connection id="7054" xr16:uid="{00000000-0015-0000-FFFF-FFFF0B120000}" name="接続3995" type="7" refreshedVersion="4"/>
  <connection id="7055" xr16:uid="{00000000-0015-0000-FFFF-FFFF0C120000}" name="接続3996" type="7" refreshedVersion="4"/>
  <connection id="7056" xr16:uid="{00000000-0015-0000-FFFF-FFFF0D120000}" name="接続3997" type="7" refreshedVersion="4"/>
  <connection id="7057" xr16:uid="{00000000-0015-0000-FFFF-FFFF0E120000}" name="接続3998" type="7" refreshedVersion="4"/>
  <connection id="7058" xr16:uid="{00000000-0015-0000-FFFF-FFFF0F120000}" name="接続3999" type="7" refreshedVersion="4"/>
  <connection id="7059" xr16:uid="{00000000-0015-0000-FFFF-FFFF10120000}" name="接続4" type="7" refreshedVersion="4"/>
  <connection id="7060" xr16:uid="{00000000-0015-0000-FFFF-FFFF11120000}" name="接続40" type="7" refreshedVersion="4"/>
  <connection id="7061" xr16:uid="{00000000-0015-0000-FFFF-FFFF12120000}" name="接続400" type="7" refreshedVersion="4"/>
  <connection id="7062" xr16:uid="{00000000-0015-0000-FFFF-FFFF13120000}" name="接続4000" type="7" refreshedVersion="4"/>
  <connection id="7063" xr16:uid="{00000000-0015-0000-FFFF-FFFF14120000}" name="接続4001" type="7" refreshedVersion="4"/>
  <connection id="7064" xr16:uid="{00000000-0015-0000-FFFF-FFFF15120000}" name="接続4002" type="7" refreshedVersion="4"/>
  <connection id="7065" xr16:uid="{00000000-0015-0000-FFFF-FFFF16120000}" name="接続4003" type="7" refreshedVersion="4"/>
  <connection id="7066" xr16:uid="{00000000-0015-0000-FFFF-FFFF17120000}" name="接続4004" type="7" refreshedVersion="4"/>
  <connection id="7067" xr16:uid="{00000000-0015-0000-FFFF-FFFF18120000}" name="接続4005" type="7" refreshedVersion="4"/>
  <connection id="7068" xr16:uid="{00000000-0015-0000-FFFF-FFFF19120000}" name="接続4006" type="7" refreshedVersion="4"/>
  <connection id="7069" xr16:uid="{00000000-0015-0000-FFFF-FFFF1A120000}" name="接続4007" type="7" refreshedVersion="4"/>
  <connection id="7070" xr16:uid="{00000000-0015-0000-FFFF-FFFF1B120000}" name="接続4008" type="7" refreshedVersion="4"/>
  <connection id="7071" xr16:uid="{00000000-0015-0000-FFFF-FFFF1C120000}" name="接続4009" type="7" refreshedVersion="4"/>
  <connection id="7072" xr16:uid="{00000000-0015-0000-FFFF-FFFF1D120000}" name="接続401" type="7" refreshedVersion="4"/>
  <connection id="7073" xr16:uid="{00000000-0015-0000-FFFF-FFFF1E120000}" name="接続4010" type="7" refreshedVersion="4"/>
  <connection id="7074" xr16:uid="{00000000-0015-0000-FFFF-FFFF1F120000}" name="接続4011" type="7" refreshedVersion="4"/>
  <connection id="7075" xr16:uid="{00000000-0015-0000-FFFF-FFFF20120000}" name="接続4012" type="7" refreshedVersion="4"/>
  <connection id="7076" xr16:uid="{00000000-0015-0000-FFFF-FFFF21120000}" name="接続4013" type="7" refreshedVersion="4"/>
  <connection id="7077" xr16:uid="{00000000-0015-0000-FFFF-FFFF22120000}" name="接続4014" type="7" refreshedVersion="4"/>
  <connection id="7078" xr16:uid="{00000000-0015-0000-FFFF-FFFF23120000}" name="接続4015" type="7" refreshedVersion="4"/>
  <connection id="7079" xr16:uid="{00000000-0015-0000-FFFF-FFFF24120000}" name="接続4016" type="7" refreshedVersion="4"/>
  <connection id="7080" xr16:uid="{00000000-0015-0000-FFFF-FFFF25120000}" name="接続4017" type="7" refreshedVersion="4"/>
  <connection id="7081" xr16:uid="{00000000-0015-0000-FFFF-FFFF26120000}" name="接続4018" type="7" refreshedVersion="4"/>
  <connection id="7082" xr16:uid="{00000000-0015-0000-FFFF-FFFF27120000}" name="接続4019" type="7" refreshedVersion="4"/>
  <connection id="7083" xr16:uid="{00000000-0015-0000-FFFF-FFFF28120000}" name="接続402" type="7" refreshedVersion="4"/>
  <connection id="7084" xr16:uid="{00000000-0015-0000-FFFF-FFFF29120000}" name="接続4020" type="7" refreshedVersion="4"/>
  <connection id="7085" xr16:uid="{00000000-0015-0000-FFFF-FFFF2A120000}" name="接続4021" type="7" refreshedVersion="4"/>
  <connection id="7086" xr16:uid="{00000000-0015-0000-FFFF-FFFF2B120000}" name="接続4022" type="7" refreshedVersion="4"/>
  <connection id="7087" xr16:uid="{00000000-0015-0000-FFFF-FFFF2C120000}" name="接続4023" type="7" refreshedVersion="4"/>
  <connection id="7088" xr16:uid="{00000000-0015-0000-FFFF-FFFF2D120000}" name="接続4024" type="7" refreshedVersion="4"/>
  <connection id="7089" xr16:uid="{00000000-0015-0000-FFFF-FFFF2E120000}" name="接続4025" type="7" refreshedVersion="4"/>
  <connection id="7090" xr16:uid="{00000000-0015-0000-FFFF-FFFF2F120000}" name="接続4026" type="7" refreshedVersion="4"/>
  <connection id="7091" xr16:uid="{00000000-0015-0000-FFFF-FFFF30120000}" name="接続4027" type="7" refreshedVersion="4"/>
  <connection id="7092" xr16:uid="{00000000-0015-0000-FFFF-FFFF31120000}" name="接続4028" type="7" refreshedVersion="4"/>
  <connection id="7093" xr16:uid="{00000000-0015-0000-FFFF-FFFF32120000}" name="接続4029" type="7" refreshedVersion="4"/>
  <connection id="7094" xr16:uid="{00000000-0015-0000-FFFF-FFFF33120000}" name="接続403" type="7" refreshedVersion="4"/>
  <connection id="7095" xr16:uid="{00000000-0015-0000-FFFF-FFFF34120000}" name="接続4030" type="7" refreshedVersion="4"/>
  <connection id="7096" xr16:uid="{00000000-0015-0000-FFFF-FFFF35120000}" name="接続4031" type="7" refreshedVersion="4"/>
  <connection id="7097" xr16:uid="{00000000-0015-0000-FFFF-FFFF36120000}" name="接続4032" type="7" refreshedVersion="4"/>
  <connection id="7098" xr16:uid="{00000000-0015-0000-FFFF-FFFF37120000}" name="接続4033" type="7" refreshedVersion="4"/>
  <connection id="7099" xr16:uid="{00000000-0015-0000-FFFF-FFFF38120000}" name="接続4034" type="7" refreshedVersion="4"/>
  <connection id="7100" xr16:uid="{00000000-0015-0000-FFFF-FFFF39120000}" name="接続4035" type="7" refreshedVersion="4"/>
  <connection id="7101" xr16:uid="{00000000-0015-0000-FFFF-FFFF3A120000}" name="接続4036" type="7" refreshedVersion="4"/>
  <connection id="7102" xr16:uid="{00000000-0015-0000-FFFF-FFFF3B120000}" name="接続4037" type="7" refreshedVersion="4"/>
  <connection id="7103" xr16:uid="{00000000-0015-0000-FFFF-FFFF3C120000}" name="接続4038" type="7" refreshedVersion="4"/>
  <connection id="7104" xr16:uid="{00000000-0015-0000-FFFF-FFFF3D120000}" name="接続4039" type="7" refreshedVersion="4"/>
  <connection id="7105" xr16:uid="{00000000-0015-0000-FFFF-FFFF3E120000}" name="接続404" type="7" refreshedVersion="4"/>
  <connection id="7106" xr16:uid="{00000000-0015-0000-FFFF-FFFF3F120000}" name="接続4040" type="7" refreshedVersion="4"/>
  <connection id="7107" xr16:uid="{00000000-0015-0000-FFFF-FFFF40120000}" name="接続4041" type="7" refreshedVersion="4"/>
  <connection id="7108" xr16:uid="{00000000-0015-0000-FFFF-FFFF41120000}" name="接続4042" type="7" refreshedVersion="4"/>
  <connection id="7109" xr16:uid="{00000000-0015-0000-FFFF-FFFF42120000}" name="接続4043" type="7" refreshedVersion="4"/>
  <connection id="7110" xr16:uid="{00000000-0015-0000-FFFF-FFFF43120000}" name="接続4044" type="7" refreshedVersion="4"/>
  <connection id="7111" xr16:uid="{00000000-0015-0000-FFFF-FFFF44120000}" name="接続4045" type="7" refreshedVersion="4"/>
  <connection id="7112" xr16:uid="{00000000-0015-0000-FFFF-FFFF45120000}" name="接続4046" type="7" refreshedVersion="4"/>
  <connection id="7113" xr16:uid="{00000000-0015-0000-FFFF-FFFF46120000}" name="接続4047" type="7" refreshedVersion="4"/>
  <connection id="7114" xr16:uid="{00000000-0015-0000-FFFF-FFFF47120000}" name="接続4048" type="7" refreshedVersion="4"/>
  <connection id="7115" xr16:uid="{00000000-0015-0000-FFFF-FFFF48120000}" name="接続4049" type="7" refreshedVersion="4"/>
  <connection id="7116" xr16:uid="{00000000-0015-0000-FFFF-FFFF49120000}" name="接続405" type="7" refreshedVersion="4"/>
  <connection id="7117" xr16:uid="{00000000-0015-0000-FFFF-FFFF4A120000}" name="接続4050" type="7" refreshedVersion="4"/>
  <connection id="7118" xr16:uid="{00000000-0015-0000-FFFF-FFFF4B120000}" name="接続4051" type="7" refreshedVersion="4"/>
  <connection id="7119" xr16:uid="{00000000-0015-0000-FFFF-FFFF4C120000}" name="接続4052" type="7" refreshedVersion="4"/>
  <connection id="7120" xr16:uid="{00000000-0015-0000-FFFF-FFFF4D120000}" name="接続4053" type="7" refreshedVersion="4"/>
  <connection id="7121" xr16:uid="{00000000-0015-0000-FFFF-FFFF4E120000}" name="接続4054" type="7" refreshedVersion="4"/>
  <connection id="7122" xr16:uid="{00000000-0015-0000-FFFF-FFFF4F120000}" name="接続4055" type="7" refreshedVersion="4"/>
  <connection id="7123" xr16:uid="{00000000-0015-0000-FFFF-FFFF50120000}" name="接続4056" type="7" refreshedVersion="4"/>
  <connection id="7124" xr16:uid="{00000000-0015-0000-FFFF-FFFF51120000}" name="接続4057" type="7" refreshedVersion="4"/>
  <connection id="7125" xr16:uid="{00000000-0015-0000-FFFF-FFFF52120000}" name="接続4058" type="7" refreshedVersion="4"/>
  <connection id="7126" xr16:uid="{00000000-0015-0000-FFFF-FFFF53120000}" name="接続4059" type="7" refreshedVersion="4"/>
  <connection id="7127" xr16:uid="{00000000-0015-0000-FFFF-FFFF54120000}" name="接続406" type="7" refreshedVersion="4"/>
  <connection id="7128" xr16:uid="{00000000-0015-0000-FFFF-FFFF55120000}" name="接続4060" type="7" refreshedVersion="4"/>
  <connection id="7129" xr16:uid="{00000000-0015-0000-FFFF-FFFF56120000}" name="接続4061" type="7" refreshedVersion="4"/>
  <connection id="7130" xr16:uid="{00000000-0015-0000-FFFF-FFFF57120000}" name="接続4062" type="7" refreshedVersion="4"/>
  <connection id="7131" xr16:uid="{00000000-0015-0000-FFFF-FFFF58120000}" name="接続4063" type="7" refreshedVersion="4"/>
  <connection id="7132" xr16:uid="{00000000-0015-0000-FFFF-FFFF59120000}" name="接続4064" type="7" refreshedVersion="4"/>
  <connection id="7133" xr16:uid="{00000000-0015-0000-FFFF-FFFF5A120000}" name="接続4065" type="7" refreshedVersion="4"/>
  <connection id="7134" xr16:uid="{00000000-0015-0000-FFFF-FFFF5B120000}" name="接続4066" type="7" refreshedVersion="4"/>
  <connection id="7135" xr16:uid="{00000000-0015-0000-FFFF-FFFF5C120000}" name="接続4067" type="7" refreshedVersion="4"/>
  <connection id="7136" xr16:uid="{00000000-0015-0000-FFFF-FFFF5D120000}" name="接続4068" type="7" refreshedVersion="4"/>
  <connection id="7137" xr16:uid="{00000000-0015-0000-FFFF-FFFF5E120000}" name="接続4069" type="7" refreshedVersion="4"/>
  <connection id="7138" xr16:uid="{00000000-0015-0000-FFFF-FFFF5F120000}" name="接続407" type="7" refreshedVersion="4"/>
  <connection id="7139" xr16:uid="{00000000-0015-0000-FFFF-FFFF60120000}" name="接続4070" type="7" refreshedVersion="4"/>
  <connection id="7140" xr16:uid="{00000000-0015-0000-FFFF-FFFF61120000}" name="接続4071" type="7" refreshedVersion="4"/>
  <connection id="7141" xr16:uid="{00000000-0015-0000-FFFF-FFFF62120000}" name="接続4072" type="7" refreshedVersion="4"/>
  <connection id="7142" xr16:uid="{00000000-0015-0000-FFFF-FFFF63120000}" name="接続4073" type="7" refreshedVersion="4"/>
  <connection id="7143" xr16:uid="{00000000-0015-0000-FFFF-FFFF64120000}" name="接続4074" type="7" refreshedVersion="4"/>
  <connection id="7144" xr16:uid="{00000000-0015-0000-FFFF-FFFF65120000}" name="接続4075" type="7" refreshedVersion="4"/>
  <connection id="7145" xr16:uid="{00000000-0015-0000-FFFF-FFFF66120000}" name="接続4076" type="7" refreshedVersion="4"/>
  <connection id="7146" xr16:uid="{00000000-0015-0000-FFFF-FFFF67120000}" name="接続4077" type="7" refreshedVersion="4"/>
  <connection id="7147" xr16:uid="{00000000-0015-0000-FFFF-FFFF68120000}" name="接続4078" type="7" refreshedVersion="4"/>
  <connection id="7148" xr16:uid="{00000000-0015-0000-FFFF-FFFF69120000}" name="接続4079" type="7" refreshedVersion="4"/>
  <connection id="7149" xr16:uid="{00000000-0015-0000-FFFF-FFFF6A120000}" name="接続408" type="7" refreshedVersion="4"/>
  <connection id="7150" xr16:uid="{00000000-0015-0000-FFFF-FFFF6B120000}" name="接続4080" type="7" refreshedVersion="4"/>
  <connection id="7151" xr16:uid="{00000000-0015-0000-FFFF-FFFF6C120000}" name="接続4081" type="7" refreshedVersion="4"/>
  <connection id="7152" xr16:uid="{00000000-0015-0000-FFFF-FFFF6D120000}" name="接続4082" type="7" refreshedVersion="4"/>
  <connection id="7153" xr16:uid="{00000000-0015-0000-FFFF-FFFF6E120000}" name="接続4083" type="7" refreshedVersion="4"/>
  <connection id="7154" xr16:uid="{00000000-0015-0000-FFFF-FFFF6F120000}" name="接続4084" type="7" refreshedVersion="4"/>
  <connection id="7155" xr16:uid="{00000000-0015-0000-FFFF-FFFF70120000}" name="接続4085" type="7" refreshedVersion="4"/>
  <connection id="7156" xr16:uid="{00000000-0015-0000-FFFF-FFFF71120000}" name="接続4086" type="7" refreshedVersion="4"/>
  <connection id="7157" xr16:uid="{00000000-0015-0000-FFFF-FFFF72120000}" name="接続4087" type="7" refreshedVersion="4"/>
  <connection id="7158" xr16:uid="{00000000-0015-0000-FFFF-FFFF73120000}" name="接続4088" type="7" refreshedVersion="4"/>
  <connection id="7159" xr16:uid="{00000000-0015-0000-FFFF-FFFF74120000}" name="接続4089" type="7" refreshedVersion="4"/>
  <connection id="7160" xr16:uid="{00000000-0015-0000-FFFF-FFFF75120000}" name="接続409" type="7" refreshedVersion="4"/>
  <connection id="7161" xr16:uid="{00000000-0015-0000-FFFF-FFFF76120000}" name="接続4090" type="7" refreshedVersion="4"/>
  <connection id="7162" xr16:uid="{00000000-0015-0000-FFFF-FFFF77120000}" name="接続4091" type="7" refreshedVersion="4"/>
  <connection id="7163" xr16:uid="{00000000-0015-0000-FFFF-FFFF78120000}" name="接続4092" type="7" refreshedVersion="4"/>
  <connection id="7164" xr16:uid="{00000000-0015-0000-FFFF-FFFF79120000}" name="接続4093" type="7" refreshedVersion="4"/>
  <connection id="7165" xr16:uid="{00000000-0015-0000-FFFF-FFFF7A120000}" name="接続4094" type="7" refreshedVersion="4"/>
  <connection id="7166" xr16:uid="{00000000-0015-0000-FFFF-FFFF7B120000}" name="接続4095" type="7" refreshedVersion="4"/>
  <connection id="7167" xr16:uid="{00000000-0015-0000-FFFF-FFFF7C120000}" name="接続4096" type="7" refreshedVersion="4"/>
  <connection id="7168" xr16:uid="{00000000-0015-0000-FFFF-FFFF7D120000}" name="接続4097" type="7" refreshedVersion="4"/>
  <connection id="7169" xr16:uid="{00000000-0015-0000-FFFF-FFFF7E120000}" name="接続4098" type="7" refreshedVersion="4"/>
  <connection id="7170" xr16:uid="{00000000-0015-0000-FFFF-FFFF7F120000}" name="接続4099" type="7" refreshedVersion="4"/>
  <connection id="7171" xr16:uid="{00000000-0015-0000-FFFF-FFFF80120000}" name="接続41" type="7" refreshedVersion="4"/>
  <connection id="7172" xr16:uid="{00000000-0015-0000-FFFF-FFFF81120000}" name="接続410" type="7" refreshedVersion="4"/>
  <connection id="7173" xr16:uid="{00000000-0015-0000-FFFF-FFFF82120000}" name="接続4100" type="7" refreshedVersion="4"/>
  <connection id="7174" xr16:uid="{00000000-0015-0000-FFFF-FFFF83120000}" name="接続4101" type="7" refreshedVersion="4"/>
  <connection id="7175" xr16:uid="{00000000-0015-0000-FFFF-FFFF84120000}" name="接続4102" type="7" refreshedVersion="4"/>
  <connection id="7176" xr16:uid="{00000000-0015-0000-FFFF-FFFF85120000}" name="接続4103" type="7" refreshedVersion="4"/>
  <connection id="7177" xr16:uid="{00000000-0015-0000-FFFF-FFFF86120000}" name="接続4104" type="7" refreshedVersion="4"/>
  <connection id="7178" xr16:uid="{00000000-0015-0000-FFFF-FFFF87120000}" name="接続4105" type="7" refreshedVersion="4"/>
  <connection id="7179" xr16:uid="{00000000-0015-0000-FFFF-FFFF88120000}" name="接続4106" type="7" refreshedVersion="4"/>
  <connection id="7180" xr16:uid="{00000000-0015-0000-FFFF-FFFF89120000}" name="接続4107" type="7" refreshedVersion="4"/>
  <connection id="7181" xr16:uid="{00000000-0015-0000-FFFF-FFFF8A120000}" name="接続4108" type="7" refreshedVersion="4"/>
  <connection id="7182" xr16:uid="{00000000-0015-0000-FFFF-FFFF8B120000}" name="接続4109" type="7" refreshedVersion="4"/>
  <connection id="7183" xr16:uid="{00000000-0015-0000-FFFF-FFFF8C120000}" name="接続411" type="7" refreshedVersion="4"/>
  <connection id="7184" xr16:uid="{00000000-0015-0000-FFFF-FFFF8D120000}" name="接続4110" type="7" refreshedVersion="4"/>
  <connection id="7185" xr16:uid="{00000000-0015-0000-FFFF-FFFF8E120000}" name="接続4111" type="7" refreshedVersion="4"/>
  <connection id="7186" xr16:uid="{00000000-0015-0000-FFFF-FFFF8F120000}" name="接続4112" type="7" refreshedVersion="4"/>
  <connection id="7187" xr16:uid="{00000000-0015-0000-FFFF-FFFF90120000}" name="接続4113" type="7" refreshedVersion="4"/>
  <connection id="7188" xr16:uid="{00000000-0015-0000-FFFF-FFFF91120000}" name="接続4114" type="7" refreshedVersion="4"/>
  <connection id="7189" xr16:uid="{00000000-0015-0000-FFFF-FFFF92120000}" name="接続4115" type="7" refreshedVersion="4"/>
  <connection id="7190" xr16:uid="{00000000-0015-0000-FFFF-FFFF93120000}" name="接続4116" type="7" refreshedVersion="4"/>
  <connection id="7191" xr16:uid="{00000000-0015-0000-FFFF-FFFF94120000}" name="接続4117" type="7" refreshedVersion="4"/>
  <connection id="7192" xr16:uid="{00000000-0015-0000-FFFF-FFFF95120000}" name="接続4118" type="7" refreshedVersion="4"/>
  <connection id="7193" xr16:uid="{00000000-0015-0000-FFFF-FFFF96120000}" name="接続4119" type="7" refreshedVersion="4"/>
  <connection id="7194" xr16:uid="{00000000-0015-0000-FFFF-FFFF97120000}" name="接続412" type="7" refreshedVersion="4"/>
  <connection id="7195" xr16:uid="{00000000-0015-0000-FFFF-FFFF98120000}" name="接続4120" type="7" refreshedVersion="4"/>
  <connection id="7196" xr16:uid="{00000000-0015-0000-FFFF-FFFF99120000}" name="接続4121" type="7" refreshedVersion="4"/>
  <connection id="7197" xr16:uid="{00000000-0015-0000-FFFF-FFFF9A120000}" name="接続4122" type="7" refreshedVersion="4"/>
  <connection id="7198" xr16:uid="{00000000-0015-0000-FFFF-FFFF9B120000}" name="接続4123" type="7" refreshedVersion="4"/>
  <connection id="7199" xr16:uid="{00000000-0015-0000-FFFF-FFFF9C120000}" name="接続4124" type="7" refreshedVersion="4"/>
  <connection id="7200" xr16:uid="{00000000-0015-0000-FFFF-FFFF9D120000}" name="接続4125" type="7" refreshedVersion="4"/>
  <connection id="7201" xr16:uid="{00000000-0015-0000-FFFF-FFFF9E120000}" name="接続4126" type="7" refreshedVersion="4"/>
  <connection id="7202" xr16:uid="{00000000-0015-0000-FFFF-FFFF9F120000}" name="接続4127" type="7" refreshedVersion="4"/>
  <connection id="7203" xr16:uid="{00000000-0015-0000-FFFF-FFFFA0120000}" name="接続4128" type="7" refreshedVersion="4"/>
  <connection id="7204" xr16:uid="{00000000-0015-0000-FFFF-FFFFA1120000}" name="接続4129" type="7" refreshedVersion="4"/>
  <connection id="7205" xr16:uid="{00000000-0015-0000-FFFF-FFFFA2120000}" name="接続413" type="7" refreshedVersion="4"/>
  <connection id="7206" xr16:uid="{00000000-0015-0000-FFFF-FFFFA3120000}" name="接続4130" type="7" refreshedVersion="4"/>
  <connection id="7207" xr16:uid="{00000000-0015-0000-FFFF-FFFFA4120000}" name="接続4131" type="7" refreshedVersion="4"/>
  <connection id="7208" xr16:uid="{00000000-0015-0000-FFFF-FFFFA5120000}" name="接続4132" type="7" refreshedVersion="4"/>
  <connection id="7209" xr16:uid="{00000000-0015-0000-FFFF-FFFFA6120000}" name="接続4133" type="7" refreshedVersion="4"/>
  <connection id="7210" xr16:uid="{00000000-0015-0000-FFFF-FFFFA7120000}" name="接続4134" type="7" refreshedVersion="4"/>
  <connection id="7211" xr16:uid="{00000000-0015-0000-FFFF-FFFFA8120000}" name="接続4135" type="7" refreshedVersion="4"/>
  <connection id="7212" xr16:uid="{00000000-0015-0000-FFFF-FFFFA9120000}" name="接続4136" type="7" refreshedVersion="4"/>
  <connection id="7213" xr16:uid="{00000000-0015-0000-FFFF-FFFFAA120000}" name="接続4137" type="7" refreshedVersion="4"/>
  <connection id="7214" xr16:uid="{00000000-0015-0000-FFFF-FFFFAB120000}" name="接続4138" type="7" refreshedVersion="4"/>
  <connection id="7215" xr16:uid="{00000000-0015-0000-FFFF-FFFFAC120000}" name="接続4139" type="7" refreshedVersion="4"/>
  <connection id="7216" xr16:uid="{00000000-0015-0000-FFFF-FFFFAD120000}" name="接続414" type="7" refreshedVersion="4"/>
  <connection id="7217" xr16:uid="{00000000-0015-0000-FFFF-FFFFAE120000}" name="接続4140" type="7" refreshedVersion="4"/>
  <connection id="7218" xr16:uid="{00000000-0015-0000-FFFF-FFFFAF120000}" name="接続4141" type="7" refreshedVersion="4"/>
  <connection id="7219" xr16:uid="{00000000-0015-0000-FFFF-FFFFB0120000}" name="接続4142" type="7" refreshedVersion="4"/>
  <connection id="7220" xr16:uid="{00000000-0015-0000-FFFF-FFFFB1120000}" name="接続4143" type="7" refreshedVersion="4"/>
  <connection id="7221" xr16:uid="{00000000-0015-0000-FFFF-FFFFB2120000}" name="接続4144" type="7" refreshedVersion="4"/>
  <connection id="7222" xr16:uid="{00000000-0015-0000-FFFF-FFFFB3120000}" name="接続4145" type="7" refreshedVersion="4"/>
  <connection id="7223" xr16:uid="{00000000-0015-0000-FFFF-FFFFB4120000}" name="接続4146" type="7" refreshedVersion="4"/>
  <connection id="7224" xr16:uid="{00000000-0015-0000-FFFF-FFFFB5120000}" name="接続4147" type="7" refreshedVersion="4"/>
  <connection id="7225" xr16:uid="{00000000-0015-0000-FFFF-FFFFB6120000}" name="接続4148" type="7" refreshedVersion="4"/>
  <connection id="7226" xr16:uid="{00000000-0015-0000-FFFF-FFFFB7120000}" name="接続4149" type="7" refreshedVersion="4"/>
  <connection id="7227" xr16:uid="{00000000-0015-0000-FFFF-FFFFB8120000}" name="接続415" type="7" refreshedVersion="4"/>
  <connection id="7228" xr16:uid="{00000000-0015-0000-FFFF-FFFFB9120000}" name="接続4150" type="7" refreshedVersion="4"/>
  <connection id="7229" xr16:uid="{00000000-0015-0000-FFFF-FFFFBA120000}" name="接続4151" type="7" refreshedVersion="4"/>
  <connection id="7230" xr16:uid="{00000000-0015-0000-FFFF-FFFFBB120000}" name="接続4152" type="7" refreshedVersion="4"/>
  <connection id="7231" xr16:uid="{00000000-0015-0000-FFFF-FFFFBC120000}" name="接続4153" type="7" refreshedVersion="4"/>
  <connection id="7232" xr16:uid="{00000000-0015-0000-FFFF-FFFFBD120000}" name="接続4154" type="7" refreshedVersion="4"/>
  <connection id="7233" xr16:uid="{00000000-0015-0000-FFFF-FFFFBE120000}" name="接続4155" type="7" refreshedVersion="4"/>
  <connection id="7234" xr16:uid="{00000000-0015-0000-FFFF-FFFFBF120000}" name="接続4156" type="7" refreshedVersion="4"/>
  <connection id="7235" xr16:uid="{00000000-0015-0000-FFFF-FFFFC0120000}" name="接続4157" type="7" refreshedVersion="4"/>
  <connection id="7236" xr16:uid="{00000000-0015-0000-FFFF-FFFFC1120000}" name="接続4158" type="7" refreshedVersion="4"/>
  <connection id="7237" xr16:uid="{00000000-0015-0000-FFFF-FFFFC2120000}" name="接続4159" type="7" refreshedVersion="4"/>
  <connection id="7238" xr16:uid="{00000000-0015-0000-FFFF-FFFFC3120000}" name="接続416" type="7" refreshedVersion="4"/>
  <connection id="7239" xr16:uid="{00000000-0015-0000-FFFF-FFFFC4120000}" name="接続4160" type="7" refreshedVersion="4"/>
  <connection id="7240" xr16:uid="{00000000-0015-0000-FFFF-FFFFC5120000}" name="接続4161" type="7" refreshedVersion="4"/>
  <connection id="7241" xr16:uid="{00000000-0015-0000-FFFF-FFFFC6120000}" name="接続4162" type="7" refreshedVersion="4"/>
  <connection id="7242" xr16:uid="{00000000-0015-0000-FFFF-FFFFC7120000}" name="接続4163" type="7" refreshedVersion="4"/>
  <connection id="7243" xr16:uid="{00000000-0015-0000-FFFF-FFFFC8120000}" name="接続4164" type="7" refreshedVersion="4"/>
  <connection id="7244" xr16:uid="{00000000-0015-0000-FFFF-FFFFC9120000}" name="接続4165" type="7" refreshedVersion="4"/>
  <connection id="7245" xr16:uid="{00000000-0015-0000-FFFF-FFFFCA120000}" name="接続4166" type="7" refreshedVersion="4"/>
  <connection id="7246" xr16:uid="{00000000-0015-0000-FFFF-FFFFCB120000}" name="接続4167" type="7" refreshedVersion="4"/>
  <connection id="7247" xr16:uid="{00000000-0015-0000-FFFF-FFFFCC120000}" name="接続4168" type="7" refreshedVersion="4"/>
  <connection id="7248" xr16:uid="{00000000-0015-0000-FFFF-FFFFCD120000}" name="接続4169" type="7" refreshedVersion="4"/>
  <connection id="7249" xr16:uid="{00000000-0015-0000-FFFF-FFFFCE120000}" name="接続417" type="7" refreshedVersion="4"/>
  <connection id="7250" xr16:uid="{00000000-0015-0000-FFFF-FFFFCF120000}" name="接続4170" type="7" refreshedVersion="4"/>
  <connection id="7251" xr16:uid="{00000000-0015-0000-FFFF-FFFFD0120000}" name="接続4171" type="7" refreshedVersion="4"/>
  <connection id="7252" xr16:uid="{00000000-0015-0000-FFFF-FFFFD1120000}" name="接続4172" type="7" refreshedVersion="4"/>
  <connection id="7253" xr16:uid="{00000000-0015-0000-FFFF-FFFFD2120000}" name="接続4173" type="7" refreshedVersion="4"/>
  <connection id="7254" xr16:uid="{00000000-0015-0000-FFFF-FFFFD3120000}" name="接続4174" type="7" refreshedVersion="4"/>
  <connection id="7255" xr16:uid="{00000000-0015-0000-FFFF-FFFFD4120000}" name="接続4175" type="7" refreshedVersion="4"/>
  <connection id="7256" xr16:uid="{00000000-0015-0000-FFFF-FFFFD5120000}" name="接続4176" type="7" refreshedVersion="4"/>
  <connection id="7257" xr16:uid="{00000000-0015-0000-FFFF-FFFFD6120000}" name="接続4177" type="7" refreshedVersion="4"/>
  <connection id="7258" xr16:uid="{00000000-0015-0000-FFFF-FFFFD7120000}" name="接続4178" type="7" refreshedVersion="4"/>
  <connection id="7259" xr16:uid="{00000000-0015-0000-FFFF-FFFFD8120000}" name="接続4179" type="7" refreshedVersion="4"/>
  <connection id="7260" xr16:uid="{00000000-0015-0000-FFFF-FFFFD9120000}" name="接続418" type="7" refreshedVersion="4"/>
  <connection id="7261" xr16:uid="{00000000-0015-0000-FFFF-FFFFDA120000}" name="接続4180" type="7" refreshedVersion="4"/>
  <connection id="7262" xr16:uid="{00000000-0015-0000-FFFF-FFFFDB120000}" name="接続4181" type="7" refreshedVersion="4"/>
  <connection id="7263" xr16:uid="{00000000-0015-0000-FFFF-FFFFDC120000}" name="接続4182" type="7" refreshedVersion="4"/>
  <connection id="7264" xr16:uid="{00000000-0015-0000-FFFF-FFFFDD120000}" name="接続4183" type="7" refreshedVersion="4"/>
  <connection id="7265" xr16:uid="{00000000-0015-0000-FFFF-FFFFDE120000}" name="接続4184" type="7" refreshedVersion="4"/>
  <connection id="7266" xr16:uid="{00000000-0015-0000-FFFF-FFFFDF120000}" name="接続4185" type="7" refreshedVersion="4"/>
  <connection id="7267" xr16:uid="{00000000-0015-0000-FFFF-FFFFE0120000}" name="接続4186" type="7" refreshedVersion="4"/>
  <connection id="7268" xr16:uid="{00000000-0015-0000-FFFF-FFFFE1120000}" name="接続4187" type="7" refreshedVersion="4"/>
  <connection id="7269" xr16:uid="{00000000-0015-0000-FFFF-FFFFE2120000}" name="接続4188" type="7" refreshedVersion="4"/>
  <connection id="7270" xr16:uid="{00000000-0015-0000-FFFF-FFFFE3120000}" name="接続4189" type="7" refreshedVersion="4"/>
  <connection id="7271" xr16:uid="{00000000-0015-0000-FFFF-FFFFE4120000}" name="接続419" type="7" refreshedVersion="4"/>
  <connection id="7272" xr16:uid="{00000000-0015-0000-FFFF-FFFFE5120000}" name="接続4190" type="7" refreshedVersion="4"/>
  <connection id="7273" xr16:uid="{00000000-0015-0000-FFFF-FFFFE6120000}" name="接続4191" type="7" refreshedVersion="4"/>
  <connection id="7274" xr16:uid="{00000000-0015-0000-FFFF-FFFFE7120000}" name="接続4192" type="7" refreshedVersion="4"/>
  <connection id="7275" xr16:uid="{00000000-0015-0000-FFFF-FFFFE8120000}" name="接続4193" type="7" refreshedVersion="4"/>
  <connection id="7276" xr16:uid="{00000000-0015-0000-FFFF-FFFFE9120000}" name="接続4194" type="7" refreshedVersion="4"/>
  <connection id="7277" xr16:uid="{00000000-0015-0000-FFFF-FFFFEA120000}" name="接続4195" type="7" refreshedVersion="4"/>
  <connection id="7278" xr16:uid="{00000000-0015-0000-FFFF-FFFFEB120000}" name="接続4196" type="7" refreshedVersion="4"/>
  <connection id="7279" xr16:uid="{00000000-0015-0000-FFFF-FFFFEC120000}" name="接続4197" type="7" refreshedVersion="4"/>
  <connection id="7280" xr16:uid="{00000000-0015-0000-FFFF-FFFFED120000}" name="接続4198" type="7" refreshedVersion="4"/>
  <connection id="7281" xr16:uid="{00000000-0015-0000-FFFF-FFFFEE120000}" name="接続4199" type="7" refreshedVersion="4"/>
  <connection id="7282" xr16:uid="{00000000-0015-0000-FFFF-FFFFEF120000}" name="接続42" type="7" refreshedVersion="4"/>
  <connection id="7283" xr16:uid="{00000000-0015-0000-FFFF-FFFFF0120000}" name="接続420" type="7" refreshedVersion="4"/>
  <connection id="7284" xr16:uid="{00000000-0015-0000-FFFF-FFFFF1120000}" name="接続4200" type="7" refreshedVersion="4"/>
  <connection id="7285" xr16:uid="{00000000-0015-0000-FFFF-FFFFF2120000}" name="接続4201" type="7" refreshedVersion="4"/>
  <connection id="7286" xr16:uid="{00000000-0015-0000-FFFF-FFFFF3120000}" name="接続4202" type="7" refreshedVersion="4"/>
  <connection id="7287" xr16:uid="{00000000-0015-0000-FFFF-FFFFF4120000}" name="接続4203" type="7" refreshedVersion="4"/>
  <connection id="7288" xr16:uid="{00000000-0015-0000-FFFF-FFFFF5120000}" name="接続4204" type="7" refreshedVersion="4"/>
  <connection id="7289" xr16:uid="{00000000-0015-0000-FFFF-FFFFF6120000}" name="接続4205" type="7" refreshedVersion="4"/>
  <connection id="7290" xr16:uid="{00000000-0015-0000-FFFF-FFFFF7120000}" name="接続4206" type="7" refreshedVersion="4"/>
  <connection id="7291" xr16:uid="{00000000-0015-0000-FFFF-FFFFF8120000}" name="接続4207" type="7" refreshedVersion="4"/>
  <connection id="7292" xr16:uid="{00000000-0015-0000-FFFF-FFFFF9120000}" name="接続4208" type="7" refreshedVersion="4"/>
  <connection id="7293" xr16:uid="{00000000-0015-0000-FFFF-FFFFFA120000}" name="接続4209" type="7" refreshedVersion="4"/>
  <connection id="7294" xr16:uid="{00000000-0015-0000-FFFF-FFFFFB120000}" name="接続421" type="7" refreshedVersion="4"/>
  <connection id="7295" xr16:uid="{00000000-0015-0000-FFFF-FFFFFC120000}" name="接続4210" type="7" refreshedVersion="4"/>
  <connection id="7296" xr16:uid="{00000000-0015-0000-FFFF-FFFFFD120000}" name="接続4211" type="7" refreshedVersion="4"/>
  <connection id="7297" xr16:uid="{00000000-0015-0000-FFFF-FFFFFE120000}" name="接続4212" type="7" refreshedVersion="4"/>
  <connection id="7298" xr16:uid="{00000000-0015-0000-FFFF-FFFFFF120000}" name="接続4213" type="7" refreshedVersion="4"/>
  <connection id="7299" xr16:uid="{00000000-0015-0000-FFFF-FFFF00130000}" name="接続4214" type="7" refreshedVersion="4"/>
  <connection id="7300" xr16:uid="{00000000-0015-0000-FFFF-FFFF01130000}" name="接続4215" type="7" refreshedVersion="4"/>
  <connection id="7301" xr16:uid="{00000000-0015-0000-FFFF-FFFF02130000}" name="接続4216" type="7" refreshedVersion="4"/>
  <connection id="7302" xr16:uid="{00000000-0015-0000-FFFF-FFFF03130000}" name="接続4217" type="7" refreshedVersion="4"/>
  <connection id="7303" xr16:uid="{00000000-0015-0000-FFFF-FFFF04130000}" name="接続4218" type="7" refreshedVersion="4"/>
  <connection id="7304" xr16:uid="{00000000-0015-0000-FFFF-FFFF05130000}" name="接続4219" type="7" refreshedVersion="4"/>
  <connection id="7305" xr16:uid="{00000000-0015-0000-FFFF-FFFF06130000}" name="接続422" type="7" refreshedVersion="4"/>
  <connection id="7306" xr16:uid="{00000000-0015-0000-FFFF-FFFF07130000}" name="接続4220" type="7" refreshedVersion="4"/>
  <connection id="7307" xr16:uid="{00000000-0015-0000-FFFF-FFFF08130000}" name="接続4221" type="7" refreshedVersion="4"/>
  <connection id="7308" xr16:uid="{00000000-0015-0000-FFFF-FFFF09130000}" name="接続4222" type="7" refreshedVersion="4"/>
  <connection id="7309" xr16:uid="{00000000-0015-0000-FFFF-FFFF0A130000}" name="接続4223" type="7" refreshedVersion="4"/>
  <connection id="7310" xr16:uid="{00000000-0015-0000-FFFF-FFFF0B130000}" name="接続4224" type="7" refreshedVersion="4"/>
  <connection id="7311" xr16:uid="{00000000-0015-0000-FFFF-FFFF0C130000}" name="接続4225" type="7" refreshedVersion="4"/>
  <connection id="7312" xr16:uid="{00000000-0015-0000-FFFF-FFFF0D130000}" name="接続4226" type="7" refreshedVersion="4"/>
  <connection id="7313" xr16:uid="{00000000-0015-0000-FFFF-FFFF0E130000}" name="接続4227" type="7" refreshedVersion="4"/>
  <connection id="7314" xr16:uid="{00000000-0015-0000-FFFF-FFFF0F130000}" name="接続4228" type="7" refreshedVersion="4"/>
  <connection id="7315" xr16:uid="{00000000-0015-0000-FFFF-FFFF10130000}" name="接続4229" type="7" refreshedVersion="4"/>
  <connection id="7316" xr16:uid="{00000000-0015-0000-FFFF-FFFF11130000}" name="接続423" type="7" refreshedVersion="4"/>
  <connection id="7317" xr16:uid="{00000000-0015-0000-FFFF-FFFF12130000}" name="接続4230" type="7" refreshedVersion="4"/>
  <connection id="7318" xr16:uid="{00000000-0015-0000-FFFF-FFFF13130000}" name="接続4231" type="7" refreshedVersion="4"/>
  <connection id="7319" xr16:uid="{00000000-0015-0000-FFFF-FFFF14130000}" name="接続4232" type="7" refreshedVersion="4"/>
  <connection id="7320" xr16:uid="{00000000-0015-0000-FFFF-FFFF15130000}" name="接続4233" type="7" refreshedVersion="4"/>
  <connection id="7321" xr16:uid="{00000000-0015-0000-FFFF-FFFF16130000}" name="接続4234" type="7" refreshedVersion="4"/>
  <connection id="7322" xr16:uid="{00000000-0015-0000-FFFF-FFFF17130000}" name="接続4235" type="7" refreshedVersion="4"/>
  <connection id="7323" xr16:uid="{00000000-0015-0000-FFFF-FFFF18130000}" name="接続4236" type="7" refreshedVersion="4"/>
  <connection id="7324" xr16:uid="{00000000-0015-0000-FFFF-FFFF19130000}" name="接続4237" type="7" refreshedVersion="4"/>
  <connection id="7325" xr16:uid="{00000000-0015-0000-FFFF-FFFF1A130000}" name="接続4238" type="7" refreshedVersion="4"/>
  <connection id="7326" xr16:uid="{00000000-0015-0000-FFFF-FFFF1B130000}" name="接続4239" type="7" refreshedVersion="4"/>
  <connection id="7327" xr16:uid="{00000000-0015-0000-FFFF-FFFF1C130000}" name="接続424" type="7" refreshedVersion="4"/>
  <connection id="7328" xr16:uid="{00000000-0015-0000-FFFF-FFFF1D130000}" name="接続4240" type="7" refreshedVersion="4"/>
  <connection id="7329" xr16:uid="{00000000-0015-0000-FFFF-FFFF1E130000}" name="接続4241" type="7" refreshedVersion="4"/>
  <connection id="7330" xr16:uid="{00000000-0015-0000-FFFF-FFFF1F130000}" name="接続4242" type="7" refreshedVersion="4"/>
  <connection id="7331" xr16:uid="{00000000-0015-0000-FFFF-FFFF20130000}" name="接続4243" type="7" refreshedVersion="4"/>
  <connection id="7332" xr16:uid="{00000000-0015-0000-FFFF-FFFF21130000}" name="接続4244" type="7" refreshedVersion="4"/>
  <connection id="7333" xr16:uid="{00000000-0015-0000-FFFF-FFFF22130000}" name="接続4245" type="7" refreshedVersion="4"/>
  <connection id="7334" xr16:uid="{00000000-0015-0000-FFFF-FFFF23130000}" name="接続4246" type="7" refreshedVersion="4"/>
  <connection id="7335" xr16:uid="{00000000-0015-0000-FFFF-FFFF24130000}" name="接続4247" type="7" refreshedVersion="4"/>
  <connection id="7336" xr16:uid="{00000000-0015-0000-FFFF-FFFF25130000}" name="接続4248" type="7" refreshedVersion="4"/>
  <connection id="7337" xr16:uid="{00000000-0015-0000-FFFF-FFFF26130000}" name="接続4249" type="7" refreshedVersion="4"/>
  <connection id="7338" xr16:uid="{00000000-0015-0000-FFFF-FFFF27130000}" name="接続425" type="7" refreshedVersion="4"/>
  <connection id="7339" xr16:uid="{00000000-0015-0000-FFFF-FFFF28130000}" name="接続4250" type="7" refreshedVersion="4"/>
  <connection id="7340" xr16:uid="{00000000-0015-0000-FFFF-FFFF29130000}" name="接続4251" type="7" refreshedVersion="4"/>
  <connection id="7341" xr16:uid="{00000000-0015-0000-FFFF-FFFF2A130000}" name="接続4252" type="7" refreshedVersion="4"/>
  <connection id="7342" xr16:uid="{00000000-0015-0000-FFFF-FFFF2B130000}" name="接続4253" type="7" refreshedVersion="4"/>
  <connection id="7343" xr16:uid="{00000000-0015-0000-FFFF-FFFF2C130000}" name="接続4254" type="7" refreshedVersion="4"/>
  <connection id="7344" xr16:uid="{00000000-0015-0000-FFFF-FFFF2D130000}" name="接続4255" type="7" refreshedVersion="4"/>
  <connection id="7345" xr16:uid="{00000000-0015-0000-FFFF-FFFF2E130000}" name="接続4256" type="7" refreshedVersion="4"/>
  <connection id="7346" xr16:uid="{00000000-0015-0000-FFFF-FFFF2F130000}" name="接続4257" type="7" refreshedVersion="4"/>
  <connection id="7347" xr16:uid="{00000000-0015-0000-FFFF-FFFF30130000}" name="接続4258" type="7" refreshedVersion="4"/>
  <connection id="7348" xr16:uid="{00000000-0015-0000-FFFF-FFFF31130000}" name="接続4259" type="7" refreshedVersion="4"/>
  <connection id="7349" xr16:uid="{00000000-0015-0000-FFFF-FFFF32130000}" name="接続426" type="7" refreshedVersion="4"/>
  <connection id="7350" xr16:uid="{00000000-0015-0000-FFFF-FFFF33130000}" name="接続4260" type="7" refreshedVersion="4"/>
  <connection id="7351" xr16:uid="{00000000-0015-0000-FFFF-FFFF34130000}" name="接続4261" type="7" refreshedVersion="4"/>
  <connection id="7352" xr16:uid="{00000000-0015-0000-FFFF-FFFF35130000}" name="接続4262" type="7" refreshedVersion="4"/>
  <connection id="7353" xr16:uid="{00000000-0015-0000-FFFF-FFFF36130000}" name="接続4263" type="7" refreshedVersion="4"/>
  <connection id="7354" xr16:uid="{00000000-0015-0000-FFFF-FFFF37130000}" name="接続4264" type="7" refreshedVersion="4"/>
  <connection id="7355" xr16:uid="{00000000-0015-0000-FFFF-FFFF38130000}" name="接続4265" type="7" refreshedVersion="4"/>
  <connection id="7356" xr16:uid="{00000000-0015-0000-FFFF-FFFF39130000}" name="接続4266" type="7" refreshedVersion="4"/>
  <connection id="7357" xr16:uid="{00000000-0015-0000-FFFF-FFFF3A130000}" name="接続4267" type="7" refreshedVersion="4"/>
  <connection id="7358" xr16:uid="{00000000-0015-0000-FFFF-FFFF3B130000}" name="接続4268" type="7" refreshedVersion="4"/>
  <connection id="7359" xr16:uid="{00000000-0015-0000-FFFF-FFFF3C130000}" name="接続4269" type="7" refreshedVersion="4"/>
  <connection id="7360" xr16:uid="{00000000-0015-0000-FFFF-FFFF3D130000}" name="接続427" type="7" refreshedVersion="4"/>
  <connection id="7361" xr16:uid="{00000000-0015-0000-FFFF-FFFF3E130000}" name="接続4270" type="7" refreshedVersion="4"/>
  <connection id="7362" xr16:uid="{00000000-0015-0000-FFFF-FFFF3F130000}" name="接続4271" type="7" refreshedVersion="4"/>
  <connection id="7363" xr16:uid="{00000000-0015-0000-FFFF-FFFF40130000}" name="接続4272" type="7" refreshedVersion="4"/>
  <connection id="7364" xr16:uid="{00000000-0015-0000-FFFF-FFFF41130000}" name="接続4273" type="7" refreshedVersion="4"/>
  <connection id="7365" xr16:uid="{00000000-0015-0000-FFFF-FFFF42130000}" name="接続4274" type="7" refreshedVersion="4"/>
  <connection id="7366" xr16:uid="{00000000-0015-0000-FFFF-FFFF43130000}" name="接続4275" type="7" refreshedVersion="4"/>
  <connection id="7367" xr16:uid="{00000000-0015-0000-FFFF-FFFF44130000}" name="接続4276" type="7" refreshedVersion="4"/>
  <connection id="7368" xr16:uid="{00000000-0015-0000-FFFF-FFFF45130000}" name="接続4277" type="7" refreshedVersion="4"/>
  <connection id="7369" xr16:uid="{00000000-0015-0000-FFFF-FFFF46130000}" name="接続4278" type="7" refreshedVersion="4"/>
  <connection id="7370" xr16:uid="{00000000-0015-0000-FFFF-FFFF47130000}" name="接続4279" type="7" refreshedVersion="4"/>
  <connection id="7371" xr16:uid="{00000000-0015-0000-FFFF-FFFF48130000}" name="接続428" type="7" refreshedVersion="4"/>
  <connection id="7372" xr16:uid="{00000000-0015-0000-FFFF-FFFF49130000}" name="接続4280" type="7" refreshedVersion="4"/>
  <connection id="7373" xr16:uid="{00000000-0015-0000-FFFF-FFFF4A130000}" name="接続4281" type="7" refreshedVersion="4"/>
  <connection id="7374" xr16:uid="{00000000-0015-0000-FFFF-FFFF4B130000}" name="接続4282" type="7" refreshedVersion="4"/>
  <connection id="7375" xr16:uid="{00000000-0015-0000-FFFF-FFFF4C130000}" name="接続4283" type="7" refreshedVersion="4"/>
  <connection id="7376" xr16:uid="{00000000-0015-0000-FFFF-FFFF4D130000}" name="接続4284" type="7" refreshedVersion="4"/>
  <connection id="7377" xr16:uid="{00000000-0015-0000-FFFF-FFFF4E130000}" name="接続4285" type="7" refreshedVersion="4"/>
  <connection id="7378" xr16:uid="{00000000-0015-0000-FFFF-FFFF4F130000}" name="接続4286" type="7" refreshedVersion="4"/>
  <connection id="7379" xr16:uid="{00000000-0015-0000-FFFF-FFFF50130000}" name="接続4287" type="7" refreshedVersion="4"/>
  <connection id="7380" xr16:uid="{00000000-0015-0000-FFFF-FFFF51130000}" name="接続4288" type="7" refreshedVersion="4"/>
  <connection id="7381" xr16:uid="{00000000-0015-0000-FFFF-FFFF52130000}" name="接続4289" type="7" refreshedVersion="4"/>
  <connection id="7382" xr16:uid="{00000000-0015-0000-FFFF-FFFF53130000}" name="接続429" type="7" refreshedVersion="4"/>
  <connection id="7383" xr16:uid="{00000000-0015-0000-FFFF-FFFF54130000}" name="接続4290" type="7" refreshedVersion="4"/>
  <connection id="7384" xr16:uid="{00000000-0015-0000-FFFF-FFFF55130000}" name="接続4291" type="7" refreshedVersion="4"/>
  <connection id="7385" xr16:uid="{00000000-0015-0000-FFFF-FFFF56130000}" name="接続4292" type="7" refreshedVersion="4"/>
  <connection id="7386" xr16:uid="{00000000-0015-0000-FFFF-FFFF57130000}" name="接続4293" type="7" refreshedVersion="4"/>
  <connection id="7387" xr16:uid="{00000000-0015-0000-FFFF-FFFF58130000}" name="接続4294" type="7" refreshedVersion="4"/>
  <connection id="7388" xr16:uid="{00000000-0015-0000-FFFF-FFFF59130000}" name="接続4295" type="7" refreshedVersion="4"/>
  <connection id="7389" xr16:uid="{00000000-0015-0000-FFFF-FFFF5A130000}" name="接続4296" type="7" refreshedVersion="4"/>
  <connection id="7390" xr16:uid="{00000000-0015-0000-FFFF-FFFF5B130000}" name="接続4297" type="7" refreshedVersion="4"/>
  <connection id="7391" xr16:uid="{00000000-0015-0000-FFFF-FFFF5C130000}" name="接続4298" type="7" refreshedVersion="4"/>
  <connection id="7392" xr16:uid="{00000000-0015-0000-FFFF-FFFF5D130000}" name="接続4299" type="7" refreshedVersion="4"/>
  <connection id="7393" xr16:uid="{00000000-0015-0000-FFFF-FFFF5E130000}" name="接続43" type="7" refreshedVersion="4"/>
  <connection id="7394" xr16:uid="{00000000-0015-0000-FFFF-FFFF5F130000}" name="接続430" type="7" refreshedVersion="4"/>
  <connection id="7395" xr16:uid="{00000000-0015-0000-FFFF-FFFF60130000}" name="接続4300" type="7" refreshedVersion="4"/>
  <connection id="7396" xr16:uid="{00000000-0015-0000-FFFF-FFFF61130000}" name="接続4301" type="7" refreshedVersion="4"/>
  <connection id="7397" xr16:uid="{00000000-0015-0000-FFFF-FFFF62130000}" name="接続4302" type="7" refreshedVersion="4"/>
  <connection id="7398" xr16:uid="{00000000-0015-0000-FFFF-FFFF63130000}" name="接続4303" type="7" refreshedVersion="4"/>
  <connection id="7399" xr16:uid="{00000000-0015-0000-FFFF-FFFF64130000}" name="接続4304" type="7" refreshedVersion="4"/>
  <connection id="7400" xr16:uid="{00000000-0015-0000-FFFF-FFFF65130000}" name="接続4305" type="7" refreshedVersion="4"/>
  <connection id="7401" xr16:uid="{00000000-0015-0000-FFFF-FFFF66130000}" name="接続4306" type="7" refreshedVersion="4"/>
  <connection id="7402" xr16:uid="{00000000-0015-0000-FFFF-FFFF67130000}" name="接続4307" type="7" refreshedVersion="4"/>
  <connection id="7403" xr16:uid="{00000000-0015-0000-FFFF-FFFF68130000}" name="接続4308" type="7" refreshedVersion="4"/>
  <connection id="7404" xr16:uid="{00000000-0015-0000-FFFF-FFFF69130000}" name="接続4309" type="7" refreshedVersion="4"/>
  <connection id="7405" xr16:uid="{00000000-0015-0000-FFFF-FFFF6A130000}" name="接続431" type="7" refreshedVersion="4"/>
  <connection id="7406" xr16:uid="{00000000-0015-0000-FFFF-FFFF6B130000}" name="接続4310" type="7" refreshedVersion="4"/>
  <connection id="7407" xr16:uid="{00000000-0015-0000-FFFF-FFFF6C130000}" name="接続4311" type="7" refreshedVersion="4"/>
  <connection id="7408" xr16:uid="{00000000-0015-0000-FFFF-FFFF6D130000}" name="接続4312" type="7" refreshedVersion="4"/>
  <connection id="7409" xr16:uid="{00000000-0015-0000-FFFF-FFFF6E130000}" name="接続4313" type="7" refreshedVersion="4"/>
  <connection id="7410" xr16:uid="{00000000-0015-0000-FFFF-FFFF6F130000}" name="接続4314" type="7" refreshedVersion="4"/>
  <connection id="7411" xr16:uid="{00000000-0015-0000-FFFF-FFFF70130000}" name="接続4315" type="7" refreshedVersion="4"/>
  <connection id="7412" xr16:uid="{00000000-0015-0000-FFFF-FFFF71130000}" name="接続4316" type="7" refreshedVersion="4"/>
  <connection id="7413" xr16:uid="{00000000-0015-0000-FFFF-FFFF72130000}" name="接続4317" type="7" refreshedVersion="4"/>
  <connection id="7414" xr16:uid="{00000000-0015-0000-FFFF-FFFF73130000}" name="接続4318" type="7" refreshedVersion="4"/>
  <connection id="7415" xr16:uid="{00000000-0015-0000-FFFF-FFFF74130000}" name="接続4319" type="7" refreshedVersion="4"/>
  <connection id="7416" xr16:uid="{00000000-0015-0000-FFFF-FFFF75130000}" name="接続432" type="7" refreshedVersion="4"/>
  <connection id="7417" xr16:uid="{00000000-0015-0000-FFFF-FFFF76130000}" name="接続4320" type="7" refreshedVersion="4"/>
  <connection id="7418" xr16:uid="{00000000-0015-0000-FFFF-FFFF77130000}" name="接続4321" type="7" refreshedVersion="4"/>
  <connection id="7419" xr16:uid="{00000000-0015-0000-FFFF-FFFF78130000}" name="接続4322" type="7" refreshedVersion="4"/>
  <connection id="7420" xr16:uid="{00000000-0015-0000-FFFF-FFFF79130000}" name="接続4323" type="7" refreshedVersion="4"/>
  <connection id="7421" xr16:uid="{00000000-0015-0000-FFFF-FFFF7A130000}" name="接続4324" type="7" refreshedVersion="4"/>
  <connection id="7422" xr16:uid="{00000000-0015-0000-FFFF-FFFF7B130000}" name="接続4325" type="7" refreshedVersion="4"/>
  <connection id="7423" xr16:uid="{00000000-0015-0000-FFFF-FFFF7C130000}" name="接続4326" type="7" refreshedVersion="4"/>
  <connection id="7424" xr16:uid="{00000000-0015-0000-FFFF-FFFF7D130000}" name="接続4327" type="7" refreshedVersion="4"/>
  <connection id="7425" xr16:uid="{00000000-0015-0000-FFFF-FFFF7E130000}" name="接続4328" type="7" refreshedVersion="4"/>
  <connection id="7426" xr16:uid="{00000000-0015-0000-FFFF-FFFF7F130000}" name="接続4329" type="7" refreshedVersion="4"/>
  <connection id="7427" xr16:uid="{00000000-0015-0000-FFFF-FFFF80130000}" name="接続433" type="7" refreshedVersion="4"/>
  <connection id="7428" xr16:uid="{00000000-0015-0000-FFFF-FFFF81130000}" name="接続4330" type="7" refreshedVersion="4"/>
  <connection id="7429" xr16:uid="{00000000-0015-0000-FFFF-FFFF82130000}" name="接続4331" type="7" refreshedVersion="4"/>
  <connection id="7430" xr16:uid="{00000000-0015-0000-FFFF-FFFF83130000}" name="接続4332" type="7" refreshedVersion="4"/>
  <connection id="7431" xr16:uid="{00000000-0015-0000-FFFF-FFFF84130000}" name="接続4333" type="7" refreshedVersion="4"/>
  <connection id="7432" xr16:uid="{00000000-0015-0000-FFFF-FFFF85130000}" name="接続4334" type="7" refreshedVersion="4"/>
  <connection id="7433" xr16:uid="{00000000-0015-0000-FFFF-FFFF86130000}" name="接続4335" type="7" refreshedVersion="4"/>
  <connection id="7434" xr16:uid="{00000000-0015-0000-FFFF-FFFF87130000}" name="接続4336" type="7" refreshedVersion="4"/>
  <connection id="7435" xr16:uid="{00000000-0015-0000-FFFF-FFFF88130000}" name="接続4337" type="7" refreshedVersion="4"/>
  <connection id="7436" xr16:uid="{00000000-0015-0000-FFFF-FFFF89130000}" name="接続4338" type="7" refreshedVersion="4"/>
  <connection id="7437" xr16:uid="{00000000-0015-0000-FFFF-FFFF8A130000}" name="接続4339" type="7" refreshedVersion="4"/>
  <connection id="7438" xr16:uid="{00000000-0015-0000-FFFF-FFFF8B130000}" name="接続434" type="7" refreshedVersion="4"/>
  <connection id="7439" xr16:uid="{00000000-0015-0000-FFFF-FFFF8C130000}" name="接続4340" type="7" refreshedVersion="4"/>
  <connection id="7440" xr16:uid="{00000000-0015-0000-FFFF-FFFF8D130000}" name="接続4341" type="7" refreshedVersion="4"/>
  <connection id="7441" xr16:uid="{00000000-0015-0000-FFFF-FFFF8E130000}" name="接続4342" type="7" refreshedVersion="4"/>
  <connection id="7442" xr16:uid="{00000000-0015-0000-FFFF-FFFF8F130000}" name="接続4343" type="7" refreshedVersion="4"/>
  <connection id="7443" xr16:uid="{00000000-0015-0000-FFFF-FFFF90130000}" name="接続4344" type="7" refreshedVersion="4"/>
  <connection id="7444" xr16:uid="{00000000-0015-0000-FFFF-FFFF91130000}" name="接続4345" type="7" refreshedVersion="4"/>
  <connection id="7445" xr16:uid="{00000000-0015-0000-FFFF-FFFF92130000}" name="接続4346" type="7" refreshedVersion="4"/>
  <connection id="7446" xr16:uid="{00000000-0015-0000-FFFF-FFFF93130000}" name="接続4347" type="7" refreshedVersion="4"/>
  <connection id="7447" xr16:uid="{00000000-0015-0000-FFFF-FFFF94130000}" name="接続4348" type="7" refreshedVersion="4"/>
  <connection id="7448" xr16:uid="{00000000-0015-0000-FFFF-FFFF95130000}" name="接続4349" type="7" refreshedVersion="4"/>
  <connection id="7449" xr16:uid="{00000000-0015-0000-FFFF-FFFF96130000}" name="接続435" type="7" refreshedVersion="4"/>
  <connection id="7450" xr16:uid="{00000000-0015-0000-FFFF-FFFF97130000}" name="接続4350" type="7" refreshedVersion="4"/>
  <connection id="7451" xr16:uid="{00000000-0015-0000-FFFF-FFFF98130000}" name="接続4351" type="7" refreshedVersion="4"/>
  <connection id="7452" xr16:uid="{00000000-0015-0000-FFFF-FFFF99130000}" name="接続4352" type="7" refreshedVersion="4"/>
  <connection id="7453" xr16:uid="{00000000-0015-0000-FFFF-FFFF9A130000}" name="接続4353" type="7" refreshedVersion="4"/>
  <connection id="7454" xr16:uid="{00000000-0015-0000-FFFF-FFFF9B130000}" name="接続4354" type="7" refreshedVersion="4"/>
  <connection id="7455" xr16:uid="{00000000-0015-0000-FFFF-FFFF9C130000}" name="接続4355" type="7" refreshedVersion="4"/>
  <connection id="7456" xr16:uid="{00000000-0015-0000-FFFF-FFFF9D130000}" name="接続4356" type="7" refreshedVersion="4"/>
  <connection id="7457" xr16:uid="{00000000-0015-0000-FFFF-FFFF9E130000}" name="接続4357" type="7" refreshedVersion="4"/>
  <connection id="7458" xr16:uid="{00000000-0015-0000-FFFF-FFFF9F130000}" name="接続4358" type="7" refreshedVersion="4"/>
  <connection id="7459" xr16:uid="{00000000-0015-0000-FFFF-FFFFA0130000}" name="接続4359" type="7" refreshedVersion="4"/>
  <connection id="7460" xr16:uid="{00000000-0015-0000-FFFF-FFFFA1130000}" name="接続436" type="7" refreshedVersion="4"/>
  <connection id="7461" xr16:uid="{00000000-0015-0000-FFFF-FFFFA2130000}" name="接続4360" type="7" refreshedVersion="4"/>
  <connection id="7462" xr16:uid="{00000000-0015-0000-FFFF-FFFFA3130000}" name="接続4361" type="7" refreshedVersion="4"/>
  <connection id="7463" xr16:uid="{00000000-0015-0000-FFFF-FFFFA4130000}" name="接続4362" type="7" refreshedVersion="4"/>
  <connection id="7464" xr16:uid="{00000000-0015-0000-FFFF-FFFFA5130000}" name="接続4363" type="7" refreshedVersion="4"/>
  <connection id="7465" xr16:uid="{00000000-0015-0000-FFFF-FFFFA6130000}" name="接続4364" type="7" refreshedVersion="4"/>
  <connection id="7466" xr16:uid="{00000000-0015-0000-FFFF-FFFFA7130000}" name="接続4365" type="7" refreshedVersion="4"/>
  <connection id="7467" xr16:uid="{00000000-0015-0000-FFFF-FFFFA8130000}" name="接続4366" type="7" refreshedVersion="4"/>
  <connection id="7468" xr16:uid="{00000000-0015-0000-FFFF-FFFFA9130000}" name="接続4367" type="7" refreshedVersion="4"/>
  <connection id="7469" xr16:uid="{00000000-0015-0000-FFFF-FFFFAA130000}" name="接続4368" type="7" refreshedVersion="4"/>
  <connection id="7470" xr16:uid="{00000000-0015-0000-FFFF-FFFFAB130000}" name="接続4369" type="7" refreshedVersion="4"/>
  <connection id="7471" xr16:uid="{00000000-0015-0000-FFFF-FFFFAC130000}" name="接続437" type="7" refreshedVersion="4"/>
  <connection id="7472" xr16:uid="{00000000-0015-0000-FFFF-FFFFAD130000}" name="接続4370" type="7" refreshedVersion="4"/>
  <connection id="7473" xr16:uid="{00000000-0015-0000-FFFF-FFFFAE130000}" name="接続4371" type="7" refreshedVersion="4"/>
  <connection id="7474" xr16:uid="{00000000-0015-0000-FFFF-FFFFAF130000}" name="接続4372" type="7" refreshedVersion="4"/>
  <connection id="7475" xr16:uid="{00000000-0015-0000-FFFF-FFFFB0130000}" name="接続4373" type="7" refreshedVersion="4"/>
  <connection id="7476" xr16:uid="{00000000-0015-0000-FFFF-FFFFB1130000}" name="接続4374" type="7" refreshedVersion="4"/>
  <connection id="7477" xr16:uid="{00000000-0015-0000-FFFF-FFFFB2130000}" name="接続4375" type="7" refreshedVersion="4"/>
  <connection id="7478" xr16:uid="{00000000-0015-0000-FFFF-FFFFB3130000}" name="接続4376" type="7" refreshedVersion="4"/>
  <connection id="7479" xr16:uid="{00000000-0015-0000-FFFF-FFFFB4130000}" name="接続4377" type="7" refreshedVersion="4"/>
  <connection id="7480" xr16:uid="{00000000-0015-0000-FFFF-FFFFB5130000}" name="接続4378" type="7" refreshedVersion="4"/>
  <connection id="7481" xr16:uid="{00000000-0015-0000-FFFF-FFFFB6130000}" name="接続4379" type="7" refreshedVersion="4"/>
  <connection id="7482" xr16:uid="{00000000-0015-0000-FFFF-FFFFB7130000}" name="接続438" type="7" refreshedVersion="4"/>
  <connection id="7483" xr16:uid="{00000000-0015-0000-FFFF-FFFFB8130000}" name="接続4380" type="7" refreshedVersion="4"/>
  <connection id="7484" xr16:uid="{00000000-0015-0000-FFFF-FFFFB9130000}" name="接続4381" type="7" refreshedVersion="4"/>
  <connection id="7485" xr16:uid="{00000000-0015-0000-FFFF-FFFFBA130000}" name="接続4382" type="7" refreshedVersion="4"/>
  <connection id="7486" xr16:uid="{00000000-0015-0000-FFFF-FFFFBB130000}" name="接続4383" type="7" refreshedVersion="4"/>
  <connection id="7487" xr16:uid="{00000000-0015-0000-FFFF-FFFFBC130000}" name="接続4384" type="7" refreshedVersion="4"/>
  <connection id="7488" xr16:uid="{00000000-0015-0000-FFFF-FFFFBD130000}" name="接続4385" type="7" refreshedVersion="4"/>
  <connection id="7489" xr16:uid="{00000000-0015-0000-FFFF-FFFFBE130000}" name="接続4386" type="7" refreshedVersion="4"/>
  <connection id="7490" xr16:uid="{00000000-0015-0000-FFFF-FFFFBF130000}" name="接続4387" type="7" refreshedVersion="4"/>
  <connection id="7491" xr16:uid="{00000000-0015-0000-FFFF-FFFFC0130000}" name="接続4388" type="7" refreshedVersion="4"/>
  <connection id="7492" xr16:uid="{00000000-0015-0000-FFFF-FFFFC1130000}" name="接続4389" type="7" refreshedVersion="4"/>
  <connection id="7493" xr16:uid="{00000000-0015-0000-FFFF-FFFFC2130000}" name="接続439" type="7" refreshedVersion="4"/>
  <connection id="7494" xr16:uid="{00000000-0015-0000-FFFF-FFFFC3130000}" name="接続4390" type="7" refreshedVersion="4"/>
  <connection id="7495" xr16:uid="{00000000-0015-0000-FFFF-FFFFC4130000}" name="接続4391" type="7" refreshedVersion="4"/>
  <connection id="7496" xr16:uid="{00000000-0015-0000-FFFF-FFFFC5130000}" name="接続4392" type="7" refreshedVersion="4"/>
  <connection id="7497" xr16:uid="{00000000-0015-0000-FFFF-FFFFC6130000}" name="接続4393" type="7" refreshedVersion="4"/>
  <connection id="7498" xr16:uid="{00000000-0015-0000-FFFF-FFFFC7130000}" name="接続4394" type="7" refreshedVersion="4"/>
  <connection id="7499" xr16:uid="{00000000-0015-0000-FFFF-FFFFC8130000}" name="接続4395" type="7" refreshedVersion="4"/>
  <connection id="7500" xr16:uid="{00000000-0015-0000-FFFF-FFFFC9130000}" name="接続4396" type="7" refreshedVersion="4"/>
  <connection id="7501" xr16:uid="{00000000-0015-0000-FFFF-FFFFCA130000}" name="接続4397" type="7" refreshedVersion="4"/>
  <connection id="7502" xr16:uid="{00000000-0015-0000-FFFF-FFFFCB130000}" name="接続4398" type="7" refreshedVersion="4"/>
  <connection id="7503" xr16:uid="{00000000-0015-0000-FFFF-FFFFCC130000}" name="接続4399" type="7" refreshedVersion="4"/>
  <connection id="7504" xr16:uid="{00000000-0015-0000-FFFF-FFFFCD130000}" name="接続44" type="7" refreshedVersion="4"/>
  <connection id="7505" xr16:uid="{00000000-0015-0000-FFFF-FFFFCE130000}" name="接続440" type="7" refreshedVersion="4"/>
  <connection id="7506" xr16:uid="{00000000-0015-0000-FFFF-FFFFCF130000}" name="接続4400" type="7" refreshedVersion="4"/>
  <connection id="7507" xr16:uid="{00000000-0015-0000-FFFF-FFFFD0130000}" name="接続4401" type="7" refreshedVersion="4"/>
  <connection id="7508" xr16:uid="{00000000-0015-0000-FFFF-FFFFD1130000}" name="接続4402" type="7" refreshedVersion="4"/>
  <connection id="7509" xr16:uid="{00000000-0015-0000-FFFF-FFFFD2130000}" name="接続4403" type="7" refreshedVersion="4"/>
  <connection id="7510" xr16:uid="{00000000-0015-0000-FFFF-FFFFD3130000}" name="接続4404" type="7" refreshedVersion="4"/>
  <connection id="7511" xr16:uid="{00000000-0015-0000-FFFF-FFFFD4130000}" name="接続4405" type="7" refreshedVersion="4"/>
  <connection id="7512" xr16:uid="{00000000-0015-0000-FFFF-FFFFD5130000}" name="接続4406" type="7" refreshedVersion="4"/>
  <connection id="7513" xr16:uid="{00000000-0015-0000-FFFF-FFFFD6130000}" name="接続4407" type="7" refreshedVersion="4"/>
  <connection id="7514" xr16:uid="{00000000-0015-0000-FFFF-FFFFD7130000}" name="接続4408" type="7" refreshedVersion="4"/>
  <connection id="7515" xr16:uid="{00000000-0015-0000-FFFF-FFFFD8130000}" name="接続4409" type="7" refreshedVersion="4"/>
  <connection id="7516" xr16:uid="{00000000-0015-0000-FFFF-FFFFD9130000}" name="接続441" type="7" refreshedVersion="4"/>
  <connection id="7517" xr16:uid="{00000000-0015-0000-FFFF-FFFFDA130000}" name="接続4410" type="7" refreshedVersion="4"/>
  <connection id="7518" xr16:uid="{00000000-0015-0000-FFFF-FFFFDB130000}" name="接続4411" type="7" refreshedVersion="4"/>
  <connection id="7519" xr16:uid="{00000000-0015-0000-FFFF-FFFFDC130000}" name="接続4412" type="7" refreshedVersion="4"/>
  <connection id="7520" xr16:uid="{00000000-0015-0000-FFFF-FFFFDD130000}" name="接続4413" type="7" refreshedVersion="4"/>
  <connection id="7521" xr16:uid="{00000000-0015-0000-FFFF-FFFFDE130000}" name="接続4414" type="7" refreshedVersion="4"/>
  <connection id="7522" xr16:uid="{00000000-0015-0000-FFFF-FFFFDF130000}" name="接続4415" type="7" refreshedVersion="4"/>
  <connection id="7523" xr16:uid="{00000000-0015-0000-FFFF-FFFFE0130000}" name="接続4416" type="7" refreshedVersion="4"/>
  <connection id="7524" xr16:uid="{00000000-0015-0000-FFFF-FFFFE1130000}" name="接続4417" type="7" refreshedVersion="4"/>
  <connection id="7525" xr16:uid="{00000000-0015-0000-FFFF-FFFFE2130000}" name="接続4418" type="7" refreshedVersion="4"/>
  <connection id="7526" xr16:uid="{00000000-0015-0000-FFFF-FFFFE3130000}" name="接続4419" type="7" refreshedVersion="4"/>
  <connection id="7527" xr16:uid="{00000000-0015-0000-FFFF-FFFFE4130000}" name="接続442" type="7" refreshedVersion="4"/>
  <connection id="7528" xr16:uid="{00000000-0015-0000-FFFF-FFFFE5130000}" name="接続4420" type="7" refreshedVersion="4"/>
  <connection id="7529" xr16:uid="{00000000-0015-0000-FFFF-FFFFE6130000}" name="接続4421" type="7" refreshedVersion="4"/>
  <connection id="7530" xr16:uid="{00000000-0015-0000-FFFF-FFFFE7130000}" name="接続4422" type="7" refreshedVersion="4"/>
  <connection id="7531" xr16:uid="{00000000-0015-0000-FFFF-FFFFE8130000}" name="接続4423" type="7" refreshedVersion="4"/>
  <connection id="7532" xr16:uid="{00000000-0015-0000-FFFF-FFFFE9130000}" name="接続4424" type="7" refreshedVersion="4"/>
  <connection id="7533" xr16:uid="{00000000-0015-0000-FFFF-FFFFEA130000}" name="接続4425" type="7" refreshedVersion="4"/>
  <connection id="7534" xr16:uid="{00000000-0015-0000-FFFF-FFFFEB130000}" name="接続4426" type="7" refreshedVersion="4"/>
  <connection id="7535" xr16:uid="{00000000-0015-0000-FFFF-FFFFEC130000}" name="接続4427" type="7" refreshedVersion="4"/>
  <connection id="7536" xr16:uid="{00000000-0015-0000-FFFF-FFFFED130000}" name="接続4428" type="7" refreshedVersion="4"/>
  <connection id="7537" xr16:uid="{00000000-0015-0000-FFFF-FFFFEE130000}" name="接続4429" type="7" refreshedVersion="4"/>
  <connection id="7538" xr16:uid="{00000000-0015-0000-FFFF-FFFFEF130000}" name="接続443" type="7" refreshedVersion="4"/>
  <connection id="7539" xr16:uid="{00000000-0015-0000-FFFF-FFFFF0130000}" name="接続4430" type="7" refreshedVersion="4"/>
  <connection id="7540" xr16:uid="{00000000-0015-0000-FFFF-FFFFF1130000}" name="接続4431" type="7" refreshedVersion="4"/>
  <connection id="7541" xr16:uid="{00000000-0015-0000-FFFF-FFFFF2130000}" name="接続4432" type="7" refreshedVersion="4"/>
  <connection id="7542" xr16:uid="{00000000-0015-0000-FFFF-FFFFF3130000}" name="接続4433" type="7" refreshedVersion="4"/>
  <connection id="7543" xr16:uid="{00000000-0015-0000-FFFF-FFFFF4130000}" name="接続4434" type="7" refreshedVersion="4"/>
  <connection id="7544" xr16:uid="{00000000-0015-0000-FFFF-FFFFF5130000}" name="接続4435" type="7" refreshedVersion="4"/>
  <connection id="7545" xr16:uid="{00000000-0015-0000-FFFF-FFFFF6130000}" name="接続4436" type="7" refreshedVersion="4"/>
  <connection id="7546" xr16:uid="{00000000-0015-0000-FFFF-FFFFF7130000}" name="接続4437" type="7" refreshedVersion="4"/>
  <connection id="7547" xr16:uid="{00000000-0015-0000-FFFF-FFFFF8130000}" name="接続4438" type="7" refreshedVersion="4"/>
  <connection id="7548" xr16:uid="{00000000-0015-0000-FFFF-FFFFF9130000}" name="接続4439" type="7" refreshedVersion="4"/>
  <connection id="7549" xr16:uid="{00000000-0015-0000-FFFF-FFFFFA130000}" name="接続444" type="7" refreshedVersion="4"/>
  <connection id="7550" xr16:uid="{00000000-0015-0000-FFFF-FFFFFB130000}" name="接続4440" type="7" refreshedVersion="4"/>
  <connection id="7551" xr16:uid="{00000000-0015-0000-FFFF-FFFFFC130000}" name="接続4441" type="7" refreshedVersion="4"/>
  <connection id="7552" xr16:uid="{00000000-0015-0000-FFFF-FFFFFD130000}" name="接続4442" type="7" refreshedVersion="4"/>
  <connection id="7553" xr16:uid="{00000000-0015-0000-FFFF-FFFFFE130000}" name="接続4443" type="7" refreshedVersion="4"/>
  <connection id="7554" xr16:uid="{00000000-0015-0000-FFFF-FFFFFF130000}" name="接続4444" type="7" refreshedVersion="4"/>
  <connection id="7555" xr16:uid="{00000000-0015-0000-FFFF-FFFF00140000}" name="接続4445" type="7" refreshedVersion="4"/>
  <connection id="7556" xr16:uid="{00000000-0015-0000-FFFF-FFFF01140000}" name="接続4446" type="7" refreshedVersion="4"/>
  <connection id="7557" xr16:uid="{00000000-0015-0000-FFFF-FFFF02140000}" name="接続4447" type="7" refreshedVersion="4"/>
  <connection id="7558" xr16:uid="{00000000-0015-0000-FFFF-FFFF03140000}" name="接続4448" type="7" refreshedVersion="4"/>
  <connection id="7559" xr16:uid="{00000000-0015-0000-FFFF-FFFF04140000}" name="接続4449" type="7" refreshedVersion="4"/>
  <connection id="7560" xr16:uid="{00000000-0015-0000-FFFF-FFFF05140000}" name="接続445" type="7" refreshedVersion="4"/>
  <connection id="7561" xr16:uid="{00000000-0015-0000-FFFF-FFFF06140000}" name="接続4450" type="7" refreshedVersion="4"/>
  <connection id="7562" xr16:uid="{00000000-0015-0000-FFFF-FFFF07140000}" name="接続4451" type="7" refreshedVersion="4"/>
  <connection id="7563" xr16:uid="{00000000-0015-0000-FFFF-FFFF08140000}" name="接続4452" type="7" refreshedVersion="4"/>
  <connection id="7564" xr16:uid="{00000000-0015-0000-FFFF-FFFF09140000}" name="接続4453" type="7" refreshedVersion="4"/>
  <connection id="7565" xr16:uid="{00000000-0015-0000-FFFF-FFFF0A140000}" name="接続4454" type="7" refreshedVersion="4"/>
  <connection id="7566" xr16:uid="{00000000-0015-0000-FFFF-FFFF0B140000}" name="接続4455" type="7" refreshedVersion="4"/>
  <connection id="7567" xr16:uid="{00000000-0015-0000-FFFF-FFFF0C140000}" name="接続4456" type="7" refreshedVersion="4"/>
  <connection id="7568" xr16:uid="{00000000-0015-0000-FFFF-FFFF0D140000}" name="接続4457" type="7" refreshedVersion="4"/>
  <connection id="7569" xr16:uid="{00000000-0015-0000-FFFF-FFFF0E140000}" name="接続4458" type="7" refreshedVersion="4"/>
  <connection id="7570" xr16:uid="{00000000-0015-0000-FFFF-FFFF0F140000}" name="接続4459" type="7" refreshedVersion="4"/>
  <connection id="7571" xr16:uid="{00000000-0015-0000-FFFF-FFFF10140000}" name="接続446" type="7" refreshedVersion="4"/>
  <connection id="7572" xr16:uid="{00000000-0015-0000-FFFF-FFFF11140000}" name="接続4460" type="7" refreshedVersion="4"/>
  <connection id="7573" xr16:uid="{00000000-0015-0000-FFFF-FFFF12140000}" name="接続4461" type="7" refreshedVersion="4"/>
  <connection id="7574" xr16:uid="{00000000-0015-0000-FFFF-FFFF13140000}" name="接続4462" type="7" refreshedVersion="4"/>
  <connection id="7575" xr16:uid="{00000000-0015-0000-FFFF-FFFF14140000}" name="接続4463" type="7" refreshedVersion="4"/>
  <connection id="7576" xr16:uid="{00000000-0015-0000-FFFF-FFFF15140000}" name="接続4464" type="7" refreshedVersion="4"/>
  <connection id="7577" xr16:uid="{00000000-0015-0000-FFFF-FFFF16140000}" name="接続4465" type="7" refreshedVersion="4"/>
  <connection id="7578" xr16:uid="{00000000-0015-0000-FFFF-FFFF17140000}" name="接続4466" type="7" refreshedVersion="4"/>
  <connection id="7579" xr16:uid="{00000000-0015-0000-FFFF-FFFF18140000}" name="接続4467" type="7" refreshedVersion="4"/>
  <connection id="7580" xr16:uid="{00000000-0015-0000-FFFF-FFFF19140000}" name="接続4468" type="7" refreshedVersion="4"/>
  <connection id="7581" xr16:uid="{00000000-0015-0000-FFFF-FFFF1A140000}" name="接続4469" type="7" refreshedVersion="4"/>
  <connection id="7582" xr16:uid="{00000000-0015-0000-FFFF-FFFF1B140000}" name="接続447" type="7" refreshedVersion="4"/>
  <connection id="7583" xr16:uid="{00000000-0015-0000-FFFF-FFFF1C140000}" name="接続4470" type="7" refreshedVersion="4"/>
  <connection id="7584" xr16:uid="{00000000-0015-0000-FFFF-FFFF1D140000}" name="接続4471" type="7" refreshedVersion="4"/>
  <connection id="7585" xr16:uid="{00000000-0015-0000-FFFF-FFFF1E140000}" name="接続4472" type="7" refreshedVersion="4"/>
  <connection id="7586" xr16:uid="{00000000-0015-0000-FFFF-FFFF1F140000}" name="接続4473" type="7" refreshedVersion="4"/>
  <connection id="7587" xr16:uid="{00000000-0015-0000-FFFF-FFFF20140000}" name="接続4474" type="7" refreshedVersion="4"/>
  <connection id="7588" xr16:uid="{00000000-0015-0000-FFFF-FFFF21140000}" name="接続4475" type="7" refreshedVersion="4"/>
  <connection id="7589" xr16:uid="{00000000-0015-0000-FFFF-FFFF22140000}" name="接続4476" type="7" refreshedVersion="4"/>
  <connection id="7590" xr16:uid="{00000000-0015-0000-FFFF-FFFF23140000}" name="接続4477" type="7" refreshedVersion="4"/>
  <connection id="7591" xr16:uid="{00000000-0015-0000-FFFF-FFFF24140000}" name="接続4478" type="7" refreshedVersion="4"/>
  <connection id="7592" xr16:uid="{00000000-0015-0000-FFFF-FFFF25140000}" name="接続4479" type="7" refreshedVersion="4"/>
  <connection id="7593" xr16:uid="{00000000-0015-0000-FFFF-FFFF26140000}" name="接続448" type="7" refreshedVersion="4"/>
  <connection id="7594" xr16:uid="{00000000-0015-0000-FFFF-FFFF27140000}" name="接続4480" type="7" refreshedVersion="4"/>
  <connection id="7595" xr16:uid="{00000000-0015-0000-FFFF-FFFF28140000}" name="接続4481" type="7" refreshedVersion="4"/>
  <connection id="7596" xr16:uid="{00000000-0015-0000-FFFF-FFFF29140000}" name="接続4482" type="7" refreshedVersion="4"/>
  <connection id="7597" xr16:uid="{00000000-0015-0000-FFFF-FFFF2A140000}" name="接続4483" type="7" refreshedVersion="4"/>
  <connection id="7598" xr16:uid="{00000000-0015-0000-FFFF-FFFF2B140000}" name="接続4484" type="7" refreshedVersion="4"/>
  <connection id="7599" xr16:uid="{00000000-0015-0000-FFFF-FFFF2C140000}" name="接続4485" type="7" refreshedVersion="4"/>
  <connection id="7600" xr16:uid="{00000000-0015-0000-FFFF-FFFF2D140000}" name="接続4486" type="7" refreshedVersion="4"/>
  <connection id="7601" xr16:uid="{00000000-0015-0000-FFFF-FFFF2E140000}" name="接続4487" type="7" refreshedVersion="4"/>
  <connection id="7602" xr16:uid="{00000000-0015-0000-FFFF-FFFF2F140000}" name="接続4488" type="7" refreshedVersion="4"/>
  <connection id="7603" xr16:uid="{00000000-0015-0000-FFFF-FFFF30140000}" name="接続4489" type="7" refreshedVersion="4"/>
  <connection id="7604" xr16:uid="{00000000-0015-0000-FFFF-FFFF31140000}" name="接続449" type="7" refreshedVersion="4"/>
  <connection id="7605" xr16:uid="{00000000-0015-0000-FFFF-FFFF32140000}" name="接続4490" type="7" refreshedVersion="4"/>
  <connection id="7606" xr16:uid="{00000000-0015-0000-FFFF-FFFF33140000}" name="接続4491" type="7" refreshedVersion="4"/>
  <connection id="7607" xr16:uid="{00000000-0015-0000-FFFF-FFFF34140000}" name="接続4492" type="7" refreshedVersion="4"/>
  <connection id="7608" xr16:uid="{00000000-0015-0000-FFFF-FFFF35140000}" name="接続4493" type="7" refreshedVersion="4"/>
  <connection id="7609" xr16:uid="{00000000-0015-0000-FFFF-FFFF36140000}" name="接続4494" type="7" refreshedVersion="4"/>
  <connection id="7610" xr16:uid="{00000000-0015-0000-FFFF-FFFF37140000}" name="接続4495" type="7" refreshedVersion="4"/>
  <connection id="7611" xr16:uid="{00000000-0015-0000-FFFF-FFFF38140000}" name="接続4496" type="7" refreshedVersion="4"/>
  <connection id="7612" xr16:uid="{00000000-0015-0000-FFFF-FFFF39140000}" name="接続4497" type="7" refreshedVersion="4"/>
  <connection id="7613" xr16:uid="{00000000-0015-0000-FFFF-FFFF3A140000}" name="接続4498" type="7" refreshedVersion="4"/>
  <connection id="7614" xr16:uid="{00000000-0015-0000-FFFF-FFFF3B140000}" name="接続4499" type="7" refreshedVersion="4"/>
  <connection id="7615" xr16:uid="{00000000-0015-0000-FFFF-FFFF3C140000}" name="接続45" type="7" refreshedVersion="4"/>
  <connection id="7616" xr16:uid="{00000000-0015-0000-FFFF-FFFF3D140000}" name="接続450" type="7" refreshedVersion="4"/>
  <connection id="7617" xr16:uid="{00000000-0015-0000-FFFF-FFFF3E140000}" name="接続4500" type="7" refreshedVersion="4"/>
  <connection id="7618" xr16:uid="{00000000-0015-0000-FFFF-FFFF3F140000}" name="接続4501" type="7" refreshedVersion="4"/>
  <connection id="7619" xr16:uid="{00000000-0015-0000-FFFF-FFFF40140000}" name="接続4502" type="7" refreshedVersion="4"/>
  <connection id="7620" xr16:uid="{00000000-0015-0000-FFFF-FFFF41140000}" name="接続4503" type="7" refreshedVersion="4"/>
  <connection id="7621" xr16:uid="{00000000-0015-0000-FFFF-FFFF42140000}" name="接続4504" type="7" refreshedVersion="4"/>
  <connection id="7622" xr16:uid="{00000000-0015-0000-FFFF-FFFF43140000}" name="接続4505" type="7" refreshedVersion="4"/>
  <connection id="7623" xr16:uid="{00000000-0015-0000-FFFF-FFFF44140000}" name="接続4506" type="7" refreshedVersion="4"/>
  <connection id="7624" xr16:uid="{00000000-0015-0000-FFFF-FFFF45140000}" name="接続4507" type="7" refreshedVersion="4"/>
  <connection id="7625" xr16:uid="{00000000-0015-0000-FFFF-FFFF46140000}" name="接続4508" type="7" refreshedVersion="4"/>
  <connection id="7626" xr16:uid="{00000000-0015-0000-FFFF-FFFF47140000}" name="接続4509" type="7" refreshedVersion="4"/>
  <connection id="7627" xr16:uid="{00000000-0015-0000-FFFF-FFFF48140000}" name="接続451" type="7" refreshedVersion="4"/>
  <connection id="7628" xr16:uid="{00000000-0015-0000-FFFF-FFFF49140000}" name="接続4510" type="7" refreshedVersion="4"/>
  <connection id="7629" xr16:uid="{00000000-0015-0000-FFFF-FFFF4A140000}" name="接続4511" type="7" refreshedVersion="4"/>
  <connection id="7630" xr16:uid="{00000000-0015-0000-FFFF-FFFF4B140000}" name="接続4512" type="7" refreshedVersion="4"/>
  <connection id="7631" xr16:uid="{00000000-0015-0000-FFFF-FFFF4C140000}" name="接続4513" type="7" refreshedVersion="4"/>
  <connection id="7632" xr16:uid="{00000000-0015-0000-FFFF-FFFF4D140000}" name="接続4514" type="7" refreshedVersion="4"/>
  <connection id="7633" xr16:uid="{00000000-0015-0000-FFFF-FFFF4E140000}" name="接続4515" type="7" refreshedVersion="4"/>
  <connection id="7634" xr16:uid="{00000000-0015-0000-FFFF-FFFF4F140000}" name="接続4516" type="7" refreshedVersion="4"/>
  <connection id="7635" xr16:uid="{00000000-0015-0000-FFFF-FFFF50140000}" name="接続4517" type="7" refreshedVersion="4"/>
  <connection id="7636" xr16:uid="{00000000-0015-0000-FFFF-FFFF51140000}" name="接続4518" type="7" refreshedVersion="4"/>
  <connection id="7637" xr16:uid="{00000000-0015-0000-FFFF-FFFF52140000}" name="接続4519" type="7" refreshedVersion="4"/>
  <connection id="7638" xr16:uid="{00000000-0015-0000-FFFF-FFFF53140000}" name="接続452" type="7" refreshedVersion="4"/>
  <connection id="7639" xr16:uid="{00000000-0015-0000-FFFF-FFFF54140000}" name="接続4520" type="7" refreshedVersion="4"/>
  <connection id="7640" xr16:uid="{00000000-0015-0000-FFFF-FFFF55140000}" name="接続4521" type="7" refreshedVersion="4"/>
  <connection id="7641" xr16:uid="{00000000-0015-0000-FFFF-FFFF56140000}" name="接続4522" type="7" refreshedVersion="4"/>
  <connection id="7642" xr16:uid="{00000000-0015-0000-FFFF-FFFF57140000}" name="接続4523" type="7" refreshedVersion="4"/>
  <connection id="7643" xr16:uid="{00000000-0015-0000-FFFF-FFFF58140000}" name="接続4524" type="7" refreshedVersion="4"/>
  <connection id="7644" xr16:uid="{00000000-0015-0000-FFFF-FFFF59140000}" name="接続4525" type="7" refreshedVersion="4"/>
  <connection id="7645" xr16:uid="{00000000-0015-0000-FFFF-FFFF5A140000}" name="接続4526" type="7" refreshedVersion="4"/>
  <connection id="7646" xr16:uid="{00000000-0015-0000-FFFF-FFFF5B140000}" name="接続4527" type="7" refreshedVersion="4"/>
  <connection id="7647" xr16:uid="{00000000-0015-0000-FFFF-FFFF5C140000}" name="接続4528" type="7" refreshedVersion="4"/>
  <connection id="7648" xr16:uid="{00000000-0015-0000-FFFF-FFFF5D140000}" name="接続4529" type="7" refreshedVersion="4"/>
  <connection id="7649" xr16:uid="{00000000-0015-0000-FFFF-FFFF5E140000}" name="接続453" type="7" refreshedVersion="4"/>
  <connection id="7650" xr16:uid="{00000000-0015-0000-FFFF-FFFF5F140000}" name="接続4530" type="7" refreshedVersion="4"/>
  <connection id="7651" xr16:uid="{00000000-0015-0000-FFFF-FFFF60140000}" name="接続4531" type="7" refreshedVersion="4"/>
  <connection id="7652" xr16:uid="{00000000-0015-0000-FFFF-FFFF61140000}" name="接続4532" type="7" refreshedVersion="4"/>
  <connection id="7653" xr16:uid="{00000000-0015-0000-FFFF-FFFF62140000}" name="接続4533" type="7" refreshedVersion="4"/>
  <connection id="7654" xr16:uid="{00000000-0015-0000-FFFF-FFFF63140000}" name="接続4534" type="7" refreshedVersion="4"/>
  <connection id="7655" xr16:uid="{00000000-0015-0000-FFFF-FFFF64140000}" name="接続4535" type="7" refreshedVersion="4"/>
  <connection id="7656" xr16:uid="{00000000-0015-0000-FFFF-FFFF65140000}" name="接続4536" type="7" refreshedVersion="4"/>
  <connection id="7657" xr16:uid="{00000000-0015-0000-FFFF-FFFF66140000}" name="接続4537" type="7" refreshedVersion="4"/>
  <connection id="7658" xr16:uid="{00000000-0015-0000-FFFF-FFFF67140000}" name="接続4538" type="7" refreshedVersion="4"/>
  <connection id="7659" xr16:uid="{00000000-0015-0000-FFFF-FFFF68140000}" name="接続4539" type="7" refreshedVersion="4"/>
  <connection id="7660" xr16:uid="{00000000-0015-0000-FFFF-FFFF69140000}" name="接続454" type="7" refreshedVersion="4"/>
  <connection id="7661" xr16:uid="{00000000-0015-0000-FFFF-FFFF6A140000}" name="接続4540" type="7" refreshedVersion="4"/>
  <connection id="7662" xr16:uid="{00000000-0015-0000-FFFF-FFFF6B140000}" name="接続4541" type="7" refreshedVersion="4"/>
  <connection id="7663" xr16:uid="{00000000-0015-0000-FFFF-FFFF6C140000}" name="接続4542" type="7" refreshedVersion="4"/>
  <connection id="7664" xr16:uid="{00000000-0015-0000-FFFF-FFFF6D140000}" name="接続4543" type="7" refreshedVersion="4"/>
  <connection id="7665" xr16:uid="{00000000-0015-0000-FFFF-FFFF6E140000}" name="接続4544" type="7" refreshedVersion="4"/>
  <connection id="7666" xr16:uid="{00000000-0015-0000-FFFF-FFFF6F140000}" name="接続4545" type="7" refreshedVersion="4"/>
  <connection id="7667" xr16:uid="{00000000-0015-0000-FFFF-FFFF70140000}" name="接続4546" type="7" refreshedVersion="4"/>
  <connection id="7668" xr16:uid="{00000000-0015-0000-FFFF-FFFF71140000}" name="接続4547" type="7" refreshedVersion="4"/>
  <connection id="7669" xr16:uid="{00000000-0015-0000-FFFF-FFFF72140000}" name="接続4548" type="7" refreshedVersion="4"/>
  <connection id="7670" xr16:uid="{00000000-0015-0000-FFFF-FFFF73140000}" name="接続4549" type="7" refreshedVersion="4"/>
  <connection id="7671" xr16:uid="{00000000-0015-0000-FFFF-FFFF74140000}" name="接続455" type="7" refreshedVersion="4"/>
  <connection id="7672" xr16:uid="{00000000-0015-0000-FFFF-FFFF75140000}" name="接続4550" type="7" refreshedVersion="4"/>
  <connection id="7673" xr16:uid="{00000000-0015-0000-FFFF-FFFF76140000}" name="接続4551" type="7" refreshedVersion="4"/>
  <connection id="7674" xr16:uid="{00000000-0015-0000-FFFF-FFFF77140000}" name="接続4552" type="7" refreshedVersion="4"/>
  <connection id="7675" xr16:uid="{00000000-0015-0000-FFFF-FFFF78140000}" name="接続4553" type="7" refreshedVersion="4"/>
  <connection id="7676" xr16:uid="{00000000-0015-0000-FFFF-FFFF79140000}" name="接続4554" type="7" refreshedVersion="4"/>
  <connection id="7677" xr16:uid="{00000000-0015-0000-FFFF-FFFF7A140000}" name="接続4555" type="7" refreshedVersion="4"/>
  <connection id="7678" xr16:uid="{00000000-0015-0000-FFFF-FFFF7B140000}" name="接続4556" type="7" refreshedVersion="4"/>
  <connection id="7679" xr16:uid="{00000000-0015-0000-FFFF-FFFF7C140000}" name="接続4557" type="7" refreshedVersion="4"/>
  <connection id="7680" xr16:uid="{00000000-0015-0000-FFFF-FFFF7D140000}" name="接続4558" type="7" refreshedVersion="4"/>
  <connection id="7681" xr16:uid="{00000000-0015-0000-FFFF-FFFF7E140000}" name="接続4559" type="7" refreshedVersion="4"/>
  <connection id="7682" xr16:uid="{00000000-0015-0000-FFFF-FFFF7F140000}" name="接続456" type="7" refreshedVersion="4"/>
  <connection id="7683" xr16:uid="{00000000-0015-0000-FFFF-FFFF80140000}" name="接続4560" type="7" refreshedVersion="4"/>
  <connection id="7684" xr16:uid="{00000000-0015-0000-FFFF-FFFF81140000}" name="接続4561" type="7" refreshedVersion="4"/>
  <connection id="7685" xr16:uid="{00000000-0015-0000-FFFF-FFFF82140000}" name="接続4562" type="7" refreshedVersion="4"/>
  <connection id="7686" xr16:uid="{00000000-0015-0000-FFFF-FFFF83140000}" name="接続4563" type="7" refreshedVersion="4"/>
  <connection id="7687" xr16:uid="{00000000-0015-0000-FFFF-FFFF84140000}" name="接続4564" type="7" refreshedVersion="4"/>
  <connection id="7688" xr16:uid="{00000000-0015-0000-FFFF-FFFF85140000}" name="接続4565" type="7" refreshedVersion="4"/>
  <connection id="7689" xr16:uid="{00000000-0015-0000-FFFF-FFFF86140000}" name="接続4566" type="7" refreshedVersion="4"/>
  <connection id="7690" xr16:uid="{00000000-0015-0000-FFFF-FFFF87140000}" name="接続4567" type="7" refreshedVersion="4"/>
  <connection id="7691" xr16:uid="{00000000-0015-0000-FFFF-FFFF88140000}" name="接続4568" type="7" refreshedVersion="4"/>
  <connection id="7692" xr16:uid="{00000000-0015-0000-FFFF-FFFF89140000}" name="接続4569" type="7" refreshedVersion="4"/>
  <connection id="7693" xr16:uid="{00000000-0015-0000-FFFF-FFFF8A140000}" name="接続457" type="7" refreshedVersion="4"/>
  <connection id="7694" xr16:uid="{00000000-0015-0000-FFFF-FFFF8B140000}" name="接続4570" type="7" refreshedVersion="4"/>
  <connection id="7695" xr16:uid="{00000000-0015-0000-FFFF-FFFF8C140000}" name="接続4571" type="7" refreshedVersion="4"/>
  <connection id="7696" xr16:uid="{00000000-0015-0000-FFFF-FFFF8D140000}" name="接続4572" type="7" refreshedVersion="4"/>
  <connection id="7697" xr16:uid="{00000000-0015-0000-FFFF-FFFF8E140000}" name="接続4573" type="7" refreshedVersion="4"/>
  <connection id="7698" xr16:uid="{00000000-0015-0000-FFFF-FFFF8F140000}" name="接続4574" type="7" refreshedVersion="4"/>
  <connection id="7699" xr16:uid="{00000000-0015-0000-FFFF-FFFF90140000}" name="接続4575" type="7" refreshedVersion="4"/>
  <connection id="7700" xr16:uid="{00000000-0015-0000-FFFF-FFFF91140000}" name="接続4576" type="7" refreshedVersion="4"/>
  <connection id="7701" xr16:uid="{00000000-0015-0000-FFFF-FFFF92140000}" name="接続4577" type="7" refreshedVersion="4"/>
  <connection id="7702" xr16:uid="{00000000-0015-0000-FFFF-FFFF93140000}" name="接続4578" type="7" refreshedVersion="4"/>
  <connection id="7703" xr16:uid="{00000000-0015-0000-FFFF-FFFF94140000}" name="接続4579" type="7" refreshedVersion="4"/>
  <connection id="7704" xr16:uid="{00000000-0015-0000-FFFF-FFFF95140000}" name="接続458" type="7" refreshedVersion="4"/>
  <connection id="7705" xr16:uid="{00000000-0015-0000-FFFF-FFFF96140000}" name="接続4580" type="7" refreshedVersion="4"/>
  <connection id="7706" xr16:uid="{00000000-0015-0000-FFFF-FFFF97140000}" name="接続4581" type="7" refreshedVersion="4"/>
  <connection id="7707" xr16:uid="{00000000-0015-0000-FFFF-FFFF98140000}" name="接続4582" type="7" refreshedVersion="4"/>
  <connection id="7708" xr16:uid="{00000000-0015-0000-FFFF-FFFF99140000}" name="接続4583" type="7" refreshedVersion="4"/>
  <connection id="7709" xr16:uid="{00000000-0015-0000-FFFF-FFFF9A140000}" name="接続4584" type="7" refreshedVersion="4"/>
  <connection id="7710" xr16:uid="{00000000-0015-0000-FFFF-FFFF9B140000}" name="接続4585" type="7" refreshedVersion="4"/>
  <connection id="7711" xr16:uid="{00000000-0015-0000-FFFF-FFFF9C140000}" name="接続4586" type="7" refreshedVersion="4"/>
  <connection id="7712" xr16:uid="{00000000-0015-0000-FFFF-FFFF9D140000}" name="接続4587" type="7" refreshedVersion="4"/>
  <connection id="7713" xr16:uid="{00000000-0015-0000-FFFF-FFFF9E140000}" name="接続4588" type="7" refreshedVersion="4"/>
  <connection id="7714" xr16:uid="{00000000-0015-0000-FFFF-FFFF9F140000}" name="接続4589" type="7" refreshedVersion="4"/>
  <connection id="7715" xr16:uid="{00000000-0015-0000-FFFF-FFFFA0140000}" name="接続459" type="7" refreshedVersion="4"/>
  <connection id="7716" xr16:uid="{00000000-0015-0000-FFFF-FFFFA1140000}" name="接続4590" type="7" refreshedVersion="4"/>
  <connection id="7717" xr16:uid="{00000000-0015-0000-FFFF-FFFFA2140000}" name="接続4591" type="7" refreshedVersion="4"/>
  <connection id="7718" xr16:uid="{00000000-0015-0000-FFFF-FFFFA3140000}" name="接続4592" type="7" refreshedVersion="4"/>
  <connection id="7719" xr16:uid="{00000000-0015-0000-FFFF-FFFFA4140000}" name="接続4593" type="7" refreshedVersion="4"/>
  <connection id="7720" xr16:uid="{00000000-0015-0000-FFFF-FFFFA5140000}" name="接続4594" type="7" refreshedVersion="4"/>
  <connection id="7721" xr16:uid="{00000000-0015-0000-FFFF-FFFFA6140000}" name="接続4595" type="7" refreshedVersion="4"/>
  <connection id="7722" xr16:uid="{00000000-0015-0000-FFFF-FFFFA7140000}" name="接続4596" type="7" refreshedVersion="4"/>
  <connection id="7723" xr16:uid="{00000000-0015-0000-FFFF-FFFFA8140000}" name="接続4597" type="7" refreshedVersion="4"/>
  <connection id="7724" xr16:uid="{00000000-0015-0000-FFFF-FFFFA9140000}" name="接続4598" type="7" refreshedVersion="4"/>
  <connection id="7725" xr16:uid="{00000000-0015-0000-FFFF-FFFFAA140000}" name="接続4599" type="7" refreshedVersion="4"/>
  <connection id="7726" xr16:uid="{00000000-0015-0000-FFFF-FFFFAB140000}" name="接続46" type="7" refreshedVersion="4"/>
  <connection id="7727" xr16:uid="{00000000-0015-0000-FFFF-FFFFAC140000}" name="接続460" type="7" refreshedVersion="4"/>
  <connection id="7728" xr16:uid="{00000000-0015-0000-FFFF-FFFFAD140000}" name="接続4600" type="7" refreshedVersion="4"/>
  <connection id="7729" xr16:uid="{00000000-0015-0000-FFFF-FFFFAE140000}" name="接続4601" type="7" refreshedVersion="4"/>
  <connection id="7730" xr16:uid="{00000000-0015-0000-FFFF-FFFFAF140000}" name="接続4602" type="7" refreshedVersion="4"/>
  <connection id="7731" xr16:uid="{00000000-0015-0000-FFFF-FFFFB0140000}" name="接続4603" type="7" refreshedVersion="4"/>
  <connection id="7732" xr16:uid="{00000000-0015-0000-FFFF-FFFFB1140000}" name="接続4604" type="7" refreshedVersion="4"/>
  <connection id="7733" xr16:uid="{00000000-0015-0000-FFFF-FFFFB2140000}" name="接続4605" type="7" refreshedVersion="4"/>
  <connection id="7734" xr16:uid="{00000000-0015-0000-FFFF-FFFFB3140000}" name="接続4606" type="7" refreshedVersion="4"/>
  <connection id="7735" xr16:uid="{00000000-0015-0000-FFFF-FFFFB4140000}" name="接続4607" type="7" refreshedVersion="4"/>
  <connection id="7736" xr16:uid="{00000000-0015-0000-FFFF-FFFFB5140000}" name="接続4608" type="7" refreshedVersion="4"/>
  <connection id="7737" xr16:uid="{00000000-0015-0000-FFFF-FFFFB6140000}" name="接続4609" type="7" refreshedVersion="4"/>
  <connection id="7738" xr16:uid="{00000000-0015-0000-FFFF-FFFFB7140000}" name="接続461" type="7" refreshedVersion="4"/>
  <connection id="7739" xr16:uid="{00000000-0015-0000-FFFF-FFFFB8140000}" name="接続4610" type="7" refreshedVersion="4"/>
  <connection id="7740" xr16:uid="{00000000-0015-0000-FFFF-FFFFB9140000}" name="接続4611" type="7" refreshedVersion="4"/>
  <connection id="7741" xr16:uid="{00000000-0015-0000-FFFF-FFFFBA140000}" name="接続4612" type="7" refreshedVersion="4"/>
  <connection id="7742" xr16:uid="{00000000-0015-0000-FFFF-FFFFBB140000}" name="接続4613" type="7" refreshedVersion="4"/>
  <connection id="7743" xr16:uid="{00000000-0015-0000-FFFF-FFFFBC140000}" name="接続4614" type="7" refreshedVersion="4"/>
  <connection id="7744" xr16:uid="{00000000-0015-0000-FFFF-FFFFBD140000}" name="接続4615" type="7" refreshedVersion="4"/>
  <connection id="7745" xr16:uid="{00000000-0015-0000-FFFF-FFFFBE140000}" name="接続4616" type="7" refreshedVersion="4"/>
  <connection id="7746" xr16:uid="{00000000-0015-0000-FFFF-FFFFBF140000}" name="接続4617" type="7" refreshedVersion="4"/>
  <connection id="7747" xr16:uid="{00000000-0015-0000-FFFF-FFFFC0140000}" name="接続4618" type="7" refreshedVersion="4"/>
  <connection id="7748" xr16:uid="{00000000-0015-0000-FFFF-FFFFC1140000}" name="接続4619" type="7" refreshedVersion="4"/>
  <connection id="7749" xr16:uid="{00000000-0015-0000-FFFF-FFFFC2140000}" name="接続462" type="7" refreshedVersion="4"/>
  <connection id="7750" xr16:uid="{00000000-0015-0000-FFFF-FFFFC3140000}" name="接続4620" type="7" refreshedVersion="4"/>
  <connection id="7751" xr16:uid="{00000000-0015-0000-FFFF-FFFFC4140000}" name="接続4621" type="7" refreshedVersion="4"/>
  <connection id="7752" xr16:uid="{00000000-0015-0000-FFFF-FFFFC5140000}" name="接続4622" type="7" refreshedVersion="4"/>
  <connection id="7753" xr16:uid="{00000000-0015-0000-FFFF-FFFFC6140000}" name="接続4623" type="7" refreshedVersion="4"/>
  <connection id="7754" xr16:uid="{00000000-0015-0000-FFFF-FFFFC7140000}" name="接続4624" type="7" refreshedVersion="4"/>
  <connection id="7755" xr16:uid="{00000000-0015-0000-FFFF-FFFFC8140000}" name="接続4625" type="7" refreshedVersion="4"/>
  <connection id="7756" xr16:uid="{00000000-0015-0000-FFFF-FFFFC9140000}" name="接続4626" type="7" refreshedVersion="4"/>
  <connection id="7757" xr16:uid="{00000000-0015-0000-FFFF-FFFFCA140000}" name="接続4627" type="7" refreshedVersion="4"/>
  <connection id="7758" xr16:uid="{00000000-0015-0000-FFFF-FFFFCB140000}" name="接続4628" type="7" refreshedVersion="4"/>
  <connection id="7759" xr16:uid="{00000000-0015-0000-FFFF-FFFFCC140000}" name="接続4629" type="7" refreshedVersion="4"/>
  <connection id="7760" xr16:uid="{00000000-0015-0000-FFFF-FFFFCD140000}" name="接続463" type="7" refreshedVersion="4"/>
  <connection id="7761" xr16:uid="{00000000-0015-0000-FFFF-FFFFCE140000}" name="接続4630" type="7" refreshedVersion="4"/>
  <connection id="7762" xr16:uid="{00000000-0015-0000-FFFF-FFFFCF140000}" name="接続4631" type="7" refreshedVersion="4"/>
  <connection id="7763" xr16:uid="{00000000-0015-0000-FFFF-FFFFD0140000}" name="接続4632" type="7" refreshedVersion="4"/>
  <connection id="7764" xr16:uid="{00000000-0015-0000-FFFF-FFFFD1140000}" name="接続4633" type="7" refreshedVersion="4"/>
  <connection id="7765" xr16:uid="{00000000-0015-0000-FFFF-FFFFD2140000}" name="接続4634" type="7" refreshedVersion="4"/>
  <connection id="7766" xr16:uid="{00000000-0015-0000-FFFF-FFFFD3140000}" name="接続4635" type="7" refreshedVersion="4"/>
  <connection id="7767" xr16:uid="{00000000-0015-0000-FFFF-FFFFD4140000}" name="接続4636" type="7" refreshedVersion="4"/>
  <connection id="7768" xr16:uid="{00000000-0015-0000-FFFF-FFFFD5140000}" name="接続4637" type="7" refreshedVersion="4"/>
  <connection id="7769" xr16:uid="{00000000-0015-0000-FFFF-FFFFD6140000}" name="接続4638" type="7" refreshedVersion="4"/>
  <connection id="7770" xr16:uid="{00000000-0015-0000-FFFF-FFFFD7140000}" name="接続4639" type="7" refreshedVersion="4"/>
  <connection id="7771" xr16:uid="{00000000-0015-0000-FFFF-FFFFD8140000}" name="接続464" type="7" refreshedVersion="4"/>
  <connection id="7772" xr16:uid="{00000000-0015-0000-FFFF-FFFFD9140000}" name="接続4640" type="7" refreshedVersion="4"/>
  <connection id="7773" xr16:uid="{00000000-0015-0000-FFFF-FFFFDA140000}" name="接続4641" type="7" refreshedVersion="4"/>
  <connection id="7774" xr16:uid="{00000000-0015-0000-FFFF-FFFFDB140000}" name="接続4642" type="7" refreshedVersion="4"/>
  <connection id="7775" xr16:uid="{00000000-0015-0000-FFFF-FFFFDC140000}" name="接続4643" type="7" refreshedVersion="4"/>
  <connection id="7776" xr16:uid="{00000000-0015-0000-FFFF-FFFFDD140000}" name="接続4644" type="7" refreshedVersion="4"/>
  <connection id="7777" xr16:uid="{00000000-0015-0000-FFFF-FFFFDE140000}" name="接続4645" type="7" refreshedVersion="4"/>
  <connection id="7778" xr16:uid="{00000000-0015-0000-FFFF-FFFFDF140000}" name="接続4646" type="7" refreshedVersion="4"/>
  <connection id="7779" xr16:uid="{00000000-0015-0000-FFFF-FFFFE0140000}" name="接続4647" type="7" refreshedVersion="4"/>
  <connection id="7780" xr16:uid="{00000000-0015-0000-FFFF-FFFFE1140000}" name="接続4648" type="7" refreshedVersion="4"/>
  <connection id="7781" xr16:uid="{00000000-0015-0000-FFFF-FFFFE2140000}" name="接続4649" type="7" refreshedVersion="4"/>
  <connection id="7782" xr16:uid="{00000000-0015-0000-FFFF-FFFFE3140000}" name="接続465" type="7" refreshedVersion="4"/>
  <connection id="7783" xr16:uid="{00000000-0015-0000-FFFF-FFFFE4140000}" name="接続4650" type="7" refreshedVersion="4"/>
  <connection id="7784" xr16:uid="{00000000-0015-0000-FFFF-FFFFE5140000}" name="接続4651" type="7" refreshedVersion="4"/>
  <connection id="7785" xr16:uid="{00000000-0015-0000-FFFF-FFFFE6140000}" name="接続4652" type="7" refreshedVersion="4"/>
  <connection id="7786" xr16:uid="{00000000-0015-0000-FFFF-FFFFE7140000}" name="接続4653" type="7" refreshedVersion="4"/>
  <connection id="7787" xr16:uid="{00000000-0015-0000-FFFF-FFFFE8140000}" name="接続4654" type="7" refreshedVersion="4"/>
  <connection id="7788" xr16:uid="{00000000-0015-0000-FFFF-FFFFE9140000}" name="接続4655" type="7" refreshedVersion="4"/>
  <connection id="7789" xr16:uid="{00000000-0015-0000-FFFF-FFFFEA140000}" name="接続4656" type="7" refreshedVersion="4"/>
  <connection id="7790" xr16:uid="{00000000-0015-0000-FFFF-FFFFEB140000}" name="接続4657" type="7" refreshedVersion="4"/>
  <connection id="7791" xr16:uid="{00000000-0015-0000-FFFF-FFFFEC140000}" name="接続4658" type="7" refreshedVersion="4"/>
  <connection id="7792" xr16:uid="{00000000-0015-0000-FFFF-FFFFED140000}" name="接続4659" type="7" refreshedVersion="4"/>
  <connection id="7793" xr16:uid="{00000000-0015-0000-FFFF-FFFFEE140000}" name="接続466" type="7" refreshedVersion="4"/>
  <connection id="7794" xr16:uid="{00000000-0015-0000-FFFF-FFFFEF140000}" name="接続4660" type="7" refreshedVersion="4"/>
  <connection id="7795" xr16:uid="{00000000-0015-0000-FFFF-FFFFF0140000}" name="接続4661" type="7" refreshedVersion="4"/>
  <connection id="7796" xr16:uid="{00000000-0015-0000-FFFF-FFFFF1140000}" name="接続4662" type="7" refreshedVersion="4"/>
  <connection id="7797" xr16:uid="{00000000-0015-0000-FFFF-FFFFF2140000}" name="接続4663" type="7" refreshedVersion="4"/>
  <connection id="7798" xr16:uid="{00000000-0015-0000-FFFF-FFFFF3140000}" name="接続4664" type="7" refreshedVersion="4"/>
  <connection id="7799" xr16:uid="{00000000-0015-0000-FFFF-FFFFF4140000}" name="接続4665" type="7" refreshedVersion="4"/>
  <connection id="7800" xr16:uid="{00000000-0015-0000-FFFF-FFFFF5140000}" name="接続4666" type="7" refreshedVersion="4"/>
  <connection id="7801" xr16:uid="{00000000-0015-0000-FFFF-FFFFF6140000}" name="接続4667" type="7" refreshedVersion="4"/>
  <connection id="7802" xr16:uid="{00000000-0015-0000-FFFF-FFFFF7140000}" name="接続4668" type="7" refreshedVersion="4"/>
  <connection id="7803" xr16:uid="{00000000-0015-0000-FFFF-FFFFF8140000}" name="接続4669" type="7" refreshedVersion="4"/>
  <connection id="7804" xr16:uid="{00000000-0015-0000-FFFF-FFFFF9140000}" name="接続467" type="7" refreshedVersion="4"/>
  <connection id="7805" xr16:uid="{00000000-0015-0000-FFFF-FFFFFA140000}" name="接続4670" type="7" refreshedVersion="4"/>
  <connection id="7806" xr16:uid="{00000000-0015-0000-FFFF-FFFFFB140000}" name="接続4671" type="7" refreshedVersion="4"/>
  <connection id="7807" xr16:uid="{00000000-0015-0000-FFFF-FFFFFC140000}" name="接続4672" type="7" refreshedVersion="4"/>
  <connection id="7808" xr16:uid="{00000000-0015-0000-FFFF-FFFFFD140000}" name="接続4673" type="7" refreshedVersion="4"/>
  <connection id="7809" xr16:uid="{00000000-0015-0000-FFFF-FFFFFE140000}" name="接続4674" type="7" refreshedVersion="4"/>
  <connection id="7810" xr16:uid="{00000000-0015-0000-FFFF-FFFFFF140000}" name="接続4675" type="7" refreshedVersion="4"/>
  <connection id="7811" xr16:uid="{00000000-0015-0000-FFFF-FFFF00150000}" name="接続4676" type="7" refreshedVersion="4"/>
  <connection id="7812" xr16:uid="{00000000-0015-0000-FFFF-FFFF01150000}" name="接続4677" type="7" refreshedVersion="4"/>
  <connection id="7813" xr16:uid="{00000000-0015-0000-FFFF-FFFF02150000}" name="接続4678" type="7" refreshedVersion="4"/>
  <connection id="7814" xr16:uid="{00000000-0015-0000-FFFF-FFFF03150000}" name="接続4679" type="7" refreshedVersion="4"/>
  <connection id="7815" xr16:uid="{00000000-0015-0000-FFFF-FFFF04150000}" name="接続468" type="7" refreshedVersion="4"/>
  <connection id="7816" xr16:uid="{00000000-0015-0000-FFFF-FFFF05150000}" name="接続4680" type="7" refreshedVersion="4"/>
  <connection id="7817" xr16:uid="{00000000-0015-0000-FFFF-FFFF06150000}" name="接続4681" type="7" refreshedVersion="4"/>
  <connection id="7818" xr16:uid="{00000000-0015-0000-FFFF-FFFF07150000}" name="接続4682" type="7" refreshedVersion="4"/>
  <connection id="7819" xr16:uid="{00000000-0015-0000-FFFF-FFFF08150000}" name="接続4683" type="7" refreshedVersion="4"/>
  <connection id="7820" xr16:uid="{00000000-0015-0000-FFFF-FFFF09150000}" name="接続4684" type="7" refreshedVersion="4"/>
  <connection id="7821" xr16:uid="{00000000-0015-0000-FFFF-FFFF0A150000}" name="接続4685" type="7" refreshedVersion="4"/>
  <connection id="7822" xr16:uid="{00000000-0015-0000-FFFF-FFFF0B150000}" name="接続4686" type="7" refreshedVersion="4"/>
  <connection id="7823" xr16:uid="{00000000-0015-0000-FFFF-FFFF0C150000}" name="接続4687" type="7" refreshedVersion="4"/>
  <connection id="7824" xr16:uid="{00000000-0015-0000-FFFF-FFFF0D150000}" name="接続4688" type="7" refreshedVersion="4"/>
  <connection id="7825" xr16:uid="{00000000-0015-0000-FFFF-FFFF0E150000}" name="接続4689" type="7" refreshedVersion="4"/>
  <connection id="7826" xr16:uid="{00000000-0015-0000-FFFF-FFFF0F150000}" name="接続469" type="7" refreshedVersion="4"/>
  <connection id="7827" xr16:uid="{00000000-0015-0000-FFFF-FFFF10150000}" name="接続4690" type="7" refreshedVersion="4"/>
  <connection id="7828" xr16:uid="{00000000-0015-0000-FFFF-FFFF11150000}" name="接続4691" type="7" refreshedVersion="4"/>
  <connection id="7829" xr16:uid="{00000000-0015-0000-FFFF-FFFF12150000}" name="接続4692" type="7" refreshedVersion="4"/>
  <connection id="7830" xr16:uid="{00000000-0015-0000-FFFF-FFFF13150000}" name="接続4693" type="7" refreshedVersion="4"/>
  <connection id="7831" xr16:uid="{00000000-0015-0000-FFFF-FFFF14150000}" name="接続4694" type="7" refreshedVersion="4"/>
  <connection id="7832" xr16:uid="{00000000-0015-0000-FFFF-FFFF15150000}" name="接続4695" type="7" refreshedVersion="4"/>
  <connection id="7833" xr16:uid="{00000000-0015-0000-FFFF-FFFF16150000}" name="接続4696" type="7" refreshedVersion="4"/>
  <connection id="7834" xr16:uid="{00000000-0015-0000-FFFF-FFFF17150000}" name="接続4697" type="7" refreshedVersion="4"/>
  <connection id="7835" xr16:uid="{00000000-0015-0000-FFFF-FFFF18150000}" name="接続4698" type="7" refreshedVersion="4"/>
  <connection id="7836" xr16:uid="{00000000-0015-0000-FFFF-FFFF19150000}" name="接続4699" type="7" refreshedVersion="4"/>
  <connection id="7837" xr16:uid="{00000000-0015-0000-FFFF-FFFF1A150000}" name="接続47" type="7" refreshedVersion="4"/>
  <connection id="7838" xr16:uid="{00000000-0015-0000-FFFF-FFFF1B150000}" name="接続470" type="7" refreshedVersion="4"/>
  <connection id="7839" xr16:uid="{00000000-0015-0000-FFFF-FFFF1C150000}" name="接続4700" type="7" refreshedVersion="4"/>
  <connection id="7840" xr16:uid="{00000000-0015-0000-FFFF-FFFF1D150000}" name="接続4701" type="7" refreshedVersion="4"/>
  <connection id="7841" xr16:uid="{00000000-0015-0000-FFFF-FFFF1E150000}" name="接続4702" type="7" refreshedVersion="4"/>
  <connection id="7842" xr16:uid="{00000000-0015-0000-FFFF-FFFF1F150000}" name="接続4703" type="7" refreshedVersion="4"/>
  <connection id="7843" xr16:uid="{00000000-0015-0000-FFFF-FFFF20150000}" name="接続4704" type="7" refreshedVersion="4"/>
  <connection id="7844" xr16:uid="{00000000-0015-0000-FFFF-FFFF21150000}" name="接続4705" type="7" refreshedVersion="4"/>
  <connection id="7845" xr16:uid="{00000000-0015-0000-FFFF-FFFF22150000}" name="接続4706" type="7" refreshedVersion="4"/>
  <connection id="7846" xr16:uid="{00000000-0015-0000-FFFF-FFFF23150000}" name="接続4707" type="7" refreshedVersion="4"/>
  <connection id="7847" xr16:uid="{00000000-0015-0000-FFFF-FFFF24150000}" name="接続4708" type="7" refreshedVersion="4"/>
  <connection id="7848" xr16:uid="{00000000-0015-0000-FFFF-FFFF25150000}" name="接続4709" type="7" refreshedVersion="4"/>
  <connection id="7849" xr16:uid="{00000000-0015-0000-FFFF-FFFF26150000}" name="接続471" type="7" refreshedVersion="4"/>
  <connection id="7850" xr16:uid="{00000000-0015-0000-FFFF-FFFF27150000}" name="接続4710" type="7" refreshedVersion="4"/>
  <connection id="7851" xr16:uid="{00000000-0015-0000-FFFF-FFFF28150000}" name="接続4711" type="7" refreshedVersion="4"/>
  <connection id="7852" xr16:uid="{00000000-0015-0000-FFFF-FFFF29150000}" name="接続4712" type="7" refreshedVersion="4"/>
  <connection id="7853" xr16:uid="{00000000-0015-0000-FFFF-FFFF2A150000}" name="接続4713" type="7" refreshedVersion="4"/>
  <connection id="7854" xr16:uid="{00000000-0015-0000-FFFF-FFFF2B150000}" name="接続4714" type="7" refreshedVersion="4"/>
  <connection id="7855" xr16:uid="{00000000-0015-0000-FFFF-FFFF2C150000}" name="接続4715" type="7" refreshedVersion="4"/>
  <connection id="7856" xr16:uid="{00000000-0015-0000-FFFF-FFFF2D150000}" name="接続4716" type="7" refreshedVersion="4"/>
  <connection id="7857" xr16:uid="{00000000-0015-0000-FFFF-FFFF2E150000}" name="接続4717" type="7" refreshedVersion="4"/>
  <connection id="7858" xr16:uid="{00000000-0015-0000-FFFF-FFFF2F150000}" name="接続4718" type="7" refreshedVersion="4"/>
  <connection id="7859" xr16:uid="{00000000-0015-0000-FFFF-FFFF30150000}" name="接続4719" type="7" refreshedVersion="4"/>
  <connection id="7860" xr16:uid="{00000000-0015-0000-FFFF-FFFF31150000}" name="接続472" type="7" refreshedVersion="4"/>
  <connection id="7861" xr16:uid="{00000000-0015-0000-FFFF-FFFF32150000}" name="接続4720" type="7" refreshedVersion="4"/>
  <connection id="7862" xr16:uid="{00000000-0015-0000-FFFF-FFFF33150000}" name="接続4721" type="7" refreshedVersion="4"/>
  <connection id="7863" xr16:uid="{00000000-0015-0000-FFFF-FFFF34150000}" name="接続4722" type="7" refreshedVersion="4"/>
  <connection id="7864" xr16:uid="{00000000-0015-0000-FFFF-FFFF35150000}" name="接続4723" type="7" refreshedVersion="4"/>
  <connection id="7865" xr16:uid="{00000000-0015-0000-FFFF-FFFF36150000}" name="接続4724" type="7" refreshedVersion="4"/>
  <connection id="7866" xr16:uid="{00000000-0015-0000-FFFF-FFFF37150000}" name="接続4725" type="7" refreshedVersion="4"/>
  <connection id="7867" xr16:uid="{00000000-0015-0000-FFFF-FFFF38150000}" name="接続4726" type="7" refreshedVersion="4"/>
  <connection id="7868" xr16:uid="{00000000-0015-0000-FFFF-FFFF39150000}" name="接続4727" type="7" refreshedVersion="4"/>
  <connection id="7869" xr16:uid="{00000000-0015-0000-FFFF-FFFF3A150000}" name="接続4728" type="7" refreshedVersion="4"/>
  <connection id="7870" xr16:uid="{00000000-0015-0000-FFFF-FFFF3B150000}" name="接続4729" type="7" refreshedVersion="4"/>
  <connection id="7871" xr16:uid="{00000000-0015-0000-FFFF-FFFF3C150000}" name="接続473" type="7" refreshedVersion="4"/>
  <connection id="7872" xr16:uid="{00000000-0015-0000-FFFF-FFFF3D150000}" name="接続4730" type="7" refreshedVersion="4"/>
  <connection id="7873" xr16:uid="{00000000-0015-0000-FFFF-FFFF3E150000}" name="接続4731" type="7" refreshedVersion="4"/>
  <connection id="7874" xr16:uid="{00000000-0015-0000-FFFF-FFFF3F150000}" name="接続4732" type="7" refreshedVersion="4"/>
  <connection id="7875" xr16:uid="{00000000-0015-0000-FFFF-FFFF40150000}" name="接続4733" type="7" refreshedVersion="4"/>
  <connection id="7876" xr16:uid="{00000000-0015-0000-FFFF-FFFF41150000}" name="接続4734" type="7" refreshedVersion="4"/>
  <connection id="7877" xr16:uid="{00000000-0015-0000-FFFF-FFFF42150000}" name="接続4735" type="7" refreshedVersion="4"/>
  <connection id="7878" xr16:uid="{00000000-0015-0000-FFFF-FFFF43150000}" name="接続4736" type="7" refreshedVersion="4"/>
  <connection id="7879" xr16:uid="{00000000-0015-0000-FFFF-FFFF44150000}" name="接続4737" type="7" refreshedVersion="4"/>
  <connection id="7880" xr16:uid="{00000000-0015-0000-FFFF-FFFF45150000}" name="接続4738" type="7" refreshedVersion="4"/>
  <connection id="7881" xr16:uid="{00000000-0015-0000-FFFF-FFFF46150000}" name="接続4739" type="7" refreshedVersion="4"/>
  <connection id="7882" xr16:uid="{00000000-0015-0000-FFFF-FFFF47150000}" name="接続474" type="7" refreshedVersion="4"/>
  <connection id="7883" xr16:uid="{00000000-0015-0000-FFFF-FFFF48150000}" name="接続4740" type="7" refreshedVersion="4"/>
  <connection id="7884" xr16:uid="{00000000-0015-0000-FFFF-FFFF49150000}" name="接続4741" type="7" refreshedVersion="4"/>
  <connection id="7885" xr16:uid="{00000000-0015-0000-FFFF-FFFF4A150000}" name="接続4742" type="7" refreshedVersion="4"/>
  <connection id="7886" xr16:uid="{00000000-0015-0000-FFFF-FFFF4B150000}" name="接続4743" type="7" refreshedVersion="4"/>
  <connection id="7887" xr16:uid="{00000000-0015-0000-FFFF-FFFF4C150000}" name="接続4744" type="7" refreshedVersion="4"/>
  <connection id="7888" xr16:uid="{00000000-0015-0000-FFFF-FFFF4D150000}" name="接続4745" type="7" refreshedVersion="4"/>
  <connection id="7889" xr16:uid="{00000000-0015-0000-FFFF-FFFF4E150000}" name="接続4746" type="7" refreshedVersion="4"/>
  <connection id="7890" xr16:uid="{00000000-0015-0000-FFFF-FFFF4F150000}" name="接続4747" type="7" refreshedVersion="4"/>
  <connection id="7891" xr16:uid="{00000000-0015-0000-FFFF-FFFF50150000}" name="接続4748" type="7" refreshedVersion="4"/>
  <connection id="7892" xr16:uid="{00000000-0015-0000-FFFF-FFFF51150000}" name="接続4749" type="7" refreshedVersion="4"/>
  <connection id="7893" xr16:uid="{00000000-0015-0000-FFFF-FFFF52150000}" name="接続475" type="7" refreshedVersion="4"/>
  <connection id="7894" xr16:uid="{00000000-0015-0000-FFFF-FFFF53150000}" name="接続4750" type="7" refreshedVersion="4"/>
  <connection id="7895" xr16:uid="{00000000-0015-0000-FFFF-FFFF54150000}" name="接続4751" type="7" refreshedVersion="4"/>
  <connection id="7896" xr16:uid="{00000000-0015-0000-FFFF-FFFF55150000}" name="接続4752" type="7" refreshedVersion="4"/>
  <connection id="7897" xr16:uid="{00000000-0015-0000-FFFF-FFFF56150000}" name="接続4753" type="7" refreshedVersion="4"/>
  <connection id="7898" xr16:uid="{00000000-0015-0000-FFFF-FFFF57150000}" name="接続4754" type="7" refreshedVersion="4"/>
  <connection id="7899" xr16:uid="{00000000-0015-0000-FFFF-FFFF58150000}" name="接続4755" type="7" refreshedVersion="4"/>
  <connection id="7900" xr16:uid="{00000000-0015-0000-FFFF-FFFF59150000}" name="接続4756" type="7" refreshedVersion="4"/>
  <connection id="7901" xr16:uid="{00000000-0015-0000-FFFF-FFFF5A150000}" name="接続4757" type="7" refreshedVersion="4"/>
  <connection id="7902" xr16:uid="{00000000-0015-0000-FFFF-FFFF5B150000}" name="接続4758" type="7" refreshedVersion="4"/>
  <connection id="7903" xr16:uid="{00000000-0015-0000-FFFF-FFFF5C150000}" name="接続4759" type="7" refreshedVersion="4"/>
  <connection id="7904" xr16:uid="{00000000-0015-0000-FFFF-FFFF5D150000}" name="接続476" type="7" refreshedVersion="4"/>
  <connection id="7905" xr16:uid="{00000000-0015-0000-FFFF-FFFF5E150000}" name="接続4760" type="7" refreshedVersion="4"/>
  <connection id="7906" xr16:uid="{00000000-0015-0000-FFFF-FFFF5F150000}" name="接続4761" type="7" refreshedVersion="4"/>
  <connection id="7907" xr16:uid="{00000000-0015-0000-FFFF-FFFF60150000}" name="接続4762" type="7" refreshedVersion="4"/>
  <connection id="7908" xr16:uid="{00000000-0015-0000-FFFF-FFFF61150000}" name="接続4763" type="7" refreshedVersion="4"/>
  <connection id="7909" xr16:uid="{00000000-0015-0000-FFFF-FFFF62150000}" name="接続4764" type="7" refreshedVersion="4"/>
  <connection id="7910" xr16:uid="{00000000-0015-0000-FFFF-FFFF63150000}" name="接続4765" type="7" refreshedVersion="4"/>
  <connection id="7911" xr16:uid="{00000000-0015-0000-FFFF-FFFF64150000}" name="接続4766" type="7" refreshedVersion="4"/>
  <connection id="7912" xr16:uid="{00000000-0015-0000-FFFF-FFFF65150000}" name="接続4767" type="7" refreshedVersion="4"/>
  <connection id="7913" xr16:uid="{00000000-0015-0000-FFFF-FFFF66150000}" name="接続4768" type="7" refreshedVersion="4"/>
  <connection id="7914" xr16:uid="{00000000-0015-0000-FFFF-FFFF67150000}" name="接続4769" type="7" refreshedVersion="4"/>
  <connection id="7915" xr16:uid="{00000000-0015-0000-FFFF-FFFF68150000}" name="接続477" type="7" refreshedVersion="4"/>
  <connection id="7916" xr16:uid="{00000000-0015-0000-FFFF-FFFF69150000}" name="接続4770" type="7" refreshedVersion="4"/>
  <connection id="7917" xr16:uid="{00000000-0015-0000-FFFF-FFFF6A150000}" name="接続4771" type="7" refreshedVersion="4"/>
  <connection id="7918" xr16:uid="{00000000-0015-0000-FFFF-FFFF6B150000}" name="接続4772" type="7" refreshedVersion="4"/>
  <connection id="7919" xr16:uid="{00000000-0015-0000-FFFF-FFFF6C150000}" name="接続4773" type="7" refreshedVersion="4"/>
  <connection id="7920" xr16:uid="{00000000-0015-0000-FFFF-FFFF6D150000}" name="接続4774" type="7" refreshedVersion="4"/>
  <connection id="7921" xr16:uid="{00000000-0015-0000-FFFF-FFFF6E150000}" name="接続4775" type="7" refreshedVersion="4"/>
  <connection id="7922" xr16:uid="{00000000-0015-0000-FFFF-FFFF6F150000}" name="接続4776" type="7" refreshedVersion="4"/>
  <connection id="7923" xr16:uid="{00000000-0015-0000-FFFF-FFFF70150000}" name="接続4777" type="7" refreshedVersion="4"/>
  <connection id="7924" xr16:uid="{00000000-0015-0000-FFFF-FFFF71150000}" name="接続4778" type="7" refreshedVersion="4"/>
  <connection id="7925" xr16:uid="{00000000-0015-0000-FFFF-FFFF72150000}" name="接続4779" type="7" refreshedVersion="4"/>
  <connection id="7926" xr16:uid="{00000000-0015-0000-FFFF-FFFF73150000}" name="接続478" type="7" refreshedVersion="4"/>
  <connection id="7927" xr16:uid="{00000000-0015-0000-FFFF-FFFF74150000}" name="接続4780" type="7" refreshedVersion="4"/>
  <connection id="7928" xr16:uid="{00000000-0015-0000-FFFF-FFFF75150000}" name="接続4781" type="7" refreshedVersion="4"/>
  <connection id="7929" xr16:uid="{00000000-0015-0000-FFFF-FFFF76150000}" name="接続4782" type="7" refreshedVersion="4"/>
  <connection id="7930" xr16:uid="{00000000-0015-0000-FFFF-FFFF77150000}" name="接続4783" type="7" refreshedVersion="4"/>
  <connection id="7931" xr16:uid="{00000000-0015-0000-FFFF-FFFF78150000}" name="接続4784" type="7" refreshedVersion="4"/>
  <connection id="7932" xr16:uid="{00000000-0015-0000-FFFF-FFFF79150000}" name="接続4785" type="7" refreshedVersion="4"/>
  <connection id="7933" xr16:uid="{00000000-0015-0000-FFFF-FFFF7A150000}" name="接続4786" type="7" refreshedVersion="4"/>
  <connection id="7934" xr16:uid="{00000000-0015-0000-FFFF-FFFF7B150000}" name="接続4787" type="7" refreshedVersion="4"/>
  <connection id="7935" xr16:uid="{00000000-0015-0000-FFFF-FFFF7C150000}" name="接続4788" type="7" refreshedVersion="4"/>
  <connection id="7936" xr16:uid="{00000000-0015-0000-FFFF-FFFF7D150000}" name="接続4789" type="7" refreshedVersion="4"/>
  <connection id="7937" xr16:uid="{00000000-0015-0000-FFFF-FFFF7E150000}" name="接続479" type="7" refreshedVersion="4"/>
  <connection id="7938" xr16:uid="{00000000-0015-0000-FFFF-FFFF7F150000}" name="接続4790" type="7" refreshedVersion="4"/>
  <connection id="7939" xr16:uid="{00000000-0015-0000-FFFF-FFFF80150000}" name="接続4791" type="7" refreshedVersion="4"/>
  <connection id="7940" xr16:uid="{00000000-0015-0000-FFFF-FFFF81150000}" name="接続4792" type="7" refreshedVersion="4"/>
  <connection id="7941" xr16:uid="{00000000-0015-0000-FFFF-FFFF82150000}" name="接続4793" type="7" refreshedVersion="4"/>
  <connection id="7942" xr16:uid="{00000000-0015-0000-FFFF-FFFF83150000}" name="接続4794" type="7" refreshedVersion="4"/>
  <connection id="7943" xr16:uid="{00000000-0015-0000-FFFF-FFFF84150000}" name="接続4795" type="7" refreshedVersion="4"/>
  <connection id="7944" xr16:uid="{00000000-0015-0000-FFFF-FFFF85150000}" name="接続4796" type="7" refreshedVersion="4"/>
  <connection id="7945" xr16:uid="{00000000-0015-0000-FFFF-FFFF86150000}" name="接続4797" type="7" refreshedVersion="4"/>
  <connection id="7946" xr16:uid="{00000000-0015-0000-FFFF-FFFF87150000}" name="接続4798" type="7" refreshedVersion="4"/>
  <connection id="7947" xr16:uid="{00000000-0015-0000-FFFF-FFFF88150000}" name="接続4799" type="7" refreshedVersion="4"/>
  <connection id="7948" xr16:uid="{00000000-0015-0000-FFFF-FFFF89150000}" name="接続48" type="7" refreshedVersion="4"/>
  <connection id="7949" xr16:uid="{00000000-0015-0000-FFFF-FFFF8A150000}" name="接続480" type="7" refreshedVersion="4"/>
  <connection id="7950" xr16:uid="{00000000-0015-0000-FFFF-FFFF8B150000}" name="接続4800" type="7" refreshedVersion="4"/>
  <connection id="7951" xr16:uid="{00000000-0015-0000-FFFF-FFFF8C150000}" name="接続4801" type="7" refreshedVersion="4"/>
  <connection id="7952" xr16:uid="{00000000-0015-0000-FFFF-FFFF8D150000}" name="接続4802" type="7" refreshedVersion="4"/>
  <connection id="7953" xr16:uid="{00000000-0015-0000-FFFF-FFFF8E150000}" name="接続4803" type="7" refreshedVersion="4"/>
  <connection id="7954" xr16:uid="{00000000-0015-0000-FFFF-FFFF8F150000}" name="接続4804" type="7" refreshedVersion="4"/>
  <connection id="7955" xr16:uid="{00000000-0015-0000-FFFF-FFFF90150000}" name="接続4805" type="7" refreshedVersion="4"/>
  <connection id="7956" xr16:uid="{00000000-0015-0000-FFFF-FFFF91150000}" name="接続4806" type="7" refreshedVersion="4"/>
  <connection id="7957" xr16:uid="{00000000-0015-0000-FFFF-FFFF92150000}" name="接続4807" type="7" refreshedVersion="4"/>
  <connection id="7958" xr16:uid="{00000000-0015-0000-FFFF-FFFF93150000}" name="接続4808" type="7" refreshedVersion="4"/>
  <connection id="7959" xr16:uid="{00000000-0015-0000-FFFF-FFFF94150000}" name="接続4809" type="7" refreshedVersion="4"/>
  <connection id="7960" xr16:uid="{00000000-0015-0000-FFFF-FFFF95150000}" name="接続481" type="7" refreshedVersion="4"/>
  <connection id="7961" xr16:uid="{00000000-0015-0000-FFFF-FFFF96150000}" name="接続4810" type="7" refreshedVersion="4"/>
  <connection id="7962" xr16:uid="{00000000-0015-0000-FFFF-FFFF97150000}" name="接続4811" type="7" refreshedVersion="4"/>
  <connection id="7963" xr16:uid="{00000000-0015-0000-FFFF-FFFF98150000}" name="接続4812" type="7" refreshedVersion="4"/>
  <connection id="7964" xr16:uid="{00000000-0015-0000-FFFF-FFFF99150000}" name="接続4813" type="7" refreshedVersion="4"/>
  <connection id="7965" xr16:uid="{00000000-0015-0000-FFFF-FFFF9A150000}" name="接続4814" type="7" refreshedVersion="4"/>
  <connection id="7966" xr16:uid="{00000000-0015-0000-FFFF-FFFF9B150000}" name="接続4815" type="7" refreshedVersion="4"/>
  <connection id="7967" xr16:uid="{00000000-0015-0000-FFFF-FFFF9C150000}" name="接続4816" type="7" refreshedVersion="4"/>
  <connection id="7968" xr16:uid="{00000000-0015-0000-FFFF-FFFF9D150000}" name="接続4817" type="7" refreshedVersion="4"/>
  <connection id="7969" xr16:uid="{00000000-0015-0000-FFFF-FFFF9E150000}" name="接続4818" type="7" refreshedVersion="4"/>
  <connection id="7970" xr16:uid="{00000000-0015-0000-FFFF-FFFF9F150000}" name="接続4819" type="7" refreshedVersion="4"/>
  <connection id="7971" xr16:uid="{00000000-0015-0000-FFFF-FFFFA0150000}" name="接続482" type="7" refreshedVersion="4"/>
  <connection id="7972" xr16:uid="{00000000-0015-0000-FFFF-FFFFA1150000}" name="接続4820" type="7" refreshedVersion="4"/>
  <connection id="7973" xr16:uid="{00000000-0015-0000-FFFF-FFFFA2150000}" name="接続4821" type="7" refreshedVersion="4"/>
  <connection id="7974" xr16:uid="{00000000-0015-0000-FFFF-FFFFA3150000}" name="接続4822" type="7" refreshedVersion="4"/>
  <connection id="7975" xr16:uid="{00000000-0015-0000-FFFF-FFFFA4150000}" name="接続4823" type="7" refreshedVersion="4"/>
  <connection id="7976" xr16:uid="{00000000-0015-0000-FFFF-FFFFA5150000}" name="接続4824" type="7" refreshedVersion="4"/>
  <connection id="7977" xr16:uid="{00000000-0015-0000-FFFF-FFFFA6150000}" name="接続4825" type="7" refreshedVersion="4"/>
  <connection id="7978" xr16:uid="{00000000-0015-0000-FFFF-FFFFA7150000}" name="接続4826" type="7" refreshedVersion="4"/>
  <connection id="7979" xr16:uid="{00000000-0015-0000-FFFF-FFFFA8150000}" name="接続4827" type="7" refreshedVersion="4"/>
  <connection id="7980" xr16:uid="{00000000-0015-0000-FFFF-FFFFA9150000}" name="接続4828" type="7" refreshedVersion="4"/>
  <connection id="7981" xr16:uid="{00000000-0015-0000-FFFF-FFFFAA150000}" name="接続4829" type="7" refreshedVersion="4"/>
  <connection id="7982" xr16:uid="{00000000-0015-0000-FFFF-FFFFAB150000}" name="接続483" type="7" refreshedVersion="4"/>
  <connection id="7983" xr16:uid="{00000000-0015-0000-FFFF-FFFFAC150000}" name="接続4830" type="7" refreshedVersion="4"/>
  <connection id="7984" xr16:uid="{00000000-0015-0000-FFFF-FFFFAD150000}" name="接続4831" type="7" refreshedVersion="4"/>
  <connection id="7985" xr16:uid="{00000000-0015-0000-FFFF-FFFFAE150000}" name="接続4832" type="7" refreshedVersion="4"/>
  <connection id="7986" xr16:uid="{00000000-0015-0000-FFFF-FFFFAF150000}" name="接続4833" type="7" refreshedVersion="4"/>
  <connection id="7987" xr16:uid="{00000000-0015-0000-FFFF-FFFFB0150000}" name="接続4834" type="7" refreshedVersion="4"/>
  <connection id="7988" xr16:uid="{00000000-0015-0000-FFFF-FFFFB1150000}" name="接続4835" type="7" refreshedVersion="4"/>
  <connection id="7989" xr16:uid="{00000000-0015-0000-FFFF-FFFFB2150000}" name="接続4836" type="7" refreshedVersion="4"/>
  <connection id="7990" xr16:uid="{00000000-0015-0000-FFFF-FFFFB3150000}" name="接続4837" type="7" refreshedVersion="4"/>
  <connection id="7991" xr16:uid="{00000000-0015-0000-FFFF-FFFFB4150000}" name="接続4838" type="7" refreshedVersion="4"/>
  <connection id="7992" xr16:uid="{00000000-0015-0000-FFFF-FFFFB5150000}" name="接続4839" type="7" refreshedVersion="4"/>
  <connection id="7993" xr16:uid="{00000000-0015-0000-FFFF-FFFFB6150000}" name="接続484" type="7" refreshedVersion="4"/>
  <connection id="7994" xr16:uid="{00000000-0015-0000-FFFF-FFFFB7150000}" name="接続4840" type="7" refreshedVersion="4"/>
  <connection id="7995" xr16:uid="{00000000-0015-0000-FFFF-FFFFB8150000}" name="接続4841" type="7" refreshedVersion="4"/>
  <connection id="7996" xr16:uid="{00000000-0015-0000-FFFF-FFFFB9150000}" name="接続4842" type="7" refreshedVersion="4"/>
  <connection id="7997" xr16:uid="{00000000-0015-0000-FFFF-FFFFBA150000}" name="接続4843" type="7" refreshedVersion="4"/>
  <connection id="7998" xr16:uid="{00000000-0015-0000-FFFF-FFFFBB150000}" name="接続4844" type="7" refreshedVersion="4"/>
  <connection id="7999" xr16:uid="{00000000-0015-0000-FFFF-FFFFBC150000}" name="接続4845" type="7" refreshedVersion="4"/>
  <connection id="8000" xr16:uid="{00000000-0015-0000-FFFF-FFFFBD150000}" name="接続4846" type="7" refreshedVersion="4"/>
  <connection id="8001" xr16:uid="{00000000-0015-0000-FFFF-FFFFBE150000}" name="接続4847" type="7" refreshedVersion="4"/>
  <connection id="8002" xr16:uid="{00000000-0015-0000-FFFF-FFFFBF150000}" name="接続4848" type="7" refreshedVersion="4"/>
  <connection id="8003" xr16:uid="{00000000-0015-0000-FFFF-FFFFC0150000}" name="接続4849" type="7" refreshedVersion="4"/>
  <connection id="8004" xr16:uid="{00000000-0015-0000-FFFF-FFFFC1150000}" name="接続485" type="7" refreshedVersion="4"/>
  <connection id="8005" xr16:uid="{00000000-0015-0000-FFFF-FFFFC2150000}" name="接続4850" type="7" refreshedVersion="4"/>
  <connection id="8006" xr16:uid="{00000000-0015-0000-FFFF-FFFFC3150000}" name="接続4851" type="7" refreshedVersion="4"/>
  <connection id="8007" xr16:uid="{00000000-0015-0000-FFFF-FFFFC4150000}" name="接続4852" type="7" refreshedVersion="4"/>
  <connection id="8008" xr16:uid="{00000000-0015-0000-FFFF-FFFFC5150000}" name="接続4853" type="7" refreshedVersion="4"/>
  <connection id="8009" xr16:uid="{00000000-0015-0000-FFFF-FFFFC6150000}" name="接続4854" type="7" refreshedVersion="4"/>
  <connection id="8010" xr16:uid="{00000000-0015-0000-FFFF-FFFFC7150000}" name="接続4855" type="7" refreshedVersion="4"/>
  <connection id="8011" xr16:uid="{00000000-0015-0000-FFFF-FFFFC8150000}" name="接続4856" type="7" refreshedVersion="4"/>
  <connection id="8012" xr16:uid="{00000000-0015-0000-FFFF-FFFFC9150000}" name="接続4857" type="7" refreshedVersion="4"/>
  <connection id="8013" xr16:uid="{00000000-0015-0000-FFFF-FFFFCA150000}" name="接続4858" type="7" refreshedVersion="4"/>
  <connection id="8014" xr16:uid="{00000000-0015-0000-FFFF-FFFFCB150000}" name="接続4859" type="7" refreshedVersion="4"/>
  <connection id="8015" xr16:uid="{00000000-0015-0000-FFFF-FFFFCC150000}" name="接続486" type="7" refreshedVersion="4"/>
  <connection id="8016" xr16:uid="{00000000-0015-0000-FFFF-FFFFCD150000}" name="接続4860" type="7" refreshedVersion="4"/>
  <connection id="8017" xr16:uid="{00000000-0015-0000-FFFF-FFFFCE150000}" name="接続4861" type="7" refreshedVersion="4"/>
  <connection id="8018" xr16:uid="{00000000-0015-0000-FFFF-FFFFCF150000}" name="接続4862" type="7" refreshedVersion="4"/>
  <connection id="8019" xr16:uid="{00000000-0015-0000-FFFF-FFFFD0150000}" name="接続4863" type="7" refreshedVersion="4"/>
  <connection id="8020" xr16:uid="{00000000-0015-0000-FFFF-FFFFD1150000}" name="接続4864" type="7" refreshedVersion="4"/>
  <connection id="8021" xr16:uid="{00000000-0015-0000-FFFF-FFFFD2150000}" name="接続4865" type="7" refreshedVersion="4"/>
  <connection id="8022" xr16:uid="{00000000-0015-0000-FFFF-FFFFD3150000}" name="接続4866" type="7" refreshedVersion="4"/>
  <connection id="8023" xr16:uid="{00000000-0015-0000-FFFF-FFFFD4150000}" name="接続4867" type="7" refreshedVersion="4"/>
  <connection id="8024" xr16:uid="{00000000-0015-0000-FFFF-FFFFD5150000}" name="接続4868" type="7" refreshedVersion="4"/>
  <connection id="8025" xr16:uid="{00000000-0015-0000-FFFF-FFFFD6150000}" name="接続4869" type="7" refreshedVersion="4"/>
  <connection id="8026" xr16:uid="{00000000-0015-0000-FFFF-FFFFD7150000}" name="接続487" type="7" refreshedVersion="4"/>
  <connection id="8027" xr16:uid="{00000000-0015-0000-FFFF-FFFFD8150000}" name="接続4870" type="7" refreshedVersion="4"/>
  <connection id="8028" xr16:uid="{00000000-0015-0000-FFFF-FFFFD9150000}" name="接続4871" type="7" refreshedVersion="4"/>
  <connection id="8029" xr16:uid="{00000000-0015-0000-FFFF-FFFFDA150000}" name="接続4872" type="7" refreshedVersion="4"/>
  <connection id="8030" xr16:uid="{00000000-0015-0000-FFFF-FFFFDB150000}" name="接続4873" type="7" refreshedVersion="4"/>
  <connection id="8031" xr16:uid="{00000000-0015-0000-FFFF-FFFFDC150000}" name="接続4874" type="7" refreshedVersion="4"/>
  <connection id="8032" xr16:uid="{00000000-0015-0000-FFFF-FFFFDD150000}" name="接続4875" type="7" refreshedVersion="4"/>
  <connection id="8033" xr16:uid="{00000000-0015-0000-FFFF-FFFFDE150000}" name="接続4876" type="7" refreshedVersion="4"/>
  <connection id="8034" xr16:uid="{00000000-0015-0000-FFFF-FFFFDF150000}" name="接続4877" type="7" refreshedVersion="4"/>
  <connection id="8035" xr16:uid="{00000000-0015-0000-FFFF-FFFFE0150000}" name="接続4878" type="7" refreshedVersion="4"/>
  <connection id="8036" xr16:uid="{00000000-0015-0000-FFFF-FFFFE1150000}" name="接続4879" type="7" refreshedVersion="4"/>
  <connection id="8037" xr16:uid="{00000000-0015-0000-FFFF-FFFFE2150000}" name="接続488" type="7" refreshedVersion="4"/>
  <connection id="8038" xr16:uid="{00000000-0015-0000-FFFF-FFFFE3150000}" name="接続4880" type="7" refreshedVersion="4"/>
  <connection id="8039" xr16:uid="{00000000-0015-0000-FFFF-FFFFE4150000}" name="接続4881" type="7" refreshedVersion="4"/>
  <connection id="8040" xr16:uid="{00000000-0015-0000-FFFF-FFFFE5150000}" name="接続4882" type="7" refreshedVersion="4"/>
  <connection id="8041" xr16:uid="{00000000-0015-0000-FFFF-FFFFE6150000}" name="接続4883" type="7" refreshedVersion="4"/>
  <connection id="8042" xr16:uid="{00000000-0015-0000-FFFF-FFFFE7150000}" name="接続4884" type="7" refreshedVersion="4"/>
  <connection id="8043" xr16:uid="{00000000-0015-0000-FFFF-FFFFE8150000}" name="接続4885" type="7" refreshedVersion="4"/>
  <connection id="8044" xr16:uid="{00000000-0015-0000-FFFF-FFFFE9150000}" name="接続4886" type="7" refreshedVersion="4"/>
  <connection id="8045" xr16:uid="{00000000-0015-0000-FFFF-FFFFEA150000}" name="接続4887" type="7" refreshedVersion="4"/>
  <connection id="8046" xr16:uid="{00000000-0015-0000-FFFF-FFFFEB150000}" name="接続4888" type="7" refreshedVersion="4"/>
  <connection id="8047" xr16:uid="{00000000-0015-0000-FFFF-FFFFEC150000}" name="接続4889" type="7" refreshedVersion="4"/>
  <connection id="8048" xr16:uid="{00000000-0015-0000-FFFF-FFFFED150000}" name="接続489" type="7" refreshedVersion="4"/>
  <connection id="8049" xr16:uid="{00000000-0015-0000-FFFF-FFFFEE150000}" name="接続4890" type="7" refreshedVersion="4"/>
  <connection id="8050" xr16:uid="{00000000-0015-0000-FFFF-FFFFEF150000}" name="接続4891" type="7" refreshedVersion="4"/>
  <connection id="8051" xr16:uid="{00000000-0015-0000-FFFF-FFFFF0150000}" name="接続4892" type="7" refreshedVersion="4"/>
  <connection id="8052" xr16:uid="{00000000-0015-0000-FFFF-FFFFF1150000}" name="接続4893" type="7" refreshedVersion="4"/>
  <connection id="8053" xr16:uid="{00000000-0015-0000-FFFF-FFFFF2150000}" name="接続4894" type="7" refreshedVersion="4"/>
  <connection id="8054" xr16:uid="{00000000-0015-0000-FFFF-FFFFF3150000}" name="接続4895" type="7" refreshedVersion="4"/>
  <connection id="8055" xr16:uid="{00000000-0015-0000-FFFF-FFFFF4150000}" name="接続4896" type="7" refreshedVersion="4"/>
  <connection id="8056" xr16:uid="{00000000-0015-0000-FFFF-FFFFF5150000}" name="接続4897" type="7" refreshedVersion="4"/>
  <connection id="8057" xr16:uid="{00000000-0015-0000-FFFF-FFFFF6150000}" name="接続4898" type="7" refreshedVersion="4"/>
  <connection id="8058" xr16:uid="{00000000-0015-0000-FFFF-FFFFF7150000}" name="接続4899" type="7" refreshedVersion="4"/>
  <connection id="8059" xr16:uid="{00000000-0015-0000-FFFF-FFFFF8150000}" name="接続49" type="7" refreshedVersion="4"/>
  <connection id="8060" xr16:uid="{00000000-0015-0000-FFFF-FFFFF9150000}" name="接続490" type="7" refreshedVersion="4"/>
  <connection id="8061" xr16:uid="{00000000-0015-0000-FFFF-FFFFFA150000}" name="接続4900" type="7" refreshedVersion="4"/>
  <connection id="8062" xr16:uid="{00000000-0015-0000-FFFF-FFFFFB150000}" name="接続4901" type="7" refreshedVersion="4"/>
  <connection id="8063" xr16:uid="{00000000-0015-0000-FFFF-FFFFFC150000}" name="接続4902" type="7" refreshedVersion="4"/>
  <connection id="8064" xr16:uid="{00000000-0015-0000-FFFF-FFFFFD150000}" name="接続4903" type="7" refreshedVersion="4"/>
  <connection id="8065" xr16:uid="{00000000-0015-0000-FFFF-FFFFFE150000}" name="接続4904" type="7" refreshedVersion="4"/>
  <connection id="8066" xr16:uid="{00000000-0015-0000-FFFF-FFFFFF150000}" name="接続4905" type="7" refreshedVersion="4"/>
  <connection id="8067" xr16:uid="{00000000-0015-0000-FFFF-FFFF00160000}" name="接続4906" type="7" refreshedVersion="4"/>
  <connection id="8068" xr16:uid="{00000000-0015-0000-FFFF-FFFF01160000}" name="接続4907" type="7" refreshedVersion="4"/>
  <connection id="8069" xr16:uid="{00000000-0015-0000-FFFF-FFFF02160000}" name="接続4908" type="7" refreshedVersion="4"/>
  <connection id="8070" xr16:uid="{00000000-0015-0000-FFFF-FFFF03160000}" name="接続4909" type="7" refreshedVersion="4"/>
  <connection id="8071" xr16:uid="{00000000-0015-0000-FFFF-FFFF04160000}" name="接続491" type="7" refreshedVersion="4"/>
  <connection id="8072" xr16:uid="{00000000-0015-0000-FFFF-FFFF05160000}" name="接続4910" type="7" refreshedVersion="4"/>
  <connection id="8073" xr16:uid="{00000000-0015-0000-FFFF-FFFF06160000}" name="接続4911" type="7" refreshedVersion="4"/>
  <connection id="8074" xr16:uid="{00000000-0015-0000-FFFF-FFFF07160000}" name="接続4912" type="7" refreshedVersion="4"/>
  <connection id="8075" xr16:uid="{00000000-0015-0000-FFFF-FFFF08160000}" name="接続4913" type="7" refreshedVersion="4"/>
  <connection id="8076" xr16:uid="{00000000-0015-0000-FFFF-FFFF09160000}" name="接続4914" type="7" refreshedVersion="4"/>
  <connection id="8077" xr16:uid="{00000000-0015-0000-FFFF-FFFF0A160000}" name="接続4915" type="7" refreshedVersion="4"/>
  <connection id="8078" xr16:uid="{00000000-0015-0000-FFFF-FFFF0B160000}" name="接続4916" type="7" refreshedVersion="4"/>
  <connection id="8079" xr16:uid="{00000000-0015-0000-FFFF-FFFF0C160000}" name="接続4917" type="7" refreshedVersion="4"/>
  <connection id="8080" xr16:uid="{00000000-0015-0000-FFFF-FFFF0D160000}" name="接続4918" type="7" refreshedVersion="4"/>
  <connection id="8081" xr16:uid="{00000000-0015-0000-FFFF-FFFF0E160000}" name="接続4919" type="7" refreshedVersion="4"/>
  <connection id="8082" xr16:uid="{00000000-0015-0000-FFFF-FFFF0F160000}" name="接続492" type="7" refreshedVersion="4"/>
  <connection id="8083" xr16:uid="{00000000-0015-0000-FFFF-FFFF10160000}" name="接続4920" type="7" refreshedVersion="4"/>
  <connection id="8084" xr16:uid="{00000000-0015-0000-FFFF-FFFF11160000}" name="接続4921" type="7" refreshedVersion="4"/>
  <connection id="8085" xr16:uid="{00000000-0015-0000-FFFF-FFFF12160000}" name="接続4922" type="7" refreshedVersion="4"/>
  <connection id="8086" xr16:uid="{00000000-0015-0000-FFFF-FFFF13160000}" name="接続4923" type="7" refreshedVersion="4"/>
  <connection id="8087" xr16:uid="{00000000-0015-0000-FFFF-FFFF14160000}" name="接続4924" type="7" refreshedVersion="4"/>
  <connection id="8088" xr16:uid="{00000000-0015-0000-FFFF-FFFF15160000}" name="接続4925" type="7" refreshedVersion="4"/>
  <connection id="8089" xr16:uid="{00000000-0015-0000-FFFF-FFFF16160000}" name="接続4926" type="7" refreshedVersion="4"/>
  <connection id="8090" xr16:uid="{00000000-0015-0000-FFFF-FFFF17160000}" name="接続4927" type="7" refreshedVersion="4"/>
  <connection id="8091" xr16:uid="{00000000-0015-0000-FFFF-FFFF18160000}" name="接続4928" type="7" refreshedVersion="4"/>
  <connection id="8092" xr16:uid="{00000000-0015-0000-FFFF-FFFF19160000}" name="接続4929" type="7" refreshedVersion="4"/>
  <connection id="8093" xr16:uid="{00000000-0015-0000-FFFF-FFFF1A160000}" name="接続493" type="7" refreshedVersion="4"/>
  <connection id="8094" xr16:uid="{00000000-0015-0000-FFFF-FFFF1B160000}" name="接続4930" type="7" refreshedVersion="4"/>
  <connection id="8095" xr16:uid="{00000000-0015-0000-FFFF-FFFF1C160000}" name="接続4931" type="7" refreshedVersion="4"/>
  <connection id="8096" xr16:uid="{00000000-0015-0000-FFFF-FFFF1D160000}" name="接続4932" type="7" refreshedVersion="4"/>
  <connection id="8097" xr16:uid="{00000000-0015-0000-FFFF-FFFF1E160000}" name="接続4933" type="7" refreshedVersion="4"/>
  <connection id="8098" xr16:uid="{00000000-0015-0000-FFFF-FFFF1F160000}" name="接続4934" type="7" refreshedVersion="4"/>
  <connection id="8099" xr16:uid="{00000000-0015-0000-FFFF-FFFF20160000}" name="接続4935" type="7" refreshedVersion="4"/>
  <connection id="8100" xr16:uid="{00000000-0015-0000-FFFF-FFFF21160000}" name="接続4936" type="7" refreshedVersion="4"/>
  <connection id="8101" xr16:uid="{00000000-0015-0000-FFFF-FFFF22160000}" name="接続4937" type="7" refreshedVersion="4"/>
  <connection id="8102" xr16:uid="{00000000-0015-0000-FFFF-FFFF23160000}" name="接続4938" type="7" refreshedVersion="4"/>
  <connection id="8103" xr16:uid="{00000000-0015-0000-FFFF-FFFF24160000}" name="接続4939" type="7" refreshedVersion="4"/>
  <connection id="8104" xr16:uid="{00000000-0015-0000-FFFF-FFFF25160000}" name="接続494" type="7" refreshedVersion="4"/>
  <connection id="8105" xr16:uid="{00000000-0015-0000-FFFF-FFFF26160000}" name="接続4940" type="7" refreshedVersion="4"/>
  <connection id="8106" xr16:uid="{00000000-0015-0000-FFFF-FFFF27160000}" name="接続4941" type="7" refreshedVersion="4"/>
  <connection id="8107" xr16:uid="{00000000-0015-0000-FFFF-FFFF28160000}" name="接続4942" type="7" refreshedVersion="4"/>
  <connection id="8108" xr16:uid="{00000000-0015-0000-FFFF-FFFF29160000}" name="接続4943" type="7" refreshedVersion="4"/>
  <connection id="8109" xr16:uid="{00000000-0015-0000-FFFF-FFFF2A160000}" name="接続4944" type="7" refreshedVersion="4"/>
  <connection id="8110" xr16:uid="{00000000-0015-0000-FFFF-FFFF2B160000}" name="接続4945" type="7" refreshedVersion="4"/>
  <connection id="8111" xr16:uid="{00000000-0015-0000-FFFF-FFFF2C160000}" name="接続4946" type="7" refreshedVersion="4"/>
  <connection id="8112" xr16:uid="{00000000-0015-0000-FFFF-FFFF2D160000}" name="接続4947" type="7" refreshedVersion="4"/>
  <connection id="8113" xr16:uid="{00000000-0015-0000-FFFF-FFFF2E160000}" name="接続4948" type="7" refreshedVersion="4"/>
  <connection id="8114" xr16:uid="{00000000-0015-0000-FFFF-FFFF2F160000}" name="接続4949" type="7" refreshedVersion="4"/>
  <connection id="8115" xr16:uid="{00000000-0015-0000-FFFF-FFFF30160000}" name="接続495" type="7" refreshedVersion="4"/>
  <connection id="8116" xr16:uid="{00000000-0015-0000-FFFF-FFFF31160000}" name="接続4950" type="7" refreshedVersion="4"/>
  <connection id="8117" xr16:uid="{00000000-0015-0000-FFFF-FFFF32160000}" name="接続4951" type="7" refreshedVersion="4"/>
  <connection id="8118" xr16:uid="{00000000-0015-0000-FFFF-FFFF33160000}" name="接続4952" type="7" refreshedVersion="4"/>
  <connection id="8119" xr16:uid="{00000000-0015-0000-FFFF-FFFF34160000}" name="接続4953" type="7" refreshedVersion="4"/>
  <connection id="8120" xr16:uid="{00000000-0015-0000-FFFF-FFFF35160000}" name="接続4954" type="7" refreshedVersion="4"/>
  <connection id="8121" xr16:uid="{00000000-0015-0000-FFFF-FFFF36160000}" name="接続4955" type="7" refreshedVersion="4"/>
  <connection id="8122" xr16:uid="{00000000-0015-0000-FFFF-FFFF37160000}" name="接続4956" type="7" refreshedVersion="4"/>
  <connection id="8123" xr16:uid="{00000000-0015-0000-FFFF-FFFF38160000}" name="接続4957" type="7" refreshedVersion="4"/>
  <connection id="8124" xr16:uid="{00000000-0015-0000-FFFF-FFFF39160000}" name="接続4958" type="7" refreshedVersion="4"/>
  <connection id="8125" xr16:uid="{00000000-0015-0000-FFFF-FFFF3A160000}" name="接続4959" type="7" refreshedVersion="4"/>
  <connection id="8126" xr16:uid="{00000000-0015-0000-FFFF-FFFF3B160000}" name="接続496" type="7" refreshedVersion="4"/>
  <connection id="8127" xr16:uid="{00000000-0015-0000-FFFF-FFFF3C160000}" name="接続4960" type="7" refreshedVersion="4"/>
  <connection id="8128" xr16:uid="{00000000-0015-0000-FFFF-FFFF3D160000}" name="接続4961" type="7" refreshedVersion="4"/>
  <connection id="8129" xr16:uid="{00000000-0015-0000-FFFF-FFFF3E160000}" name="接続4962" type="7" refreshedVersion="4"/>
  <connection id="8130" xr16:uid="{00000000-0015-0000-FFFF-FFFF3F160000}" name="接続4963" type="7" refreshedVersion="4"/>
  <connection id="8131" xr16:uid="{00000000-0015-0000-FFFF-FFFF40160000}" name="接続4964" type="7" refreshedVersion="4"/>
  <connection id="8132" xr16:uid="{00000000-0015-0000-FFFF-FFFF41160000}" name="接続4965" type="7" refreshedVersion="4"/>
  <connection id="8133" xr16:uid="{00000000-0015-0000-FFFF-FFFF42160000}" name="接続4966" type="7" refreshedVersion="4"/>
  <connection id="8134" xr16:uid="{00000000-0015-0000-FFFF-FFFF43160000}" name="接続4967" type="7" refreshedVersion="4"/>
  <connection id="8135" xr16:uid="{00000000-0015-0000-FFFF-FFFF44160000}" name="接続4968" type="7" refreshedVersion="4"/>
  <connection id="8136" xr16:uid="{00000000-0015-0000-FFFF-FFFF45160000}" name="接続4969" type="7" refreshedVersion="4"/>
  <connection id="8137" xr16:uid="{00000000-0015-0000-FFFF-FFFF46160000}" name="接続497" type="7" refreshedVersion="4"/>
  <connection id="8138" xr16:uid="{00000000-0015-0000-FFFF-FFFF47160000}" name="接続4970" type="7" refreshedVersion="4"/>
  <connection id="8139" xr16:uid="{00000000-0015-0000-FFFF-FFFF48160000}" name="接続4971" type="7" refreshedVersion="4"/>
  <connection id="8140" xr16:uid="{00000000-0015-0000-FFFF-FFFF49160000}" name="接続4972" type="7" refreshedVersion="4"/>
  <connection id="8141" xr16:uid="{00000000-0015-0000-FFFF-FFFF4A160000}" name="接続4973" type="7" refreshedVersion="4"/>
  <connection id="8142" xr16:uid="{00000000-0015-0000-FFFF-FFFF4B160000}" name="接続4974" type="7" refreshedVersion="4"/>
  <connection id="8143" xr16:uid="{00000000-0015-0000-FFFF-FFFF4C160000}" name="接続4975" type="7" refreshedVersion="4"/>
  <connection id="8144" xr16:uid="{00000000-0015-0000-FFFF-FFFF4D160000}" name="接続4976" type="7" refreshedVersion="4"/>
  <connection id="8145" xr16:uid="{00000000-0015-0000-FFFF-FFFF4E160000}" name="接続4977" type="7" refreshedVersion="4"/>
  <connection id="8146" xr16:uid="{00000000-0015-0000-FFFF-FFFF4F160000}" name="接続4978" type="7" refreshedVersion="4"/>
  <connection id="8147" xr16:uid="{00000000-0015-0000-FFFF-FFFF50160000}" name="接続4979" type="7" refreshedVersion="4"/>
  <connection id="8148" xr16:uid="{00000000-0015-0000-FFFF-FFFF51160000}" name="接続498" type="7" refreshedVersion="4"/>
  <connection id="8149" xr16:uid="{00000000-0015-0000-FFFF-FFFF52160000}" name="接続4980" type="7" refreshedVersion="4"/>
  <connection id="8150" xr16:uid="{00000000-0015-0000-FFFF-FFFF53160000}" name="接続4981" type="7" refreshedVersion="4"/>
  <connection id="8151" xr16:uid="{00000000-0015-0000-FFFF-FFFF54160000}" name="接続4982" type="7" refreshedVersion="4"/>
  <connection id="8152" xr16:uid="{00000000-0015-0000-FFFF-FFFF55160000}" name="接続4983" type="7" refreshedVersion="4"/>
  <connection id="8153" xr16:uid="{00000000-0015-0000-FFFF-FFFF56160000}" name="接続4984" type="7" refreshedVersion="4"/>
  <connection id="8154" xr16:uid="{00000000-0015-0000-FFFF-FFFF57160000}" name="接続4985" type="7" refreshedVersion="4"/>
  <connection id="8155" xr16:uid="{00000000-0015-0000-FFFF-FFFF58160000}" name="接続4986" type="7" refreshedVersion="4"/>
  <connection id="8156" xr16:uid="{00000000-0015-0000-FFFF-FFFF59160000}" name="接続4987" type="7" refreshedVersion="4"/>
  <connection id="8157" xr16:uid="{00000000-0015-0000-FFFF-FFFF5A160000}" name="接続4988" type="7" refreshedVersion="4"/>
  <connection id="8158" xr16:uid="{00000000-0015-0000-FFFF-FFFF5B160000}" name="接続4989" type="7" refreshedVersion="4"/>
  <connection id="8159" xr16:uid="{00000000-0015-0000-FFFF-FFFF5C160000}" name="接続499" type="7" refreshedVersion="4"/>
  <connection id="8160" xr16:uid="{00000000-0015-0000-FFFF-FFFF5D160000}" name="接続4990" type="7" refreshedVersion="4"/>
  <connection id="8161" xr16:uid="{00000000-0015-0000-FFFF-FFFF5E160000}" name="接続4991" type="7" refreshedVersion="4"/>
  <connection id="8162" xr16:uid="{00000000-0015-0000-FFFF-FFFF5F160000}" name="接続4992" type="7" refreshedVersion="4"/>
  <connection id="8163" xr16:uid="{00000000-0015-0000-FFFF-FFFF60160000}" name="接続4993" type="7" refreshedVersion="4"/>
  <connection id="8164" xr16:uid="{00000000-0015-0000-FFFF-FFFF61160000}" name="接続4994" type="7" refreshedVersion="4"/>
  <connection id="8165" xr16:uid="{00000000-0015-0000-FFFF-FFFF62160000}" name="接続4995" type="7" refreshedVersion="4"/>
  <connection id="8166" xr16:uid="{00000000-0015-0000-FFFF-FFFF63160000}" name="接続4996" type="7" refreshedVersion="4"/>
  <connection id="8167" xr16:uid="{00000000-0015-0000-FFFF-FFFF64160000}" name="接続4997" type="7" refreshedVersion="4"/>
  <connection id="8168" xr16:uid="{00000000-0015-0000-FFFF-FFFF65160000}" name="接続4998" type="7" refreshedVersion="4"/>
  <connection id="8169" xr16:uid="{00000000-0015-0000-FFFF-FFFF66160000}" name="接続4999" type="7" refreshedVersion="4"/>
  <connection id="8170" xr16:uid="{00000000-0015-0000-FFFF-FFFF67160000}" name="接続5" type="7" refreshedVersion="4"/>
  <connection id="8171" xr16:uid="{00000000-0015-0000-FFFF-FFFF68160000}" name="接続50" type="7" refreshedVersion="4"/>
  <connection id="8172" xr16:uid="{00000000-0015-0000-FFFF-FFFF69160000}" name="接続500" type="7" refreshedVersion="4"/>
  <connection id="8173" xr16:uid="{00000000-0015-0000-FFFF-FFFF6A160000}" name="接続5000" type="7" refreshedVersion="4"/>
  <connection id="8174" xr16:uid="{00000000-0015-0000-FFFF-FFFF6B160000}" name="接続5001" type="7" refreshedVersion="4"/>
  <connection id="8175" xr16:uid="{00000000-0015-0000-FFFF-FFFF6C160000}" name="接続5002" type="7" refreshedVersion="4"/>
  <connection id="8176" xr16:uid="{00000000-0015-0000-FFFF-FFFF6D160000}" name="接続5003" type="7" refreshedVersion="4"/>
  <connection id="8177" xr16:uid="{00000000-0015-0000-FFFF-FFFF6E160000}" name="接続5004" type="7" refreshedVersion="4"/>
  <connection id="8178" xr16:uid="{00000000-0015-0000-FFFF-FFFF6F160000}" name="接続5005" type="7" refreshedVersion="4"/>
  <connection id="8179" xr16:uid="{00000000-0015-0000-FFFF-FFFF70160000}" name="接続5006" type="7" refreshedVersion="4"/>
  <connection id="8180" xr16:uid="{00000000-0015-0000-FFFF-FFFF71160000}" name="接続5007" type="7" refreshedVersion="4"/>
  <connection id="8181" xr16:uid="{00000000-0015-0000-FFFF-FFFF72160000}" name="接続5008" type="7" refreshedVersion="4"/>
  <connection id="8182" xr16:uid="{00000000-0015-0000-FFFF-FFFF73160000}" name="接続5009" type="7" refreshedVersion="4"/>
  <connection id="8183" xr16:uid="{00000000-0015-0000-FFFF-FFFF74160000}" name="接続501" type="7" refreshedVersion="4"/>
  <connection id="8184" xr16:uid="{00000000-0015-0000-FFFF-FFFF75160000}" name="接続5010" type="7" refreshedVersion="4"/>
  <connection id="8185" xr16:uid="{00000000-0015-0000-FFFF-FFFF76160000}" name="接続5011" type="7" refreshedVersion="4"/>
  <connection id="8186" xr16:uid="{00000000-0015-0000-FFFF-FFFF77160000}" name="接続5012" type="7" refreshedVersion="4"/>
  <connection id="8187" xr16:uid="{00000000-0015-0000-FFFF-FFFF78160000}" name="接続5013" type="7" refreshedVersion="4"/>
  <connection id="8188" xr16:uid="{00000000-0015-0000-FFFF-FFFF79160000}" name="接続5014" type="7" refreshedVersion="4"/>
  <connection id="8189" xr16:uid="{00000000-0015-0000-FFFF-FFFF7A160000}" name="接続5015" type="7" refreshedVersion="4"/>
  <connection id="8190" xr16:uid="{00000000-0015-0000-FFFF-FFFF7B160000}" name="接続5016" type="7" refreshedVersion="4"/>
  <connection id="8191" xr16:uid="{00000000-0015-0000-FFFF-FFFF7C160000}" name="接続5017" type="7" refreshedVersion="4"/>
  <connection id="8192" xr16:uid="{00000000-0015-0000-FFFF-FFFF7D160000}" name="接続5018" type="7" refreshedVersion="4"/>
  <connection id="8193" xr16:uid="{00000000-0015-0000-FFFF-FFFF7E160000}" name="接続5019" type="7" refreshedVersion="4"/>
  <connection id="8194" xr16:uid="{00000000-0015-0000-FFFF-FFFF7F160000}" name="接続502" type="7" refreshedVersion="4"/>
  <connection id="8195" xr16:uid="{00000000-0015-0000-FFFF-FFFF80160000}" name="接続5020" type="7" refreshedVersion="4"/>
  <connection id="8196" xr16:uid="{00000000-0015-0000-FFFF-FFFF81160000}" name="接続5021" type="7" refreshedVersion="4"/>
  <connection id="8197" xr16:uid="{00000000-0015-0000-FFFF-FFFF82160000}" name="接続5022" type="7" refreshedVersion="4"/>
  <connection id="8198" xr16:uid="{00000000-0015-0000-FFFF-FFFF83160000}" name="接続5023" type="7" refreshedVersion="4"/>
  <connection id="8199" xr16:uid="{00000000-0015-0000-FFFF-FFFF84160000}" name="接続5024" type="7" refreshedVersion="4"/>
  <connection id="8200" xr16:uid="{00000000-0015-0000-FFFF-FFFF85160000}" name="接続5025" type="7" refreshedVersion="4"/>
  <connection id="8201" xr16:uid="{00000000-0015-0000-FFFF-FFFF86160000}" name="接続5026" type="7" refreshedVersion="4"/>
  <connection id="8202" xr16:uid="{00000000-0015-0000-FFFF-FFFF87160000}" name="接続5027" type="7" refreshedVersion="4"/>
  <connection id="8203" xr16:uid="{00000000-0015-0000-FFFF-FFFF88160000}" name="接続5028" type="7" refreshedVersion="4"/>
  <connection id="8204" xr16:uid="{00000000-0015-0000-FFFF-FFFF89160000}" name="接続5029" type="7" refreshedVersion="4"/>
  <connection id="8205" xr16:uid="{00000000-0015-0000-FFFF-FFFF8A160000}" name="接続503" type="7" refreshedVersion="4"/>
  <connection id="8206" xr16:uid="{00000000-0015-0000-FFFF-FFFF8B160000}" name="接続5030" type="7" refreshedVersion="4"/>
  <connection id="8207" xr16:uid="{00000000-0015-0000-FFFF-FFFF8C160000}" name="接続5031" type="7" refreshedVersion="4"/>
  <connection id="8208" xr16:uid="{00000000-0015-0000-FFFF-FFFF8D160000}" name="接続5032" type="7" refreshedVersion="4"/>
  <connection id="8209" xr16:uid="{00000000-0015-0000-FFFF-FFFF8E160000}" name="接続5033" type="7" refreshedVersion="4"/>
  <connection id="8210" xr16:uid="{00000000-0015-0000-FFFF-FFFF8F160000}" name="接続5034" type="7" refreshedVersion="4"/>
  <connection id="8211" xr16:uid="{00000000-0015-0000-FFFF-FFFF90160000}" name="接続5035" type="7" refreshedVersion="4"/>
  <connection id="8212" xr16:uid="{00000000-0015-0000-FFFF-FFFF91160000}" name="接続5036" type="7" refreshedVersion="4"/>
  <connection id="8213" xr16:uid="{00000000-0015-0000-FFFF-FFFF92160000}" name="接続5037" type="7" refreshedVersion="4"/>
  <connection id="8214" xr16:uid="{00000000-0015-0000-FFFF-FFFF93160000}" name="接続5038" type="7" refreshedVersion="4"/>
  <connection id="8215" xr16:uid="{00000000-0015-0000-FFFF-FFFF94160000}" name="接続5039" type="7" refreshedVersion="4"/>
  <connection id="8216" xr16:uid="{00000000-0015-0000-FFFF-FFFF95160000}" name="接続504" type="7" refreshedVersion="4"/>
  <connection id="8217" xr16:uid="{00000000-0015-0000-FFFF-FFFF96160000}" name="接続5040" type="7" refreshedVersion="4"/>
  <connection id="8218" xr16:uid="{00000000-0015-0000-FFFF-FFFF97160000}" name="接続5041" type="7" refreshedVersion="4"/>
  <connection id="8219" xr16:uid="{00000000-0015-0000-FFFF-FFFF98160000}" name="接続5042" type="7" refreshedVersion="4"/>
  <connection id="8220" xr16:uid="{00000000-0015-0000-FFFF-FFFF99160000}" name="接続5043" type="7" refreshedVersion="4"/>
  <connection id="8221" xr16:uid="{00000000-0015-0000-FFFF-FFFF9A160000}" name="接続5044" type="7" refreshedVersion="4"/>
  <connection id="8222" xr16:uid="{00000000-0015-0000-FFFF-FFFF9B160000}" name="接続5045" type="7" refreshedVersion="4"/>
  <connection id="8223" xr16:uid="{00000000-0015-0000-FFFF-FFFF9C160000}" name="接続5046" type="7" refreshedVersion="4"/>
  <connection id="8224" xr16:uid="{00000000-0015-0000-FFFF-FFFF9D160000}" name="接続5047" type="7" refreshedVersion="4"/>
  <connection id="8225" xr16:uid="{00000000-0015-0000-FFFF-FFFF9E160000}" name="接続5048" type="7" refreshedVersion="4"/>
  <connection id="8226" xr16:uid="{00000000-0015-0000-FFFF-FFFF9F160000}" name="接続5049" type="7" refreshedVersion="4"/>
  <connection id="8227" xr16:uid="{00000000-0015-0000-FFFF-FFFFA0160000}" name="接続505" type="7" refreshedVersion="4"/>
  <connection id="8228" xr16:uid="{00000000-0015-0000-FFFF-FFFFA1160000}" name="接続5050" type="7" refreshedVersion="4"/>
  <connection id="8229" xr16:uid="{00000000-0015-0000-FFFF-FFFFA2160000}" name="接続5051" type="7" refreshedVersion="4"/>
  <connection id="8230" xr16:uid="{00000000-0015-0000-FFFF-FFFFA3160000}" name="接続5052" type="7" refreshedVersion="4"/>
  <connection id="8231" xr16:uid="{00000000-0015-0000-FFFF-FFFFA4160000}" name="接続5053" type="7" refreshedVersion="4"/>
  <connection id="8232" xr16:uid="{00000000-0015-0000-FFFF-FFFFA5160000}" name="接続5054" type="7" refreshedVersion="4"/>
  <connection id="8233" xr16:uid="{00000000-0015-0000-FFFF-FFFFA6160000}" name="接続5055" type="7" refreshedVersion="4"/>
  <connection id="8234" xr16:uid="{00000000-0015-0000-FFFF-FFFFA7160000}" name="接続5056" type="7" refreshedVersion="4"/>
  <connection id="8235" xr16:uid="{00000000-0015-0000-FFFF-FFFFA8160000}" name="接続5057" type="7" refreshedVersion="4"/>
  <connection id="8236" xr16:uid="{00000000-0015-0000-FFFF-FFFFA9160000}" name="接続5058" type="7" refreshedVersion="4"/>
  <connection id="8237" xr16:uid="{00000000-0015-0000-FFFF-FFFFAA160000}" name="接続5059" type="7" refreshedVersion="4"/>
  <connection id="8238" xr16:uid="{00000000-0015-0000-FFFF-FFFFAB160000}" name="接続506" type="7" refreshedVersion="4"/>
  <connection id="8239" xr16:uid="{00000000-0015-0000-FFFF-FFFFAC160000}" name="接続5060" type="7" refreshedVersion="4"/>
  <connection id="8240" xr16:uid="{00000000-0015-0000-FFFF-FFFFAD160000}" name="接続5061" type="7" refreshedVersion="4"/>
  <connection id="8241" xr16:uid="{00000000-0015-0000-FFFF-FFFFAE160000}" name="接続5062" type="7" refreshedVersion="4"/>
  <connection id="8242" xr16:uid="{00000000-0015-0000-FFFF-FFFFAF160000}" name="接続5063" type="7" refreshedVersion="4"/>
  <connection id="8243" xr16:uid="{00000000-0015-0000-FFFF-FFFFB0160000}" name="接続5064" type="7" refreshedVersion="4"/>
  <connection id="8244" xr16:uid="{00000000-0015-0000-FFFF-FFFFB1160000}" name="接続5065" type="7" refreshedVersion="4"/>
  <connection id="8245" xr16:uid="{00000000-0015-0000-FFFF-FFFFB2160000}" name="接続5066" type="7" refreshedVersion="4"/>
  <connection id="8246" xr16:uid="{00000000-0015-0000-FFFF-FFFFB3160000}" name="接続5067" type="7" refreshedVersion="4"/>
  <connection id="8247" xr16:uid="{00000000-0015-0000-FFFF-FFFFB4160000}" name="接続5068" type="7" refreshedVersion="4"/>
  <connection id="8248" xr16:uid="{00000000-0015-0000-FFFF-FFFFB5160000}" name="接続5069" type="7" refreshedVersion="4"/>
  <connection id="8249" xr16:uid="{00000000-0015-0000-FFFF-FFFFB6160000}" name="接続507" type="7" refreshedVersion="4"/>
  <connection id="8250" xr16:uid="{00000000-0015-0000-FFFF-FFFFB7160000}" name="接続5070" type="7" refreshedVersion="4"/>
  <connection id="8251" xr16:uid="{00000000-0015-0000-FFFF-FFFFB8160000}" name="接続5071" type="7" refreshedVersion="4"/>
  <connection id="8252" xr16:uid="{00000000-0015-0000-FFFF-FFFFB9160000}" name="接続5072" type="7" refreshedVersion="4"/>
  <connection id="8253" xr16:uid="{00000000-0015-0000-FFFF-FFFFBA160000}" name="接続5073" type="7" refreshedVersion="4"/>
  <connection id="8254" xr16:uid="{00000000-0015-0000-FFFF-FFFFBB160000}" name="接続5074" type="7" refreshedVersion="4"/>
  <connection id="8255" xr16:uid="{00000000-0015-0000-FFFF-FFFFBC160000}" name="接続5075" type="7" refreshedVersion="4"/>
  <connection id="8256" xr16:uid="{00000000-0015-0000-FFFF-FFFFBD160000}" name="接続5076" type="7" refreshedVersion="4"/>
  <connection id="8257" xr16:uid="{00000000-0015-0000-FFFF-FFFFBE160000}" name="接続5077" type="7" refreshedVersion="4"/>
  <connection id="8258" xr16:uid="{00000000-0015-0000-FFFF-FFFFBF160000}" name="接続5078" type="7" refreshedVersion="4"/>
  <connection id="8259" xr16:uid="{00000000-0015-0000-FFFF-FFFFC0160000}" name="接続5079" type="7" refreshedVersion="4"/>
  <connection id="8260" xr16:uid="{00000000-0015-0000-FFFF-FFFFC1160000}" name="接続508" type="7" refreshedVersion="4"/>
  <connection id="8261" xr16:uid="{00000000-0015-0000-FFFF-FFFFC2160000}" name="接続5080" type="7" refreshedVersion="4"/>
  <connection id="8262" xr16:uid="{00000000-0015-0000-FFFF-FFFFC3160000}" name="接続5081" type="7" refreshedVersion="4"/>
  <connection id="8263" xr16:uid="{00000000-0015-0000-FFFF-FFFFC4160000}" name="接続5082" type="7" refreshedVersion="4"/>
  <connection id="8264" xr16:uid="{00000000-0015-0000-FFFF-FFFFC5160000}" name="接続5083" type="7" refreshedVersion="4"/>
  <connection id="8265" xr16:uid="{00000000-0015-0000-FFFF-FFFFC6160000}" name="接続5084" type="7" refreshedVersion="4"/>
  <connection id="8266" xr16:uid="{00000000-0015-0000-FFFF-FFFFC7160000}" name="接続5085" type="7" refreshedVersion="4"/>
  <connection id="8267" xr16:uid="{00000000-0015-0000-FFFF-FFFFC8160000}" name="接続5086" type="7" refreshedVersion="4"/>
  <connection id="8268" xr16:uid="{00000000-0015-0000-FFFF-FFFFC9160000}" name="接続5087" type="7" refreshedVersion="4"/>
  <connection id="8269" xr16:uid="{00000000-0015-0000-FFFF-FFFFCA160000}" name="接続5088" type="7" refreshedVersion="4"/>
  <connection id="8270" xr16:uid="{00000000-0015-0000-FFFF-FFFFCB160000}" name="接続5089" type="7" refreshedVersion="4"/>
  <connection id="8271" xr16:uid="{00000000-0015-0000-FFFF-FFFFCC160000}" name="接続509" type="7" refreshedVersion="4"/>
  <connection id="8272" xr16:uid="{00000000-0015-0000-FFFF-FFFFCD160000}" name="接続5090" type="7" refreshedVersion="4"/>
  <connection id="8273" xr16:uid="{00000000-0015-0000-FFFF-FFFFCE160000}" name="接続5091" type="7" refreshedVersion="4"/>
  <connection id="8274" xr16:uid="{00000000-0015-0000-FFFF-FFFFCF160000}" name="接続5092" type="7" refreshedVersion="4"/>
  <connection id="8275" xr16:uid="{00000000-0015-0000-FFFF-FFFFD0160000}" name="接続5093" type="7" refreshedVersion="4"/>
  <connection id="8276" xr16:uid="{00000000-0015-0000-FFFF-FFFFD1160000}" name="接続5094" type="7" refreshedVersion="4"/>
  <connection id="8277" xr16:uid="{00000000-0015-0000-FFFF-FFFFD2160000}" name="接続5095" type="7" refreshedVersion="4"/>
  <connection id="8278" xr16:uid="{00000000-0015-0000-FFFF-FFFFD3160000}" name="接続5096" type="7" refreshedVersion="4"/>
  <connection id="8279" xr16:uid="{00000000-0015-0000-FFFF-FFFFD4160000}" name="接続5097" type="7" refreshedVersion="4"/>
  <connection id="8280" xr16:uid="{00000000-0015-0000-FFFF-FFFFD5160000}" name="接続5098" type="7" refreshedVersion="4"/>
  <connection id="8281" xr16:uid="{00000000-0015-0000-FFFF-FFFFD6160000}" name="接続5099" type="7" refreshedVersion="4"/>
  <connection id="8282" xr16:uid="{00000000-0015-0000-FFFF-FFFFD7160000}" name="接続51" type="7" refreshedVersion="4"/>
  <connection id="8283" xr16:uid="{00000000-0015-0000-FFFF-FFFFD8160000}" name="接続510" type="7" refreshedVersion="4"/>
  <connection id="8284" xr16:uid="{00000000-0015-0000-FFFF-FFFFD9160000}" name="接続5100" type="7" refreshedVersion="4"/>
  <connection id="8285" xr16:uid="{00000000-0015-0000-FFFF-FFFFDA160000}" name="接続5101" type="7" refreshedVersion="4"/>
  <connection id="8286" xr16:uid="{00000000-0015-0000-FFFF-FFFFDB160000}" name="接続5102" type="7" refreshedVersion="4"/>
  <connection id="8287" xr16:uid="{00000000-0015-0000-FFFF-FFFFDC160000}" name="接続5103" type="7" refreshedVersion="4"/>
  <connection id="8288" xr16:uid="{00000000-0015-0000-FFFF-FFFFDD160000}" name="接続5104" type="7" refreshedVersion="4"/>
  <connection id="8289" xr16:uid="{00000000-0015-0000-FFFF-FFFFDE160000}" name="接続5105" type="7" refreshedVersion="4"/>
  <connection id="8290" xr16:uid="{00000000-0015-0000-FFFF-FFFFDF160000}" name="接続5106" type="7" refreshedVersion="4"/>
  <connection id="8291" xr16:uid="{00000000-0015-0000-FFFF-FFFFE0160000}" name="接続5107" type="7" refreshedVersion="4"/>
  <connection id="8292" xr16:uid="{00000000-0015-0000-FFFF-FFFFE1160000}" name="接続5108" type="7" refreshedVersion="4"/>
  <connection id="8293" xr16:uid="{00000000-0015-0000-FFFF-FFFFE2160000}" name="接続5109" type="7" refreshedVersion="4"/>
  <connection id="8294" xr16:uid="{00000000-0015-0000-FFFF-FFFFE3160000}" name="接続511" type="7" refreshedVersion="4"/>
  <connection id="8295" xr16:uid="{00000000-0015-0000-FFFF-FFFFE4160000}" name="接続5110" type="7" refreshedVersion="4"/>
  <connection id="8296" xr16:uid="{00000000-0015-0000-FFFF-FFFFE5160000}" name="接続5111" type="7" refreshedVersion="4"/>
  <connection id="8297" xr16:uid="{00000000-0015-0000-FFFF-FFFFE6160000}" name="接続5112" type="7" refreshedVersion="4"/>
  <connection id="8298" xr16:uid="{00000000-0015-0000-FFFF-FFFFE7160000}" name="接続5113" type="7" refreshedVersion="4"/>
  <connection id="8299" xr16:uid="{00000000-0015-0000-FFFF-FFFFE8160000}" name="接続5114" type="7" refreshedVersion="4"/>
  <connection id="8300" xr16:uid="{00000000-0015-0000-FFFF-FFFFE9160000}" name="接続5115" type="7" refreshedVersion="4"/>
  <connection id="8301" xr16:uid="{00000000-0015-0000-FFFF-FFFFEA160000}" name="接続5116" type="7" refreshedVersion="4"/>
  <connection id="8302" xr16:uid="{00000000-0015-0000-FFFF-FFFFEB160000}" name="接続5117" type="7" refreshedVersion="4"/>
  <connection id="8303" xr16:uid="{00000000-0015-0000-FFFF-FFFFEC160000}" name="接続5118" type="7" refreshedVersion="4"/>
  <connection id="8304" xr16:uid="{00000000-0015-0000-FFFF-FFFFED160000}" name="接続5119" type="7" refreshedVersion="4"/>
  <connection id="8305" xr16:uid="{00000000-0015-0000-FFFF-FFFFEE160000}" name="接続512" type="7" refreshedVersion="4"/>
  <connection id="8306" xr16:uid="{00000000-0015-0000-FFFF-FFFFEF160000}" name="接続5120" type="7" refreshedVersion="4"/>
  <connection id="8307" xr16:uid="{00000000-0015-0000-FFFF-FFFFF0160000}" name="接続5121" type="7" refreshedVersion="4"/>
  <connection id="8308" xr16:uid="{00000000-0015-0000-FFFF-FFFFF1160000}" name="接続5122" type="7" refreshedVersion="4"/>
  <connection id="8309" xr16:uid="{00000000-0015-0000-FFFF-FFFFF2160000}" name="接続5123" type="7" refreshedVersion="4"/>
  <connection id="8310" xr16:uid="{00000000-0015-0000-FFFF-FFFFF3160000}" name="接続5124" type="7" refreshedVersion="4"/>
  <connection id="8311" xr16:uid="{00000000-0015-0000-FFFF-FFFFF4160000}" name="接続5125" type="7" refreshedVersion="4"/>
  <connection id="8312" xr16:uid="{00000000-0015-0000-FFFF-FFFFF5160000}" name="接続5126" type="7" refreshedVersion="4"/>
  <connection id="8313" xr16:uid="{00000000-0015-0000-FFFF-FFFFF6160000}" name="接続5127" type="7" refreshedVersion="4"/>
  <connection id="8314" xr16:uid="{00000000-0015-0000-FFFF-FFFFF7160000}" name="接続5128" type="7" refreshedVersion="4"/>
  <connection id="8315" xr16:uid="{00000000-0015-0000-FFFF-FFFFF8160000}" name="接続5129" type="7" refreshedVersion="4"/>
  <connection id="8316" xr16:uid="{00000000-0015-0000-FFFF-FFFFF9160000}" name="接続513" type="7" refreshedVersion="4"/>
  <connection id="8317" xr16:uid="{00000000-0015-0000-FFFF-FFFFFA160000}" name="接続5130" type="7" refreshedVersion="4"/>
  <connection id="8318" xr16:uid="{00000000-0015-0000-FFFF-FFFFFB160000}" name="接続5131" type="7" refreshedVersion="4"/>
  <connection id="8319" xr16:uid="{00000000-0015-0000-FFFF-FFFFFC160000}" name="接続5132" type="7" refreshedVersion="4"/>
  <connection id="8320" xr16:uid="{00000000-0015-0000-FFFF-FFFFFD160000}" name="接続5133" type="7" refreshedVersion="4"/>
  <connection id="8321" xr16:uid="{00000000-0015-0000-FFFF-FFFFFE160000}" name="接続5134" type="7" refreshedVersion="4"/>
  <connection id="8322" xr16:uid="{00000000-0015-0000-FFFF-FFFFFF160000}" name="接続5135" type="7" refreshedVersion="4"/>
  <connection id="8323" xr16:uid="{00000000-0015-0000-FFFF-FFFF00170000}" name="接続5136" type="7" refreshedVersion="4"/>
  <connection id="8324" xr16:uid="{00000000-0015-0000-FFFF-FFFF01170000}" name="接続5137" type="7" refreshedVersion="4"/>
  <connection id="8325" xr16:uid="{00000000-0015-0000-FFFF-FFFF02170000}" name="接続5138" type="7" refreshedVersion="4"/>
  <connection id="8326" xr16:uid="{00000000-0015-0000-FFFF-FFFF03170000}" name="接続5139" type="7" refreshedVersion="4"/>
  <connection id="8327" xr16:uid="{00000000-0015-0000-FFFF-FFFF04170000}" name="接続514" type="7" refreshedVersion="4"/>
  <connection id="8328" xr16:uid="{00000000-0015-0000-FFFF-FFFF05170000}" name="接続5140" type="7" refreshedVersion="4"/>
  <connection id="8329" xr16:uid="{00000000-0015-0000-FFFF-FFFF06170000}" name="接続5141" type="7" refreshedVersion="4"/>
  <connection id="8330" xr16:uid="{00000000-0015-0000-FFFF-FFFF07170000}" name="接続5142" type="7" refreshedVersion="4"/>
  <connection id="8331" xr16:uid="{00000000-0015-0000-FFFF-FFFF08170000}" name="接続5143" type="7" refreshedVersion="4"/>
  <connection id="8332" xr16:uid="{00000000-0015-0000-FFFF-FFFF09170000}" name="接続5144" type="7" refreshedVersion="4"/>
  <connection id="8333" xr16:uid="{00000000-0015-0000-FFFF-FFFF0A170000}" name="接続5145" type="7" refreshedVersion="4"/>
  <connection id="8334" xr16:uid="{00000000-0015-0000-FFFF-FFFF0B170000}" name="接続5146" type="7" refreshedVersion="4"/>
  <connection id="8335" xr16:uid="{00000000-0015-0000-FFFF-FFFF0C170000}" name="接続5147" type="7" refreshedVersion="4"/>
  <connection id="8336" xr16:uid="{00000000-0015-0000-FFFF-FFFF0D170000}" name="接続5148" type="7" refreshedVersion="4"/>
  <connection id="8337" xr16:uid="{00000000-0015-0000-FFFF-FFFF0E170000}" name="接続5149" type="7" refreshedVersion="4"/>
  <connection id="8338" xr16:uid="{00000000-0015-0000-FFFF-FFFF0F170000}" name="接続515" type="7" refreshedVersion="4"/>
  <connection id="8339" xr16:uid="{00000000-0015-0000-FFFF-FFFF10170000}" name="接続5150" type="7" refreshedVersion="4"/>
  <connection id="8340" xr16:uid="{00000000-0015-0000-FFFF-FFFF11170000}" name="接続5151" type="7" refreshedVersion="4"/>
  <connection id="8341" xr16:uid="{00000000-0015-0000-FFFF-FFFF12170000}" name="接続5152" type="7" refreshedVersion="4"/>
  <connection id="8342" xr16:uid="{00000000-0015-0000-FFFF-FFFF13170000}" name="接続5153" type="7" refreshedVersion="4"/>
  <connection id="8343" xr16:uid="{00000000-0015-0000-FFFF-FFFF14170000}" name="接続5154" type="7" refreshedVersion="4"/>
  <connection id="8344" xr16:uid="{00000000-0015-0000-FFFF-FFFF15170000}" name="接続5155" type="7" refreshedVersion="4"/>
  <connection id="8345" xr16:uid="{00000000-0015-0000-FFFF-FFFF16170000}" name="接続5156" type="7" refreshedVersion="4"/>
  <connection id="8346" xr16:uid="{00000000-0015-0000-FFFF-FFFF17170000}" name="接続5157" type="7" refreshedVersion="4"/>
  <connection id="8347" xr16:uid="{00000000-0015-0000-FFFF-FFFF18170000}" name="接続5158" type="7" refreshedVersion="4"/>
  <connection id="8348" xr16:uid="{00000000-0015-0000-FFFF-FFFF19170000}" name="接続5159" type="7" refreshedVersion="4"/>
  <connection id="8349" xr16:uid="{00000000-0015-0000-FFFF-FFFF1A170000}" name="接続516" type="7" refreshedVersion="4"/>
  <connection id="8350" xr16:uid="{00000000-0015-0000-FFFF-FFFF1B170000}" name="接続5160" type="7" refreshedVersion="4"/>
  <connection id="8351" xr16:uid="{00000000-0015-0000-FFFF-FFFF1C170000}" name="接続5161" type="7" refreshedVersion="4"/>
  <connection id="8352" xr16:uid="{00000000-0015-0000-FFFF-FFFF1D170000}" name="接続5162" type="7" refreshedVersion="4"/>
  <connection id="8353" xr16:uid="{00000000-0015-0000-FFFF-FFFF1E170000}" name="接続5163" type="7" refreshedVersion="4"/>
  <connection id="8354" xr16:uid="{00000000-0015-0000-FFFF-FFFF1F170000}" name="接続5164" type="7" refreshedVersion="4"/>
  <connection id="8355" xr16:uid="{00000000-0015-0000-FFFF-FFFF20170000}" name="接続5165" type="7" refreshedVersion="4"/>
  <connection id="8356" xr16:uid="{00000000-0015-0000-FFFF-FFFF21170000}" name="接続5166" type="7" refreshedVersion="4"/>
  <connection id="8357" xr16:uid="{00000000-0015-0000-FFFF-FFFF22170000}" name="接続5167" type="7" refreshedVersion="4"/>
  <connection id="8358" xr16:uid="{00000000-0015-0000-FFFF-FFFF23170000}" name="接続5168" type="7" refreshedVersion="4"/>
  <connection id="8359" xr16:uid="{00000000-0015-0000-FFFF-FFFF24170000}" name="接続5169" type="7" refreshedVersion="4"/>
  <connection id="8360" xr16:uid="{00000000-0015-0000-FFFF-FFFF25170000}" name="接続517" type="7" refreshedVersion="4"/>
  <connection id="8361" xr16:uid="{00000000-0015-0000-FFFF-FFFF26170000}" name="接続5170" type="7" refreshedVersion="4"/>
  <connection id="8362" xr16:uid="{00000000-0015-0000-FFFF-FFFF27170000}" name="接続5171" type="7" refreshedVersion="4"/>
  <connection id="8363" xr16:uid="{00000000-0015-0000-FFFF-FFFF28170000}" name="接続5172" type="7" refreshedVersion="4"/>
  <connection id="8364" xr16:uid="{00000000-0015-0000-FFFF-FFFF29170000}" name="接続5173" type="7" refreshedVersion="4"/>
  <connection id="8365" xr16:uid="{00000000-0015-0000-FFFF-FFFF2A170000}" name="接続5174" type="7" refreshedVersion="4"/>
  <connection id="8366" xr16:uid="{00000000-0015-0000-FFFF-FFFF2B170000}" name="接続5175" type="7" refreshedVersion="4"/>
  <connection id="8367" xr16:uid="{00000000-0015-0000-FFFF-FFFF2C170000}" name="接続5176" type="7" refreshedVersion="4"/>
  <connection id="8368" xr16:uid="{00000000-0015-0000-FFFF-FFFF2D170000}" name="接続5177" type="7" refreshedVersion="4"/>
  <connection id="8369" xr16:uid="{00000000-0015-0000-FFFF-FFFF2E170000}" name="接続5178" type="7" refreshedVersion="4"/>
  <connection id="8370" xr16:uid="{00000000-0015-0000-FFFF-FFFF2F170000}" name="接続5179" type="7" refreshedVersion="4"/>
  <connection id="8371" xr16:uid="{00000000-0015-0000-FFFF-FFFF30170000}" name="接続518" type="7" refreshedVersion="4"/>
  <connection id="8372" xr16:uid="{00000000-0015-0000-FFFF-FFFF31170000}" name="接続5180" type="7" refreshedVersion="4"/>
  <connection id="8373" xr16:uid="{00000000-0015-0000-FFFF-FFFF32170000}" name="接続5181" type="7" refreshedVersion="4"/>
  <connection id="8374" xr16:uid="{00000000-0015-0000-FFFF-FFFF33170000}" name="接続5182" type="7" refreshedVersion="4"/>
  <connection id="8375" xr16:uid="{00000000-0015-0000-FFFF-FFFF34170000}" name="接続5183" type="7" refreshedVersion="4"/>
  <connection id="8376" xr16:uid="{00000000-0015-0000-FFFF-FFFF35170000}" name="接続5184" type="7" refreshedVersion="4"/>
  <connection id="8377" xr16:uid="{00000000-0015-0000-FFFF-FFFF36170000}" name="接続5185" type="7" refreshedVersion="4"/>
  <connection id="8378" xr16:uid="{00000000-0015-0000-FFFF-FFFF37170000}" name="接続5186" type="7" refreshedVersion="4"/>
  <connection id="8379" xr16:uid="{00000000-0015-0000-FFFF-FFFF38170000}" name="接続5187" type="7" refreshedVersion="4"/>
  <connection id="8380" xr16:uid="{00000000-0015-0000-FFFF-FFFF39170000}" name="接続5188" type="7" refreshedVersion="4"/>
  <connection id="8381" xr16:uid="{00000000-0015-0000-FFFF-FFFF3A170000}" name="接続5189" type="7" refreshedVersion="4"/>
  <connection id="8382" xr16:uid="{00000000-0015-0000-FFFF-FFFF3B170000}" name="接続519" type="7" refreshedVersion="4"/>
  <connection id="8383" xr16:uid="{00000000-0015-0000-FFFF-FFFF3C170000}" name="接続5190" type="7" refreshedVersion="4"/>
  <connection id="8384" xr16:uid="{00000000-0015-0000-FFFF-FFFF3D170000}" name="接続5191" type="7" refreshedVersion="4"/>
  <connection id="8385" xr16:uid="{00000000-0015-0000-FFFF-FFFF3E170000}" name="接続5192" type="7" refreshedVersion="4"/>
  <connection id="8386" xr16:uid="{00000000-0015-0000-FFFF-FFFF3F170000}" name="接続5193" type="7" refreshedVersion="4"/>
  <connection id="8387" xr16:uid="{00000000-0015-0000-FFFF-FFFF40170000}" name="接続5194" type="7" refreshedVersion="4"/>
  <connection id="8388" xr16:uid="{00000000-0015-0000-FFFF-FFFF41170000}" name="接続5195" type="7" refreshedVersion="4"/>
  <connection id="8389" xr16:uid="{00000000-0015-0000-FFFF-FFFF42170000}" name="接続5196" type="7" refreshedVersion="4"/>
  <connection id="8390" xr16:uid="{00000000-0015-0000-FFFF-FFFF43170000}" name="接続5197" type="7" refreshedVersion="4"/>
  <connection id="8391" xr16:uid="{00000000-0015-0000-FFFF-FFFF44170000}" name="接続5198" type="7" refreshedVersion="4"/>
  <connection id="8392" xr16:uid="{00000000-0015-0000-FFFF-FFFF45170000}" name="接続5199" type="7" refreshedVersion="4"/>
  <connection id="8393" xr16:uid="{00000000-0015-0000-FFFF-FFFF46170000}" name="接続52" type="7" refreshedVersion="4"/>
  <connection id="8394" xr16:uid="{00000000-0015-0000-FFFF-FFFF47170000}" name="接続520" type="7" refreshedVersion="4"/>
  <connection id="8395" xr16:uid="{00000000-0015-0000-FFFF-FFFF48170000}" name="接続5200" type="7" refreshedVersion="4"/>
  <connection id="8396" xr16:uid="{00000000-0015-0000-FFFF-FFFF49170000}" name="接続5201" type="7" refreshedVersion="4"/>
  <connection id="8397" xr16:uid="{00000000-0015-0000-FFFF-FFFF4A170000}" name="接続5202" type="7" refreshedVersion="4"/>
  <connection id="8398" xr16:uid="{00000000-0015-0000-FFFF-FFFF4B170000}" name="接続5203" type="7" refreshedVersion="4"/>
  <connection id="8399" xr16:uid="{00000000-0015-0000-FFFF-FFFF4C170000}" name="接続5204" type="7" refreshedVersion="4"/>
  <connection id="8400" xr16:uid="{00000000-0015-0000-FFFF-FFFF4D170000}" name="接続5205" type="7" refreshedVersion="4"/>
  <connection id="8401" xr16:uid="{00000000-0015-0000-FFFF-FFFF4E170000}" name="接続5206" type="7" refreshedVersion="4"/>
  <connection id="8402" xr16:uid="{00000000-0015-0000-FFFF-FFFF4F170000}" name="接続5207" type="7" refreshedVersion="4"/>
  <connection id="8403" xr16:uid="{00000000-0015-0000-FFFF-FFFF50170000}" name="接続5208" type="7" refreshedVersion="4"/>
  <connection id="8404" xr16:uid="{00000000-0015-0000-FFFF-FFFF51170000}" name="接続5209" type="7" refreshedVersion="4"/>
  <connection id="8405" xr16:uid="{00000000-0015-0000-FFFF-FFFF52170000}" name="接続521" type="7" refreshedVersion="4"/>
  <connection id="8406" xr16:uid="{00000000-0015-0000-FFFF-FFFF53170000}" name="接続5210" type="7" refreshedVersion="4"/>
  <connection id="8407" xr16:uid="{00000000-0015-0000-FFFF-FFFF54170000}" name="接続5211" type="7" refreshedVersion="4"/>
  <connection id="8408" xr16:uid="{00000000-0015-0000-FFFF-FFFF55170000}" name="接続5212" type="7" refreshedVersion="4"/>
  <connection id="8409" xr16:uid="{00000000-0015-0000-FFFF-FFFF56170000}" name="接続5213" type="7" refreshedVersion="4"/>
  <connection id="8410" xr16:uid="{00000000-0015-0000-FFFF-FFFF57170000}" name="接続5214" type="7" refreshedVersion="4"/>
  <connection id="8411" xr16:uid="{00000000-0015-0000-FFFF-FFFF58170000}" name="接続5215" type="7" refreshedVersion="4"/>
  <connection id="8412" xr16:uid="{00000000-0015-0000-FFFF-FFFF59170000}" name="接続5216" type="7" refreshedVersion="4"/>
  <connection id="8413" xr16:uid="{00000000-0015-0000-FFFF-FFFF5A170000}" name="接続5217" type="7" refreshedVersion="4"/>
  <connection id="8414" xr16:uid="{00000000-0015-0000-FFFF-FFFF5B170000}" name="接続5218" type="7" refreshedVersion="4"/>
  <connection id="8415" xr16:uid="{00000000-0015-0000-FFFF-FFFF5C170000}" name="接続5219" type="7" refreshedVersion="4"/>
  <connection id="8416" xr16:uid="{00000000-0015-0000-FFFF-FFFF5D170000}" name="接続522" type="7" refreshedVersion="4"/>
  <connection id="8417" xr16:uid="{00000000-0015-0000-FFFF-FFFF5E170000}" name="接続5220" type="7" refreshedVersion="4"/>
  <connection id="8418" xr16:uid="{00000000-0015-0000-FFFF-FFFF5F170000}" name="接続5221" type="7" refreshedVersion="4"/>
  <connection id="8419" xr16:uid="{00000000-0015-0000-FFFF-FFFF60170000}" name="接続5222" type="7" refreshedVersion="4"/>
  <connection id="8420" xr16:uid="{00000000-0015-0000-FFFF-FFFF61170000}" name="接続5223" type="7" refreshedVersion="4"/>
  <connection id="8421" xr16:uid="{00000000-0015-0000-FFFF-FFFF62170000}" name="接続5224" type="7" refreshedVersion="4"/>
  <connection id="8422" xr16:uid="{00000000-0015-0000-FFFF-FFFF63170000}" name="接続5225" type="7" refreshedVersion="4"/>
  <connection id="8423" xr16:uid="{00000000-0015-0000-FFFF-FFFF64170000}" name="接続5226" type="7" refreshedVersion="4"/>
  <connection id="8424" xr16:uid="{00000000-0015-0000-FFFF-FFFF65170000}" name="接続5227" type="7" refreshedVersion="4"/>
  <connection id="8425" xr16:uid="{00000000-0015-0000-FFFF-FFFF66170000}" name="接続5228" type="7" refreshedVersion="4"/>
  <connection id="8426" xr16:uid="{00000000-0015-0000-FFFF-FFFF67170000}" name="接続5229" type="7" refreshedVersion="4"/>
  <connection id="8427" xr16:uid="{00000000-0015-0000-FFFF-FFFF68170000}" name="接続523" type="7" refreshedVersion="4"/>
  <connection id="8428" xr16:uid="{00000000-0015-0000-FFFF-FFFF69170000}" name="接続5230" type="7" refreshedVersion="4"/>
  <connection id="8429" xr16:uid="{00000000-0015-0000-FFFF-FFFF6A170000}" name="接続5231" type="7" refreshedVersion="4"/>
  <connection id="8430" xr16:uid="{00000000-0015-0000-FFFF-FFFF6B170000}" name="接続5232" type="7" refreshedVersion="4"/>
  <connection id="8431" xr16:uid="{00000000-0015-0000-FFFF-FFFF6C170000}" name="接続5233" type="7" refreshedVersion="4"/>
  <connection id="8432" xr16:uid="{00000000-0015-0000-FFFF-FFFF6D170000}" name="接続5234" type="7" refreshedVersion="4"/>
  <connection id="8433" xr16:uid="{00000000-0015-0000-FFFF-FFFF6E170000}" name="接続5235" type="7" refreshedVersion="4"/>
  <connection id="8434" xr16:uid="{00000000-0015-0000-FFFF-FFFF6F170000}" name="接続5236" type="7" refreshedVersion="4"/>
  <connection id="8435" xr16:uid="{00000000-0015-0000-FFFF-FFFF70170000}" name="接続5237" type="7" refreshedVersion="4"/>
  <connection id="8436" xr16:uid="{00000000-0015-0000-FFFF-FFFF71170000}" name="接続5238" type="7" refreshedVersion="4"/>
  <connection id="8437" xr16:uid="{00000000-0015-0000-FFFF-FFFF72170000}" name="接続5239" type="7" refreshedVersion="4"/>
  <connection id="8438" xr16:uid="{00000000-0015-0000-FFFF-FFFF73170000}" name="接続524" type="7" refreshedVersion="4"/>
  <connection id="8439" xr16:uid="{00000000-0015-0000-FFFF-FFFF74170000}" name="接続5240" type="7" refreshedVersion="4"/>
  <connection id="8440" xr16:uid="{00000000-0015-0000-FFFF-FFFF75170000}" name="接続5241" type="7" refreshedVersion="4"/>
  <connection id="8441" xr16:uid="{00000000-0015-0000-FFFF-FFFF76170000}" name="接続5242" type="7" refreshedVersion="4"/>
  <connection id="8442" xr16:uid="{00000000-0015-0000-FFFF-FFFF77170000}" name="接続5243" type="7" refreshedVersion="4"/>
  <connection id="8443" xr16:uid="{00000000-0015-0000-FFFF-FFFF78170000}" name="接続5244" type="7" refreshedVersion="4"/>
  <connection id="8444" xr16:uid="{00000000-0015-0000-FFFF-FFFF79170000}" name="接続5245" type="7" refreshedVersion="4"/>
  <connection id="8445" xr16:uid="{00000000-0015-0000-FFFF-FFFF7A170000}" name="接続5246" type="7" refreshedVersion="4"/>
  <connection id="8446" xr16:uid="{00000000-0015-0000-FFFF-FFFF7B170000}" name="接続5247" type="7" refreshedVersion="4"/>
  <connection id="8447" xr16:uid="{00000000-0015-0000-FFFF-FFFF7C170000}" name="接続5248" type="7" refreshedVersion="4"/>
  <connection id="8448" xr16:uid="{00000000-0015-0000-FFFF-FFFF7D170000}" name="接続5249" type="7" refreshedVersion="4"/>
  <connection id="8449" xr16:uid="{00000000-0015-0000-FFFF-FFFF7E170000}" name="接続525" type="7" refreshedVersion="4"/>
  <connection id="8450" xr16:uid="{00000000-0015-0000-FFFF-FFFF7F170000}" name="接続5250" type="7" refreshedVersion="4"/>
  <connection id="8451" xr16:uid="{00000000-0015-0000-FFFF-FFFF80170000}" name="接続5251" type="7" refreshedVersion="4"/>
  <connection id="8452" xr16:uid="{00000000-0015-0000-FFFF-FFFF81170000}" name="接続5252" type="7" refreshedVersion="4"/>
  <connection id="8453" xr16:uid="{00000000-0015-0000-FFFF-FFFF82170000}" name="接続5253" type="7" refreshedVersion="4"/>
  <connection id="8454" xr16:uid="{00000000-0015-0000-FFFF-FFFF83170000}" name="接続5254" type="7" refreshedVersion="4"/>
  <connection id="8455" xr16:uid="{00000000-0015-0000-FFFF-FFFF84170000}" name="接続5255" type="7" refreshedVersion="4"/>
  <connection id="8456" xr16:uid="{00000000-0015-0000-FFFF-FFFF85170000}" name="接続5256" type="7" refreshedVersion="4"/>
  <connection id="8457" xr16:uid="{00000000-0015-0000-FFFF-FFFF86170000}" name="接続5257" type="7" refreshedVersion="4"/>
  <connection id="8458" xr16:uid="{00000000-0015-0000-FFFF-FFFF87170000}" name="接続5258" type="7" refreshedVersion="4"/>
  <connection id="8459" xr16:uid="{00000000-0015-0000-FFFF-FFFF88170000}" name="接続5259" type="7" refreshedVersion="4"/>
  <connection id="8460" xr16:uid="{00000000-0015-0000-FFFF-FFFF89170000}" name="接続526" type="7" refreshedVersion="4"/>
  <connection id="8461" xr16:uid="{00000000-0015-0000-FFFF-FFFF8A170000}" name="接続5260" type="7" refreshedVersion="4"/>
  <connection id="8462" xr16:uid="{00000000-0015-0000-FFFF-FFFF8B170000}" name="接続5261" type="7" refreshedVersion="4"/>
  <connection id="8463" xr16:uid="{00000000-0015-0000-FFFF-FFFF8C170000}" name="接続5262" type="7" refreshedVersion="4"/>
  <connection id="8464" xr16:uid="{00000000-0015-0000-FFFF-FFFF8D170000}" name="接続5263" type="7" refreshedVersion="4"/>
  <connection id="8465" xr16:uid="{00000000-0015-0000-FFFF-FFFF8E170000}" name="接続5264" type="7" refreshedVersion="4"/>
  <connection id="8466" xr16:uid="{00000000-0015-0000-FFFF-FFFF8F170000}" name="接続5265" type="7" refreshedVersion="4"/>
  <connection id="8467" xr16:uid="{00000000-0015-0000-FFFF-FFFF90170000}" name="接続5266" type="7" refreshedVersion="4"/>
  <connection id="8468" xr16:uid="{00000000-0015-0000-FFFF-FFFF91170000}" name="接続5267" type="7" refreshedVersion="4"/>
  <connection id="8469" xr16:uid="{00000000-0015-0000-FFFF-FFFF92170000}" name="接続5268" type="7" refreshedVersion="4"/>
  <connection id="8470" xr16:uid="{00000000-0015-0000-FFFF-FFFF93170000}" name="接続5269" type="7" refreshedVersion="4"/>
  <connection id="8471" xr16:uid="{00000000-0015-0000-FFFF-FFFF94170000}" name="接続527" type="7" refreshedVersion="4"/>
  <connection id="8472" xr16:uid="{00000000-0015-0000-FFFF-FFFF95170000}" name="接続5270" type="7" refreshedVersion="4"/>
  <connection id="8473" xr16:uid="{00000000-0015-0000-FFFF-FFFF96170000}" name="接続5271" type="7" refreshedVersion="4"/>
  <connection id="8474" xr16:uid="{00000000-0015-0000-FFFF-FFFF97170000}" name="接続5272" type="7" refreshedVersion="4"/>
  <connection id="8475" xr16:uid="{00000000-0015-0000-FFFF-FFFF98170000}" name="接続5273" type="7" refreshedVersion="4"/>
  <connection id="8476" xr16:uid="{00000000-0015-0000-FFFF-FFFF99170000}" name="接続5274" type="7" refreshedVersion="4"/>
  <connection id="8477" xr16:uid="{00000000-0015-0000-FFFF-FFFF9A170000}" name="接続5275" type="7" refreshedVersion="4"/>
  <connection id="8478" xr16:uid="{00000000-0015-0000-FFFF-FFFF9B170000}" name="接続5276" type="7" refreshedVersion="4"/>
  <connection id="8479" xr16:uid="{00000000-0015-0000-FFFF-FFFF9C170000}" name="接続5277" type="7" refreshedVersion="4"/>
  <connection id="8480" xr16:uid="{00000000-0015-0000-FFFF-FFFF9D170000}" name="接続5278" type="7" refreshedVersion="4"/>
  <connection id="8481" xr16:uid="{00000000-0015-0000-FFFF-FFFF9E170000}" name="接続5279" type="7" refreshedVersion="4"/>
  <connection id="8482" xr16:uid="{00000000-0015-0000-FFFF-FFFF9F170000}" name="接続528" type="7" refreshedVersion="4"/>
  <connection id="8483" xr16:uid="{00000000-0015-0000-FFFF-FFFFA0170000}" name="接続5280" type="7" refreshedVersion="4"/>
  <connection id="8484" xr16:uid="{00000000-0015-0000-FFFF-FFFFA1170000}" name="接続5281" type="7" refreshedVersion="4"/>
  <connection id="8485" xr16:uid="{00000000-0015-0000-FFFF-FFFFA2170000}" name="接続5282" type="7" refreshedVersion="4"/>
  <connection id="8486" xr16:uid="{00000000-0015-0000-FFFF-FFFFA3170000}" name="接続5283" type="7" refreshedVersion="4"/>
  <connection id="8487" xr16:uid="{00000000-0015-0000-FFFF-FFFFA4170000}" name="接続5284" type="7" refreshedVersion="4"/>
  <connection id="8488" xr16:uid="{00000000-0015-0000-FFFF-FFFFA5170000}" name="接続5285" type="7" refreshedVersion="4"/>
  <connection id="8489" xr16:uid="{00000000-0015-0000-FFFF-FFFFA6170000}" name="接続5286" type="7" refreshedVersion="4"/>
  <connection id="8490" xr16:uid="{00000000-0015-0000-FFFF-FFFFA7170000}" name="接続5287" type="7" refreshedVersion="4"/>
  <connection id="8491" xr16:uid="{00000000-0015-0000-FFFF-FFFFA8170000}" name="接続5288" type="7" refreshedVersion="4"/>
  <connection id="8492" xr16:uid="{00000000-0015-0000-FFFF-FFFFA9170000}" name="接続5289" type="7" refreshedVersion="4"/>
  <connection id="8493" xr16:uid="{00000000-0015-0000-FFFF-FFFFAA170000}" name="接続529" type="7" refreshedVersion="4"/>
  <connection id="8494" xr16:uid="{00000000-0015-0000-FFFF-FFFFAB170000}" name="接続5290" type="7" refreshedVersion="4"/>
  <connection id="8495" xr16:uid="{00000000-0015-0000-FFFF-FFFFAC170000}" name="接続5291" type="7" refreshedVersion="4"/>
  <connection id="8496" xr16:uid="{00000000-0015-0000-FFFF-FFFFAD170000}" name="接続5292" type="7" refreshedVersion="4"/>
  <connection id="8497" xr16:uid="{00000000-0015-0000-FFFF-FFFFAE170000}" name="接続5293" type="7" refreshedVersion="4"/>
  <connection id="8498" xr16:uid="{00000000-0015-0000-FFFF-FFFFAF170000}" name="接続5294" type="7" refreshedVersion="4"/>
  <connection id="8499" xr16:uid="{00000000-0015-0000-FFFF-FFFFB0170000}" name="接続5295" type="7" refreshedVersion="4"/>
  <connection id="8500" xr16:uid="{00000000-0015-0000-FFFF-FFFFB1170000}" name="接続5296" type="7" refreshedVersion="4"/>
  <connection id="8501" xr16:uid="{00000000-0015-0000-FFFF-FFFFB2170000}" name="接続5297" type="7" refreshedVersion="4"/>
  <connection id="8502" xr16:uid="{00000000-0015-0000-FFFF-FFFFB3170000}" name="接続5298" type="7" refreshedVersion="4"/>
  <connection id="8503" xr16:uid="{00000000-0015-0000-FFFF-FFFFB4170000}" name="接続5299" type="7" refreshedVersion="4"/>
  <connection id="8504" xr16:uid="{00000000-0015-0000-FFFF-FFFFB5170000}" name="接続53" type="7" refreshedVersion="4"/>
  <connection id="8505" xr16:uid="{00000000-0015-0000-FFFF-FFFFB6170000}" name="接続530" type="7" refreshedVersion="4"/>
  <connection id="8506" xr16:uid="{00000000-0015-0000-FFFF-FFFFB7170000}" name="接続5300" type="7" refreshedVersion="4"/>
  <connection id="8507" xr16:uid="{00000000-0015-0000-FFFF-FFFFB8170000}" name="接続5301" type="7" refreshedVersion="4"/>
  <connection id="8508" xr16:uid="{00000000-0015-0000-FFFF-FFFFB9170000}" name="接続5302" type="7" refreshedVersion="4"/>
  <connection id="8509" xr16:uid="{00000000-0015-0000-FFFF-FFFFBA170000}" name="接続5303" type="7" refreshedVersion="4"/>
  <connection id="8510" xr16:uid="{00000000-0015-0000-FFFF-FFFFBB170000}" name="接続5304" type="7" refreshedVersion="4"/>
  <connection id="8511" xr16:uid="{00000000-0015-0000-FFFF-FFFFBC170000}" name="接続5305" type="7" refreshedVersion="4"/>
  <connection id="8512" xr16:uid="{00000000-0015-0000-FFFF-FFFFBD170000}" name="接続5306" type="7" refreshedVersion="4"/>
  <connection id="8513" xr16:uid="{00000000-0015-0000-FFFF-FFFFBE170000}" name="接続5307" type="7" refreshedVersion="4"/>
  <connection id="8514" xr16:uid="{00000000-0015-0000-FFFF-FFFFBF170000}" name="接続5308" type="7" refreshedVersion="4"/>
  <connection id="8515" xr16:uid="{00000000-0015-0000-FFFF-FFFFC0170000}" name="接続5309" type="7" refreshedVersion="4"/>
  <connection id="8516" xr16:uid="{00000000-0015-0000-FFFF-FFFFC1170000}" name="接続531" type="7" refreshedVersion="4"/>
  <connection id="8517" xr16:uid="{00000000-0015-0000-FFFF-FFFFC2170000}" name="接続5310" type="7" refreshedVersion="4"/>
  <connection id="8518" xr16:uid="{00000000-0015-0000-FFFF-FFFFC3170000}" name="接続5311" type="7" refreshedVersion="4"/>
  <connection id="8519" xr16:uid="{00000000-0015-0000-FFFF-FFFFC4170000}" name="接続5312" type="7" refreshedVersion="4"/>
  <connection id="8520" xr16:uid="{00000000-0015-0000-FFFF-FFFFC5170000}" name="接続5313" type="7" refreshedVersion="4"/>
  <connection id="8521" xr16:uid="{00000000-0015-0000-FFFF-FFFFC6170000}" name="接続5314" type="7" refreshedVersion="4"/>
  <connection id="8522" xr16:uid="{00000000-0015-0000-FFFF-FFFFC7170000}" name="接続5315" type="7" refreshedVersion="4"/>
  <connection id="8523" xr16:uid="{00000000-0015-0000-FFFF-FFFFC8170000}" name="接続5316" type="7" refreshedVersion="4"/>
  <connection id="8524" xr16:uid="{00000000-0015-0000-FFFF-FFFFC9170000}" name="接続5317" type="7" refreshedVersion="4"/>
  <connection id="8525" xr16:uid="{00000000-0015-0000-FFFF-FFFFCA170000}" name="接続5318" type="7" refreshedVersion="4"/>
  <connection id="8526" xr16:uid="{00000000-0015-0000-FFFF-FFFFCB170000}" name="接続5319" type="7" refreshedVersion="4"/>
  <connection id="8527" xr16:uid="{00000000-0015-0000-FFFF-FFFFCC170000}" name="接続532" type="7" refreshedVersion="4"/>
  <connection id="8528" xr16:uid="{00000000-0015-0000-FFFF-FFFFCD170000}" name="接続5320" type="7" refreshedVersion="4"/>
  <connection id="8529" xr16:uid="{00000000-0015-0000-FFFF-FFFFCE170000}" name="接続5321" type="7" refreshedVersion="4"/>
  <connection id="8530" xr16:uid="{00000000-0015-0000-FFFF-FFFFCF170000}" name="接続5322" type="7" refreshedVersion="4"/>
  <connection id="8531" xr16:uid="{00000000-0015-0000-FFFF-FFFFD0170000}" name="接続5323" type="7" refreshedVersion="4"/>
  <connection id="8532" xr16:uid="{00000000-0015-0000-FFFF-FFFFD1170000}" name="接続5324" type="7" refreshedVersion="4"/>
  <connection id="8533" xr16:uid="{00000000-0015-0000-FFFF-FFFFD2170000}" name="接続5325" type="7" refreshedVersion="4"/>
  <connection id="8534" xr16:uid="{00000000-0015-0000-FFFF-FFFFD3170000}" name="接続5326" type="7" refreshedVersion="4"/>
  <connection id="8535" xr16:uid="{00000000-0015-0000-FFFF-FFFFD4170000}" name="接続5327" type="7" refreshedVersion="4"/>
  <connection id="8536" xr16:uid="{00000000-0015-0000-FFFF-FFFFD5170000}" name="接続5328" type="7" refreshedVersion="4"/>
  <connection id="8537" xr16:uid="{00000000-0015-0000-FFFF-FFFFD6170000}" name="接続5329" type="7" refreshedVersion="4"/>
  <connection id="8538" xr16:uid="{00000000-0015-0000-FFFF-FFFFD7170000}" name="接続533" type="7" refreshedVersion="4"/>
  <connection id="8539" xr16:uid="{00000000-0015-0000-FFFF-FFFFD8170000}" name="接続5330" type="7" refreshedVersion="4"/>
  <connection id="8540" xr16:uid="{00000000-0015-0000-FFFF-FFFFD9170000}" name="接続5331" type="7" refreshedVersion="4"/>
  <connection id="8541" xr16:uid="{00000000-0015-0000-FFFF-FFFFDA170000}" name="接続5332" type="7" refreshedVersion="4"/>
  <connection id="8542" xr16:uid="{00000000-0015-0000-FFFF-FFFFDB170000}" name="接続5333" type="7" refreshedVersion="4"/>
  <connection id="8543" xr16:uid="{00000000-0015-0000-FFFF-FFFFDC170000}" name="接続5334" type="7" refreshedVersion="4"/>
  <connection id="8544" xr16:uid="{00000000-0015-0000-FFFF-FFFFDD170000}" name="接続5335" type="7" refreshedVersion="4"/>
  <connection id="8545" xr16:uid="{00000000-0015-0000-FFFF-FFFFDE170000}" name="接続5336" type="7" refreshedVersion="4"/>
  <connection id="8546" xr16:uid="{00000000-0015-0000-FFFF-FFFFDF170000}" name="接続5337" type="7" refreshedVersion="4"/>
  <connection id="8547" xr16:uid="{00000000-0015-0000-FFFF-FFFFE0170000}" name="接続5338" type="7" refreshedVersion="4"/>
  <connection id="8548" xr16:uid="{00000000-0015-0000-FFFF-FFFFE1170000}" name="接続5339" type="7" refreshedVersion="4"/>
  <connection id="8549" xr16:uid="{00000000-0015-0000-FFFF-FFFFE2170000}" name="接続534" type="7" refreshedVersion="4"/>
  <connection id="8550" xr16:uid="{00000000-0015-0000-FFFF-FFFFE3170000}" name="接続5340" type="7" refreshedVersion="4"/>
  <connection id="8551" xr16:uid="{00000000-0015-0000-FFFF-FFFFE4170000}" name="接続5341" type="7" refreshedVersion="4"/>
  <connection id="8552" xr16:uid="{00000000-0015-0000-FFFF-FFFFE5170000}" name="接続5342" type="7" refreshedVersion="4"/>
  <connection id="8553" xr16:uid="{00000000-0015-0000-FFFF-FFFFE6170000}" name="接続5343" type="7" refreshedVersion="4"/>
  <connection id="8554" xr16:uid="{00000000-0015-0000-FFFF-FFFFE7170000}" name="接続5344" type="7" refreshedVersion="4"/>
  <connection id="8555" xr16:uid="{00000000-0015-0000-FFFF-FFFFE8170000}" name="接続5345" type="7" refreshedVersion="4"/>
  <connection id="8556" xr16:uid="{00000000-0015-0000-FFFF-FFFFE9170000}" name="接続5346" type="7" refreshedVersion="4"/>
  <connection id="8557" xr16:uid="{00000000-0015-0000-FFFF-FFFFEA170000}" name="接続5347" type="7" refreshedVersion="4"/>
  <connection id="8558" xr16:uid="{00000000-0015-0000-FFFF-FFFFEB170000}" name="接続5348" type="7" refreshedVersion="4"/>
  <connection id="8559" xr16:uid="{00000000-0015-0000-FFFF-FFFFEC170000}" name="接続5349" type="7" refreshedVersion="4"/>
  <connection id="8560" xr16:uid="{00000000-0015-0000-FFFF-FFFFED170000}" name="接続535" type="7" refreshedVersion="4"/>
  <connection id="8561" xr16:uid="{00000000-0015-0000-FFFF-FFFFEE170000}" name="接続5350" type="7" refreshedVersion="4"/>
  <connection id="8562" xr16:uid="{00000000-0015-0000-FFFF-FFFFEF170000}" name="接続5351" type="7" refreshedVersion="4"/>
  <connection id="8563" xr16:uid="{00000000-0015-0000-FFFF-FFFFF0170000}" name="接続5352" type="7" refreshedVersion="4"/>
  <connection id="8564" xr16:uid="{00000000-0015-0000-FFFF-FFFFF1170000}" name="接続5353" type="7" refreshedVersion="4"/>
  <connection id="8565" xr16:uid="{00000000-0015-0000-FFFF-FFFFF2170000}" name="接続5354" type="7" refreshedVersion="4"/>
  <connection id="8566" xr16:uid="{00000000-0015-0000-FFFF-FFFFF3170000}" name="接続5355" type="7" refreshedVersion="4"/>
  <connection id="8567" xr16:uid="{00000000-0015-0000-FFFF-FFFFF4170000}" name="接続5356" type="7" refreshedVersion="4"/>
  <connection id="8568" xr16:uid="{00000000-0015-0000-FFFF-FFFFF5170000}" name="接続5357" type="7" refreshedVersion="4"/>
  <connection id="8569" xr16:uid="{00000000-0015-0000-FFFF-FFFFF6170000}" name="接続5358" type="7" refreshedVersion="4"/>
  <connection id="8570" xr16:uid="{00000000-0015-0000-FFFF-FFFFF7170000}" name="接続5359" type="7" refreshedVersion="4"/>
  <connection id="8571" xr16:uid="{00000000-0015-0000-FFFF-FFFFF8170000}" name="接続536" type="7" refreshedVersion="4"/>
  <connection id="8572" xr16:uid="{00000000-0015-0000-FFFF-FFFFF9170000}" name="接続5360" type="7" refreshedVersion="4"/>
  <connection id="8573" xr16:uid="{00000000-0015-0000-FFFF-FFFFFA170000}" name="接続5361" type="7" refreshedVersion="4"/>
  <connection id="8574" xr16:uid="{00000000-0015-0000-FFFF-FFFFFB170000}" name="接続5362" type="7" refreshedVersion="4"/>
  <connection id="8575" xr16:uid="{00000000-0015-0000-FFFF-FFFFFC170000}" name="接続5363" type="7" refreshedVersion="4"/>
  <connection id="8576" xr16:uid="{00000000-0015-0000-FFFF-FFFFFD170000}" name="接続5364" type="7" refreshedVersion="4"/>
  <connection id="8577" xr16:uid="{00000000-0015-0000-FFFF-FFFFFE170000}" name="接続5365" type="7" refreshedVersion="4"/>
  <connection id="8578" xr16:uid="{00000000-0015-0000-FFFF-FFFFFF170000}" name="接続5366" type="7" refreshedVersion="4"/>
  <connection id="8579" xr16:uid="{00000000-0015-0000-FFFF-FFFF00180000}" name="接続5367" type="7" refreshedVersion="4"/>
  <connection id="8580" xr16:uid="{00000000-0015-0000-FFFF-FFFF01180000}" name="接続5368" type="7" refreshedVersion="4"/>
  <connection id="8581" xr16:uid="{00000000-0015-0000-FFFF-FFFF02180000}" name="接続5369" type="7" refreshedVersion="4"/>
  <connection id="8582" xr16:uid="{00000000-0015-0000-FFFF-FFFF03180000}" name="接続537" type="7" refreshedVersion="4"/>
  <connection id="8583" xr16:uid="{00000000-0015-0000-FFFF-FFFF04180000}" name="接続5370" type="7" refreshedVersion="4"/>
  <connection id="8584" xr16:uid="{00000000-0015-0000-FFFF-FFFF05180000}" name="接続5371" type="7" refreshedVersion="4"/>
  <connection id="8585" xr16:uid="{00000000-0015-0000-FFFF-FFFF06180000}" name="接続5372" type="7" refreshedVersion="4"/>
  <connection id="8586" xr16:uid="{00000000-0015-0000-FFFF-FFFF07180000}" name="接続5373" type="7" refreshedVersion="4"/>
  <connection id="8587" xr16:uid="{00000000-0015-0000-FFFF-FFFF08180000}" name="接続5374" type="7" refreshedVersion="4"/>
  <connection id="8588" xr16:uid="{00000000-0015-0000-FFFF-FFFF09180000}" name="接続5375" type="7" refreshedVersion="4"/>
  <connection id="8589" xr16:uid="{00000000-0015-0000-FFFF-FFFF0A180000}" name="接続5376" type="7" refreshedVersion="4"/>
  <connection id="8590" xr16:uid="{00000000-0015-0000-FFFF-FFFF0B180000}" name="接続5377" type="7" refreshedVersion="4"/>
  <connection id="8591" xr16:uid="{00000000-0015-0000-FFFF-FFFF0C180000}" name="接続5378" type="7" refreshedVersion="4"/>
  <connection id="8592" xr16:uid="{00000000-0015-0000-FFFF-FFFF0D180000}" name="接続5379" type="7" refreshedVersion="4"/>
  <connection id="8593" xr16:uid="{00000000-0015-0000-FFFF-FFFF0E180000}" name="接続538" type="7" refreshedVersion="4"/>
  <connection id="8594" xr16:uid="{00000000-0015-0000-FFFF-FFFF0F180000}" name="接続5380" type="7" refreshedVersion="4"/>
  <connection id="8595" xr16:uid="{00000000-0015-0000-FFFF-FFFF10180000}" name="接続5381" type="7" refreshedVersion="4"/>
  <connection id="8596" xr16:uid="{00000000-0015-0000-FFFF-FFFF11180000}" name="接続5382" type="7" refreshedVersion="4"/>
  <connection id="8597" xr16:uid="{00000000-0015-0000-FFFF-FFFF12180000}" name="接続5383" type="7" refreshedVersion="4"/>
  <connection id="8598" xr16:uid="{00000000-0015-0000-FFFF-FFFF13180000}" name="接続5384" type="7" refreshedVersion="4"/>
  <connection id="8599" xr16:uid="{00000000-0015-0000-FFFF-FFFF14180000}" name="接続5385" type="7" refreshedVersion="4"/>
  <connection id="8600" xr16:uid="{00000000-0015-0000-FFFF-FFFF15180000}" name="接続5386" type="7" refreshedVersion="4"/>
  <connection id="8601" xr16:uid="{00000000-0015-0000-FFFF-FFFF16180000}" name="接続5387" type="7" refreshedVersion="4"/>
  <connection id="8602" xr16:uid="{00000000-0015-0000-FFFF-FFFF17180000}" name="接続5388" type="7" refreshedVersion="4"/>
  <connection id="8603" xr16:uid="{00000000-0015-0000-FFFF-FFFF18180000}" name="接続5389" type="7" refreshedVersion="4"/>
  <connection id="8604" xr16:uid="{00000000-0015-0000-FFFF-FFFF19180000}" name="接続539" type="7" refreshedVersion="4"/>
  <connection id="8605" xr16:uid="{00000000-0015-0000-FFFF-FFFF1A180000}" name="接続5390" type="7" refreshedVersion="4"/>
  <connection id="8606" xr16:uid="{00000000-0015-0000-FFFF-FFFF1B180000}" name="接続5391" type="7" refreshedVersion="4"/>
  <connection id="8607" xr16:uid="{00000000-0015-0000-FFFF-FFFF1C180000}" name="接続5392" type="7" refreshedVersion="4"/>
  <connection id="8608" xr16:uid="{00000000-0015-0000-FFFF-FFFF1D180000}" name="接続5393" type="7" refreshedVersion="4"/>
  <connection id="8609" xr16:uid="{00000000-0015-0000-FFFF-FFFF1E180000}" name="接続5394" type="7" refreshedVersion="4"/>
  <connection id="8610" xr16:uid="{00000000-0015-0000-FFFF-FFFF1F180000}" name="接続5395" type="7" refreshedVersion="4"/>
  <connection id="8611" xr16:uid="{00000000-0015-0000-FFFF-FFFF20180000}" name="接続5396" type="7" refreshedVersion="4"/>
  <connection id="8612" xr16:uid="{00000000-0015-0000-FFFF-FFFF21180000}" name="接続5397" type="7" refreshedVersion="4"/>
  <connection id="8613" xr16:uid="{00000000-0015-0000-FFFF-FFFF22180000}" name="接続5398" type="7" refreshedVersion="4"/>
  <connection id="8614" xr16:uid="{00000000-0015-0000-FFFF-FFFF23180000}" name="接続5399" type="7" refreshedVersion="4"/>
  <connection id="8615" xr16:uid="{00000000-0015-0000-FFFF-FFFF24180000}" name="接続54" type="7" refreshedVersion="4"/>
  <connection id="8616" xr16:uid="{00000000-0015-0000-FFFF-FFFF25180000}" name="接続540" type="7" refreshedVersion="4"/>
  <connection id="8617" xr16:uid="{00000000-0015-0000-FFFF-FFFF26180000}" name="接続5400" type="7" refreshedVersion="4"/>
  <connection id="8618" xr16:uid="{00000000-0015-0000-FFFF-FFFF27180000}" name="接続5401" type="7" refreshedVersion="4"/>
  <connection id="8619" xr16:uid="{00000000-0015-0000-FFFF-FFFF28180000}" name="接続5402" type="7" refreshedVersion="4"/>
  <connection id="8620" xr16:uid="{00000000-0015-0000-FFFF-FFFF29180000}" name="接続5403" type="7" refreshedVersion="4"/>
  <connection id="8621" xr16:uid="{00000000-0015-0000-FFFF-FFFF2A180000}" name="接続5404" type="7" refreshedVersion="4"/>
  <connection id="8622" xr16:uid="{00000000-0015-0000-FFFF-FFFF2B180000}" name="接続5405" type="7" refreshedVersion="4"/>
  <connection id="8623" xr16:uid="{00000000-0015-0000-FFFF-FFFF2C180000}" name="接続5406" type="7" refreshedVersion="4"/>
  <connection id="8624" xr16:uid="{00000000-0015-0000-FFFF-FFFF2D180000}" name="接続5407" type="7" refreshedVersion="4"/>
  <connection id="8625" xr16:uid="{00000000-0015-0000-FFFF-FFFF2E180000}" name="接続5408" type="7" refreshedVersion="4"/>
  <connection id="8626" xr16:uid="{00000000-0015-0000-FFFF-FFFF2F180000}" name="接続5409" type="7" refreshedVersion="4"/>
  <connection id="8627" xr16:uid="{00000000-0015-0000-FFFF-FFFF30180000}" name="接続541" type="7" refreshedVersion="4"/>
  <connection id="8628" xr16:uid="{00000000-0015-0000-FFFF-FFFF31180000}" name="接続5410" type="7" refreshedVersion="4"/>
  <connection id="8629" xr16:uid="{00000000-0015-0000-FFFF-FFFF32180000}" name="接続5411" type="7" refreshedVersion="4"/>
  <connection id="8630" xr16:uid="{00000000-0015-0000-FFFF-FFFF33180000}" name="接続5412" type="7" refreshedVersion="4"/>
  <connection id="8631" xr16:uid="{00000000-0015-0000-FFFF-FFFF34180000}" name="接続5413" type="7" refreshedVersion="4"/>
  <connection id="8632" xr16:uid="{00000000-0015-0000-FFFF-FFFF35180000}" name="接続5414" type="7" refreshedVersion="4"/>
  <connection id="8633" xr16:uid="{00000000-0015-0000-FFFF-FFFF36180000}" name="接続5415" type="7" refreshedVersion="4"/>
  <connection id="8634" xr16:uid="{00000000-0015-0000-FFFF-FFFF37180000}" name="接続5416" type="7" refreshedVersion="4"/>
  <connection id="8635" xr16:uid="{00000000-0015-0000-FFFF-FFFF38180000}" name="接続5417" type="7" refreshedVersion="4"/>
  <connection id="8636" xr16:uid="{00000000-0015-0000-FFFF-FFFF39180000}" name="接続5418" type="7" refreshedVersion="4"/>
  <connection id="8637" xr16:uid="{00000000-0015-0000-FFFF-FFFF3A180000}" name="接続5419" type="7" refreshedVersion="4"/>
  <connection id="8638" xr16:uid="{00000000-0015-0000-FFFF-FFFF3B180000}" name="接続542" type="7" refreshedVersion="4"/>
  <connection id="8639" xr16:uid="{00000000-0015-0000-FFFF-FFFF3C180000}" name="接続5420" type="7" refreshedVersion="4"/>
  <connection id="8640" xr16:uid="{00000000-0015-0000-FFFF-FFFF3D180000}" name="接続5421" type="7" refreshedVersion="4"/>
  <connection id="8641" xr16:uid="{00000000-0015-0000-FFFF-FFFF3E180000}" name="接続5422" type="7" refreshedVersion="4"/>
  <connection id="8642" xr16:uid="{00000000-0015-0000-FFFF-FFFF3F180000}" name="接続5423" type="7" refreshedVersion="4"/>
  <connection id="8643" xr16:uid="{00000000-0015-0000-FFFF-FFFF40180000}" name="接続5424" type="7" refreshedVersion="4"/>
  <connection id="8644" xr16:uid="{00000000-0015-0000-FFFF-FFFF41180000}" name="接続5425" type="7" refreshedVersion="4"/>
  <connection id="8645" xr16:uid="{00000000-0015-0000-FFFF-FFFF42180000}" name="接続5426" type="7" refreshedVersion="4"/>
  <connection id="8646" xr16:uid="{00000000-0015-0000-FFFF-FFFF43180000}" name="接続5427" type="7" refreshedVersion="4"/>
  <connection id="8647" xr16:uid="{00000000-0015-0000-FFFF-FFFF44180000}" name="接続5428" type="7" refreshedVersion="4"/>
  <connection id="8648" xr16:uid="{00000000-0015-0000-FFFF-FFFF45180000}" name="接続5429" type="7" refreshedVersion="4"/>
  <connection id="8649" xr16:uid="{00000000-0015-0000-FFFF-FFFF46180000}" name="接続543" type="7" refreshedVersion="4"/>
  <connection id="8650" xr16:uid="{00000000-0015-0000-FFFF-FFFF47180000}" name="接続5430" type="7" refreshedVersion="4"/>
  <connection id="8651" xr16:uid="{00000000-0015-0000-FFFF-FFFF48180000}" name="接続5431" type="7" refreshedVersion="4"/>
  <connection id="8652" xr16:uid="{00000000-0015-0000-FFFF-FFFF49180000}" name="接続5432" type="7" refreshedVersion="4"/>
  <connection id="8653" xr16:uid="{00000000-0015-0000-FFFF-FFFF4A180000}" name="接続5433" type="7" refreshedVersion="4"/>
  <connection id="8654" xr16:uid="{00000000-0015-0000-FFFF-FFFF4B180000}" name="接続5434" type="7" refreshedVersion="4"/>
  <connection id="8655" xr16:uid="{00000000-0015-0000-FFFF-FFFF4C180000}" name="接続5435" type="7" refreshedVersion="4"/>
  <connection id="8656" xr16:uid="{00000000-0015-0000-FFFF-FFFF4D180000}" name="接続5436" type="7" refreshedVersion="4"/>
  <connection id="8657" xr16:uid="{00000000-0015-0000-FFFF-FFFF4E180000}" name="接続5437" type="7" refreshedVersion="4"/>
  <connection id="8658" xr16:uid="{00000000-0015-0000-FFFF-FFFF4F180000}" name="接続5438" type="7" refreshedVersion="4"/>
  <connection id="8659" xr16:uid="{00000000-0015-0000-FFFF-FFFF50180000}" name="接続5439" type="7" refreshedVersion="4"/>
  <connection id="8660" xr16:uid="{00000000-0015-0000-FFFF-FFFF51180000}" name="接続544" type="7" refreshedVersion="4"/>
  <connection id="8661" xr16:uid="{00000000-0015-0000-FFFF-FFFF52180000}" name="接続5440" type="7" refreshedVersion="4"/>
  <connection id="8662" xr16:uid="{00000000-0015-0000-FFFF-FFFF53180000}" name="接続5441" type="7" refreshedVersion="4"/>
  <connection id="8663" xr16:uid="{00000000-0015-0000-FFFF-FFFF54180000}" name="接続5442" type="7" refreshedVersion="4"/>
  <connection id="8664" xr16:uid="{00000000-0015-0000-FFFF-FFFF55180000}" name="接続5443" type="7" refreshedVersion="4"/>
  <connection id="8665" xr16:uid="{00000000-0015-0000-FFFF-FFFF56180000}" name="接続5444" type="7" refreshedVersion="4"/>
  <connection id="8666" xr16:uid="{00000000-0015-0000-FFFF-FFFF57180000}" name="接続5445" type="7" refreshedVersion="4"/>
  <connection id="8667" xr16:uid="{00000000-0015-0000-FFFF-FFFF58180000}" name="接続5446" type="7" refreshedVersion="4"/>
  <connection id="8668" xr16:uid="{00000000-0015-0000-FFFF-FFFF59180000}" name="接続5447" type="7" refreshedVersion="4"/>
  <connection id="8669" xr16:uid="{00000000-0015-0000-FFFF-FFFF5A180000}" name="接続5448" type="7" refreshedVersion="4"/>
  <connection id="8670" xr16:uid="{00000000-0015-0000-FFFF-FFFF5B180000}" name="接続5449" type="7" refreshedVersion="4"/>
  <connection id="8671" xr16:uid="{00000000-0015-0000-FFFF-FFFF5C180000}" name="接続545" type="7" refreshedVersion="4"/>
  <connection id="8672" xr16:uid="{00000000-0015-0000-FFFF-FFFF5D180000}" name="接続5450" type="7" refreshedVersion="4"/>
  <connection id="8673" xr16:uid="{00000000-0015-0000-FFFF-FFFF5E180000}" name="接続5451" type="7" refreshedVersion="4"/>
  <connection id="8674" xr16:uid="{00000000-0015-0000-FFFF-FFFF5F180000}" name="接続5452" type="7" refreshedVersion="4"/>
  <connection id="8675" xr16:uid="{00000000-0015-0000-FFFF-FFFF60180000}" name="接続5453" type="7" refreshedVersion="4"/>
  <connection id="8676" xr16:uid="{00000000-0015-0000-FFFF-FFFF61180000}" name="接続5454" type="7" refreshedVersion="4"/>
  <connection id="8677" xr16:uid="{00000000-0015-0000-FFFF-FFFF62180000}" name="接続5455" type="7" refreshedVersion="4"/>
  <connection id="8678" xr16:uid="{00000000-0015-0000-FFFF-FFFF63180000}" name="接続5456" type="7" refreshedVersion="4"/>
  <connection id="8679" xr16:uid="{00000000-0015-0000-FFFF-FFFF64180000}" name="接続5457" type="7" refreshedVersion="4"/>
  <connection id="8680" xr16:uid="{00000000-0015-0000-FFFF-FFFF65180000}" name="接続5458" type="7" refreshedVersion="4"/>
  <connection id="8681" xr16:uid="{00000000-0015-0000-FFFF-FFFF66180000}" name="接続5459" type="7" refreshedVersion="4"/>
  <connection id="8682" xr16:uid="{00000000-0015-0000-FFFF-FFFF67180000}" name="接続546" type="7" refreshedVersion="4"/>
  <connection id="8683" xr16:uid="{00000000-0015-0000-FFFF-FFFF68180000}" name="接続5460" type="7" refreshedVersion="4"/>
  <connection id="8684" xr16:uid="{00000000-0015-0000-FFFF-FFFF69180000}" name="接続5461" type="7" refreshedVersion="4"/>
  <connection id="8685" xr16:uid="{00000000-0015-0000-FFFF-FFFF6A180000}" name="接続5462" type="7" refreshedVersion="4"/>
  <connection id="8686" xr16:uid="{00000000-0015-0000-FFFF-FFFF6B180000}" name="接続5463" type="7" refreshedVersion="4"/>
  <connection id="8687" xr16:uid="{00000000-0015-0000-FFFF-FFFF6C180000}" name="接続5464" type="7" refreshedVersion="4"/>
  <connection id="8688" xr16:uid="{00000000-0015-0000-FFFF-FFFF6D180000}" name="接続5465" type="7" refreshedVersion="4"/>
  <connection id="8689" xr16:uid="{00000000-0015-0000-FFFF-FFFF6E180000}" name="接続5466" type="7" refreshedVersion="4"/>
  <connection id="8690" xr16:uid="{00000000-0015-0000-FFFF-FFFF6F180000}" name="接続5467" type="7" refreshedVersion="4"/>
  <connection id="8691" xr16:uid="{00000000-0015-0000-FFFF-FFFF70180000}" name="接続5468" type="7" refreshedVersion="4"/>
  <connection id="8692" xr16:uid="{00000000-0015-0000-FFFF-FFFF71180000}" name="接続5469" type="7" refreshedVersion="4"/>
  <connection id="8693" xr16:uid="{00000000-0015-0000-FFFF-FFFF72180000}" name="接続547" type="7" refreshedVersion="4"/>
  <connection id="8694" xr16:uid="{00000000-0015-0000-FFFF-FFFF73180000}" name="接続5470" type="7" refreshedVersion="4"/>
  <connection id="8695" xr16:uid="{00000000-0015-0000-FFFF-FFFF74180000}" name="接続5471" type="7" refreshedVersion="4"/>
  <connection id="8696" xr16:uid="{00000000-0015-0000-FFFF-FFFF75180000}" name="接続5472" type="7" refreshedVersion="4"/>
  <connection id="8697" xr16:uid="{00000000-0015-0000-FFFF-FFFF76180000}" name="接続5473" type="7" refreshedVersion="4"/>
  <connection id="8698" xr16:uid="{00000000-0015-0000-FFFF-FFFF77180000}" name="接続5474" type="7" refreshedVersion="4"/>
  <connection id="8699" xr16:uid="{00000000-0015-0000-FFFF-FFFF78180000}" name="接続5475" type="7" refreshedVersion="4"/>
  <connection id="8700" xr16:uid="{00000000-0015-0000-FFFF-FFFF79180000}" name="接続5476" type="7" refreshedVersion="4"/>
  <connection id="8701" xr16:uid="{00000000-0015-0000-FFFF-FFFF7A180000}" name="接続5477" type="7" refreshedVersion="4"/>
  <connection id="8702" xr16:uid="{00000000-0015-0000-FFFF-FFFF7B180000}" name="接続5478" type="7" refreshedVersion="4"/>
  <connection id="8703" xr16:uid="{00000000-0015-0000-FFFF-FFFF7C180000}" name="接続5479" type="7" refreshedVersion="4"/>
  <connection id="8704" xr16:uid="{00000000-0015-0000-FFFF-FFFF7D180000}" name="接続548" type="7" refreshedVersion="4"/>
  <connection id="8705" xr16:uid="{00000000-0015-0000-FFFF-FFFF7E180000}" name="接続5480" type="7" refreshedVersion="4"/>
  <connection id="8706" xr16:uid="{00000000-0015-0000-FFFF-FFFF7F180000}" name="接続5481" type="7" refreshedVersion="4"/>
  <connection id="8707" xr16:uid="{00000000-0015-0000-FFFF-FFFF80180000}" name="接続5482" type="7" refreshedVersion="4"/>
  <connection id="8708" xr16:uid="{00000000-0015-0000-FFFF-FFFF81180000}" name="接続5483" type="7" refreshedVersion="4"/>
  <connection id="8709" xr16:uid="{00000000-0015-0000-FFFF-FFFF82180000}" name="接続5484" type="7" refreshedVersion="4"/>
  <connection id="8710" xr16:uid="{00000000-0015-0000-FFFF-FFFF83180000}" name="接続5485" type="7" refreshedVersion="4"/>
  <connection id="8711" xr16:uid="{00000000-0015-0000-FFFF-FFFF84180000}" name="接続5486" type="7" refreshedVersion="4"/>
  <connection id="8712" xr16:uid="{00000000-0015-0000-FFFF-FFFF85180000}" name="接続5487" type="7" refreshedVersion="4"/>
  <connection id="8713" xr16:uid="{00000000-0015-0000-FFFF-FFFF86180000}" name="接続5488" type="7" refreshedVersion="4"/>
  <connection id="8714" xr16:uid="{00000000-0015-0000-FFFF-FFFF87180000}" name="接続5489" type="7" refreshedVersion="4"/>
  <connection id="8715" xr16:uid="{00000000-0015-0000-FFFF-FFFF88180000}" name="接続549" type="7" refreshedVersion="4"/>
  <connection id="8716" xr16:uid="{00000000-0015-0000-FFFF-FFFF89180000}" name="接続5490" type="7" refreshedVersion="4"/>
  <connection id="8717" xr16:uid="{00000000-0015-0000-FFFF-FFFF8A180000}" name="接続5491" type="7" refreshedVersion="4"/>
  <connection id="8718" xr16:uid="{00000000-0015-0000-FFFF-FFFF8B180000}" name="接続5492" type="7" refreshedVersion="4"/>
  <connection id="8719" xr16:uid="{00000000-0015-0000-FFFF-FFFF8C180000}" name="接続5493" type="7" refreshedVersion="4"/>
  <connection id="8720" xr16:uid="{00000000-0015-0000-FFFF-FFFF8D180000}" name="接続5494" type="7" refreshedVersion="4"/>
  <connection id="8721" xr16:uid="{00000000-0015-0000-FFFF-FFFF8E180000}" name="接続5495" type="7" refreshedVersion="4"/>
  <connection id="8722" xr16:uid="{00000000-0015-0000-FFFF-FFFF8F180000}" name="接続5496" type="7" refreshedVersion="4"/>
  <connection id="8723" xr16:uid="{00000000-0015-0000-FFFF-FFFF90180000}" name="接続5497" type="7" refreshedVersion="4"/>
  <connection id="8724" xr16:uid="{00000000-0015-0000-FFFF-FFFF91180000}" name="接続5498" type="7" refreshedVersion="4"/>
  <connection id="8725" xr16:uid="{00000000-0015-0000-FFFF-FFFF92180000}" name="接続5499" type="7" refreshedVersion="4"/>
  <connection id="8726" xr16:uid="{00000000-0015-0000-FFFF-FFFF93180000}" name="接続55" type="7" refreshedVersion="4"/>
  <connection id="8727" xr16:uid="{00000000-0015-0000-FFFF-FFFF94180000}" name="接続550" type="7" refreshedVersion="4"/>
  <connection id="8728" xr16:uid="{00000000-0015-0000-FFFF-FFFF95180000}" name="接続5500" type="7" refreshedVersion="4"/>
  <connection id="8729" xr16:uid="{00000000-0015-0000-FFFF-FFFF96180000}" name="接続5501" type="7" refreshedVersion="4"/>
  <connection id="8730" xr16:uid="{00000000-0015-0000-FFFF-FFFF97180000}" name="接続5502" type="7" refreshedVersion="4"/>
  <connection id="8731" xr16:uid="{00000000-0015-0000-FFFF-FFFF98180000}" name="接続5503" type="7" refreshedVersion="4"/>
  <connection id="8732" xr16:uid="{00000000-0015-0000-FFFF-FFFF99180000}" name="接続5504" type="7" refreshedVersion="4"/>
  <connection id="8733" xr16:uid="{00000000-0015-0000-FFFF-FFFF9A180000}" name="接続5505" type="7" refreshedVersion="4"/>
  <connection id="8734" xr16:uid="{00000000-0015-0000-FFFF-FFFF9B180000}" name="接続5506" type="7" refreshedVersion="4"/>
  <connection id="8735" xr16:uid="{00000000-0015-0000-FFFF-FFFF9C180000}" name="接続5507" type="7" refreshedVersion="4"/>
  <connection id="8736" xr16:uid="{00000000-0015-0000-FFFF-FFFF9D180000}" name="接続5508" type="7" refreshedVersion="4"/>
  <connection id="8737" xr16:uid="{00000000-0015-0000-FFFF-FFFF9E180000}" name="接続5509" type="7" refreshedVersion="4"/>
  <connection id="8738" xr16:uid="{00000000-0015-0000-FFFF-FFFF9F180000}" name="接続551" type="7" refreshedVersion="4"/>
  <connection id="8739" xr16:uid="{00000000-0015-0000-FFFF-FFFFA0180000}" name="接続5510" type="7" refreshedVersion="4"/>
  <connection id="8740" xr16:uid="{00000000-0015-0000-FFFF-FFFFA1180000}" name="接続5511" type="7" refreshedVersion="4"/>
  <connection id="8741" xr16:uid="{00000000-0015-0000-FFFF-FFFFA2180000}" name="接続5512" type="7" refreshedVersion="4"/>
  <connection id="8742" xr16:uid="{00000000-0015-0000-FFFF-FFFFA3180000}" name="接続5513" type="7" refreshedVersion="4"/>
  <connection id="8743" xr16:uid="{00000000-0015-0000-FFFF-FFFFA4180000}" name="接続5514" type="7" refreshedVersion="4"/>
  <connection id="8744" xr16:uid="{00000000-0015-0000-FFFF-FFFFA5180000}" name="接続5515" type="7" refreshedVersion="4"/>
  <connection id="8745" xr16:uid="{00000000-0015-0000-FFFF-FFFFA6180000}" name="接続5516" type="7" refreshedVersion="4"/>
  <connection id="8746" xr16:uid="{00000000-0015-0000-FFFF-FFFFA7180000}" name="接続5517" type="7" refreshedVersion="4"/>
  <connection id="8747" xr16:uid="{00000000-0015-0000-FFFF-FFFFA8180000}" name="接続5518" type="7" refreshedVersion="4"/>
  <connection id="8748" xr16:uid="{00000000-0015-0000-FFFF-FFFFA9180000}" name="接続5519" type="7" refreshedVersion="4"/>
  <connection id="8749" xr16:uid="{00000000-0015-0000-FFFF-FFFFAA180000}" name="接続552" type="7" refreshedVersion="4"/>
  <connection id="8750" xr16:uid="{00000000-0015-0000-FFFF-FFFFAB180000}" name="接続5520" type="7" refreshedVersion="4"/>
  <connection id="8751" xr16:uid="{00000000-0015-0000-FFFF-FFFFAC180000}" name="接続5521" type="7" refreshedVersion="4"/>
  <connection id="8752" xr16:uid="{00000000-0015-0000-FFFF-FFFFAD180000}" name="接続5522" type="7" refreshedVersion="4"/>
  <connection id="8753" xr16:uid="{00000000-0015-0000-FFFF-FFFFAE180000}" name="接続5523" type="7" refreshedVersion="4"/>
  <connection id="8754" xr16:uid="{00000000-0015-0000-FFFF-FFFFAF180000}" name="接続5524" type="7" refreshedVersion="4"/>
  <connection id="8755" xr16:uid="{00000000-0015-0000-FFFF-FFFFB0180000}" name="接続5525" type="7" refreshedVersion="4"/>
  <connection id="8756" xr16:uid="{00000000-0015-0000-FFFF-FFFFB1180000}" name="接続5526" type="7" refreshedVersion="4"/>
  <connection id="8757" xr16:uid="{00000000-0015-0000-FFFF-FFFFB2180000}" name="接続5527" type="7" refreshedVersion="4"/>
  <connection id="8758" xr16:uid="{00000000-0015-0000-FFFF-FFFFB3180000}" name="接続5528" type="7" refreshedVersion="4"/>
  <connection id="8759" xr16:uid="{00000000-0015-0000-FFFF-FFFFB4180000}" name="接続5529" type="7" refreshedVersion="4"/>
  <connection id="8760" xr16:uid="{00000000-0015-0000-FFFF-FFFFB5180000}" name="接続553" type="7" refreshedVersion="4"/>
  <connection id="8761" xr16:uid="{00000000-0015-0000-FFFF-FFFFB6180000}" name="接続5530" type="7" refreshedVersion="4"/>
  <connection id="8762" xr16:uid="{00000000-0015-0000-FFFF-FFFFB7180000}" name="接続5531" type="7" refreshedVersion="4"/>
  <connection id="8763" xr16:uid="{00000000-0015-0000-FFFF-FFFFB8180000}" name="接続5532" type="7" refreshedVersion="4"/>
  <connection id="8764" xr16:uid="{00000000-0015-0000-FFFF-FFFFB9180000}" name="接続5533" type="7" refreshedVersion="4"/>
  <connection id="8765" xr16:uid="{00000000-0015-0000-FFFF-FFFFBA180000}" name="接続5534" type="7" refreshedVersion="4"/>
  <connection id="8766" xr16:uid="{00000000-0015-0000-FFFF-FFFFBB180000}" name="接続5535" type="7" refreshedVersion="4"/>
  <connection id="8767" xr16:uid="{00000000-0015-0000-FFFF-FFFFBC180000}" name="接続5536" type="7" refreshedVersion="4"/>
  <connection id="8768" xr16:uid="{00000000-0015-0000-FFFF-FFFFBD180000}" name="接続5537" type="7" refreshedVersion="4"/>
  <connection id="8769" xr16:uid="{00000000-0015-0000-FFFF-FFFFBE180000}" name="接続5538" type="7" refreshedVersion="4"/>
  <connection id="8770" xr16:uid="{00000000-0015-0000-FFFF-FFFFBF180000}" name="接続5539" type="7" refreshedVersion="4"/>
  <connection id="8771" xr16:uid="{00000000-0015-0000-FFFF-FFFFC0180000}" name="接続554" type="7" refreshedVersion="4"/>
  <connection id="8772" xr16:uid="{00000000-0015-0000-FFFF-FFFFC1180000}" name="接続5540" type="7" refreshedVersion="4"/>
  <connection id="8773" xr16:uid="{00000000-0015-0000-FFFF-FFFFC2180000}" name="接続5541" type="7" refreshedVersion="4"/>
  <connection id="8774" xr16:uid="{00000000-0015-0000-FFFF-FFFFC3180000}" name="接続5542" type="7" refreshedVersion="4"/>
  <connection id="8775" xr16:uid="{00000000-0015-0000-FFFF-FFFFC4180000}" name="接続5543" type="7" refreshedVersion="4"/>
  <connection id="8776" xr16:uid="{00000000-0015-0000-FFFF-FFFFC5180000}" name="接続5544" type="7" refreshedVersion="4"/>
  <connection id="8777" xr16:uid="{00000000-0015-0000-FFFF-FFFFC6180000}" name="接続5545" type="7" refreshedVersion="4"/>
  <connection id="8778" xr16:uid="{00000000-0015-0000-FFFF-FFFFC7180000}" name="接続5546" type="7" refreshedVersion="4"/>
  <connection id="8779" xr16:uid="{00000000-0015-0000-FFFF-FFFFC8180000}" name="接続5547" type="7" refreshedVersion="4"/>
  <connection id="8780" xr16:uid="{00000000-0015-0000-FFFF-FFFFC9180000}" name="接続5548" type="7" refreshedVersion="4"/>
  <connection id="8781" xr16:uid="{00000000-0015-0000-FFFF-FFFFCA180000}" name="接続5549" type="7" refreshedVersion="4"/>
  <connection id="8782" xr16:uid="{00000000-0015-0000-FFFF-FFFFCB180000}" name="接続555" type="7" refreshedVersion="4"/>
  <connection id="8783" xr16:uid="{00000000-0015-0000-FFFF-FFFFCC180000}" name="接続5550" type="7" refreshedVersion="4"/>
  <connection id="8784" xr16:uid="{00000000-0015-0000-FFFF-FFFFCD180000}" name="接続5551" type="7" refreshedVersion="4"/>
  <connection id="8785" xr16:uid="{00000000-0015-0000-FFFF-FFFFCE180000}" name="接続5552" type="7" refreshedVersion="4"/>
  <connection id="8786" xr16:uid="{00000000-0015-0000-FFFF-FFFFCF180000}" name="接続5553" type="7" refreshedVersion="4"/>
  <connection id="8787" xr16:uid="{00000000-0015-0000-FFFF-FFFFD0180000}" name="接続5554" type="7" refreshedVersion="4"/>
  <connection id="8788" xr16:uid="{00000000-0015-0000-FFFF-FFFFD1180000}" name="接続5555" type="7" refreshedVersion="4"/>
  <connection id="8789" xr16:uid="{00000000-0015-0000-FFFF-FFFFD2180000}" name="接続5556" type="7" refreshedVersion="4"/>
  <connection id="8790" xr16:uid="{00000000-0015-0000-FFFF-FFFFD3180000}" name="接続5557" type="7" refreshedVersion="4"/>
  <connection id="8791" xr16:uid="{00000000-0015-0000-FFFF-FFFFD4180000}" name="接続5558" type="7" refreshedVersion="4"/>
  <connection id="8792" xr16:uid="{00000000-0015-0000-FFFF-FFFFD5180000}" name="接続5559" type="7" refreshedVersion="4"/>
  <connection id="8793" xr16:uid="{00000000-0015-0000-FFFF-FFFFD6180000}" name="接続556" type="7" refreshedVersion="4"/>
  <connection id="8794" xr16:uid="{00000000-0015-0000-FFFF-FFFFD7180000}" name="接続5560" type="7" refreshedVersion="4"/>
  <connection id="8795" xr16:uid="{00000000-0015-0000-FFFF-FFFFD8180000}" name="接続5561" type="7" refreshedVersion="4"/>
  <connection id="8796" xr16:uid="{00000000-0015-0000-FFFF-FFFFD9180000}" name="接続5562" type="7" refreshedVersion="4"/>
  <connection id="8797" xr16:uid="{00000000-0015-0000-FFFF-FFFFDA180000}" name="接続5563" type="7" refreshedVersion="4"/>
  <connection id="8798" xr16:uid="{00000000-0015-0000-FFFF-FFFFDB180000}" name="接続5564" type="7" refreshedVersion="4"/>
  <connection id="8799" xr16:uid="{00000000-0015-0000-FFFF-FFFFDC180000}" name="接続5565" type="7" refreshedVersion="4"/>
  <connection id="8800" xr16:uid="{00000000-0015-0000-FFFF-FFFFDD180000}" name="接続5566" type="7" refreshedVersion="4"/>
  <connection id="8801" xr16:uid="{00000000-0015-0000-FFFF-FFFFDE180000}" name="接続5567" type="7" refreshedVersion="4"/>
  <connection id="8802" xr16:uid="{00000000-0015-0000-FFFF-FFFFDF180000}" name="接続5568" type="7" refreshedVersion="4"/>
  <connection id="8803" xr16:uid="{00000000-0015-0000-FFFF-FFFFE0180000}" name="接続5569" type="7" refreshedVersion="4"/>
  <connection id="8804" xr16:uid="{00000000-0015-0000-FFFF-FFFFE1180000}" name="接続557" type="7" refreshedVersion="4"/>
  <connection id="8805" xr16:uid="{00000000-0015-0000-FFFF-FFFFE2180000}" name="接続5570" type="7" refreshedVersion="4"/>
  <connection id="8806" xr16:uid="{00000000-0015-0000-FFFF-FFFFE3180000}" name="接続5571" type="7" refreshedVersion="4"/>
  <connection id="8807" xr16:uid="{00000000-0015-0000-FFFF-FFFFE4180000}" name="接続5572" type="7" refreshedVersion="4"/>
  <connection id="8808" xr16:uid="{00000000-0015-0000-FFFF-FFFFE5180000}" name="接続5573" type="7" refreshedVersion="4"/>
  <connection id="8809" xr16:uid="{00000000-0015-0000-FFFF-FFFFE6180000}" name="接続5574" type="7" refreshedVersion="4"/>
  <connection id="8810" xr16:uid="{00000000-0015-0000-FFFF-FFFFE7180000}" name="接続5575" type="7" refreshedVersion="4"/>
  <connection id="8811" xr16:uid="{00000000-0015-0000-FFFF-FFFFE8180000}" name="接続5576" type="7" refreshedVersion="4"/>
  <connection id="8812" xr16:uid="{00000000-0015-0000-FFFF-FFFFE9180000}" name="接続5577" type="7" refreshedVersion="4"/>
  <connection id="8813" xr16:uid="{00000000-0015-0000-FFFF-FFFFEA180000}" name="接続5578" type="7" refreshedVersion="4"/>
  <connection id="8814" xr16:uid="{00000000-0015-0000-FFFF-FFFFEB180000}" name="接続5579" type="7" refreshedVersion="4"/>
  <connection id="8815" xr16:uid="{00000000-0015-0000-FFFF-FFFFEC180000}" name="接続558" type="7" refreshedVersion="4"/>
  <connection id="8816" xr16:uid="{00000000-0015-0000-FFFF-FFFFED180000}" name="接続5580" type="7" refreshedVersion="4"/>
  <connection id="8817" xr16:uid="{00000000-0015-0000-FFFF-FFFFEE180000}" name="接続5581" type="7" refreshedVersion="4"/>
  <connection id="8818" xr16:uid="{00000000-0015-0000-FFFF-FFFFEF180000}" name="接続5582" type="7" refreshedVersion="4"/>
  <connection id="8819" xr16:uid="{00000000-0015-0000-FFFF-FFFFF0180000}" name="接続5583" type="7" refreshedVersion="4"/>
  <connection id="8820" xr16:uid="{00000000-0015-0000-FFFF-FFFFF1180000}" name="接続5584" type="7" refreshedVersion="4"/>
  <connection id="8821" xr16:uid="{00000000-0015-0000-FFFF-FFFFF2180000}" name="接続5585" type="7" refreshedVersion="4"/>
  <connection id="8822" xr16:uid="{00000000-0015-0000-FFFF-FFFFF3180000}" name="接続5586" type="7" refreshedVersion="4"/>
  <connection id="8823" xr16:uid="{00000000-0015-0000-FFFF-FFFFF4180000}" name="接続5587" type="7" refreshedVersion="4"/>
  <connection id="8824" xr16:uid="{00000000-0015-0000-FFFF-FFFFF5180000}" name="接続5588" type="7" refreshedVersion="4"/>
  <connection id="8825" xr16:uid="{00000000-0015-0000-FFFF-FFFFF6180000}" name="接続5589" type="7" refreshedVersion="4"/>
  <connection id="8826" xr16:uid="{00000000-0015-0000-FFFF-FFFFF7180000}" name="接続559" type="7" refreshedVersion="4"/>
  <connection id="8827" xr16:uid="{00000000-0015-0000-FFFF-FFFFF8180000}" name="接続5590" type="7" refreshedVersion="4"/>
  <connection id="8828" xr16:uid="{00000000-0015-0000-FFFF-FFFFF9180000}" name="接続5591" type="7" refreshedVersion="4"/>
  <connection id="8829" xr16:uid="{00000000-0015-0000-FFFF-FFFFFA180000}" name="接続5592" type="7" refreshedVersion="4"/>
  <connection id="8830" xr16:uid="{00000000-0015-0000-FFFF-FFFFFB180000}" name="接続5593" type="7" refreshedVersion="4"/>
  <connection id="8831" xr16:uid="{00000000-0015-0000-FFFF-FFFFFC180000}" name="接続5594" type="7" refreshedVersion="4"/>
  <connection id="8832" xr16:uid="{00000000-0015-0000-FFFF-FFFFFD180000}" name="接続5595" type="7" refreshedVersion="4"/>
  <connection id="8833" xr16:uid="{00000000-0015-0000-FFFF-FFFFFE180000}" name="接続5596" type="7" refreshedVersion="4"/>
  <connection id="8834" xr16:uid="{00000000-0015-0000-FFFF-FFFFFF180000}" name="接続5597" type="7" refreshedVersion="4"/>
  <connection id="8835" xr16:uid="{00000000-0015-0000-FFFF-FFFF00190000}" name="接続5598" type="7" refreshedVersion="4"/>
  <connection id="8836" xr16:uid="{00000000-0015-0000-FFFF-FFFF01190000}" name="接続5599" type="7" refreshedVersion="4"/>
  <connection id="8837" xr16:uid="{00000000-0015-0000-FFFF-FFFF02190000}" name="接続56" type="7" refreshedVersion="4"/>
  <connection id="8838" xr16:uid="{00000000-0015-0000-FFFF-FFFF03190000}" name="接続560" type="7" refreshedVersion="4"/>
  <connection id="8839" xr16:uid="{00000000-0015-0000-FFFF-FFFF04190000}" name="接続5600" type="7" refreshedVersion="4"/>
  <connection id="8840" xr16:uid="{00000000-0015-0000-FFFF-FFFF05190000}" name="接続5601" type="7" refreshedVersion="4"/>
  <connection id="8841" xr16:uid="{00000000-0015-0000-FFFF-FFFF06190000}" name="接続5602" type="7" refreshedVersion="4"/>
  <connection id="8842" xr16:uid="{00000000-0015-0000-FFFF-FFFF07190000}" name="接続5603" type="7" refreshedVersion="4"/>
  <connection id="8843" xr16:uid="{00000000-0015-0000-FFFF-FFFF08190000}" name="接続5604" type="7" refreshedVersion="4"/>
  <connection id="8844" xr16:uid="{00000000-0015-0000-FFFF-FFFF09190000}" name="接続5605" type="7" refreshedVersion="4"/>
  <connection id="8845" xr16:uid="{00000000-0015-0000-FFFF-FFFF0A190000}" name="接続5606" type="7" refreshedVersion="4"/>
  <connection id="8846" xr16:uid="{00000000-0015-0000-FFFF-FFFF0B190000}" name="接続5607" type="7" refreshedVersion="4"/>
  <connection id="8847" xr16:uid="{00000000-0015-0000-FFFF-FFFF0C190000}" name="接続5608" type="7" refreshedVersion="4"/>
  <connection id="8848" xr16:uid="{00000000-0015-0000-FFFF-FFFF0D190000}" name="接続5609" type="7" refreshedVersion="4"/>
  <connection id="8849" xr16:uid="{00000000-0015-0000-FFFF-FFFF0E190000}" name="接続561" type="7" refreshedVersion="4"/>
  <connection id="8850" xr16:uid="{00000000-0015-0000-FFFF-FFFF0F190000}" name="接続5610" type="7" refreshedVersion="4"/>
  <connection id="8851" xr16:uid="{00000000-0015-0000-FFFF-FFFF10190000}" name="接続5611" type="7" refreshedVersion="4"/>
  <connection id="8852" xr16:uid="{00000000-0015-0000-FFFF-FFFF11190000}" name="接続5612" type="7" refreshedVersion="4"/>
  <connection id="8853" xr16:uid="{00000000-0015-0000-FFFF-FFFF12190000}" name="接続5613" type="7" refreshedVersion="4"/>
  <connection id="8854" xr16:uid="{00000000-0015-0000-FFFF-FFFF13190000}" name="接続5614" type="7" refreshedVersion="4"/>
  <connection id="8855" xr16:uid="{00000000-0015-0000-FFFF-FFFF14190000}" name="接続5615" type="7" refreshedVersion="4"/>
  <connection id="8856" xr16:uid="{00000000-0015-0000-FFFF-FFFF15190000}" name="接続5616" type="7" refreshedVersion="4"/>
  <connection id="8857" xr16:uid="{00000000-0015-0000-FFFF-FFFF16190000}" name="接続5617" type="7" refreshedVersion="4"/>
  <connection id="8858" xr16:uid="{00000000-0015-0000-FFFF-FFFF17190000}" name="接続5618" type="7" refreshedVersion="4"/>
  <connection id="8859" xr16:uid="{00000000-0015-0000-FFFF-FFFF18190000}" name="接続5619" type="7" refreshedVersion="4"/>
  <connection id="8860" xr16:uid="{00000000-0015-0000-FFFF-FFFF19190000}" name="接続562" type="7" refreshedVersion="4"/>
  <connection id="8861" xr16:uid="{00000000-0015-0000-FFFF-FFFF1A190000}" name="接続5620" type="7" refreshedVersion="4"/>
  <connection id="8862" xr16:uid="{00000000-0015-0000-FFFF-FFFF1B190000}" name="接続5621" type="7" refreshedVersion="4"/>
  <connection id="8863" xr16:uid="{00000000-0015-0000-FFFF-FFFF1C190000}" name="接続5622" type="7" refreshedVersion="4"/>
  <connection id="8864" xr16:uid="{00000000-0015-0000-FFFF-FFFF1D190000}" name="接続5623" type="7" refreshedVersion="4"/>
  <connection id="8865" xr16:uid="{00000000-0015-0000-FFFF-FFFF1E190000}" name="接続5624" type="7" refreshedVersion="4"/>
  <connection id="8866" xr16:uid="{00000000-0015-0000-FFFF-FFFF1F190000}" name="接続5625" type="7" refreshedVersion="4"/>
  <connection id="8867" xr16:uid="{00000000-0015-0000-FFFF-FFFF20190000}" name="接続5626" type="7" refreshedVersion="4"/>
  <connection id="8868" xr16:uid="{00000000-0015-0000-FFFF-FFFF21190000}" name="接続5627" type="7" refreshedVersion="4"/>
  <connection id="8869" xr16:uid="{00000000-0015-0000-FFFF-FFFF22190000}" name="接続5628" type="7" refreshedVersion="4"/>
  <connection id="8870" xr16:uid="{00000000-0015-0000-FFFF-FFFF23190000}" name="接続5629" type="7" refreshedVersion="4"/>
  <connection id="8871" xr16:uid="{00000000-0015-0000-FFFF-FFFF24190000}" name="接続563" type="7" refreshedVersion="4"/>
  <connection id="8872" xr16:uid="{00000000-0015-0000-FFFF-FFFF25190000}" name="接続5630" type="7" refreshedVersion="4"/>
  <connection id="8873" xr16:uid="{00000000-0015-0000-FFFF-FFFF26190000}" name="接続5631" type="7" refreshedVersion="4"/>
  <connection id="8874" xr16:uid="{00000000-0015-0000-FFFF-FFFF27190000}" name="接続5632" type="7" refreshedVersion="4"/>
  <connection id="8875" xr16:uid="{00000000-0015-0000-FFFF-FFFF28190000}" name="接続5633" type="7" refreshedVersion="4"/>
  <connection id="8876" xr16:uid="{00000000-0015-0000-FFFF-FFFF29190000}" name="接続5634" type="7" refreshedVersion="4"/>
  <connection id="8877" xr16:uid="{00000000-0015-0000-FFFF-FFFF2A190000}" name="接続5635" type="7" refreshedVersion="4"/>
  <connection id="8878" xr16:uid="{00000000-0015-0000-FFFF-FFFF2B190000}" name="接続5636" type="7" refreshedVersion="4"/>
  <connection id="8879" xr16:uid="{00000000-0015-0000-FFFF-FFFF2C190000}" name="接続5637" type="7" refreshedVersion="4"/>
  <connection id="8880" xr16:uid="{00000000-0015-0000-FFFF-FFFF2D190000}" name="接続5638" type="7" refreshedVersion="4"/>
  <connection id="8881" xr16:uid="{00000000-0015-0000-FFFF-FFFF2E190000}" name="接続5639" type="7" refreshedVersion="4"/>
  <connection id="8882" xr16:uid="{00000000-0015-0000-FFFF-FFFF2F190000}" name="接続564" type="7" refreshedVersion="4"/>
  <connection id="8883" xr16:uid="{00000000-0015-0000-FFFF-FFFF30190000}" name="接続5640" type="7" refreshedVersion="4"/>
  <connection id="8884" xr16:uid="{00000000-0015-0000-FFFF-FFFF31190000}" name="接続5641" type="7" refreshedVersion="4"/>
  <connection id="8885" xr16:uid="{00000000-0015-0000-FFFF-FFFF32190000}" name="接続5642" type="7" refreshedVersion="4"/>
  <connection id="8886" xr16:uid="{00000000-0015-0000-FFFF-FFFF33190000}" name="接続5643" type="7" refreshedVersion="4"/>
  <connection id="8887" xr16:uid="{00000000-0015-0000-FFFF-FFFF34190000}" name="接続5644" type="7" refreshedVersion="4"/>
  <connection id="8888" xr16:uid="{00000000-0015-0000-FFFF-FFFF35190000}" name="接続5645" type="7" refreshedVersion="4"/>
  <connection id="8889" xr16:uid="{00000000-0015-0000-FFFF-FFFF36190000}" name="接続5646" type="7" refreshedVersion="4"/>
  <connection id="8890" xr16:uid="{00000000-0015-0000-FFFF-FFFF37190000}" name="接続5647" type="7" refreshedVersion="4"/>
  <connection id="8891" xr16:uid="{00000000-0015-0000-FFFF-FFFF38190000}" name="接続5648" type="7" refreshedVersion="4"/>
  <connection id="8892" xr16:uid="{00000000-0015-0000-FFFF-FFFF39190000}" name="接続5649" type="7" refreshedVersion="4"/>
  <connection id="8893" xr16:uid="{00000000-0015-0000-FFFF-FFFF3A190000}" name="接続565" type="7" refreshedVersion="4"/>
  <connection id="8894" xr16:uid="{00000000-0015-0000-FFFF-FFFF3B190000}" name="接続5650" type="7" refreshedVersion="4"/>
  <connection id="8895" xr16:uid="{00000000-0015-0000-FFFF-FFFF3C190000}" name="接続5651" type="7" refreshedVersion="4"/>
  <connection id="8896" xr16:uid="{00000000-0015-0000-FFFF-FFFF3D190000}" name="接続5652" type="7" refreshedVersion="4"/>
  <connection id="8897" xr16:uid="{00000000-0015-0000-FFFF-FFFF3E190000}" name="接続5653" type="7" refreshedVersion="4"/>
  <connection id="8898" xr16:uid="{00000000-0015-0000-FFFF-FFFF3F190000}" name="接続5654" type="7" refreshedVersion="4"/>
  <connection id="8899" xr16:uid="{00000000-0015-0000-FFFF-FFFF40190000}" name="接続5655" type="7" refreshedVersion="4"/>
  <connection id="8900" xr16:uid="{00000000-0015-0000-FFFF-FFFF41190000}" name="接続5656" type="7" refreshedVersion="4"/>
  <connection id="8901" xr16:uid="{00000000-0015-0000-FFFF-FFFF42190000}" name="接続5657" type="7" refreshedVersion="4"/>
  <connection id="8902" xr16:uid="{00000000-0015-0000-FFFF-FFFF43190000}" name="接続5658" type="7" refreshedVersion="4"/>
  <connection id="8903" xr16:uid="{00000000-0015-0000-FFFF-FFFF44190000}" name="接続5659" type="7" refreshedVersion="4"/>
  <connection id="8904" xr16:uid="{00000000-0015-0000-FFFF-FFFF45190000}" name="接続566" type="7" refreshedVersion="4"/>
  <connection id="8905" xr16:uid="{00000000-0015-0000-FFFF-FFFF46190000}" name="接続5660" type="7" refreshedVersion="4"/>
  <connection id="8906" xr16:uid="{00000000-0015-0000-FFFF-FFFF47190000}" name="接続5661" type="7" refreshedVersion="4"/>
  <connection id="8907" xr16:uid="{00000000-0015-0000-FFFF-FFFF48190000}" name="接続5662" type="7" refreshedVersion="4"/>
  <connection id="8908" xr16:uid="{00000000-0015-0000-FFFF-FFFF49190000}" name="接続5663" type="7" refreshedVersion="4"/>
  <connection id="8909" xr16:uid="{00000000-0015-0000-FFFF-FFFF4A190000}" name="接続5664" type="7" refreshedVersion="4"/>
  <connection id="8910" xr16:uid="{00000000-0015-0000-FFFF-FFFF4B190000}" name="接続5665" type="7" refreshedVersion="4"/>
  <connection id="8911" xr16:uid="{00000000-0015-0000-FFFF-FFFF4C190000}" name="接続5666" type="7" refreshedVersion="4"/>
  <connection id="8912" xr16:uid="{00000000-0015-0000-FFFF-FFFF4D190000}" name="接続5667" type="7" refreshedVersion="4"/>
  <connection id="8913" xr16:uid="{00000000-0015-0000-FFFF-FFFF4E190000}" name="接続5668" type="7" refreshedVersion="4"/>
  <connection id="8914" xr16:uid="{00000000-0015-0000-FFFF-FFFF4F190000}" name="接続5669" type="7" refreshedVersion="4"/>
  <connection id="8915" xr16:uid="{00000000-0015-0000-FFFF-FFFF50190000}" name="接続567" type="7" refreshedVersion="4"/>
  <connection id="8916" xr16:uid="{00000000-0015-0000-FFFF-FFFF51190000}" name="接続5670" type="7" refreshedVersion="4"/>
  <connection id="8917" xr16:uid="{00000000-0015-0000-FFFF-FFFF52190000}" name="接続5671" type="7" refreshedVersion="4"/>
  <connection id="8918" xr16:uid="{00000000-0015-0000-FFFF-FFFF53190000}" name="接続5672" type="7" refreshedVersion="4"/>
  <connection id="8919" xr16:uid="{00000000-0015-0000-FFFF-FFFF54190000}" name="接続5673" type="7" refreshedVersion="4"/>
  <connection id="8920" xr16:uid="{00000000-0015-0000-FFFF-FFFF55190000}" name="接続5674" type="7" refreshedVersion="4"/>
  <connection id="8921" xr16:uid="{00000000-0015-0000-FFFF-FFFF56190000}" name="接続5675" type="7" refreshedVersion="4"/>
  <connection id="8922" xr16:uid="{00000000-0015-0000-FFFF-FFFF57190000}" name="接続5676" type="7" refreshedVersion="4"/>
  <connection id="8923" xr16:uid="{00000000-0015-0000-FFFF-FFFF58190000}" name="接続5677" type="7" refreshedVersion="4"/>
  <connection id="8924" xr16:uid="{00000000-0015-0000-FFFF-FFFF59190000}" name="接続5678" type="7" refreshedVersion="4"/>
  <connection id="8925" xr16:uid="{00000000-0015-0000-FFFF-FFFF5A190000}" name="接続5679" type="7" refreshedVersion="4"/>
  <connection id="8926" xr16:uid="{00000000-0015-0000-FFFF-FFFF5B190000}" name="接続568" type="7" refreshedVersion="4"/>
  <connection id="8927" xr16:uid="{00000000-0015-0000-FFFF-FFFF5C190000}" name="接続5680" type="7" refreshedVersion="4"/>
  <connection id="8928" xr16:uid="{00000000-0015-0000-FFFF-FFFF5D190000}" name="接続5681" type="7" refreshedVersion="4"/>
  <connection id="8929" xr16:uid="{00000000-0015-0000-FFFF-FFFF5E190000}" name="接続5682" type="7" refreshedVersion="4"/>
  <connection id="8930" xr16:uid="{00000000-0015-0000-FFFF-FFFF5F190000}" name="接続5683" type="7" refreshedVersion="4"/>
  <connection id="8931" xr16:uid="{00000000-0015-0000-FFFF-FFFF60190000}" name="接続5684" type="7" refreshedVersion="4"/>
  <connection id="8932" xr16:uid="{00000000-0015-0000-FFFF-FFFF61190000}" name="接続5685" type="7" refreshedVersion="4"/>
  <connection id="8933" xr16:uid="{00000000-0015-0000-FFFF-FFFF62190000}" name="接続5686" type="7" refreshedVersion="4"/>
  <connection id="8934" xr16:uid="{00000000-0015-0000-FFFF-FFFF63190000}" name="接続5687" type="7" refreshedVersion="4"/>
  <connection id="8935" xr16:uid="{00000000-0015-0000-FFFF-FFFF64190000}" name="接続5688" type="7" refreshedVersion="4"/>
  <connection id="8936" xr16:uid="{00000000-0015-0000-FFFF-FFFF65190000}" name="接続5689" type="7" refreshedVersion="4"/>
  <connection id="8937" xr16:uid="{00000000-0015-0000-FFFF-FFFF66190000}" name="接続569" type="7" refreshedVersion="4"/>
  <connection id="8938" xr16:uid="{00000000-0015-0000-FFFF-FFFF67190000}" name="接続5690" type="7" refreshedVersion="4"/>
  <connection id="8939" xr16:uid="{00000000-0015-0000-FFFF-FFFF68190000}" name="接続5691" type="7" refreshedVersion="4"/>
  <connection id="8940" xr16:uid="{00000000-0015-0000-FFFF-FFFF69190000}" name="接続5692" type="7" refreshedVersion="4"/>
  <connection id="8941" xr16:uid="{00000000-0015-0000-FFFF-FFFF6A190000}" name="接続5693" type="7" refreshedVersion="4"/>
  <connection id="8942" xr16:uid="{00000000-0015-0000-FFFF-FFFF6B190000}" name="接続5694" type="7" refreshedVersion="4"/>
  <connection id="8943" xr16:uid="{00000000-0015-0000-FFFF-FFFF6C190000}" name="接続5695" type="7" refreshedVersion="4"/>
  <connection id="8944" xr16:uid="{00000000-0015-0000-FFFF-FFFF6D190000}" name="接続5696" type="7" refreshedVersion="4"/>
  <connection id="8945" xr16:uid="{00000000-0015-0000-FFFF-FFFF6E190000}" name="接続5697" type="7" refreshedVersion="4"/>
  <connection id="8946" xr16:uid="{00000000-0015-0000-FFFF-FFFF6F190000}" name="接続5698" type="7" refreshedVersion="4"/>
  <connection id="8947" xr16:uid="{00000000-0015-0000-FFFF-FFFF70190000}" name="接続5699" type="7" refreshedVersion="4"/>
  <connection id="8948" xr16:uid="{00000000-0015-0000-FFFF-FFFF71190000}" name="接続57" type="7" refreshedVersion="4"/>
  <connection id="8949" xr16:uid="{00000000-0015-0000-FFFF-FFFF72190000}" name="接続570" type="7" refreshedVersion="4"/>
  <connection id="8950" xr16:uid="{00000000-0015-0000-FFFF-FFFF73190000}" name="接続5700" type="7" refreshedVersion="4"/>
  <connection id="8951" xr16:uid="{00000000-0015-0000-FFFF-FFFF74190000}" name="接続5701" type="7" refreshedVersion="4"/>
  <connection id="8952" xr16:uid="{00000000-0015-0000-FFFF-FFFF75190000}" name="接続5702" type="7" refreshedVersion="4"/>
  <connection id="8953" xr16:uid="{00000000-0015-0000-FFFF-FFFF76190000}" name="接続5703" type="7" refreshedVersion="4"/>
  <connection id="8954" xr16:uid="{00000000-0015-0000-FFFF-FFFF77190000}" name="接続5704" type="7" refreshedVersion="4"/>
  <connection id="8955" xr16:uid="{00000000-0015-0000-FFFF-FFFF78190000}" name="接続5705" type="7" refreshedVersion="4"/>
  <connection id="8956" xr16:uid="{00000000-0015-0000-FFFF-FFFF79190000}" name="接続5706" type="7" refreshedVersion="4"/>
  <connection id="8957" xr16:uid="{00000000-0015-0000-FFFF-FFFF7A190000}" name="接続5707" type="7" refreshedVersion="4"/>
  <connection id="8958" xr16:uid="{00000000-0015-0000-FFFF-FFFF7B190000}" name="接続5708" type="7" refreshedVersion="4"/>
  <connection id="8959" xr16:uid="{00000000-0015-0000-FFFF-FFFF7C190000}" name="接続5709" type="7" refreshedVersion="4"/>
  <connection id="8960" xr16:uid="{00000000-0015-0000-FFFF-FFFF7D190000}" name="接続571" type="7" refreshedVersion="4"/>
  <connection id="8961" xr16:uid="{00000000-0015-0000-FFFF-FFFF7E190000}" name="接続5710" type="7" refreshedVersion="4"/>
  <connection id="8962" xr16:uid="{00000000-0015-0000-FFFF-FFFF7F190000}" name="接続5711" type="7" refreshedVersion="4"/>
  <connection id="8963" xr16:uid="{00000000-0015-0000-FFFF-FFFF80190000}" name="接続5712" type="7" refreshedVersion="4"/>
  <connection id="8964" xr16:uid="{00000000-0015-0000-FFFF-FFFF81190000}" name="接続5713" type="7" refreshedVersion="4"/>
  <connection id="8965" xr16:uid="{00000000-0015-0000-FFFF-FFFF82190000}" name="接続5714" type="7" refreshedVersion="4"/>
  <connection id="8966" xr16:uid="{00000000-0015-0000-FFFF-FFFF83190000}" name="接続5715" type="7" refreshedVersion="4"/>
  <connection id="8967" xr16:uid="{00000000-0015-0000-FFFF-FFFF84190000}" name="接続5716" type="7" refreshedVersion="4"/>
  <connection id="8968" xr16:uid="{00000000-0015-0000-FFFF-FFFF85190000}" name="接続5717" type="7" refreshedVersion="4"/>
  <connection id="8969" xr16:uid="{00000000-0015-0000-FFFF-FFFF86190000}" name="接続5718" type="7" refreshedVersion="4"/>
  <connection id="8970" xr16:uid="{00000000-0015-0000-FFFF-FFFF87190000}" name="接続5719" type="7" refreshedVersion="4"/>
  <connection id="8971" xr16:uid="{00000000-0015-0000-FFFF-FFFF88190000}" name="接続572" type="7" refreshedVersion="4"/>
  <connection id="8972" xr16:uid="{00000000-0015-0000-FFFF-FFFF89190000}" name="接続5720" type="7" refreshedVersion="4"/>
  <connection id="8973" xr16:uid="{00000000-0015-0000-FFFF-FFFF8A190000}" name="接続5721" type="7" refreshedVersion="4"/>
  <connection id="8974" xr16:uid="{00000000-0015-0000-FFFF-FFFF8B190000}" name="接続5722" type="7" refreshedVersion="4"/>
  <connection id="8975" xr16:uid="{00000000-0015-0000-FFFF-FFFF8C190000}" name="接続5723" type="7" refreshedVersion="4"/>
  <connection id="8976" xr16:uid="{00000000-0015-0000-FFFF-FFFF8D190000}" name="接続5724" type="7" refreshedVersion="4"/>
  <connection id="8977" xr16:uid="{00000000-0015-0000-FFFF-FFFF8E190000}" name="接続5725" type="7" refreshedVersion="4"/>
  <connection id="8978" xr16:uid="{00000000-0015-0000-FFFF-FFFF8F190000}" name="接続5726" type="7" refreshedVersion="4"/>
  <connection id="8979" xr16:uid="{00000000-0015-0000-FFFF-FFFF90190000}" name="接続5727" type="7" refreshedVersion="4"/>
  <connection id="8980" xr16:uid="{00000000-0015-0000-FFFF-FFFF91190000}" name="接続5728" type="7" refreshedVersion="4"/>
  <connection id="8981" xr16:uid="{00000000-0015-0000-FFFF-FFFF92190000}" name="接続5729" type="7" refreshedVersion="4"/>
  <connection id="8982" xr16:uid="{00000000-0015-0000-FFFF-FFFF93190000}" name="接続573" type="7" refreshedVersion="4"/>
  <connection id="8983" xr16:uid="{00000000-0015-0000-FFFF-FFFF94190000}" name="接続5730" type="7" refreshedVersion="4"/>
  <connection id="8984" xr16:uid="{00000000-0015-0000-FFFF-FFFF95190000}" name="接続5731" type="7" refreshedVersion="4"/>
  <connection id="8985" xr16:uid="{00000000-0015-0000-FFFF-FFFF96190000}" name="接続5732" type="7" refreshedVersion="4"/>
  <connection id="8986" xr16:uid="{00000000-0015-0000-FFFF-FFFF97190000}" name="接続5733" type="7" refreshedVersion="4"/>
  <connection id="8987" xr16:uid="{00000000-0015-0000-FFFF-FFFF98190000}" name="接続5734" type="7" refreshedVersion="4"/>
  <connection id="8988" xr16:uid="{00000000-0015-0000-FFFF-FFFF99190000}" name="接続5735" type="7" refreshedVersion="4"/>
  <connection id="8989" xr16:uid="{00000000-0015-0000-FFFF-FFFF9A190000}" name="接続5736" type="7" refreshedVersion="4"/>
  <connection id="8990" xr16:uid="{00000000-0015-0000-FFFF-FFFF9B190000}" name="接続5737" type="7" refreshedVersion="4"/>
  <connection id="8991" xr16:uid="{00000000-0015-0000-FFFF-FFFF9C190000}" name="接続5738" type="7" refreshedVersion="4"/>
  <connection id="8992" xr16:uid="{00000000-0015-0000-FFFF-FFFF9D190000}" name="接続5739" type="7" refreshedVersion="4"/>
  <connection id="8993" xr16:uid="{00000000-0015-0000-FFFF-FFFF9E190000}" name="接続574" type="7" refreshedVersion="4"/>
  <connection id="8994" xr16:uid="{00000000-0015-0000-FFFF-FFFF9F190000}" name="接続5740" type="7" refreshedVersion="4"/>
  <connection id="8995" xr16:uid="{00000000-0015-0000-FFFF-FFFFA0190000}" name="接続5741" type="7" refreshedVersion="4"/>
  <connection id="8996" xr16:uid="{00000000-0015-0000-FFFF-FFFFA1190000}" name="接続5742" type="7" refreshedVersion="4"/>
  <connection id="8997" xr16:uid="{00000000-0015-0000-FFFF-FFFFA2190000}" name="接続5743" type="7" refreshedVersion="4"/>
  <connection id="8998" xr16:uid="{00000000-0015-0000-FFFF-FFFFA3190000}" name="接続5744" type="7" refreshedVersion="4"/>
  <connection id="8999" xr16:uid="{00000000-0015-0000-FFFF-FFFFA4190000}" name="接続5745" type="7" refreshedVersion="4"/>
  <connection id="9000" xr16:uid="{00000000-0015-0000-FFFF-FFFFA5190000}" name="接続5746" type="7" refreshedVersion="4"/>
  <connection id="9001" xr16:uid="{00000000-0015-0000-FFFF-FFFFA6190000}" name="接続5747" type="7" refreshedVersion="4"/>
  <connection id="9002" xr16:uid="{00000000-0015-0000-FFFF-FFFFA7190000}" name="接続5748" type="7" refreshedVersion="4"/>
  <connection id="9003" xr16:uid="{00000000-0015-0000-FFFF-FFFFA8190000}" name="接続5749" type="7" refreshedVersion="4"/>
  <connection id="9004" xr16:uid="{00000000-0015-0000-FFFF-FFFFA9190000}" name="接続575" type="7" refreshedVersion="4"/>
  <connection id="9005" xr16:uid="{00000000-0015-0000-FFFF-FFFFAA190000}" name="接続5750" type="7" refreshedVersion="4"/>
  <connection id="9006" xr16:uid="{00000000-0015-0000-FFFF-FFFFAB190000}" name="接続5751" type="7" refreshedVersion="4"/>
  <connection id="9007" xr16:uid="{00000000-0015-0000-FFFF-FFFFAC190000}" name="接続5752" type="7" refreshedVersion="4"/>
  <connection id="9008" xr16:uid="{00000000-0015-0000-FFFF-FFFFAD190000}" name="接続5753" type="7" refreshedVersion="4"/>
  <connection id="9009" xr16:uid="{00000000-0015-0000-FFFF-FFFFAE190000}" name="接続5754" type="7" refreshedVersion="4"/>
  <connection id="9010" xr16:uid="{00000000-0015-0000-FFFF-FFFFAF190000}" name="接続5755" type="7" refreshedVersion="4"/>
  <connection id="9011" xr16:uid="{00000000-0015-0000-FFFF-FFFFB0190000}" name="接続5756" type="7" refreshedVersion="4"/>
  <connection id="9012" xr16:uid="{00000000-0015-0000-FFFF-FFFFB1190000}" name="接続5757" type="7" refreshedVersion="4"/>
  <connection id="9013" xr16:uid="{00000000-0015-0000-FFFF-FFFFB2190000}" name="接続5758" type="7" refreshedVersion="4"/>
  <connection id="9014" xr16:uid="{00000000-0015-0000-FFFF-FFFFB3190000}" name="接続5759" type="7" refreshedVersion="4"/>
  <connection id="9015" xr16:uid="{00000000-0015-0000-FFFF-FFFFB4190000}" name="接続576" type="7" refreshedVersion="4"/>
  <connection id="9016" xr16:uid="{00000000-0015-0000-FFFF-FFFFB5190000}" name="接続5760" type="7" refreshedVersion="4"/>
  <connection id="9017" xr16:uid="{00000000-0015-0000-FFFF-FFFFB6190000}" name="接続5761" type="7" refreshedVersion="4"/>
  <connection id="9018" xr16:uid="{00000000-0015-0000-FFFF-FFFFB7190000}" name="接続5762" type="7" refreshedVersion="4"/>
  <connection id="9019" xr16:uid="{00000000-0015-0000-FFFF-FFFFB8190000}" name="接続5763" type="7" refreshedVersion="4"/>
  <connection id="9020" xr16:uid="{00000000-0015-0000-FFFF-FFFFB9190000}" name="接続5764" type="7" refreshedVersion="4"/>
  <connection id="9021" xr16:uid="{00000000-0015-0000-FFFF-FFFFBA190000}" name="接続5765" type="7" refreshedVersion="4"/>
  <connection id="9022" xr16:uid="{00000000-0015-0000-FFFF-FFFFBB190000}" name="接続5766" type="7" refreshedVersion="4"/>
  <connection id="9023" xr16:uid="{00000000-0015-0000-FFFF-FFFFBC190000}" name="接続5767" type="7" refreshedVersion="4"/>
  <connection id="9024" xr16:uid="{00000000-0015-0000-FFFF-FFFFBD190000}" name="接続5768" type="7" refreshedVersion="4"/>
  <connection id="9025" xr16:uid="{00000000-0015-0000-FFFF-FFFFBE190000}" name="接続5769" type="7" refreshedVersion="4"/>
  <connection id="9026" xr16:uid="{00000000-0015-0000-FFFF-FFFFBF190000}" name="接続577" type="7" refreshedVersion="4"/>
  <connection id="9027" xr16:uid="{00000000-0015-0000-FFFF-FFFFC0190000}" name="接続5770" type="7" refreshedVersion="4"/>
  <connection id="9028" xr16:uid="{00000000-0015-0000-FFFF-FFFFC1190000}" name="接続5771" type="7" refreshedVersion="4"/>
  <connection id="9029" xr16:uid="{00000000-0015-0000-FFFF-FFFFC2190000}" name="接続5772" type="7" refreshedVersion="4"/>
  <connection id="9030" xr16:uid="{00000000-0015-0000-FFFF-FFFFC3190000}" name="接続5773" type="7" refreshedVersion="4"/>
  <connection id="9031" xr16:uid="{00000000-0015-0000-FFFF-FFFFC4190000}" name="接続5774" type="7" refreshedVersion="4"/>
  <connection id="9032" xr16:uid="{00000000-0015-0000-FFFF-FFFFC5190000}" name="接続5775" type="7" refreshedVersion="4"/>
  <connection id="9033" xr16:uid="{00000000-0015-0000-FFFF-FFFFC6190000}" name="接続5776" type="7" refreshedVersion="4"/>
  <connection id="9034" xr16:uid="{00000000-0015-0000-FFFF-FFFFC7190000}" name="接続5777" type="7" refreshedVersion="4"/>
  <connection id="9035" xr16:uid="{00000000-0015-0000-FFFF-FFFFC8190000}" name="接続5778" type="7" refreshedVersion="4"/>
  <connection id="9036" xr16:uid="{00000000-0015-0000-FFFF-FFFFC9190000}" name="接続5779" type="7" refreshedVersion="4"/>
  <connection id="9037" xr16:uid="{00000000-0015-0000-FFFF-FFFFCA190000}" name="接続578" type="7" refreshedVersion="4"/>
  <connection id="9038" xr16:uid="{00000000-0015-0000-FFFF-FFFFCB190000}" name="接続5780" type="7" refreshedVersion="4"/>
  <connection id="9039" xr16:uid="{00000000-0015-0000-FFFF-FFFFCC190000}" name="接続5781" type="7" refreshedVersion="4"/>
  <connection id="9040" xr16:uid="{00000000-0015-0000-FFFF-FFFFCD190000}" name="接続5782" type="7" refreshedVersion="4"/>
  <connection id="9041" xr16:uid="{00000000-0015-0000-FFFF-FFFFCE190000}" name="接続5783" type="7" refreshedVersion="4"/>
  <connection id="9042" xr16:uid="{00000000-0015-0000-FFFF-FFFFCF190000}" name="接続5784" type="7" refreshedVersion="4"/>
  <connection id="9043" xr16:uid="{00000000-0015-0000-FFFF-FFFFD0190000}" name="接続5785" type="7" refreshedVersion="4"/>
  <connection id="9044" xr16:uid="{00000000-0015-0000-FFFF-FFFFD1190000}" name="接続5786" type="7" refreshedVersion="4"/>
  <connection id="9045" xr16:uid="{00000000-0015-0000-FFFF-FFFFD2190000}" name="接続5787" type="7" refreshedVersion="4"/>
  <connection id="9046" xr16:uid="{00000000-0015-0000-FFFF-FFFFD3190000}" name="接続5788" type="7" refreshedVersion="4"/>
  <connection id="9047" xr16:uid="{00000000-0015-0000-FFFF-FFFFD4190000}" name="接続5789" type="7" refreshedVersion="4"/>
  <connection id="9048" xr16:uid="{00000000-0015-0000-FFFF-FFFFD5190000}" name="接続579" type="7" refreshedVersion="4"/>
  <connection id="9049" xr16:uid="{00000000-0015-0000-FFFF-FFFFD6190000}" name="接続5790" type="7" refreshedVersion="4"/>
  <connection id="9050" xr16:uid="{00000000-0015-0000-FFFF-FFFFD7190000}" name="接続5791" type="7" refreshedVersion="4"/>
  <connection id="9051" xr16:uid="{00000000-0015-0000-FFFF-FFFFD8190000}" name="接続5792" type="7" refreshedVersion="4"/>
  <connection id="9052" xr16:uid="{00000000-0015-0000-FFFF-FFFFD9190000}" name="接続5793" type="7" refreshedVersion="4"/>
  <connection id="9053" xr16:uid="{00000000-0015-0000-FFFF-FFFFDA190000}" name="接続5794" type="7" refreshedVersion="4"/>
  <connection id="9054" xr16:uid="{00000000-0015-0000-FFFF-FFFFDB190000}" name="接続5795" type="7" refreshedVersion="4"/>
  <connection id="9055" xr16:uid="{00000000-0015-0000-FFFF-FFFFDC190000}" name="接続5796" type="7" refreshedVersion="4"/>
  <connection id="9056" xr16:uid="{00000000-0015-0000-FFFF-FFFFDD190000}" name="接続5797" type="7" refreshedVersion="4"/>
  <connection id="9057" xr16:uid="{00000000-0015-0000-FFFF-FFFFDE190000}" name="接続5798" type="7" refreshedVersion="4"/>
  <connection id="9058" xr16:uid="{00000000-0015-0000-FFFF-FFFFDF190000}" name="接続5799" type="7" refreshedVersion="4"/>
  <connection id="9059" xr16:uid="{00000000-0015-0000-FFFF-FFFFE0190000}" name="接続58" type="7" refreshedVersion="4"/>
  <connection id="9060" xr16:uid="{00000000-0015-0000-FFFF-FFFFE1190000}" name="接続580" type="7" refreshedVersion="4"/>
  <connection id="9061" xr16:uid="{00000000-0015-0000-FFFF-FFFFE2190000}" name="接続5800" type="7" refreshedVersion="4"/>
  <connection id="9062" xr16:uid="{00000000-0015-0000-FFFF-FFFFE3190000}" name="接続5801" type="7" refreshedVersion="4"/>
  <connection id="9063" xr16:uid="{00000000-0015-0000-FFFF-FFFFE4190000}" name="接続5802" type="7" refreshedVersion="4"/>
  <connection id="9064" xr16:uid="{00000000-0015-0000-FFFF-FFFFE5190000}" name="接続5803" type="7" refreshedVersion="4"/>
  <connection id="9065" xr16:uid="{00000000-0015-0000-FFFF-FFFFE6190000}" name="接続5804" type="7" refreshedVersion="4"/>
  <connection id="9066" xr16:uid="{00000000-0015-0000-FFFF-FFFFE7190000}" name="接続5805" type="7" refreshedVersion="4"/>
  <connection id="9067" xr16:uid="{00000000-0015-0000-FFFF-FFFFE8190000}" name="接続5806" type="7" refreshedVersion="4"/>
  <connection id="9068" xr16:uid="{00000000-0015-0000-FFFF-FFFFE9190000}" name="接続5807" type="7" refreshedVersion="4"/>
  <connection id="9069" xr16:uid="{00000000-0015-0000-FFFF-FFFFEA190000}" name="接続5808" type="7" refreshedVersion="4"/>
  <connection id="9070" xr16:uid="{00000000-0015-0000-FFFF-FFFFEB190000}" name="接続5809" type="7" refreshedVersion="4"/>
  <connection id="9071" xr16:uid="{00000000-0015-0000-FFFF-FFFFEC190000}" name="接続581" type="7" refreshedVersion="4"/>
  <connection id="9072" xr16:uid="{00000000-0015-0000-FFFF-FFFFED190000}" name="接続5810" type="7" refreshedVersion="4"/>
  <connection id="9073" xr16:uid="{00000000-0015-0000-FFFF-FFFFEE190000}" name="接続5811" type="7" refreshedVersion="4"/>
  <connection id="9074" xr16:uid="{00000000-0015-0000-FFFF-FFFFEF190000}" name="接続5812" type="7" refreshedVersion="4"/>
  <connection id="9075" xr16:uid="{00000000-0015-0000-FFFF-FFFFF0190000}" name="接続5813" type="7" refreshedVersion="4"/>
  <connection id="9076" xr16:uid="{00000000-0015-0000-FFFF-FFFFF1190000}" name="接続5814" type="7" refreshedVersion="4"/>
  <connection id="9077" xr16:uid="{00000000-0015-0000-FFFF-FFFFF2190000}" name="接続5815" type="7" refreshedVersion="4"/>
  <connection id="9078" xr16:uid="{00000000-0015-0000-FFFF-FFFFF3190000}" name="接続5816" type="7" refreshedVersion="4"/>
  <connection id="9079" xr16:uid="{00000000-0015-0000-FFFF-FFFFF4190000}" name="接続5817" type="7" refreshedVersion="4"/>
  <connection id="9080" xr16:uid="{00000000-0015-0000-FFFF-FFFFF5190000}" name="接続5818" type="7" refreshedVersion="4"/>
  <connection id="9081" xr16:uid="{00000000-0015-0000-FFFF-FFFFF6190000}" name="接続5819" type="7" refreshedVersion="4"/>
  <connection id="9082" xr16:uid="{00000000-0015-0000-FFFF-FFFFF7190000}" name="接続582" type="7" refreshedVersion="4"/>
  <connection id="9083" xr16:uid="{00000000-0015-0000-FFFF-FFFFF8190000}" name="接続5820" type="7" refreshedVersion="4"/>
  <connection id="9084" xr16:uid="{00000000-0015-0000-FFFF-FFFFF9190000}" name="接続5821" type="7" refreshedVersion="4"/>
  <connection id="9085" xr16:uid="{00000000-0015-0000-FFFF-FFFFFA190000}" name="接続5822" type="7" refreshedVersion="4"/>
  <connection id="9086" xr16:uid="{00000000-0015-0000-FFFF-FFFFFB190000}" name="接続5823" type="7" refreshedVersion="4"/>
  <connection id="9087" xr16:uid="{00000000-0015-0000-FFFF-FFFFFC190000}" name="接続5824" type="7" refreshedVersion="4"/>
  <connection id="9088" xr16:uid="{00000000-0015-0000-FFFF-FFFFFD190000}" name="接続5825" type="7" refreshedVersion="4"/>
  <connection id="9089" xr16:uid="{00000000-0015-0000-FFFF-FFFFFE190000}" name="接続5826" type="7" refreshedVersion="4"/>
  <connection id="9090" xr16:uid="{00000000-0015-0000-FFFF-FFFFFF190000}" name="接続5827" type="7" refreshedVersion="4"/>
  <connection id="9091" xr16:uid="{00000000-0015-0000-FFFF-FFFF001A0000}" name="接続5828" type="7" refreshedVersion="4"/>
  <connection id="9092" xr16:uid="{00000000-0015-0000-FFFF-FFFF011A0000}" name="接続5829" type="7" refreshedVersion="4"/>
  <connection id="9093" xr16:uid="{00000000-0015-0000-FFFF-FFFF021A0000}" name="接続583" type="7" refreshedVersion="4"/>
  <connection id="9094" xr16:uid="{00000000-0015-0000-FFFF-FFFF031A0000}" name="接続5830" type="7" refreshedVersion="4"/>
  <connection id="9095" xr16:uid="{00000000-0015-0000-FFFF-FFFF041A0000}" name="接続5831" type="7" refreshedVersion="4"/>
  <connection id="9096" xr16:uid="{00000000-0015-0000-FFFF-FFFF051A0000}" name="接続5832" type="7" refreshedVersion="4"/>
  <connection id="9097" xr16:uid="{00000000-0015-0000-FFFF-FFFF061A0000}" name="接続5833" type="7" refreshedVersion="4"/>
  <connection id="9098" xr16:uid="{00000000-0015-0000-FFFF-FFFF071A0000}" name="接続5834" type="7" refreshedVersion="4"/>
  <connection id="9099" xr16:uid="{00000000-0015-0000-FFFF-FFFF081A0000}" name="接続5835" type="7" refreshedVersion="4"/>
  <connection id="9100" xr16:uid="{00000000-0015-0000-FFFF-FFFF091A0000}" name="接続5836" type="7" refreshedVersion="4"/>
  <connection id="9101" xr16:uid="{00000000-0015-0000-FFFF-FFFF0A1A0000}" name="接続5837" type="7" refreshedVersion="4"/>
  <connection id="9102" xr16:uid="{00000000-0015-0000-FFFF-FFFF0B1A0000}" name="接続5838" type="7" refreshedVersion="4"/>
  <connection id="9103" xr16:uid="{00000000-0015-0000-FFFF-FFFF0C1A0000}" name="接続5839" type="7" refreshedVersion="4"/>
  <connection id="9104" xr16:uid="{00000000-0015-0000-FFFF-FFFF0D1A0000}" name="接続584" type="7" refreshedVersion="4"/>
  <connection id="9105" xr16:uid="{00000000-0015-0000-FFFF-FFFF0E1A0000}" name="接続5840" type="7" refreshedVersion="4"/>
  <connection id="9106" xr16:uid="{00000000-0015-0000-FFFF-FFFF0F1A0000}" name="接続5841" type="7" refreshedVersion="4"/>
  <connection id="9107" xr16:uid="{00000000-0015-0000-FFFF-FFFF101A0000}" name="接続5842" type="7" refreshedVersion="4"/>
  <connection id="9108" xr16:uid="{00000000-0015-0000-FFFF-FFFF111A0000}" name="接続5843" type="7" refreshedVersion="4"/>
  <connection id="9109" xr16:uid="{00000000-0015-0000-FFFF-FFFF121A0000}" name="接続5844" type="7" refreshedVersion="4"/>
  <connection id="9110" xr16:uid="{00000000-0015-0000-FFFF-FFFF131A0000}" name="接続5845" type="7" refreshedVersion="4"/>
  <connection id="9111" xr16:uid="{00000000-0015-0000-FFFF-FFFF141A0000}" name="接続5846" type="7" refreshedVersion="4"/>
  <connection id="9112" xr16:uid="{00000000-0015-0000-FFFF-FFFF151A0000}" name="接続5847" type="7" refreshedVersion="4"/>
  <connection id="9113" xr16:uid="{00000000-0015-0000-FFFF-FFFF161A0000}" name="接続5848" type="7" refreshedVersion="4"/>
  <connection id="9114" xr16:uid="{00000000-0015-0000-FFFF-FFFF171A0000}" name="接続5849" type="7" refreshedVersion="4"/>
  <connection id="9115" xr16:uid="{00000000-0015-0000-FFFF-FFFF181A0000}" name="接続585" type="7" refreshedVersion="4"/>
  <connection id="9116" xr16:uid="{00000000-0015-0000-FFFF-FFFF191A0000}" name="接続5850" type="7" refreshedVersion="4"/>
  <connection id="9117" xr16:uid="{00000000-0015-0000-FFFF-FFFF1A1A0000}" name="接続5851" type="7" refreshedVersion="4"/>
  <connection id="9118" xr16:uid="{00000000-0015-0000-FFFF-FFFF1B1A0000}" name="接続5852" type="7" refreshedVersion="4"/>
  <connection id="9119" xr16:uid="{00000000-0015-0000-FFFF-FFFF1C1A0000}" name="接続5853" type="7" refreshedVersion="4"/>
  <connection id="9120" xr16:uid="{00000000-0015-0000-FFFF-FFFF1D1A0000}" name="接続5854" type="7" refreshedVersion="4"/>
  <connection id="9121" xr16:uid="{00000000-0015-0000-FFFF-FFFF1E1A0000}" name="接続5855" type="7" refreshedVersion="4"/>
  <connection id="9122" xr16:uid="{00000000-0015-0000-FFFF-FFFF1F1A0000}" name="接続5856" type="7" refreshedVersion="4"/>
  <connection id="9123" xr16:uid="{00000000-0015-0000-FFFF-FFFF201A0000}" name="接続5857" type="7" refreshedVersion="4"/>
  <connection id="9124" xr16:uid="{00000000-0015-0000-FFFF-FFFF211A0000}" name="接続5858" type="7" refreshedVersion="4"/>
  <connection id="9125" xr16:uid="{00000000-0015-0000-FFFF-FFFF221A0000}" name="接続5859" type="7" refreshedVersion="4"/>
  <connection id="9126" xr16:uid="{00000000-0015-0000-FFFF-FFFF231A0000}" name="接続586" type="7" refreshedVersion="4"/>
  <connection id="9127" xr16:uid="{00000000-0015-0000-FFFF-FFFF241A0000}" name="接続5860" type="7" refreshedVersion="4"/>
  <connection id="9128" xr16:uid="{00000000-0015-0000-FFFF-FFFF251A0000}" name="接続5861" type="7" refreshedVersion="4"/>
  <connection id="9129" xr16:uid="{00000000-0015-0000-FFFF-FFFF261A0000}" name="接続5862" type="7" refreshedVersion="4"/>
  <connection id="9130" xr16:uid="{00000000-0015-0000-FFFF-FFFF271A0000}" name="接続5863" type="7" refreshedVersion="4"/>
  <connection id="9131" xr16:uid="{00000000-0015-0000-FFFF-FFFF281A0000}" name="接続5864" type="7" refreshedVersion="4"/>
  <connection id="9132" xr16:uid="{00000000-0015-0000-FFFF-FFFF291A0000}" name="接続5865" type="7" refreshedVersion="4"/>
  <connection id="9133" xr16:uid="{00000000-0015-0000-FFFF-FFFF2A1A0000}" name="接続5866" type="7" refreshedVersion="4"/>
  <connection id="9134" xr16:uid="{00000000-0015-0000-FFFF-FFFF2B1A0000}" name="接続5867" type="7" refreshedVersion="4"/>
  <connection id="9135" xr16:uid="{00000000-0015-0000-FFFF-FFFF2C1A0000}" name="接続5868" type="7" refreshedVersion="4"/>
  <connection id="9136" xr16:uid="{00000000-0015-0000-FFFF-FFFF2D1A0000}" name="接続5869" type="7" refreshedVersion="4"/>
  <connection id="9137" xr16:uid="{00000000-0015-0000-FFFF-FFFF2E1A0000}" name="接続587" type="7" refreshedVersion="4"/>
  <connection id="9138" xr16:uid="{00000000-0015-0000-FFFF-FFFF2F1A0000}" name="接続5870" type="7" refreshedVersion="4"/>
  <connection id="9139" xr16:uid="{00000000-0015-0000-FFFF-FFFF301A0000}" name="接続5871" type="7" refreshedVersion="4"/>
  <connection id="9140" xr16:uid="{00000000-0015-0000-FFFF-FFFF311A0000}" name="接続5872" type="7" refreshedVersion="4"/>
  <connection id="9141" xr16:uid="{00000000-0015-0000-FFFF-FFFF321A0000}" name="接続5873" type="7" refreshedVersion="4"/>
  <connection id="9142" xr16:uid="{00000000-0015-0000-FFFF-FFFF331A0000}" name="接続5874" type="7" refreshedVersion="4"/>
  <connection id="9143" xr16:uid="{00000000-0015-0000-FFFF-FFFF341A0000}" name="接続5875" type="7" refreshedVersion="4"/>
  <connection id="9144" xr16:uid="{00000000-0015-0000-FFFF-FFFF351A0000}" name="接続5876" type="7" refreshedVersion="4"/>
  <connection id="9145" xr16:uid="{00000000-0015-0000-FFFF-FFFF361A0000}" name="接続5877" type="7" refreshedVersion="4"/>
  <connection id="9146" xr16:uid="{00000000-0015-0000-FFFF-FFFF371A0000}" name="接続5878" type="7" refreshedVersion="4"/>
  <connection id="9147" xr16:uid="{00000000-0015-0000-FFFF-FFFF381A0000}" name="接続5879" type="7" refreshedVersion="4"/>
  <connection id="9148" xr16:uid="{00000000-0015-0000-FFFF-FFFF391A0000}" name="接続588" type="7" refreshedVersion="4"/>
  <connection id="9149" xr16:uid="{00000000-0015-0000-FFFF-FFFF3A1A0000}" name="接続5880" type="7" refreshedVersion="4"/>
  <connection id="9150" xr16:uid="{00000000-0015-0000-FFFF-FFFF3B1A0000}" name="接続5881" type="7" refreshedVersion="4"/>
  <connection id="9151" xr16:uid="{00000000-0015-0000-FFFF-FFFF3C1A0000}" name="接続5882" type="7" refreshedVersion="4"/>
  <connection id="9152" xr16:uid="{00000000-0015-0000-FFFF-FFFF3D1A0000}" name="接続5883" type="7" refreshedVersion="4"/>
  <connection id="9153" xr16:uid="{00000000-0015-0000-FFFF-FFFF3E1A0000}" name="接続5884" type="7" refreshedVersion="4"/>
  <connection id="9154" xr16:uid="{00000000-0015-0000-FFFF-FFFF3F1A0000}" name="接続5885" type="7" refreshedVersion="4"/>
  <connection id="9155" xr16:uid="{00000000-0015-0000-FFFF-FFFF401A0000}" name="接続5886" type="7" refreshedVersion="4"/>
  <connection id="9156" xr16:uid="{00000000-0015-0000-FFFF-FFFF411A0000}" name="接続5887" type="7" refreshedVersion="4"/>
  <connection id="9157" xr16:uid="{00000000-0015-0000-FFFF-FFFF421A0000}" name="接続5888" type="7" refreshedVersion="4"/>
  <connection id="9158" xr16:uid="{00000000-0015-0000-FFFF-FFFF431A0000}" name="接続5889" type="7" refreshedVersion="4"/>
  <connection id="9159" xr16:uid="{00000000-0015-0000-FFFF-FFFF441A0000}" name="接続589" type="7" refreshedVersion="4"/>
  <connection id="9160" xr16:uid="{00000000-0015-0000-FFFF-FFFF451A0000}" name="接続5890" type="7" refreshedVersion="4"/>
  <connection id="9161" xr16:uid="{00000000-0015-0000-FFFF-FFFF461A0000}" name="接続5891" type="7" refreshedVersion="4"/>
  <connection id="9162" xr16:uid="{00000000-0015-0000-FFFF-FFFF471A0000}" name="接続5892" type="7" refreshedVersion="4"/>
  <connection id="9163" xr16:uid="{00000000-0015-0000-FFFF-FFFF481A0000}" name="接続5893" type="7" refreshedVersion="4"/>
  <connection id="9164" xr16:uid="{00000000-0015-0000-FFFF-FFFF491A0000}" name="接続5894" type="7" refreshedVersion="4"/>
  <connection id="9165" xr16:uid="{00000000-0015-0000-FFFF-FFFF4A1A0000}" name="接続5895" type="7" refreshedVersion="4"/>
  <connection id="9166" xr16:uid="{00000000-0015-0000-FFFF-FFFF4B1A0000}" name="接続5896" type="7" refreshedVersion="4"/>
  <connection id="9167" xr16:uid="{00000000-0015-0000-FFFF-FFFF4C1A0000}" name="接続5897" type="7" refreshedVersion="4"/>
  <connection id="9168" xr16:uid="{00000000-0015-0000-FFFF-FFFF4D1A0000}" name="接続5898" type="7" refreshedVersion="4"/>
  <connection id="9169" xr16:uid="{00000000-0015-0000-FFFF-FFFF4E1A0000}" name="接続5899" type="7" refreshedVersion="4"/>
  <connection id="9170" xr16:uid="{00000000-0015-0000-FFFF-FFFF4F1A0000}" name="接続59" type="7" refreshedVersion="4"/>
  <connection id="9171" xr16:uid="{00000000-0015-0000-FFFF-FFFF501A0000}" name="接続590" type="7" refreshedVersion="4"/>
  <connection id="9172" xr16:uid="{00000000-0015-0000-FFFF-FFFF511A0000}" name="接続5900" type="7" refreshedVersion="4"/>
  <connection id="9173" xr16:uid="{00000000-0015-0000-FFFF-FFFF521A0000}" name="接続5901" type="7" refreshedVersion="4"/>
  <connection id="9174" xr16:uid="{00000000-0015-0000-FFFF-FFFF531A0000}" name="接続5902" type="7" refreshedVersion="4"/>
  <connection id="9175" xr16:uid="{00000000-0015-0000-FFFF-FFFF541A0000}" name="接続5903" type="7" refreshedVersion="4"/>
  <connection id="9176" xr16:uid="{00000000-0015-0000-FFFF-FFFF551A0000}" name="接続5904" type="7" refreshedVersion="4"/>
  <connection id="9177" xr16:uid="{00000000-0015-0000-FFFF-FFFF561A0000}" name="接続5905" type="7" refreshedVersion="4"/>
  <connection id="9178" xr16:uid="{00000000-0015-0000-FFFF-FFFF571A0000}" name="接続5906" type="7" refreshedVersion="4"/>
  <connection id="9179" xr16:uid="{00000000-0015-0000-FFFF-FFFF581A0000}" name="接続5907" type="7" refreshedVersion="4"/>
  <connection id="9180" xr16:uid="{00000000-0015-0000-FFFF-FFFF591A0000}" name="接続5908" type="7" refreshedVersion="4"/>
  <connection id="9181" xr16:uid="{00000000-0015-0000-FFFF-FFFF5A1A0000}" name="接続5909" type="7" refreshedVersion="4"/>
  <connection id="9182" xr16:uid="{00000000-0015-0000-FFFF-FFFF5B1A0000}" name="接続591" type="7" refreshedVersion="4"/>
  <connection id="9183" xr16:uid="{00000000-0015-0000-FFFF-FFFF5C1A0000}" name="接続5910" type="7" refreshedVersion="4"/>
  <connection id="9184" xr16:uid="{00000000-0015-0000-FFFF-FFFF5D1A0000}" name="接続5911" type="7" refreshedVersion="4"/>
  <connection id="9185" xr16:uid="{00000000-0015-0000-FFFF-FFFF5E1A0000}" name="接続5912" type="7" refreshedVersion="4"/>
  <connection id="9186" xr16:uid="{00000000-0015-0000-FFFF-FFFF5F1A0000}" name="接続5913" type="7" refreshedVersion="4"/>
  <connection id="9187" xr16:uid="{00000000-0015-0000-FFFF-FFFF601A0000}" name="接続5914" type="7" refreshedVersion="4"/>
  <connection id="9188" xr16:uid="{00000000-0015-0000-FFFF-FFFF611A0000}" name="接続5915" type="7" refreshedVersion="4"/>
  <connection id="9189" xr16:uid="{00000000-0015-0000-FFFF-FFFF621A0000}" name="接続5916" type="7" refreshedVersion="4"/>
  <connection id="9190" xr16:uid="{00000000-0015-0000-FFFF-FFFF631A0000}" name="接続5917" type="7" refreshedVersion="4"/>
  <connection id="9191" xr16:uid="{00000000-0015-0000-FFFF-FFFF641A0000}" name="接続5918" type="7" refreshedVersion="4"/>
  <connection id="9192" xr16:uid="{00000000-0015-0000-FFFF-FFFF651A0000}" name="接続5919" type="7" refreshedVersion="4"/>
  <connection id="9193" xr16:uid="{00000000-0015-0000-FFFF-FFFF661A0000}" name="接続592" type="7" refreshedVersion="4"/>
  <connection id="9194" xr16:uid="{00000000-0015-0000-FFFF-FFFF671A0000}" name="接続5920" type="7" refreshedVersion="4"/>
  <connection id="9195" xr16:uid="{00000000-0015-0000-FFFF-FFFF681A0000}" name="接続5921" type="7" refreshedVersion="4"/>
  <connection id="9196" xr16:uid="{00000000-0015-0000-FFFF-FFFF691A0000}" name="接続5922" type="7" refreshedVersion="4"/>
  <connection id="9197" xr16:uid="{00000000-0015-0000-FFFF-FFFF6A1A0000}" name="接続5923" type="7" refreshedVersion="4"/>
  <connection id="9198" xr16:uid="{00000000-0015-0000-FFFF-FFFF6B1A0000}" name="接続5924" type="7" refreshedVersion="4"/>
  <connection id="9199" xr16:uid="{00000000-0015-0000-FFFF-FFFF6C1A0000}" name="接続5925" type="7" refreshedVersion="4"/>
  <connection id="9200" xr16:uid="{00000000-0015-0000-FFFF-FFFF6D1A0000}" name="接続5926" type="7" refreshedVersion="4"/>
  <connection id="9201" xr16:uid="{00000000-0015-0000-FFFF-FFFF6E1A0000}" name="接続5927" type="7" refreshedVersion="4"/>
  <connection id="9202" xr16:uid="{00000000-0015-0000-FFFF-FFFF6F1A0000}" name="接続5928" type="7" refreshedVersion="4"/>
  <connection id="9203" xr16:uid="{00000000-0015-0000-FFFF-FFFF701A0000}" name="接続5929" type="7" refreshedVersion="4"/>
  <connection id="9204" xr16:uid="{00000000-0015-0000-FFFF-FFFF711A0000}" name="接続593" type="7" refreshedVersion="4"/>
  <connection id="9205" xr16:uid="{00000000-0015-0000-FFFF-FFFF721A0000}" name="接続5930" type="7" refreshedVersion="4"/>
  <connection id="9206" xr16:uid="{00000000-0015-0000-FFFF-FFFF731A0000}" name="接続5931" type="7" refreshedVersion="4"/>
  <connection id="9207" xr16:uid="{00000000-0015-0000-FFFF-FFFF741A0000}" name="接続5932" type="7" refreshedVersion="4"/>
  <connection id="9208" xr16:uid="{00000000-0015-0000-FFFF-FFFF751A0000}" name="接続5933" type="7" refreshedVersion="4"/>
  <connection id="9209" xr16:uid="{00000000-0015-0000-FFFF-FFFF761A0000}" name="接続5934" type="7" refreshedVersion="4"/>
  <connection id="9210" xr16:uid="{00000000-0015-0000-FFFF-FFFF771A0000}" name="接続5935" type="7" refreshedVersion="4"/>
  <connection id="9211" xr16:uid="{00000000-0015-0000-FFFF-FFFF781A0000}" name="接続5936" type="7" refreshedVersion="4"/>
  <connection id="9212" xr16:uid="{00000000-0015-0000-FFFF-FFFF791A0000}" name="接続5937" type="7" refreshedVersion="4"/>
  <connection id="9213" xr16:uid="{00000000-0015-0000-FFFF-FFFF7A1A0000}" name="接続5938" type="7" refreshedVersion="4"/>
  <connection id="9214" xr16:uid="{00000000-0015-0000-FFFF-FFFF7B1A0000}" name="接続5939" type="7" refreshedVersion="4"/>
  <connection id="9215" xr16:uid="{00000000-0015-0000-FFFF-FFFF7C1A0000}" name="接続594" type="7" refreshedVersion="4"/>
  <connection id="9216" xr16:uid="{00000000-0015-0000-FFFF-FFFF7D1A0000}" name="接続5940" type="7" refreshedVersion="4"/>
  <connection id="9217" xr16:uid="{00000000-0015-0000-FFFF-FFFF7E1A0000}" name="接続5941" type="7" refreshedVersion="4"/>
  <connection id="9218" xr16:uid="{00000000-0015-0000-FFFF-FFFF7F1A0000}" name="接続5942" type="7" refreshedVersion="4"/>
  <connection id="9219" xr16:uid="{00000000-0015-0000-FFFF-FFFF801A0000}" name="接続5943" type="7" refreshedVersion="4"/>
  <connection id="9220" xr16:uid="{00000000-0015-0000-FFFF-FFFF811A0000}" name="接続5944" type="7" refreshedVersion="4"/>
  <connection id="9221" xr16:uid="{00000000-0015-0000-FFFF-FFFF821A0000}" name="接続5945" type="7" refreshedVersion="4"/>
  <connection id="9222" xr16:uid="{00000000-0015-0000-FFFF-FFFF831A0000}" name="接続5946" type="7" refreshedVersion="4"/>
  <connection id="9223" xr16:uid="{00000000-0015-0000-FFFF-FFFF841A0000}" name="接続5947" type="7" refreshedVersion="4"/>
  <connection id="9224" xr16:uid="{00000000-0015-0000-FFFF-FFFF851A0000}" name="接続5948" type="7" refreshedVersion="4"/>
  <connection id="9225" xr16:uid="{00000000-0015-0000-FFFF-FFFF861A0000}" name="接続5949" type="7" refreshedVersion="4"/>
  <connection id="9226" xr16:uid="{00000000-0015-0000-FFFF-FFFF871A0000}" name="接続595" type="7" refreshedVersion="4"/>
  <connection id="9227" xr16:uid="{00000000-0015-0000-FFFF-FFFF881A0000}" name="接続5950" type="7" refreshedVersion="4"/>
  <connection id="9228" xr16:uid="{00000000-0015-0000-FFFF-FFFF891A0000}" name="接続5951" type="7" refreshedVersion="4"/>
  <connection id="9229" xr16:uid="{00000000-0015-0000-FFFF-FFFF8A1A0000}" name="接続5952" type="7" refreshedVersion="4"/>
  <connection id="9230" xr16:uid="{00000000-0015-0000-FFFF-FFFF8B1A0000}" name="接続5953" type="7" refreshedVersion="4"/>
  <connection id="9231" xr16:uid="{00000000-0015-0000-FFFF-FFFF8C1A0000}" name="接続5954" type="7" refreshedVersion="4"/>
  <connection id="9232" xr16:uid="{00000000-0015-0000-FFFF-FFFF8D1A0000}" name="接続5955" type="7" refreshedVersion="4"/>
  <connection id="9233" xr16:uid="{00000000-0015-0000-FFFF-FFFF8E1A0000}" name="接続5956" type="7" refreshedVersion="4"/>
  <connection id="9234" xr16:uid="{00000000-0015-0000-FFFF-FFFF8F1A0000}" name="接続5957" type="7" refreshedVersion="4"/>
  <connection id="9235" xr16:uid="{00000000-0015-0000-FFFF-FFFF901A0000}" name="接続5958" type="7" refreshedVersion="4"/>
  <connection id="9236" xr16:uid="{00000000-0015-0000-FFFF-FFFF911A0000}" name="接続5959" type="7" refreshedVersion="4"/>
  <connection id="9237" xr16:uid="{00000000-0015-0000-FFFF-FFFF921A0000}" name="接続596" type="7" refreshedVersion="4"/>
  <connection id="9238" xr16:uid="{00000000-0015-0000-FFFF-FFFF931A0000}" name="接続5960" type="7" refreshedVersion="4"/>
  <connection id="9239" xr16:uid="{00000000-0015-0000-FFFF-FFFF941A0000}" name="接続5961" type="7" refreshedVersion="4"/>
  <connection id="9240" xr16:uid="{00000000-0015-0000-FFFF-FFFF951A0000}" name="接続5962" type="7" refreshedVersion="4"/>
  <connection id="9241" xr16:uid="{00000000-0015-0000-FFFF-FFFF961A0000}" name="接続5963" type="7" refreshedVersion="4"/>
  <connection id="9242" xr16:uid="{00000000-0015-0000-FFFF-FFFF971A0000}" name="接続5964" type="7" refreshedVersion="4"/>
  <connection id="9243" xr16:uid="{00000000-0015-0000-FFFF-FFFF981A0000}" name="接続5965" type="7" refreshedVersion="4"/>
  <connection id="9244" xr16:uid="{00000000-0015-0000-FFFF-FFFF991A0000}" name="接続5966" type="7" refreshedVersion="4"/>
  <connection id="9245" xr16:uid="{00000000-0015-0000-FFFF-FFFF9A1A0000}" name="接続5967" type="7" refreshedVersion="4"/>
  <connection id="9246" xr16:uid="{00000000-0015-0000-FFFF-FFFF9B1A0000}" name="接続5968" type="7" refreshedVersion="4"/>
  <connection id="9247" xr16:uid="{00000000-0015-0000-FFFF-FFFF9C1A0000}" name="接続5969" type="7" refreshedVersion="4"/>
  <connection id="9248" xr16:uid="{00000000-0015-0000-FFFF-FFFF9D1A0000}" name="接続597" type="7" refreshedVersion="4"/>
  <connection id="9249" xr16:uid="{00000000-0015-0000-FFFF-FFFF9E1A0000}" name="接続5970" type="7" refreshedVersion="4"/>
  <connection id="9250" xr16:uid="{00000000-0015-0000-FFFF-FFFF9F1A0000}" name="接続5971" type="7" refreshedVersion="4"/>
  <connection id="9251" xr16:uid="{00000000-0015-0000-FFFF-FFFFA01A0000}" name="接続5972" type="7" refreshedVersion="4"/>
  <connection id="9252" xr16:uid="{00000000-0015-0000-FFFF-FFFFA11A0000}" name="接続5973" type="7" refreshedVersion="4"/>
  <connection id="9253" xr16:uid="{00000000-0015-0000-FFFF-FFFFA21A0000}" name="接続5974" type="7" refreshedVersion="4"/>
  <connection id="9254" xr16:uid="{00000000-0015-0000-FFFF-FFFFA31A0000}" name="接続5975" type="7" refreshedVersion="4"/>
  <connection id="9255" xr16:uid="{00000000-0015-0000-FFFF-FFFFA41A0000}" name="接続5976" type="7" refreshedVersion="4"/>
  <connection id="9256" xr16:uid="{00000000-0015-0000-FFFF-FFFFA51A0000}" name="接続5977" type="7" refreshedVersion="4"/>
  <connection id="9257" xr16:uid="{00000000-0015-0000-FFFF-FFFFA61A0000}" name="接続5978" type="7" refreshedVersion="4"/>
  <connection id="9258" xr16:uid="{00000000-0015-0000-FFFF-FFFFA71A0000}" name="接続5979" type="7" refreshedVersion="4"/>
  <connection id="9259" xr16:uid="{00000000-0015-0000-FFFF-FFFFA81A0000}" name="接続598" type="7" refreshedVersion="4"/>
  <connection id="9260" xr16:uid="{00000000-0015-0000-FFFF-FFFFA91A0000}" name="接続5980" type="7" refreshedVersion="4"/>
  <connection id="9261" xr16:uid="{00000000-0015-0000-FFFF-FFFFAA1A0000}" name="接続5981" type="7" refreshedVersion="4"/>
  <connection id="9262" xr16:uid="{00000000-0015-0000-FFFF-FFFFAB1A0000}" name="接続5982" type="7" refreshedVersion="4"/>
  <connection id="9263" xr16:uid="{00000000-0015-0000-FFFF-FFFFAC1A0000}" name="接続5983" type="7" refreshedVersion="4"/>
  <connection id="9264" xr16:uid="{00000000-0015-0000-FFFF-FFFFAD1A0000}" name="接続5984" type="7" refreshedVersion="4"/>
  <connection id="9265" xr16:uid="{00000000-0015-0000-FFFF-FFFFAE1A0000}" name="接続5985" type="7" refreshedVersion="4"/>
  <connection id="9266" xr16:uid="{00000000-0015-0000-FFFF-FFFFAF1A0000}" name="接続5986" type="7" refreshedVersion="4"/>
  <connection id="9267" xr16:uid="{00000000-0015-0000-FFFF-FFFFB01A0000}" name="接続5987" type="7" refreshedVersion="4"/>
  <connection id="9268" xr16:uid="{00000000-0015-0000-FFFF-FFFFB11A0000}" name="接続5988" type="7" refreshedVersion="4"/>
  <connection id="9269" xr16:uid="{00000000-0015-0000-FFFF-FFFFB21A0000}" name="接続5989" type="7" refreshedVersion="4"/>
  <connection id="9270" xr16:uid="{00000000-0015-0000-FFFF-FFFFB31A0000}" name="接続599" type="7" refreshedVersion="4"/>
  <connection id="9271" xr16:uid="{00000000-0015-0000-FFFF-FFFFB41A0000}" name="接続5990" type="7" refreshedVersion="4"/>
  <connection id="9272" xr16:uid="{00000000-0015-0000-FFFF-FFFFB51A0000}" name="接続5991" type="7" refreshedVersion="4"/>
  <connection id="9273" xr16:uid="{00000000-0015-0000-FFFF-FFFFB61A0000}" name="接続5992" type="7" refreshedVersion="4"/>
  <connection id="9274" xr16:uid="{00000000-0015-0000-FFFF-FFFFB71A0000}" name="接続5993" type="7" refreshedVersion="4"/>
  <connection id="9275" xr16:uid="{00000000-0015-0000-FFFF-FFFFB81A0000}" name="接続5994" type="7" refreshedVersion="4"/>
  <connection id="9276" xr16:uid="{00000000-0015-0000-FFFF-FFFFB91A0000}" name="接続5995" type="7" refreshedVersion="4"/>
  <connection id="9277" xr16:uid="{00000000-0015-0000-FFFF-FFFFBA1A0000}" name="接続5996" type="7" refreshedVersion="4"/>
  <connection id="9278" xr16:uid="{00000000-0015-0000-FFFF-FFFFBB1A0000}" name="接続5997" type="7" refreshedVersion="4"/>
  <connection id="9279" xr16:uid="{00000000-0015-0000-FFFF-FFFFBC1A0000}" name="接続5998" type="7" refreshedVersion="4"/>
  <connection id="9280" xr16:uid="{00000000-0015-0000-FFFF-FFFFBD1A0000}" name="接続5999" type="7" refreshedVersion="4"/>
  <connection id="9281" xr16:uid="{00000000-0015-0000-FFFF-FFFFBE1A0000}" name="接続6" type="7" refreshedVersion="4"/>
  <connection id="9282" xr16:uid="{00000000-0015-0000-FFFF-FFFFBF1A0000}" name="接続60" type="7" refreshedVersion="4"/>
  <connection id="9283" xr16:uid="{00000000-0015-0000-FFFF-FFFFC01A0000}" name="接続600" type="7" refreshedVersion="4"/>
  <connection id="9284" xr16:uid="{00000000-0015-0000-FFFF-FFFFC11A0000}" name="接続6000" type="7" refreshedVersion="4"/>
  <connection id="9285" xr16:uid="{00000000-0015-0000-FFFF-FFFFC21A0000}" name="接続6001" type="7" refreshedVersion="4"/>
  <connection id="9286" xr16:uid="{00000000-0015-0000-FFFF-FFFFC31A0000}" name="接続6002" type="7" refreshedVersion="4"/>
  <connection id="9287" xr16:uid="{00000000-0015-0000-FFFF-FFFFC41A0000}" name="接続6003" type="7" refreshedVersion="4"/>
  <connection id="9288" xr16:uid="{00000000-0015-0000-FFFF-FFFFC51A0000}" name="接続6004" type="7" refreshedVersion="4"/>
  <connection id="9289" xr16:uid="{00000000-0015-0000-FFFF-FFFFC61A0000}" name="接続6005" type="7" refreshedVersion="4"/>
  <connection id="9290" xr16:uid="{00000000-0015-0000-FFFF-FFFFC71A0000}" name="接続6006" type="7" refreshedVersion="4"/>
  <connection id="9291" xr16:uid="{00000000-0015-0000-FFFF-FFFFC81A0000}" name="接続6007" type="7" refreshedVersion="4"/>
  <connection id="9292" xr16:uid="{00000000-0015-0000-FFFF-FFFFC91A0000}" name="接続6008" type="7" refreshedVersion="4"/>
  <connection id="9293" xr16:uid="{00000000-0015-0000-FFFF-FFFFCA1A0000}" name="接続6009" type="7" refreshedVersion="4"/>
  <connection id="9294" xr16:uid="{00000000-0015-0000-FFFF-FFFFCB1A0000}" name="接続601" type="7" refreshedVersion="4"/>
  <connection id="9295" xr16:uid="{00000000-0015-0000-FFFF-FFFFCC1A0000}" name="接続6010" type="7" refreshedVersion="4"/>
  <connection id="9296" xr16:uid="{00000000-0015-0000-FFFF-FFFFCD1A0000}" name="接続6011" type="7" refreshedVersion="4"/>
  <connection id="9297" xr16:uid="{00000000-0015-0000-FFFF-FFFFCE1A0000}" name="接続6012" type="7" refreshedVersion="4"/>
  <connection id="9298" xr16:uid="{00000000-0015-0000-FFFF-FFFFCF1A0000}" name="接続6013" type="7" refreshedVersion="4"/>
  <connection id="9299" xr16:uid="{00000000-0015-0000-FFFF-FFFFD01A0000}" name="接続6014" type="7" refreshedVersion="4"/>
  <connection id="9300" xr16:uid="{00000000-0015-0000-FFFF-FFFFD11A0000}" name="接続6015" type="7" refreshedVersion="4"/>
  <connection id="9301" xr16:uid="{00000000-0015-0000-FFFF-FFFFD21A0000}" name="接続6016" type="7" refreshedVersion="4"/>
  <connection id="9302" xr16:uid="{00000000-0015-0000-FFFF-FFFFD31A0000}" name="接続6017" type="7" refreshedVersion="4"/>
  <connection id="9303" xr16:uid="{00000000-0015-0000-FFFF-FFFFD41A0000}" name="接続6018" type="7" refreshedVersion="4"/>
  <connection id="9304" xr16:uid="{00000000-0015-0000-FFFF-FFFFD51A0000}" name="接続6019" type="7" refreshedVersion="4"/>
  <connection id="9305" xr16:uid="{00000000-0015-0000-FFFF-FFFFD61A0000}" name="接続602" type="7" refreshedVersion="4"/>
  <connection id="9306" xr16:uid="{00000000-0015-0000-FFFF-FFFFD71A0000}" name="接続6020" type="7" refreshedVersion="4"/>
  <connection id="9307" xr16:uid="{00000000-0015-0000-FFFF-FFFFD81A0000}" name="接続6021" type="7" refreshedVersion="4"/>
  <connection id="9308" xr16:uid="{00000000-0015-0000-FFFF-FFFFD91A0000}" name="接続6022" type="7" refreshedVersion="4"/>
  <connection id="9309" xr16:uid="{00000000-0015-0000-FFFF-FFFFDA1A0000}" name="接続6023" type="7" refreshedVersion="4"/>
  <connection id="9310" xr16:uid="{00000000-0015-0000-FFFF-FFFFDB1A0000}" name="接続6024" type="7" refreshedVersion="4"/>
  <connection id="9311" xr16:uid="{00000000-0015-0000-FFFF-FFFFDC1A0000}" name="接続6025" type="7" refreshedVersion="4"/>
  <connection id="9312" xr16:uid="{00000000-0015-0000-FFFF-FFFFDD1A0000}" name="接続6026" type="7" refreshedVersion="4"/>
  <connection id="9313" xr16:uid="{00000000-0015-0000-FFFF-FFFFDE1A0000}" name="接続6027" type="7" refreshedVersion="4"/>
  <connection id="9314" xr16:uid="{00000000-0015-0000-FFFF-FFFFDF1A0000}" name="接続6028" type="7" refreshedVersion="4"/>
  <connection id="9315" xr16:uid="{00000000-0015-0000-FFFF-FFFFE01A0000}" name="接続6029" type="7" refreshedVersion="4"/>
  <connection id="9316" xr16:uid="{00000000-0015-0000-FFFF-FFFFE11A0000}" name="接続603" type="7" refreshedVersion="4"/>
  <connection id="9317" xr16:uid="{00000000-0015-0000-FFFF-FFFFE21A0000}" name="接続6030" type="7" refreshedVersion="4"/>
  <connection id="9318" xr16:uid="{00000000-0015-0000-FFFF-FFFFE31A0000}" name="接続6031" type="7" refreshedVersion="4"/>
  <connection id="9319" xr16:uid="{00000000-0015-0000-FFFF-FFFFE41A0000}" name="接続6032" type="7" refreshedVersion="4"/>
  <connection id="9320" xr16:uid="{00000000-0015-0000-FFFF-FFFFE51A0000}" name="接続6033" type="7" refreshedVersion="4"/>
  <connection id="9321" xr16:uid="{00000000-0015-0000-FFFF-FFFFE61A0000}" name="接続6034" type="7" refreshedVersion="4"/>
  <connection id="9322" xr16:uid="{00000000-0015-0000-FFFF-FFFFE71A0000}" name="接続6035" type="7" refreshedVersion="4"/>
  <connection id="9323" xr16:uid="{00000000-0015-0000-FFFF-FFFFE81A0000}" name="接続6036" type="7" refreshedVersion="4"/>
  <connection id="9324" xr16:uid="{00000000-0015-0000-FFFF-FFFFE91A0000}" name="接続6037" type="7" refreshedVersion="4"/>
  <connection id="9325" xr16:uid="{00000000-0015-0000-FFFF-FFFFEA1A0000}" name="接続6038" type="7" refreshedVersion="4"/>
  <connection id="9326" xr16:uid="{00000000-0015-0000-FFFF-FFFFEB1A0000}" name="接続6039" type="7" refreshedVersion="4"/>
  <connection id="9327" xr16:uid="{00000000-0015-0000-FFFF-FFFFEC1A0000}" name="接続604" type="7" refreshedVersion="4"/>
  <connection id="9328" xr16:uid="{00000000-0015-0000-FFFF-FFFFED1A0000}" name="接続6040" type="7" refreshedVersion="4"/>
  <connection id="9329" xr16:uid="{00000000-0015-0000-FFFF-FFFFEE1A0000}" name="接続6041" type="7" refreshedVersion="4"/>
  <connection id="9330" xr16:uid="{00000000-0015-0000-FFFF-FFFFEF1A0000}" name="接続6042" type="7" refreshedVersion="4"/>
  <connection id="9331" xr16:uid="{00000000-0015-0000-FFFF-FFFFF01A0000}" name="接続6043" type="7" refreshedVersion="4"/>
  <connection id="9332" xr16:uid="{00000000-0015-0000-FFFF-FFFFF11A0000}" name="接続6044" type="7" refreshedVersion="4"/>
  <connection id="9333" xr16:uid="{00000000-0015-0000-FFFF-FFFFF21A0000}" name="接続6045" type="7" refreshedVersion="4"/>
  <connection id="9334" xr16:uid="{00000000-0015-0000-FFFF-FFFFF31A0000}" name="接続6046" type="7" refreshedVersion="4"/>
  <connection id="9335" xr16:uid="{00000000-0015-0000-FFFF-FFFFF41A0000}" name="接続6047" type="7" refreshedVersion="4"/>
  <connection id="9336" xr16:uid="{00000000-0015-0000-FFFF-FFFFF51A0000}" name="接続6048" type="7" refreshedVersion="4"/>
  <connection id="9337" xr16:uid="{00000000-0015-0000-FFFF-FFFFF61A0000}" name="接続6049" type="7" refreshedVersion="4"/>
  <connection id="9338" xr16:uid="{00000000-0015-0000-FFFF-FFFFF71A0000}" name="接続605" type="7" refreshedVersion="4"/>
  <connection id="9339" xr16:uid="{00000000-0015-0000-FFFF-FFFFF81A0000}" name="接続6050" type="7" refreshedVersion="4"/>
  <connection id="9340" xr16:uid="{00000000-0015-0000-FFFF-FFFFF91A0000}" name="接続6051" type="7" refreshedVersion="4"/>
  <connection id="9341" xr16:uid="{00000000-0015-0000-FFFF-FFFFFA1A0000}" name="接続6052" type="7" refreshedVersion="4"/>
  <connection id="9342" xr16:uid="{00000000-0015-0000-FFFF-FFFFFB1A0000}" name="接続6053" type="7" refreshedVersion="4"/>
  <connection id="9343" xr16:uid="{00000000-0015-0000-FFFF-FFFFFC1A0000}" name="接続6054" type="7" refreshedVersion="4"/>
  <connection id="9344" xr16:uid="{00000000-0015-0000-FFFF-FFFFFD1A0000}" name="接続6055" type="7" refreshedVersion="4"/>
  <connection id="9345" xr16:uid="{00000000-0015-0000-FFFF-FFFFFE1A0000}" name="接続6056" type="7" refreshedVersion="4"/>
  <connection id="9346" xr16:uid="{00000000-0015-0000-FFFF-FFFFFF1A0000}" name="接続6057" type="7" refreshedVersion="4"/>
  <connection id="9347" xr16:uid="{00000000-0015-0000-FFFF-FFFF001B0000}" name="接続6058" type="7" refreshedVersion="4"/>
  <connection id="9348" xr16:uid="{00000000-0015-0000-FFFF-FFFF011B0000}" name="接続6059" type="7" refreshedVersion="4"/>
  <connection id="9349" xr16:uid="{00000000-0015-0000-FFFF-FFFF021B0000}" name="接続606" type="7" refreshedVersion="4"/>
  <connection id="9350" xr16:uid="{00000000-0015-0000-FFFF-FFFF031B0000}" name="接続6060" type="7" refreshedVersion="4"/>
  <connection id="9351" xr16:uid="{00000000-0015-0000-FFFF-FFFF041B0000}" name="接続6061" type="7" refreshedVersion="4"/>
  <connection id="9352" xr16:uid="{00000000-0015-0000-FFFF-FFFF051B0000}" name="接続6062" type="7" refreshedVersion="4"/>
  <connection id="9353" xr16:uid="{00000000-0015-0000-FFFF-FFFF061B0000}" name="接続6063" type="7" refreshedVersion="4"/>
  <connection id="9354" xr16:uid="{00000000-0015-0000-FFFF-FFFF071B0000}" name="接続6064" type="7" refreshedVersion="4"/>
  <connection id="9355" xr16:uid="{00000000-0015-0000-FFFF-FFFF081B0000}" name="接続6065" type="7" refreshedVersion="4"/>
  <connection id="9356" xr16:uid="{00000000-0015-0000-FFFF-FFFF091B0000}" name="接続6066" type="7" refreshedVersion="4"/>
  <connection id="9357" xr16:uid="{00000000-0015-0000-FFFF-FFFF0A1B0000}" name="接続6067" type="7" refreshedVersion="4"/>
  <connection id="9358" xr16:uid="{00000000-0015-0000-FFFF-FFFF0B1B0000}" name="接続6068" type="7" refreshedVersion="4"/>
  <connection id="9359" xr16:uid="{00000000-0015-0000-FFFF-FFFF0C1B0000}" name="接続6069" type="7" refreshedVersion="4"/>
  <connection id="9360" xr16:uid="{00000000-0015-0000-FFFF-FFFF0D1B0000}" name="接続607" type="7" refreshedVersion="4"/>
  <connection id="9361" xr16:uid="{00000000-0015-0000-FFFF-FFFF0E1B0000}" name="接続6070" type="7" refreshedVersion="4"/>
  <connection id="9362" xr16:uid="{00000000-0015-0000-FFFF-FFFF0F1B0000}" name="接続6071" type="7" refreshedVersion="4"/>
  <connection id="9363" xr16:uid="{00000000-0015-0000-FFFF-FFFF101B0000}" name="接続6072" type="7" refreshedVersion="4"/>
  <connection id="9364" xr16:uid="{00000000-0015-0000-FFFF-FFFF111B0000}" name="接続6073" type="7" refreshedVersion="4"/>
  <connection id="9365" xr16:uid="{00000000-0015-0000-FFFF-FFFF121B0000}" name="接続6074" type="7" refreshedVersion="4"/>
  <connection id="9366" xr16:uid="{00000000-0015-0000-FFFF-FFFF131B0000}" name="接続6075" type="7" refreshedVersion="4"/>
  <connection id="9367" xr16:uid="{00000000-0015-0000-FFFF-FFFF141B0000}" name="接続6076" type="7" refreshedVersion="4"/>
  <connection id="9368" xr16:uid="{00000000-0015-0000-FFFF-FFFF151B0000}" name="接続6077" type="7" refreshedVersion="4"/>
  <connection id="9369" xr16:uid="{00000000-0015-0000-FFFF-FFFF161B0000}" name="接続6078" type="7" refreshedVersion="4"/>
  <connection id="9370" xr16:uid="{00000000-0015-0000-FFFF-FFFF171B0000}" name="接続6079" type="7" refreshedVersion="4"/>
  <connection id="9371" xr16:uid="{00000000-0015-0000-FFFF-FFFF181B0000}" name="接続608" type="7" refreshedVersion="4"/>
  <connection id="9372" xr16:uid="{00000000-0015-0000-FFFF-FFFF191B0000}" name="接続6080" type="7" refreshedVersion="4"/>
  <connection id="9373" xr16:uid="{00000000-0015-0000-FFFF-FFFF1A1B0000}" name="接続6081" type="7" refreshedVersion="4"/>
  <connection id="9374" xr16:uid="{00000000-0015-0000-FFFF-FFFF1B1B0000}" name="接続6082" type="7" refreshedVersion="4"/>
  <connection id="9375" xr16:uid="{00000000-0015-0000-FFFF-FFFF1C1B0000}" name="接続6083" type="7" refreshedVersion="4"/>
  <connection id="9376" xr16:uid="{00000000-0015-0000-FFFF-FFFF1D1B0000}" name="接続6084" type="7" refreshedVersion="4"/>
  <connection id="9377" xr16:uid="{00000000-0015-0000-FFFF-FFFF1E1B0000}" name="接続6085" type="7" refreshedVersion="4"/>
  <connection id="9378" xr16:uid="{00000000-0015-0000-FFFF-FFFF1F1B0000}" name="接続6086" type="7" refreshedVersion="4"/>
  <connection id="9379" xr16:uid="{00000000-0015-0000-FFFF-FFFF201B0000}" name="接続6087" type="7" refreshedVersion="4"/>
  <connection id="9380" xr16:uid="{00000000-0015-0000-FFFF-FFFF211B0000}" name="接続6088" type="7" refreshedVersion="4"/>
  <connection id="9381" xr16:uid="{00000000-0015-0000-FFFF-FFFF221B0000}" name="接続6089" type="7" refreshedVersion="4"/>
  <connection id="9382" xr16:uid="{00000000-0015-0000-FFFF-FFFF231B0000}" name="接続609" type="7" refreshedVersion="4"/>
  <connection id="9383" xr16:uid="{00000000-0015-0000-FFFF-FFFF241B0000}" name="接続6090" type="7" refreshedVersion="4"/>
  <connection id="9384" xr16:uid="{00000000-0015-0000-FFFF-FFFF251B0000}" name="接続6091" type="7" refreshedVersion="4"/>
  <connection id="9385" xr16:uid="{00000000-0015-0000-FFFF-FFFF261B0000}" name="接続6092" type="7" refreshedVersion="4"/>
  <connection id="9386" xr16:uid="{00000000-0015-0000-FFFF-FFFF271B0000}" name="接続6093" type="7" refreshedVersion="4"/>
  <connection id="9387" xr16:uid="{00000000-0015-0000-FFFF-FFFF281B0000}" name="接続6094" type="7" refreshedVersion="4"/>
  <connection id="9388" xr16:uid="{00000000-0015-0000-FFFF-FFFF291B0000}" name="接続6095" type="7" refreshedVersion="4"/>
  <connection id="9389" xr16:uid="{00000000-0015-0000-FFFF-FFFF2A1B0000}" name="接続6096" type="7" refreshedVersion="4"/>
  <connection id="9390" xr16:uid="{00000000-0015-0000-FFFF-FFFF2B1B0000}" name="接続6097" type="7" refreshedVersion="4"/>
  <connection id="9391" xr16:uid="{00000000-0015-0000-FFFF-FFFF2C1B0000}" name="接続6098" type="7" refreshedVersion="4"/>
  <connection id="9392" xr16:uid="{00000000-0015-0000-FFFF-FFFF2D1B0000}" name="接続6099" type="7" refreshedVersion="4"/>
  <connection id="9393" xr16:uid="{00000000-0015-0000-FFFF-FFFF2E1B0000}" name="接続61" type="7" refreshedVersion="4"/>
  <connection id="9394" xr16:uid="{00000000-0015-0000-FFFF-FFFF2F1B0000}" name="接続610" type="7" refreshedVersion="4"/>
  <connection id="9395" xr16:uid="{00000000-0015-0000-FFFF-FFFF301B0000}" name="接続6100" type="7" refreshedVersion="4"/>
  <connection id="9396" xr16:uid="{00000000-0015-0000-FFFF-FFFF311B0000}" name="接続6101" type="7" refreshedVersion="4"/>
  <connection id="9397" xr16:uid="{00000000-0015-0000-FFFF-FFFF321B0000}" name="接続6102" type="7" refreshedVersion="4"/>
  <connection id="9398" xr16:uid="{00000000-0015-0000-FFFF-FFFF331B0000}" name="接続6103" type="7" refreshedVersion="4"/>
  <connection id="9399" xr16:uid="{00000000-0015-0000-FFFF-FFFF341B0000}" name="接続6104" type="7" refreshedVersion="4"/>
  <connection id="9400" xr16:uid="{00000000-0015-0000-FFFF-FFFF351B0000}" name="接続6105" type="7" refreshedVersion="4"/>
  <connection id="9401" xr16:uid="{00000000-0015-0000-FFFF-FFFF361B0000}" name="接続6106" type="7" refreshedVersion="4"/>
  <connection id="9402" xr16:uid="{00000000-0015-0000-FFFF-FFFF371B0000}" name="接続6107" type="7" refreshedVersion="4"/>
  <connection id="9403" xr16:uid="{00000000-0015-0000-FFFF-FFFF381B0000}" name="接続6108" type="7" refreshedVersion="4"/>
  <connection id="9404" xr16:uid="{00000000-0015-0000-FFFF-FFFF391B0000}" name="接続6109" type="7" refreshedVersion="4"/>
  <connection id="9405" xr16:uid="{00000000-0015-0000-FFFF-FFFF3A1B0000}" name="接続611" type="7" refreshedVersion="4"/>
  <connection id="9406" xr16:uid="{00000000-0015-0000-FFFF-FFFF3B1B0000}" name="接続6110" type="7" refreshedVersion="4"/>
  <connection id="9407" xr16:uid="{00000000-0015-0000-FFFF-FFFF3C1B0000}" name="接続6111" type="7" refreshedVersion="4"/>
  <connection id="9408" xr16:uid="{00000000-0015-0000-FFFF-FFFF3D1B0000}" name="接続6112" type="7" refreshedVersion="4"/>
  <connection id="9409" xr16:uid="{00000000-0015-0000-FFFF-FFFF3E1B0000}" name="接続6113" type="7" refreshedVersion="4"/>
  <connection id="9410" xr16:uid="{00000000-0015-0000-FFFF-FFFF3F1B0000}" name="接続6114" type="7" refreshedVersion="4"/>
  <connection id="9411" xr16:uid="{00000000-0015-0000-FFFF-FFFF401B0000}" name="接続6115" type="7" refreshedVersion="4"/>
  <connection id="9412" xr16:uid="{00000000-0015-0000-FFFF-FFFF411B0000}" name="接続6116" type="7" refreshedVersion="4"/>
  <connection id="9413" xr16:uid="{00000000-0015-0000-FFFF-FFFF421B0000}" name="接続6117" type="7" refreshedVersion="4"/>
  <connection id="9414" xr16:uid="{00000000-0015-0000-FFFF-FFFF431B0000}" name="接続6118" type="7" refreshedVersion="4"/>
  <connection id="9415" xr16:uid="{00000000-0015-0000-FFFF-FFFF441B0000}" name="接続6119" type="7" refreshedVersion="4"/>
  <connection id="9416" xr16:uid="{00000000-0015-0000-FFFF-FFFF451B0000}" name="接続612" type="7" refreshedVersion="4"/>
  <connection id="9417" xr16:uid="{00000000-0015-0000-FFFF-FFFF461B0000}" name="接続6120" type="7" refreshedVersion="4"/>
  <connection id="9418" xr16:uid="{00000000-0015-0000-FFFF-FFFF471B0000}" name="接続6121" type="7" refreshedVersion="4"/>
  <connection id="9419" xr16:uid="{00000000-0015-0000-FFFF-FFFF481B0000}" name="接続6122" type="7" refreshedVersion="4"/>
  <connection id="9420" xr16:uid="{00000000-0015-0000-FFFF-FFFF491B0000}" name="接続6123" type="7" refreshedVersion="4"/>
  <connection id="9421" xr16:uid="{00000000-0015-0000-FFFF-FFFF4A1B0000}" name="接続6124" type="7" refreshedVersion="4"/>
  <connection id="9422" xr16:uid="{00000000-0015-0000-FFFF-FFFF4B1B0000}" name="接続6125" type="7" refreshedVersion="4"/>
  <connection id="9423" xr16:uid="{00000000-0015-0000-FFFF-FFFF4C1B0000}" name="接続6126" type="7" refreshedVersion="4"/>
  <connection id="9424" xr16:uid="{00000000-0015-0000-FFFF-FFFF4D1B0000}" name="接続6127" type="7" refreshedVersion="4"/>
  <connection id="9425" xr16:uid="{00000000-0015-0000-FFFF-FFFF4E1B0000}" name="接続6128" type="7" refreshedVersion="4"/>
  <connection id="9426" xr16:uid="{00000000-0015-0000-FFFF-FFFF4F1B0000}" name="接続6129" type="7" refreshedVersion="4"/>
  <connection id="9427" xr16:uid="{00000000-0015-0000-FFFF-FFFF501B0000}" name="接続613" type="7" refreshedVersion="4"/>
  <connection id="9428" xr16:uid="{00000000-0015-0000-FFFF-FFFF511B0000}" name="接続6130" type="7" refreshedVersion="4"/>
  <connection id="9429" xr16:uid="{00000000-0015-0000-FFFF-FFFF521B0000}" name="接続6131" type="7" refreshedVersion="4"/>
  <connection id="9430" xr16:uid="{00000000-0015-0000-FFFF-FFFF531B0000}" name="接続6132" type="7" refreshedVersion="4"/>
  <connection id="9431" xr16:uid="{00000000-0015-0000-FFFF-FFFF541B0000}" name="接続6133" type="7" refreshedVersion="4"/>
  <connection id="9432" xr16:uid="{00000000-0015-0000-FFFF-FFFF551B0000}" name="接続6134" type="7" refreshedVersion="4"/>
  <connection id="9433" xr16:uid="{00000000-0015-0000-FFFF-FFFF561B0000}" name="接続6135" type="7" refreshedVersion="4"/>
  <connection id="9434" xr16:uid="{00000000-0015-0000-FFFF-FFFF571B0000}" name="接続6136" type="7" refreshedVersion="4"/>
  <connection id="9435" xr16:uid="{00000000-0015-0000-FFFF-FFFF581B0000}" name="接続6137" type="7" refreshedVersion="4"/>
  <connection id="9436" xr16:uid="{00000000-0015-0000-FFFF-FFFF591B0000}" name="接続6138" type="7" refreshedVersion="4"/>
  <connection id="9437" xr16:uid="{00000000-0015-0000-FFFF-FFFF5A1B0000}" name="接続6139" type="7" refreshedVersion="4"/>
  <connection id="9438" xr16:uid="{00000000-0015-0000-FFFF-FFFF5B1B0000}" name="接続614" type="7" refreshedVersion="4"/>
  <connection id="9439" xr16:uid="{00000000-0015-0000-FFFF-FFFF5C1B0000}" name="接続6140" type="7" refreshedVersion="4"/>
  <connection id="9440" xr16:uid="{00000000-0015-0000-FFFF-FFFF5D1B0000}" name="接続6141" type="7" refreshedVersion="4"/>
  <connection id="9441" xr16:uid="{00000000-0015-0000-FFFF-FFFF5E1B0000}" name="接続6142" type="7" refreshedVersion="4"/>
  <connection id="9442" xr16:uid="{00000000-0015-0000-FFFF-FFFF5F1B0000}" name="接続6143" type="7" refreshedVersion="4"/>
  <connection id="9443" xr16:uid="{00000000-0015-0000-FFFF-FFFF601B0000}" name="接続6144" type="7" refreshedVersion="4"/>
  <connection id="9444" xr16:uid="{00000000-0015-0000-FFFF-FFFF611B0000}" name="接続6145" type="7" refreshedVersion="4"/>
  <connection id="9445" xr16:uid="{00000000-0015-0000-FFFF-FFFF621B0000}" name="接続6146" type="7" refreshedVersion="4"/>
  <connection id="9446" xr16:uid="{00000000-0015-0000-FFFF-FFFF631B0000}" name="接続6147" type="7" refreshedVersion="4"/>
  <connection id="9447" xr16:uid="{00000000-0015-0000-FFFF-FFFF641B0000}" name="接続6148" type="7" refreshedVersion="4"/>
  <connection id="9448" xr16:uid="{00000000-0015-0000-FFFF-FFFF651B0000}" name="接続6149" type="7" refreshedVersion="4"/>
  <connection id="9449" xr16:uid="{00000000-0015-0000-FFFF-FFFF661B0000}" name="接続615" type="7" refreshedVersion="4"/>
  <connection id="9450" xr16:uid="{00000000-0015-0000-FFFF-FFFF671B0000}" name="接続6150" type="7" refreshedVersion="4"/>
  <connection id="9451" xr16:uid="{00000000-0015-0000-FFFF-FFFF681B0000}" name="接続6151" type="7" refreshedVersion="4"/>
  <connection id="9452" xr16:uid="{00000000-0015-0000-FFFF-FFFF691B0000}" name="接続6152" type="7" refreshedVersion="4"/>
  <connection id="9453" xr16:uid="{00000000-0015-0000-FFFF-FFFF6A1B0000}" name="接続6153" type="7" refreshedVersion="4"/>
  <connection id="9454" xr16:uid="{00000000-0015-0000-FFFF-FFFF6B1B0000}" name="接続6154" type="7" refreshedVersion="4"/>
  <connection id="9455" xr16:uid="{00000000-0015-0000-FFFF-FFFF6C1B0000}" name="接続6155" type="7" refreshedVersion="4"/>
  <connection id="9456" xr16:uid="{00000000-0015-0000-FFFF-FFFF6D1B0000}" name="接続6156" type="7" refreshedVersion="4"/>
  <connection id="9457" xr16:uid="{00000000-0015-0000-FFFF-FFFF6E1B0000}" name="接続6157" type="7" refreshedVersion="4"/>
  <connection id="9458" xr16:uid="{00000000-0015-0000-FFFF-FFFF6F1B0000}" name="接続6158" type="7" refreshedVersion="4"/>
  <connection id="9459" xr16:uid="{00000000-0015-0000-FFFF-FFFF701B0000}" name="接続6159" type="7" refreshedVersion="4"/>
  <connection id="9460" xr16:uid="{00000000-0015-0000-FFFF-FFFF711B0000}" name="接続616" type="7" refreshedVersion="4"/>
  <connection id="9461" xr16:uid="{00000000-0015-0000-FFFF-FFFF721B0000}" name="接続6160" type="7" refreshedVersion="4"/>
  <connection id="9462" xr16:uid="{00000000-0015-0000-FFFF-FFFF731B0000}" name="接続6161" type="7" refreshedVersion="4"/>
  <connection id="9463" xr16:uid="{00000000-0015-0000-FFFF-FFFF741B0000}" name="接続6162" type="7" refreshedVersion="4"/>
  <connection id="9464" xr16:uid="{00000000-0015-0000-FFFF-FFFF751B0000}" name="接続6163" type="7" refreshedVersion="4"/>
  <connection id="9465" xr16:uid="{00000000-0015-0000-FFFF-FFFF761B0000}" name="接続6164" type="7" refreshedVersion="4"/>
  <connection id="9466" xr16:uid="{00000000-0015-0000-FFFF-FFFF771B0000}" name="接続6165" type="7" refreshedVersion="4"/>
  <connection id="9467" xr16:uid="{00000000-0015-0000-FFFF-FFFF781B0000}" name="接続6166" type="7" refreshedVersion="4"/>
  <connection id="9468" xr16:uid="{00000000-0015-0000-FFFF-FFFF791B0000}" name="接続6167" type="7" refreshedVersion="4"/>
  <connection id="9469" xr16:uid="{00000000-0015-0000-FFFF-FFFF7A1B0000}" name="接続6168" type="7" refreshedVersion="4"/>
  <connection id="9470" xr16:uid="{00000000-0015-0000-FFFF-FFFF7B1B0000}" name="接続6169" type="7" refreshedVersion="4"/>
  <connection id="9471" xr16:uid="{00000000-0015-0000-FFFF-FFFF7C1B0000}" name="接続617" type="7" refreshedVersion="4"/>
  <connection id="9472" xr16:uid="{00000000-0015-0000-FFFF-FFFF7D1B0000}" name="接続6170" type="7" refreshedVersion="4"/>
  <connection id="9473" xr16:uid="{00000000-0015-0000-FFFF-FFFF7E1B0000}" name="接続6171" type="7" refreshedVersion="4"/>
  <connection id="9474" xr16:uid="{00000000-0015-0000-FFFF-FFFF7F1B0000}" name="接続6172" type="7" refreshedVersion="4"/>
  <connection id="9475" xr16:uid="{00000000-0015-0000-FFFF-FFFF801B0000}" name="接続6173" type="7" refreshedVersion="4"/>
  <connection id="9476" xr16:uid="{00000000-0015-0000-FFFF-FFFF811B0000}" name="接続6174" type="7" refreshedVersion="4"/>
  <connection id="9477" xr16:uid="{00000000-0015-0000-FFFF-FFFF821B0000}" name="接続6175" type="7" refreshedVersion="4"/>
  <connection id="9478" xr16:uid="{00000000-0015-0000-FFFF-FFFF831B0000}" name="接続6176" type="7" refreshedVersion="4"/>
  <connection id="9479" xr16:uid="{00000000-0015-0000-FFFF-FFFF841B0000}" name="接続6177" type="7" refreshedVersion="4"/>
  <connection id="9480" xr16:uid="{00000000-0015-0000-FFFF-FFFF851B0000}" name="接続6178" type="7" refreshedVersion="4"/>
  <connection id="9481" xr16:uid="{00000000-0015-0000-FFFF-FFFF861B0000}" name="接続6179" type="7" refreshedVersion="4"/>
  <connection id="9482" xr16:uid="{00000000-0015-0000-FFFF-FFFF871B0000}" name="接続618" type="7" refreshedVersion="4"/>
  <connection id="9483" xr16:uid="{00000000-0015-0000-FFFF-FFFF881B0000}" name="接続6180" type="7" refreshedVersion="4"/>
  <connection id="9484" xr16:uid="{00000000-0015-0000-FFFF-FFFF891B0000}" name="接続6181" type="7" refreshedVersion="4"/>
  <connection id="9485" xr16:uid="{00000000-0015-0000-FFFF-FFFF8A1B0000}" name="接続6182" type="7" refreshedVersion="4"/>
  <connection id="9486" xr16:uid="{00000000-0015-0000-FFFF-FFFF8B1B0000}" name="接続6183" type="7" refreshedVersion="4"/>
  <connection id="9487" xr16:uid="{00000000-0015-0000-FFFF-FFFF8C1B0000}" name="接続6184" type="7" refreshedVersion="4"/>
  <connection id="9488" xr16:uid="{00000000-0015-0000-FFFF-FFFF8D1B0000}" name="接続6185" type="7" refreshedVersion="4"/>
  <connection id="9489" xr16:uid="{00000000-0015-0000-FFFF-FFFF8E1B0000}" name="接続6186" type="7" refreshedVersion="4"/>
  <connection id="9490" xr16:uid="{00000000-0015-0000-FFFF-FFFF8F1B0000}" name="接続6187" type="7" refreshedVersion="4"/>
  <connection id="9491" xr16:uid="{00000000-0015-0000-FFFF-FFFF901B0000}" name="接続6188" type="7" refreshedVersion="4"/>
  <connection id="9492" xr16:uid="{00000000-0015-0000-FFFF-FFFF911B0000}" name="接続6189" type="7" refreshedVersion="4"/>
  <connection id="9493" xr16:uid="{00000000-0015-0000-FFFF-FFFF921B0000}" name="接続619" type="7" refreshedVersion="4"/>
  <connection id="9494" xr16:uid="{00000000-0015-0000-FFFF-FFFF931B0000}" name="接続6190" type="7" refreshedVersion="4"/>
  <connection id="9495" xr16:uid="{00000000-0015-0000-FFFF-FFFF941B0000}" name="接続6191" type="7" refreshedVersion="4"/>
  <connection id="9496" xr16:uid="{00000000-0015-0000-FFFF-FFFF951B0000}" name="接続6192" type="7" refreshedVersion="4"/>
  <connection id="9497" xr16:uid="{00000000-0015-0000-FFFF-FFFF961B0000}" name="接続6193" type="7" refreshedVersion="4"/>
  <connection id="9498" xr16:uid="{00000000-0015-0000-FFFF-FFFF971B0000}" name="接続6194" type="7" refreshedVersion="4"/>
  <connection id="9499" xr16:uid="{00000000-0015-0000-FFFF-FFFF981B0000}" name="接続6195" type="7" refreshedVersion="4"/>
  <connection id="9500" xr16:uid="{00000000-0015-0000-FFFF-FFFF991B0000}" name="接続6196" type="7" refreshedVersion="4"/>
  <connection id="9501" xr16:uid="{00000000-0015-0000-FFFF-FFFF9A1B0000}" name="接続6197" type="7" refreshedVersion="4"/>
  <connection id="9502" xr16:uid="{00000000-0015-0000-FFFF-FFFF9B1B0000}" name="接続6198" type="7" refreshedVersion="4"/>
  <connection id="9503" xr16:uid="{00000000-0015-0000-FFFF-FFFF9C1B0000}" name="接続6199" type="7" refreshedVersion="4"/>
  <connection id="9504" xr16:uid="{00000000-0015-0000-FFFF-FFFF9D1B0000}" name="接続62" type="7" refreshedVersion="4"/>
  <connection id="9505" xr16:uid="{00000000-0015-0000-FFFF-FFFF9E1B0000}" name="接続620" type="7" refreshedVersion="4"/>
  <connection id="9506" xr16:uid="{00000000-0015-0000-FFFF-FFFF9F1B0000}" name="接続6200" type="7" refreshedVersion="4"/>
  <connection id="9507" xr16:uid="{00000000-0015-0000-FFFF-FFFFA01B0000}" name="接続6201" type="7" refreshedVersion="4"/>
  <connection id="9508" xr16:uid="{00000000-0015-0000-FFFF-FFFFA11B0000}" name="接続6202" type="7" refreshedVersion="4"/>
  <connection id="9509" xr16:uid="{00000000-0015-0000-FFFF-FFFFA21B0000}" name="接続6203" type="7" refreshedVersion="4"/>
  <connection id="9510" xr16:uid="{00000000-0015-0000-FFFF-FFFFA31B0000}" name="接続6204" type="7" refreshedVersion="4"/>
  <connection id="9511" xr16:uid="{00000000-0015-0000-FFFF-FFFFA41B0000}" name="接続6205" type="7" refreshedVersion="4"/>
  <connection id="9512" xr16:uid="{00000000-0015-0000-FFFF-FFFFA51B0000}" name="接続6206" type="7" refreshedVersion="4"/>
  <connection id="9513" xr16:uid="{00000000-0015-0000-FFFF-FFFFA61B0000}" name="接続6207" type="7" refreshedVersion="4"/>
  <connection id="9514" xr16:uid="{00000000-0015-0000-FFFF-FFFFA71B0000}" name="接続6208" type="7" refreshedVersion="4"/>
  <connection id="9515" xr16:uid="{00000000-0015-0000-FFFF-FFFFA81B0000}" name="接続6209" type="7" refreshedVersion="4"/>
  <connection id="9516" xr16:uid="{00000000-0015-0000-FFFF-FFFFA91B0000}" name="接続621" type="7" refreshedVersion="4"/>
  <connection id="9517" xr16:uid="{00000000-0015-0000-FFFF-FFFFAA1B0000}" name="接続6210" type="7" refreshedVersion="4"/>
  <connection id="9518" xr16:uid="{00000000-0015-0000-FFFF-FFFFAB1B0000}" name="接続6211" type="7" refreshedVersion="4"/>
  <connection id="9519" xr16:uid="{00000000-0015-0000-FFFF-FFFFAC1B0000}" name="接続6212" type="7" refreshedVersion="4"/>
  <connection id="9520" xr16:uid="{00000000-0015-0000-FFFF-FFFFAD1B0000}" name="接続6213" type="7" refreshedVersion="4"/>
  <connection id="9521" xr16:uid="{00000000-0015-0000-FFFF-FFFFAE1B0000}" name="接続6214" type="7" refreshedVersion="4"/>
  <connection id="9522" xr16:uid="{00000000-0015-0000-FFFF-FFFFAF1B0000}" name="接続6215" type="7" refreshedVersion="4"/>
  <connection id="9523" xr16:uid="{00000000-0015-0000-FFFF-FFFFB01B0000}" name="接続6216" type="7" refreshedVersion="4"/>
  <connection id="9524" xr16:uid="{00000000-0015-0000-FFFF-FFFFB11B0000}" name="接続6217" type="7" refreshedVersion="4"/>
  <connection id="9525" xr16:uid="{00000000-0015-0000-FFFF-FFFFB21B0000}" name="接続6218" type="7" refreshedVersion="4"/>
  <connection id="9526" xr16:uid="{00000000-0015-0000-FFFF-FFFFB31B0000}" name="接続6219" type="7" refreshedVersion="4"/>
  <connection id="9527" xr16:uid="{00000000-0015-0000-FFFF-FFFFB41B0000}" name="接続622" type="7" refreshedVersion="4"/>
  <connection id="9528" xr16:uid="{00000000-0015-0000-FFFF-FFFFB51B0000}" name="接続6220" type="7" refreshedVersion="4"/>
  <connection id="9529" xr16:uid="{00000000-0015-0000-FFFF-FFFFB61B0000}" name="接続6221" type="7" refreshedVersion="4"/>
  <connection id="9530" xr16:uid="{00000000-0015-0000-FFFF-FFFFB71B0000}" name="接続6222" type="7" refreshedVersion="4"/>
  <connection id="9531" xr16:uid="{00000000-0015-0000-FFFF-FFFFB81B0000}" name="接続6223" type="7" refreshedVersion="4"/>
  <connection id="9532" xr16:uid="{00000000-0015-0000-FFFF-FFFFB91B0000}" name="接続6224" type="7" refreshedVersion="4"/>
  <connection id="9533" xr16:uid="{00000000-0015-0000-FFFF-FFFFBA1B0000}" name="接続6225" type="7" refreshedVersion="4"/>
  <connection id="9534" xr16:uid="{00000000-0015-0000-FFFF-FFFFBB1B0000}" name="接続6226" type="7" refreshedVersion="4"/>
  <connection id="9535" xr16:uid="{00000000-0015-0000-FFFF-FFFFBC1B0000}" name="接続6227" type="7" refreshedVersion="4"/>
  <connection id="9536" xr16:uid="{00000000-0015-0000-FFFF-FFFFBD1B0000}" name="接続6228" type="7" refreshedVersion="4"/>
  <connection id="9537" xr16:uid="{00000000-0015-0000-FFFF-FFFFBE1B0000}" name="接続6229" type="7" refreshedVersion="4"/>
  <connection id="9538" xr16:uid="{00000000-0015-0000-FFFF-FFFFBF1B0000}" name="接続623" type="7" refreshedVersion="4"/>
  <connection id="9539" xr16:uid="{00000000-0015-0000-FFFF-FFFFC01B0000}" name="接続6230" type="7" refreshedVersion="4"/>
  <connection id="9540" xr16:uid="{00000000-0015-0000-FFFF-FFFFC11B0000}" name="接続6231" type="7" refreshedVersion="4"/>
  <connection id="9541" xr16:uid="{00000000-0015-0000-FFFF-FFFFC21B0000}" name="接続6232" type="7" refreshedVersion="4"/>
  <connection id="9542" xr16:uid="{00000000-0015-0000-FFFF-FFFFC31B0000}" name="接続6233" type="7" refreshedVersion="4"/>
  <connection id="9543" xr16:uid="{00000000-0015-0000-FFFF-FFFFC41B0000}" name="接続6234" type="7" refreshedVersion="4"/>
  <connection id="9544" xr16:uid="{00000000-0015-0000-FFFF-FFFFC51B0000}" name="接続6235" type="7" refreshedVersion="4"/>
  <connection id="9545" xr16:uid="{00000000-0015-0000-FFFF-FFFFC61B0000}" name="接続6236" type="7" refreshedVersion="4"/>
  <connection id="9546" xr16:uid="{00000000-0015-0000-FFFF-FFFFC71B0000}" name="接続6237" type="7" refreshedVersion="4"/>
  <connection id="9547" xr16:uid="{00000000-0015-0000-FFFF-FFFFC81B0000}" name="接続6238" type="7" refreshedVersion="4"/>
  <connection id="9548" xr16:uid="{00000000-0015-0000-FFFF-FFFFC91B0000}" name="接続6239" type="7" refreshedVersion="4"/>
  <connection id="9549" xr16:uid="{00000000-0015-0000-FFFF-FFFFCA1B0000}" name="接続624" type="7" refreshedVersion="4"/>
  <connection id="9550" xr16:uid="{00000000-0015-0000-FFFF-FFFFCB1B0000}" name="接続6240" type="7" refreshedVersion="4"/>
  <connection id="9551" xr16:uid="{00000000-0015-0000-FFFF-FFFFCC1B0000}" name="接続6241" type="7" refreshedVersion="4"/>
  <connection id="9552" xr16:uid="{00000000-0015-0000-FFFF-FFFFCD1B0000}" name="接続6242" type="7" refreshedVersion="4"/>
  <connection id="9553" xr16:uid="{00000000-0015-0000-FFFF-FFFFCE1B0000}" name="接続6243" type="7" refreshedVersion="4"/>
  <connection id="9554" xr16:uid="{00000000-0015-0000-FFFF-FFFFCF1B0000}" name="接続6244" type="7" refreshedVersion="4"/>
  <connection id="9555" xr16:uid="{00000000-0015-0000-FFFF-FFFFD01B0000}" name="接続6245" type="7" refreshedVersion="4"/>
  <connection id="9556" xr16:uid="{00000000-0015-0000-FFFF-FFFFD11B0000}" name="接続6246" type="7" refreshedVersion="4"/>
  <connection id="9557" xr16:uid="{00000000-0015-0000-FFFF-FFFFD21B0000}" name="接続6247" type="7" refreshedVersion="4"/>
  <connection id="9558" xr16:uid="{00000000-0015-0000-FFFF-FFFFD31B0000}" name="接続6248" type="7" refreshedVersion="4"/>
  <connection id="9559" xr16:uid="{00000000-0015-0000-FFFF-FFFFD41B0000}" name="接続6249" type="7" refreshedVersion="4"/>
  <connection id="9560" xr16:uid="{00000000-0015-0000-FFFF-FFFFD51B0000}" name="接続625" type="7" refreshedVersion="4"/>
  <connection id="9561" xr16:uid="{00000000-0015-0000-FFFF-FFFFD61B0000}" name="接続6250" type="7" refreshedVersion="4"/>
  <connection id="9562" xr16:uid="{00000000-0015-0000-FFFF-FFFFD71B0000}" name="接続6251" type="7" refreshedVersion="4"/>
  <connection id="9563" xr16:uid="{00000000-0015-0000-FFFF-FFFFD81B0000}" name="接続6252" type="7" refreshedVersion="4"/>
  <connection id="9564" xr16:uid="{00000000-0015-0000-FFFF-FFFFD91B0000}" name="接続6253" type="7" refreshedVersion="4"/>
  <connection id="9565" xr16:uid="{00000000-0015-0000-FFFF-FFFFDA1B0000}" name="接続6254" type="7" refreshedVersion="4"/>
  <connection id="9566" xr16:uid="{00000000-0015-0000-FFFF-FFFFDB1B0000}" name="接続6255" type="7" refreshedVersion="4"/>
  <connection id="9567" xr16:uid="{00000000-0015-0000-FFFF-FFFFDC1B0000}" name="接続6256" type="7" refreshedVersion="4"/>
  <connection id="9568" xr16:uid="{00000000-0015-0000-FFFF-FFFFDD1B0000}" name="接続6257" type="7" refreshedVersion="4"/>
  <connection id="9569" xr16:uid="{00000000-0015-0000-FFFF-FFFFDE1B0000}" name="接続6258" type="7" refreshedVersion="4"/>
  <connection id="9570" xr16:uid="{00000000-0015-0000-FFFF-FFFFDF1B0000}" name="接続6259" type="7" refreshedVersion="4"/>
  <connection id="9571" xr16:uid="{00000000-0015-0000-FFFF-FFFFE01B0000}" name="接続626" type="7" refreshedVersion="4"/>
  <connection id="9572" xr16:uid="{00000000-0015-0000-FFFF-FFFFE11B0000}" name="接続6260" type="7" refreshedVersion="4"/>
  <connection id="9573" xr16:uid="{00000000-0015-0000-FFFF-FFFFE21B0000}" name="接続6261" type="7" refreshedVersion="4"/>
  <connection id="9574" xr16:uid="{00000000-0015-0000-FFFF-FFFFE31B0000}" name="接続6262" type="7" refreshedVersion="4"/>
  <connection id="9575" xr16:uid="{00000000-0015-0000-FFFF-FFFFE41B0000}" name="接続6263" type="7" refreshedVersion="4"/>
  <connection id="9576" xr16:uid="{00000000-0015-0000-FFFF-FFFFE51B0000}" name="接続6264" type="7" refreshedVersion="4"/>
  <connection id="9577" xr16:uid="{00000000-0015-0000-FFFF-FFFFE61B0000}" name="接続6265" type="7" refreshedVersion="4"/>
  <connection id="9578" xr16:uid="{00000000-0015-0000-FFFF-FFFFE71B0000}" name="接続6266" type="7" refreshedVersion="4"/>
  <connection id="9579" xr16:uid="{00000000-0015-0000-FFFF-FFFFE81B0000}" name="接続6267" type="7" refreshedVersion="4"/>
  <connection id="9580" xr16:uid="{00000000-0015-0000-FFFF-FFFFE91B0000}" name="接続6268" type="7" refreshedVersion="4"/>
  <connection id="9581" xr16:uid="{00000000-0015-0000-FFFF-FFFFEA1B0000}" name="接続6269" type="7" refreshedVersion="4"/>
  <connection id="9582" xr16:uid="{00000000-0015-0000-FFFF-FFFFEB1B0000}" name="接続627" type="7" refreshedVersion="4"/>
  <connection id="9583" xr16:uid="{00000000-0015-0000-FFFF-FFFFEC1B0000}" name="接続6270" type="7" refreshedVersion="4"/>
  <connection id="9584" xr16:uid="{00000000-0015-0000-FFFF-FFFFED1B0000}" name="接続6271" type="7" refreshedVersion="4"/>
  <connection id="9585" xr16:uid="{00000000-0015-0000-FFFF-FFFFEE1B0000}" name="接続6272" type="7" refreshedVersion="4"/>
  <connection id="9586" xr16:uid="{00000000-0015-0000-FFFF-FFFFEF1B0000}" name="接続6273" type="7" refreshedVersion="4"/>
  <connection id="9587" xr16:uid="{00000000-0015-0000-FFFF-FFFFF01B0000}" name="接続6274" type="7" refreshedVersion="4"/>
  <connection id="9588" xr16:uid="{00000000-0015-0000-FFFF-FFFFF11B0000}" name="接続6275" type="7" refreshedVersion="4"/>
  <connection id="9589" xr16:uid="{00000000-0015-0000-FFFF-FFFFF21B0000}" name="接続6276" type="7" refreshedVersion="4"/>
  <connection id="9590" xr16:uid="{00000000-0015-0000-FFFF-FFFFF31B0000}" name="接続6277" type="7" refreshedVersion="4"/>
  <connection id="9591" xr16:uid="{00000000-0015-0000-FFFF-FFFFF41B0000}" name="接続6278" type="7" refreshedVersion="4"/>
  <connection id="9592" xr16:uid="{00000000-0015-0000-FFFF-FFFFF51B0000}" name="接続6279" type="7" refreshedVersion="4"/>
  <connection id="9593" xr16:uid="{00000000-0015-0000-FFFF-FFFFF61B0000}" name="接続628" type="7" refreshedVersion="4"/>
  <connection id="9594" xr16:uid="{00000000-0015-0000-FFFF-FFFFF71B0000}" name="接続6280" type="7" refreshedVersion="4"/>
  <connection id="9595" xr16:uid="{00000000-0015-0000-FFFF-FFFFF81B0000}" name="接続6281" type="7" refreshedVersion="4"/>
  <connection id="9596" xr16:uid="{00000000-0015-0000-FFFF-FFFFF91B0000}" name="接続6282" type="7" refreshedVersion="4"/>
  <connection id="9597" xr16:uid="{00000000-0015-0000-FFFF-FFFFFA1B0000}" name="接続6283" type="7" refreshedVersion="4"/>
  <connection id="9598" xr16:uid="{00000000-0015-0000-FFFF-FFFFFB1B0000}" name="接続6284" type="7" refreshedVersion="4"/>
  <connection id="9599" xr16:uid="{00000000-0015-0000-FFFF-FFFFFC1B0000}" name="接続6285" type="7" refreshedVersion="4"/>
  <connection id="9600" xr16:uid="{00000000-0015-0000-FFFF-FFFFFD1B0000}" name="接続6286" type="7" refreshedVersion="4"/>
  <connection id="9601" xr16:uid="{00000000-0015-0000-FFFF-FFFFFE1B0000}" name="接続6287" type="7" refreshedVersion="4"/>
  <connection id="9602" xr16:uid="{00000000-0015-0000-FFFF-FFFFFF1B0000}" name="接続6288" type="7" refreshedVersion="4"/>
  <connection id="9603" xr16:uid="{00000000-0015-0000-FFFF-FFFF001C0000}" name="接続6289" type="7" refreshedVersion="4"/>
  <connection id="9604" xr16:uid="{00000000-0015-0000-FFFF-FFFF011C0000}" name="接続629" type="7" refreshedVersion="4"/>
  <connection id="9605" xr16:uid="{00000000-0015-0000-FFFF-FFFF021C0000}" name="接続6290" type="7" refreshedVersion="4"/>
  <connection id="9606" xr16:uid="{00000000-0015-0000-FFFF-FFFF031C0000}" name="接続6291" type="7" refreshedVersion="4"/>
  <connection id="9607" xr16:uid="{00000000-0015-0000-FFFF-FFFF041C0000}" name="接続6292" type="7" refreshedVersion="4"/>
  <connection id="9608" xr16:uid="{00000000-0015-0000-FFFF-FFFF051C0000}" name="接続6293" type="7" refreshedVersion="4"/>
  <connection id="9609" xr16:uid="{00000000-0015-0000-FFFF-FFFF061C0000}" name="接続6294" type="7" refreshedVersion="4"/>
  <connection id="9610" xr16:uid="{00000000-0015-0000-FFFF-FFFF071C0000}" name="接続6295" type="7" refreshedVersion="4"/>
  <connection id="9611" xr16:uid="{00000000-0015-0000-FFFF-FFFF081C0000}" name="接続6296" type="7" refreshedVersion="4"/>
  <connection id="9612" xr16:uid="{00000000-0015-0000-FFFF-FFFF091C0000}" name="接続6297" type="7" refreshedVersion="4"/>
  <connection id="9613" xr16:uid="{00000000-0015-0000-FFFF-FFFF0A1C0000}" name="接続6298" type="7" refreshedVersion="4"/>
  <connection id="9614" xr16:uid="{00000000-0015-0000-FFFF-FFFF0B1C0000}" name="接続6299" type="7" refreshedVersion="4"/>
  <connection id="9615" xr16:uid="{00000000-0015-0000-FFFF-FFFF0C1C0000}" name="接続63" type="7" refreshedVersion="4"/>
  <connection id="9616" xr16:uid="{00000000-0015-0000-FFFF-FFFF0D1C0000}" name="接続630" type="7" refreshedVersion="4"/>
  <connection id="9617" xr16:uid="{00000000-0015-0000-FFFF-FFFF0E1C0000}" name="接続6300" type="7" refreshedVersion="4"/>
  <connection id="9618" xr16:uid="{00000000-0015-0000-FFFF-FFFF0F1C0000}" name="接続6301" type="7" refreshedVersion="4"/>
  <connection id="9619" xr16:uid="{00000000-0015-0000-FFFF-FFFF101C0000}" name="接続6302" type="7" refreshedVersion="4"/>
  <connection id="9620" xr16:uid="{00000000-0015-0000-FFFF-FFFF111C0000}" name="接続6303" type="7" refreshedVersion="4"/>
  <connection id="9621" xr16:uid="{00000000-0015-0000-FFFF-FFFF121C0000}" name="接続6304" type="7" refreshedVersion="4"/>
  <connection id="9622" xr16:uid="{00000000-0015-0000-FFFF-FFFF131C0000}" name="接続6305" type="7" refreshedVersion="4"/>
  <connection id="9623" xr16:uid="{00000000-0015-0000-FFFF-FFFF141C0000}" name="接続6306" type="7" refreshedVersion="4"/>
  <connection id="9624" xr16:uid="{00000000-0015-0000-FFFF-FFFF151C0000}" name="接続6307" type="7" refreshedVersion="4"/>
  <connection id="9625" xr16:uid="{00000000-0015-0000-FFFF-FFFF161C0000}" name="接続6308" type="7" refreshedVersion="4"/>
  <connection id="9626" xr16:uid="{00000000-0015-0000-FFFF-FFFF171C0000}" name="接続6309" type="7" refreshedVersion="4"/>
  <connection id="9627" xr16:uid="{00000000-0015-0000-FFFF-FFFF181C0000}" name="接続631" type="7" refreshedVersion="4"/>
  <connection id="9628" xr16:uid="{00000000-0015-0000-FFFF-FFFF191C0000}" name="接続6310" type="7" refreshedVersion="4"/>
  <connection id="9629" xr16:uid="{00000000-0015-0000-FFFF-FFFF1A1C0000}" name="接続6311" type="7" refreshedVersion="4"/>
  <connection id="9630" xr16:uid="{00000000-0015-0000-FFFF-FFFF1B1C0000}" name="接続6312" type="7" refreshedVersion="4"/>
  <connection id="9631" xr16:uid="{00000000-0015-0000-FFFF-FFFF1C1C0000}" name="接続6313" type="7" refreshedVersion="4"/>
  <connection id="9632" xr16:uid="{00000000-0015-0000-FFFF-FFFF1D1C0000}" name="接続6314" type="7" refreshedVersion="4"/>
  <connection id="9633" xr16:uid="{00000000-0015-0000-FFFF-FFFF1E1C0000}" name="接続6315" type="7" refreshedVersion="4"/>
  <connection id="9634" xr16:uid="{00000000-0015-0000-FFFF-FFFF1F1C0000}" name="接続6316" type="7" refreshedVersion="4"/>
  <connection id="9635" xr16:uid="{00000000-0015-0000-FFFF-FFFF201C0000}" name="接続6317" type="7" refreshedVersion="4"/>
  <connection id="9636" xr16:uid="{00000000-0015-0000-FFFF-FFFF211C0000}" name="接続6318" type="7" refreshedVersion="4"/>
  <connection id="9637" xr16:uid="{00000000-0015-0000-FFFF-FFFF221C0000}" name="接続6319" type="7" refreshedVersion="4"/>
  <connection id="9638" xr16:uid="{00000000-0015-0000-FFFF-FFFF231C0000}" name="接続632" type="7" refreshedVersion="4"/>
  <connection id="9639" xr16:uid="{00000000-0015-0000-FFFF-FFFF241C0000}" name="接続6320" type="7" refreshedVersion="4"/>
  <connection id="9640" xr16:uid="{00000000-0015-0000-FFFF-FFFF251C0000}" name="接続6321" type="7" refreshedVersion="4"/>
  <connection id="9641" xr16:uid="{00000000-0015-0000-FFFF-FFFF261C0000}" name="接続6322" type="7" refreshedVersion="4"/>
  <connection id="9642" xr16:uid="{00000000-0015-0000-FFFF-FFFF271C0000}" name="接続6323" type="7" refreshedVersion="4"/>
  <connection id="9643" xr16:uid="{00000000-0015-0000-FFFF-FFFF281C0000}" name="接続6324" type="7" refreshedVersion="4"/>
  <connection id="9644" xr16:uid="{00000000-0015-0000-FFFF-FFFF291C0000}" name="接続6325" type="7" refreshedVersion="4"/>
  <connection id="9645" xr16:uid="{00000000-0015-0000-FFFF-FFFF2A1C0000}" name="接続6326" type="7" refreshedVersion="4"/>
  <connection id="9646" xr16:uid="{00000000-0015-0000-FFFF-FFFF2B1C0000}" name="接続6327" type="7" refreshedVersion="4"/>
  <connection id="9647" xr16:uid="{00000000-0015-0000-FFFF-FFFF2C1C0000}" name="接続6328" type="7" refreshedVersion="4"/>
  <connection id="9648" xr16:uid="{00000000-0015-0000-FFFF-FFFF2D1C0000}" name="接続6329" type="7" refreshedVersion="4"/>
  <connection id="9649" xr16:uid="{00000000-0015-0000-FFFF-FFFF2E1C0000}" name="接続633" type="7" refreshedVersion="4"/>
  <connection id="9650" xr16:uid="{00000000-0015-0000-FFFF-FFFF2F1C0000}" name="接続6330" type="7" refreshedVersion="4"/>
  <connection id="9651" xr16:uid="{00000000-0015-0000-FFFF-FFFF301C0000}" name="接続6331" type="7" refreshedVersion="4"/>
  <connection id="9652" xr16:uid="{00000000-0015-0000-FFFF-FFFF311C0000}" name="接続6332" type="7" refreshedVersion="4"/>
  <connection id="9653" xr16:uid="{00000000-0015-0000-FFFF-FFFF321C0000}" name="接続6333" type="7" refreshedVersion="4"/>
  <connection id="9654" xr16:uid="{00000000-0015-0000-FFFF-FFFF331C0000}" name="接続6334" type="7" refreshedVersion="4"/>
  <connection id="9655" xr16:uid="{00000000-0015-0000-FFFF-FFFF341C0000}" name="接続6335" type="7" refreshedVersion="4"/>
  <connection id="9656" xr16:uid="{00000000-0015-0000-FFFF-FFFF351C0000}" name="接続6336" type="7" refreshedVersion="4"/>
  <connection id="9657" xr16:uid="{00000000-0015-0000-FFFF-FFFF361C0000}" name="接続6337" type="7" refreshedVersion="4"/>
  <connection id="9658" xr16:uid="{00000000-0015-0000-FFFF-FFFF371C0000}" name="接続6338" type="7" refreshedVersion="4"/>
  <connection id="9659" xr16:uid="{00000000-0015-0000-FFFF-FFFF381C0000}" name="接続6339" type="7" refreshedVersion="4"/>
  <connection id="9660" xr16:uid="{00000000-0015-0000-FFFF-FFFF391C0000}" name="接続634" type="7" refreshedVersion="4"/>
  <connection id="9661" xr16:uid="{00000000-0015-0000-FFFF-FFFF3A1C0000}" name="接続6340" type="7" refreshedVersion="4"/>
  <connection id="9662" xr16:uid="{00000000-0015-0000-FFFF-FFFF3B1C0000}" name="接続6341" type="7" refreshedVersion="4"/>
  <connection id="9663" xr16:uid="{00000000-0015-0000-FFFF-FFFF3C1C0000}" name="接続6342" type="7" refreshedVersion="4"/>
  <connection id="9664" xr16:uid="{00000000-0015-0000-FFFF-FFFF3D1C0000}" name="接続6343" type="7" refreshedVersion="4"/>
  <connection id="9665" xr16:uid="{00000000-0015-0000-FFFF-FFFF3E1C0000}" name="接続6344" type="7" refreshedVersion="4"/>
  <connection id="9666" xr16:uid="{00000000-0015-0000-FFFF-FFFF3F1C0000}" name="接続6345" type="7" refreshedVersion="4"/>
  <connection id="9667" xr16:uid="{00000000-0015-0000-FFFF-FFFF401C0000}" name="接続6346" type="7" refreshedVersion="4"/>
  <connection id="9668" xr16:uid="{00000000-0015-0000-FFFF-FFFF411C0000}" name="接続6347" type="7" refreshedVersion="4"/>
  <connection id="9669" xr16:uid="{00000000-0015-0000-FFFF-FFFF421C0000}" name="接続6348" type="7" refreshedVersion="4"/>
  <connection id="9670" xr16:uid="{00000000-0015-0000-FFFF-FFFF431C0000}" name="接続6349" type="7" refreshedVersion="4"/>
  <connection id="9671" xr16:uid="{00000000-0015-0000-FFFF-FFFF441C0000}" name="接続635" type="7" refreshedVersion="4"/>
  <connection id="9672" xr16:uid="{00000000-0015-0000-FFFF-FFFF451C0000}" name="接続6350" type="7" refreshedVersion="4"/>
  <connection id="9673" xr16:uid="{00000000-0015-0000-FFFF-FFFF461C0000}" name="接続6351" type="7" refreshedVersion="4"/>
  <connection id="9674" xr16:uid="{00000000-0015-0000-FFFF-FFFF471C0000}" name="接続6352" type="7" refreshedVersion="4"/>
  <connection id="9675" xr16:uid="{00000000-0015-0000-FFFF-FFFF481C0000}" name="接続6353" type="7" refreshedVersion="4"/>
  <connection id="9676" xr16:uid="{00000000-0015-0000-FFFF-FFFF491C0000}" name="接続6354" type="7" refreshedVersion="4"/>
  <connection id="9677" xr16:uid="{00000000-0015-0000-FFFF-FFFF4A1C0000}" name="接続6355" type="7" refreshedVersion="4"/>
  <connection id="9678" xr16:uid="{00000000-0015-0000-FFFF-FFFF4B1C0000}" name="接続6356" type="7" refreshedVersion="4"/>
  <connection id="9679" xr16:uid="{00000000-0015-0000-FFFF-FFFF4C1C0000}" name="接続6357" type="7" refreshedVersion="4"/>
  <connection id="9680" xr16:uid="{00000000-0015-0000-FFFF-FFFF4D1C0000}" name="接続6358" type="7" refreshedVersion="4"/>
  <connection id="9681" xr16:uid="{00000000-0015-0000-FFFF-FFFF4E1C0000}" name="接続6359" type="7" refreshedVersion="4"/>
  <connection id="9682" xr16:uid="{00000000-0015-0000-FFFF-FFFF4F1C0000}" name="接続636" type="7" refreshedVersion="4"/>
  <connection id="9683" xr16:uid="{00000000-0015-0000-FFFF-FFFF501C0000}" name="接続6360" type="7" refreshedVersion="4"/>
  <connection id="9684" xr16:uid="{00000000-0015-0000-FFFF-FFFF511C0000}" name="接続6361" type="7" refreshedVersion="4"/>
  <connection id="9685" xr16:uid="{00000000-0015-0000-FFFF-FFFF521C0000}" name="接続6362" type="7" refreshedVersion="4"/>
  <connection id="9686" xr16:uid="{00000000-0015-0000-FFFF-FFFF531C0000}" name="接続6363" type="7" refreshedVersion="4"/>
  <connection id="9687" xr16:uid="{00000000-0015-0000-FFFF-FFFF541C0000}" name="接続6364" type="7" refreshedVersion="4"/>
  <connection id="9688" xr16:uid="{00000000-0015-0000-FFFF-FFFF551C0000}" name="接続6365" type="7" refreshedVersion="4"/>
  <connection id="9689" xr16:uid="{00000000-0015-0000-FFFF-FFFF561C0000}" name="接続6366" type="7" refreshedVersion="4"/>
  <connection id="9690" xr16:uid="{00000000-0015-0000-FFFF-FFFF571C0000}" name="接続6367" type="7" refreshedVersion="4"/>
  <connection id="9691" xr16:uid="{00000000-0015-0000-FFFF-FFFF581C0000}" name="接続6368" type="7" refreshedVersion="4"/>
  <connection id="9692" xr16:uid="{00000000-0015-0000-FFFF-FFFF591C0000}" name="接続6369" type="7" refreshedVersion="4"/>
  <connection id="9693" xr16:uid="{00000000-0015-0000-FFFF-FFFF5A1C0000}" name="接続637" type="7" refreshedVersion="4"/>
  <connection id="9694" xr16:uid="{00000000-0015-0000-FFFF-FFFF5B1C0000}" name="接続6370" type="7" refreshedVersion="4"/>
  <connection id="9695" xr16:uid="{00000000-0015-0000-FFFF-FFFF5C1C0000}" name="接続6371" type="7" refreshedVersion="4"/>
  <connection id="9696" xr16:uid="{00000000-0015-0000-FFFF-FFFF5D1C0000}" name="接続6372" type="7" refreshedVersion="4"/>
  <connection id="9697" xr16:uid="{00000000-0015-0000-FFFF-FFFF5E1C0000}" name="接続6373" type="7" refreshedVersion="4"/>
  <connection id="9698" xr16:uid="{00000000-0015-0000-FFFF-FFFF5F1C0000}" name="接続6374" type="7" refreshedVersion="4"/>
  <connection id="9699" xr16:uid="{00000000-0015-0000-FFFF-FFFF601C0000}" name="接続6375" type="7" refreshedVersion="4"/>
  <connection id="9700" xr16:uid="{00000000-0015-0000-FFFF-FFFF611C0000}" name="接続6376" type="7" refreshedVersion="4"/>
  <connection id="9701" xr16:uid="{00000000-0015-0000-FFFF-FFFF621C0000}" name="接続6377" type="7" refreshedVersion="4"/>
  <connection id="9702" xr16:uid="{00000000-0015-0000-FFFF-FFFF631C0000}" name="接続6378" type="7" refreshedVersion="4"/>
  <connection id="9703" xr16:uid="{00000000-0015-0000-FFFF-FFFF641C0000}" name="接続6379" type="7" refreshedVersion="4"/>
  <connection id="9704" xr16:uid="{00000000-0015-0000-FFFF-FFFF651C0000}" name="接続638" type="7" refreshedVersion="4"/>
  <connection id="9705" xr16:uid="{00000000-0015-0000-FFFF-FFFF661C0000}" name="接続6380" type="7" refreshedVersion="4"/>
  <connection id="9706" xr16:uid="{00000000-0015-0000-FFFF-FFFF671C0000}" name="接続6381" type="7" refreshedVersion="4"/>
  <connection id="9707" xr16:uid="{00000000-0015-0000-FFFF-FFFF681C0000}" name="接続6382" type="7" refreshedVersion="4"/>
  <connection id="9708" xr16:uid="{00000000-0015-0000-FFFF-FFFF691C0000}" name="接続6383" type="7" refreshedVersion="4"/>
  <connection id="9709" xr16:uid="{00000000-0015-0000-FFFF-FFFF6A1C0000}" name="接続6384" type="7" refreshedVersion="4"/>
  <connection id="9710" xr16:uid="{00000000-0015-0000-FFFF-FFFF6B1C0000}" name="接続6385" type="7" refreshedVersion="4"/>
  <connection id="9711" xr16:uid="{00000000-0015-0000-FFFF-FFFF6C1C0000}" name="接続6386" type="7" refreshedVersion="4"/>
  <connection id="9712" xr16:uid="{00000000-0015-0000-FFFF-FFFF6D1C0000}" name="接続6387" type="7" refreshedVersion="4"/>
  <connection id="9713" xr16:uid="{00000000-0015-0000-FFFF-FFFF6E1C0000}" name="接続6388" type="7" refreshedVersion="4"/>
  <connection id="9714" xr16:uid="{00000000-0015-0000-FFFF-FFFF6F1C0000}" name="接続6389" type="7" refreshedVersion="4"/>
  <connection id="9715" xr16:uid="{00000000-0015-0000-FFFF-FFFF701C0000}" name="接続639" type="7" refreshedVersion="4"/>
  <connection id="9716" xr16:uid="{00000000-0015-0000-FFFF-FFFF711C0000}" name="接続6390" type="7" refreshedVersion="4"/>
  <connection id="9717" xr16:uid="{00000000-0015-0000-FFFF-FFFF721C0000}" name="接続6391" type="7" refreshedVersion="4"/>
  <connection id="9718" xr16:uid="{00000000-0015-0000-FFFF-FFFF731C0000}" name="接続6392" type="7" refreshedVersion="4"/>
  <connection id="9719" xr16:uid="{00000000-0015-0000-FFFF-FFFF741C0000}" name="接続6393" type="7" refreshedVersion="4"/>
  <connection id="9720" xr16:uid="{00000000-0015-0000-FFFF-FFFF751C0000}" name="接続6394" type="7" refreshedVersion="4"/>
  <connection id="9721" xr16:uid="{00000000-0015-0000-FFFF-FFFF761C0000}" name="接続6395" type="7" refreshedVersion="4"/>
  <connection id="9722" xr16:uid="{00000000-0015-0000-FFFF-FFFF771C0000}" name="接続6396" type="7" refreshedVersion="4"/>
  <connection id="9723" xr16:uid="{00000000-0015-0000-FFFF-FFFF781C0000}" name="接続6397" type="7" refreshedVersion="4"/>
  <connection id="9724" xr16:uid="{00000000-0015-0000-FFFF-FFFF791C0000}" name="接続6398" type="7" refreshedVersion="4"/>
  <connection id="9725" xr16:uid="{00000000-0015-0000-FFFF-FFFF7A1C0000}" name="接続6399" type="7" refreshedVersion="4"/>
  <connection id="9726" xr16:uid="{00000000-0015-0000-FFFF-FFFF7B1C0000}" name="接続64" type="7" refreshedVersion="4"/>
  <connection id="9727" xr16:uid="{00000000-0015-0000-FFFF-FFFF7C1C0000}" name="接続640" type="7" refreshedVersion="4"/>
  <connection id="9728" xr16:uid="{00000000-0015-0000-FFFF-FFFF7D1C0000}" name="接続6400" type="7" refreshedVersion="4"/>
  <connection id="9729" xr16:uid="{00000000-0015-0000-FFFF-FFFF7E1C0000}" name="接続6401" type="7" refreshedVersion="4"/>
  <connection id="9730" xr16:uid="{00000000-0015-0000-FFFF-FFFF7F1C0000}" name="接続6402" type="7" refreshedVersion="4"/>
  <connection id="9731" xr16:uid="{00000000-0015-0000-FFFF-FFFF801C0000}" name="接続6403" type="7" refreshedVersion="4"/>
  <connection id="9732" xr16:uid="{00000000-0015-0000-FFFF-FFFF811C0000}" name="接続6404" type="7" refreshedVersion="4"/>
  <connection id="9733" xr16:uid="{00000000-0015-0000-FFFF-FFFF821C0000}" name="接続6405" type="7" refreshedVersion="4"/>
  <connection id="9734" xr16:uid="{00000000-0015-0000-FFFF-FFFF831C0000}" name="接続6406" type="7" refreshedVersion="4"/>
  <connection id="9735" xr16:uid="{00000000-0015-0000-FFFF-FFFF841C0000}" name="接続6407" type="7" refreshedVersion="4"/>
  <connection id="9736" xr16:uid="{00000000-0015-0000-FFFF-FFFF851C0000}" name="接続6408" type="7" refreshedVersion="4"/>
  <connection id="9737" xr16:uid="{00000000-0015-0000-FFFF-FFFF861C0000}" name="接続6409" type="7" refreshedVersion="4"/>
  <connection id="9738" xr16:uid="{00000000-0015-0000-FFFF-FFFF871C0000}" name="接続641" type="7" refreshedVersion="4"/>
  <connection id="9739" xr16:uid="{00000000-0015-0000-FFFF-FFFF881C0000}" name="接続6410" type="7" refreshedVersion="4"/>
  <connection id="9740" xr16:uid="{00000000-0015-0000-FFFF-FFFF891C0000}" name="接続6411" type="7" refreshedVersion="4"/>
  <connection id="9741" xr16:uid="{00000000-0015-0000-FFFF-FFFF8A1C0000}" name="接続6412" type="7" refreshedVersion="4"/>
  <connection id="9742" xr16:uid="{00000000-0015-0000-FFFF-FFFF8B1C0000}" name="接続6413" type="7" refreshedVersion="4"/>
  <connection id="9743" xr16:uid="{00000000-0015-0000-FFFF-FFFF8C1C0000}" name="接続6414" type="7" refreshedVersion="4"/>
  <connection id="9744" xr16:uid="{00000000-0015-0000-FFFF-FFFF8D1C0000}" name="接続6415" type="7" refreshedVersion="4"/>
  <connection id="9745" xr16:uid="{00000000-0015-0000-FFFF-FFFF8E1C0000}" name="接続6416" type="7" refreshedVersion="4"/>
  <connection id="9746" xr16:uid="{00000000-0015-0000-FFFF-FFFF8F1C0000}" name="接続6417" type="7" refreshedVersion="4"/>
  <connection id="9747" xr16:uid="{00000000-0015-0000-FFFF-FFFF901C0000}" name="接続6418" type="7" refreshedVersion="4"/>
  <connection id="9748" xr16:uid="{00000000-0015-0000-FFFF-FFFF911C0000}" name="接続6419" type="7" refreshedVersion="4"/>
  <connection id="9749" xr16:uid="{00000000-0015-0000-FFFF-FFFF921C0000}" name="接続642" type="7" refreshedVersion="4"/>
  <connection id="9750" xr16:uid="{00000000-0015-0000-FFFF-FFFF931C0000}" name="接続6420" type="7" refreshedVersion="4"/>
  <connection id="9751" xr16:uid="{00000000-0015-0000-FFFF-FFFF941C0000}" name="接続6421" type="7" refreshedVersion="4"/>
  <connection id="9752" xr16:uid="{00000000-0015-0000-FFFF-FFFF951C0000}" name="接続6422" type="7" refreshedVersion="4"/>
  <connection id="9753" xr16:uid="{00000000-0015-0000-FFFF-FFFF961C0000}" name="接続6423" type="7" refreshedVersion="4"/>
  <connection id="9754" xr16:uid="{00000000-0015-0000-FFFF-FFFF971C0000}" name="接続6424" type="7" refreshedVersion="4"/>
  <connection id="9755" xr16:uid="{00000000-0015-0000-FFFF-FFFF981C0000}" name="接続6425" type="7" refreshedVersion="4"/>
  <connection id="9756" xr16:uid="{00000000-0015-0000-FFFF-FFFF991C0000}" name="接続6426" type="7" refreshedVersion="4"/>
  <connection id="9757" xr16:uid="{00000000-0015-0000-FFFF-FFFF9A1C0000}" name="接続6427" type="7" refreshedVersion="4"/>
  <connection id="9758" xr16:uid="{00000000-0015-0000-FFFF-FFFF9B1C0000}" name="接続6428" type="7" refreshedVersion="4"/>
  <connection id="9759" xr16:uid="{00000000-0015-0000-FFFF-FFFF9C1C0000}" name="接続6429" type="7" refreshedVersion="4"/>
  <connection id="9760" xr16:uid="{00000000-0015-0000-FFFF-FFFF9D1C0000}" name="接続643" type="7" refreshedVersion="4"/>
  <connection id="9761" xr16:uid="{00000000-0015-0000-FFFF-FFFF9E1C0000}" name="接続6430" type="7" refreshedVersion="4"/>
  <connection id="9762" xr16:uid="{00000000-0015-0000-FFFF-FFFF9F1C0000}" name="接続6431" type="7" refreshedVersion="4"/>
  <connection id="9763" xr16:uid="{00000000-0015-0000-FFFF-FFFFA01C0000}" name="接続6432" type="7" refreshedVersion="4"/>
  <connection id="9764" xr16:uid="{00000000-0015-0000-FFFF-FFFFA11C0000}" name="接続6433" type="7" refreshedVersion="4"/>
  <connection id="9765" xr16:uid="{00000000-0015-0000-FFFF-FFFFA21C0000}" name="接続6434" type="7" refreshedVersion="4"/>
  <connection id="9766" xr16:uid="{00000000-0015-0000-FFFF-FFFFA31C0000}" name="接続6435" type="7" refreshedVersion="4"/>
  <connection id="9767" xr16:uid="{00000000-0015-0000-FFFF-FFFFA41C0000}" name="接続6436" type="7" refreshedVersion="4"/>
  <connection id="9768" xr16:uid="{00000000-0015-0000-FFFF-FFFFA51C0000}" name="接続6437" type="7" refreshedVersion="4"/>
  <connection id="9769" xr16:uid="{00000000-0015-0000-FFFF-FFFFA61C0000}" name="接続6438" type="7" refreshedVersion="4"/>
  <connection id="9770" xr16:uid="{00000000-0015-0000-FFFF-FFFFA71C0000}" name="接続6439" type="7" refreshedVersion="4"/>
  <connection id="9771" xr16:uid="{00000000-0015-0000-FFFF-FFFFA81C0000}" name="接続644" type="7" refreshedVersion="4"/>
  <connection id="9772" xr16:uid="{00000000-0015-0000-FFFF-FFFFA91C0000}" name="接続6440" type="7" refreshedVersion="4"/>
  <connection id="9773" xr16:uid="{00000000-0015-0000-FFFF-FFFFAA1C0000}" name="接続6441" type="7" refreshedVersion="4"/>
  <connection id="9774" xr16:uid="{00000000-0015-0000-FFFF-FFFFAB1C0000}" name="接続6442" type="7" refreshedVersion="4"/>
  <connection id="9775" xr16:uid="{00000000-0015-0000-FFFF-FFFFAC1C0000}" name="接続6443" type="7" refreshedVersion="4"/>
  <connection id="9776" xr16:uid="{00000000-0015-0000-FFFF-FFFFAD1C0000}" name="接続6444" type="7" refreshedVersion="4"/>
  <connection id="9777" xr16:uid="{00000000-0015-0000-FFFF-FFFFAE1C0000}" name="接続6445" type="7" refreshedVersion="4"/>
  <connection id="9778" xr16:uid="{00000000-0015-0000-FFFF-FFFFAF1C0000}" name="接続6446" type="7" refreshedVersion="4"/>
  <connection id="9779" xr16:uid="{00000000-0015-0000-FFFF-FFFFB01C0000}" name="接続6447" type="7" refreshedVersion="4"/>
  <connection id="9780" xr16:uid="{00000000-0015-0000-FFFF-FFFFB11C0000}" name="接続6448" type="7" refreshedVersion="4"/>
  <connection id="9781" xr16:uid="{00000000-0015-0000-FFFF-FFFFB21C0000}" name="接続6449" type="7" refreshedVersion="4"/>
  <connection id="9782" xr16:uid="{00000000-0015-0000-FFFF-FFFFB31C0000}" name="接続645" type="7" refreshedVersion="4"/>
  <connection id="9783" xr16:uid="{00000000-0015-0000-FFFF-FFFFB41C0000}" name="接続6450" type="7" refreshedVersion="4"/>
  <connection id="9784" xr16:uid="{00000000-0015-0000-FFFF-FFFFB51C0000}" name="接続6451" type="7" refreshedVersion="4"/>
  <connection id="9785" xr16:uid="{00000000-0015-0000-FFFF-FFFFB61C0000}" name="接続6452" type="7" refreshedVersion="4"/>
  <connection id="9786" xr16:uid="{00000000-0015-0000-FFFF-FFFFB71C0000}" name="接続6453" type="7" refreshedVersion="4"/>
  <connection id="9787" xr16:uid="{00000000-0015-0000-FFFF-FFFFB81C0000}" name="接続6454" type="7" refreshedVersion="4"/>
  <connection id="9788" xr16:uid="{00000000-0015-0000-FFFF-FFFFB91C0000}" name="接続6455" type="7" refreshedVersion="4"/>
  <connection id="9789" xr16:uid="{00000000-0015-0000-FFFF-FFFFBA1C0000}" name="接続6456" type="7" refreshedVersion="4"/>
  <connection id="9790" xr16:uid="{00000000-0015-0000-FFFF-FFFFBB1C0000}" name="接続6457" type="7" refreshedVersion="4"/>
  <connection id="9791" xr16:uid="{00000000-0015-0000-FFFF-FFFFBC1C0000}" name="接続6458" type="7" refreshedVersion="4"/>
  <connection id="9792" xr16:uid="{00000000-0015-0000-FFFF-FFFFBD1C0000}" name="接続6459" type="7" refreshedVersion="4"/>
  <connection id="9793" xr16:uid="{00000000-0015-0000-FFFF-FFFFBE1C0000}" name="接続646" type="7" refreshedVersion="4"/>
  <connection id="9794" xr16:uid="{00000000-0015-0000-FFFF-FFFFBF1C0000}" name="接続6460" type="7" refreshedVersion="4"/>
  <connection id="9795" xr16:uid="{00000000-0015-0000-FFFF-FFFFC01C0000}" name="接続6461" type="7" refreshedVersion="4"/>
  <connection id="9796" xr16:uid="{00000000-0015-0000-FFFF-FFFFC11C0000}" name="接続6462" type="7" refreshedVersion="4"/>
  <connection id="9797" xr16:uid="{00000000-0015-0000-FFFF-FFFFC21C0000}" name="接続6463" type="7" refreshedVersion="4"/>
  <connection id="9798" xr16:uid="{00000000-0015-0000-FFFF-FFFFC31C0000}" name="接続6464" type="7" refreshedVersion="4"/>
  <connection id="9799" xr16:uid="{00000000-0015-0000-FFFF-FFFFC41C0000}" name="接続6465" type="7" refreshedVersion="4"/>
  <connection id="9800" xr16:uid="{00000000-0015-0000-FFFF-FFFFC51C0000}" name="接続6466" type="7" refreshedVersion="4"/>
  <connection id="9801" xr16:uid="{00000000-0015-0000-FFFF-FFFFC61C0000}" name="接続6467" type="7" refreshedVersion="4"/>
  <connection id="9802" xr16:uid="{00000000-0015-0000-FFFF-FFFFC71C0000}" name="接続6468" type="7" refreshedVersion="4"/>
  <connection id="9803" xr16:uid="{00000000-0015-0000-FFFF-FFFFC81C0000}" name="接続6469" type="7" refreshedVersion="4"/>
  <connection id="9804" xr16:uid="{00000000-0015-0000-FFFF-FFFFC91C0000}" name="接続647" type="7" refreshedVersion="4"/>
  <connection id="9805" xr16:uid="{00000000-0015-0000-FFFF-FFFFCA1C0000}" name="接続6470" type="7" refreshedVersion="4"/>
  <connection id="9806" xr16:uid="{00000000-0015-0000-FFFF-FFFFCB1C0000}" name="接続6471" type="7" refreshedVersion="4"/>
  <connection id="9807" xr16:uid="{00000000-0015-0000-FFFF-FFFFCC1C0000}" name="接続6472" type="7" refreshedVersion="4"/>
  <connection id="9808" xr16:uid="{00000000-0015-0000-FFFF-FFFFCD1C0000}" name="接続6473" type="7" refreshedVersion="4"/>
  <connection id="9809" xr16:uid="{00000000-0015-0000-FFFF-FFFFCE1C0000}" name="接続6474" type="7" refreshedVersion="4"/>
  <connection id="9810" xr16:uid="{00000000-0015-0000-FFFF-FFFFCF1C0000}" name="接続6475" type="7" refreshedVersion="4"/>
  <connection id="9811" xr16:uid="{00000000-0015-0000-FFFF-FFFFD01C0000}" name="接続6476" type="7" refreshedVersion="4"/>
  <connection id="9812" xr16:uid="{00000000-0015-0000-FFFF-FFFFD11C0000}" name="接続6477" type="7" refreshedVersion="4"/>
  <connection id="9813" xr16:uid="{00000000-0015-0000-FFFF-FFFFD21C0000}" name="接続6478" type="7" refreshedVersion="4"/>
  <connection id="9814" xr16:uid="{00000000-0015-0000-FFFF-FFFFD31C0000}" name="接続6479" type="7" refreshedVersion="4"/>
  <connection id="9815" xr16:uid="{00000000-0015-0000-FFFF-FFFFD41C0000}" name="接続648" type="7" refreshedVersion="4"/>
  <connection id="9816" xr16:uid="{00000000-0015-0000-FFFF-FFFFD51C0000}" name="接続6480" type="7" refreshedVersion="4"/>
  <connection id="9817" xr16:uid="{00000000-0015-0000-FFFF-FFFFD61C0000}" name="接続6481" type="7" refreshedVersion="4"/>
  <connection id="9818" xr16:uid="{00000000-0015-0000-FFFF-FFFFD71C0000}" name="接続6482" type="7" refreshedVersion="4"/>
  <connection id="9819" xr16:uid="{00000000-0015-0000-FFFF-FFFFD81C0000}" name="接続6483" type="7" refreshedVersion="4"/>
  <connection id="9820" xr16:uid="{00000000-0015-0000-FFFF-FFFFD91C0000}" name="接続6484" type="7" refreshedVersion="4"/>
  <connection id="9821" xr16:uid="{00000000-0015-0000-FFFF-FFFFDA1C0000}" name="接続6485" type="7" refreshedVersion="4"/>
  <connection id="9822" xr16:uid="{00000000-0015-0000-FFFF-FFFFDB1C0000}" name="接続6486" type="7" refreshedVersion="4"/>
  <connection id="9823" xr16:uid="{00000000-0015-0000-FFFF-FFFFDC1C0000}" name="接続6487" type="7" refreshedVersion="4"/>
  <connection id="9824" xr16:uid="{00000000-0015-0000-FFFF-FFFFDD1C0000}" name="接続6488" type="7" refreshedVersion="4"/>
  <connection id="9825" xr16:uid="{00000000-0015-0000-FFFF-FFFFDE1C0000}" name="接続6489" type="7" refreshedVersion="4"/>
  <connection id="9826" xr16:uid="{00000000-0015-0000-FFFF-FFFFDF1C0000}" name="接続649" type="7" refreshedVersion="4"/>
  <connection id="9827" xr16:uid="{00000000-0015-0000-FFFF-FFFFE01C0000}" name="接続6490" type="7" refreshedVersion="4"/>
  <connection id="9828" xr16:uid="{00000000-0015-0000-FFFF-FFFFE11C0000}" name="接続6491" type="7" refreshedVersion="4"/>
  <connection id="9829" xr16:uid="{00000000-0015-0000-FFFF-FFFFE21C0000}" name="接続6492" type="7" refreshedVersion="4"/>
  <connection id="9830" xr16:uid="{00000000-0015-0000-FFFF-FFFFE31C0000}" name="接続6493" type="7" refreshedVersion="4"/>
  <connection id="9831" xr16:uid="{00000000-0015-0000-FFFF-FFFFE41C0000}" name="接続6494" type="7" refreshedVersion="4"/>
  <connection id="9832" xr16:uid="{00000000-0015-0000-FFFF-FFFFE51C0000}" name="接続6495" type="7" refreshedVersion="4"/>
  <connection id="9833" xr16:uid="{00000000-0015-0000-FFFF-FFFFE61C0000}" name="接続6496" type="7" refreshedVersion="4"/>
  <connection id="9834" xr16:uid="{00000000-0015-0000-FFFF-FFFFE71C0000}" name="接続6497" type="7" refreshedVersion="4"/>
  <connection id="9835" xr16:uid="{00000000-0015-0000-FFFF-FFFFE81C0000}" name="接続6498" type="7" refreshedVersion="4"/>
  <connection id="9836" xr16:uid="{00000000-0015-0000-FFFF-FFFFE91C0000}" name="接続6499" type="7" refreshedVersion="4"/>
  <connection id="9837" xr16:uid="{00000000-0015-0000-FFFF-FFFFEA1C0000}" name="接続65" type="7" refreshedVersion="4"/>
  <connection id="9838" xr16:uid="{00000000-0015-0000-FFFF-FFFFEB1C0000}" name="接続650" type="7" refreshedVersion="4"/>
  <connection id="9839" xr16:uid="{00000000-0015-0000-FFFF-FFFFEC1C0000}" name="接続6500" type="7" refreshedVersion="4"/>
  <connection id="9840" xr16:uid="{00000000-0015-0000-FFFF-FFFFED1C0000}" name="接続6501" type="7" refreshedVersion="4"/>
  <connection id="9841" xr16:uid="{00000000-0015-0000-FFFF-FFFFEE1C0000}" name="接続6502" type="7" refreshedVersion="4"/>
  <connection id="9842" xr16:uid="{00000000-0015-0000-FFFF-FFFFEF1C0000}" name="接続6503" type="7" refreshedVersion="4"/>
  <connection id="9843" xr16:uid="{00000000-0015-0000-FFFF-FFFFF01C0000}" name="接続6504" type="7" refreshedVersion="4"/>
  <connection id="9844" xr16:uid="{00000000-0015-0000-FFFF-FFFFF11C0000}" name="接続6505" type="7" refreshedVersion="4"/>
  <connection id="9845" xr16:uid="{00000000-0015-0000-FFFF-FFFFF21C0000}" name="接続6506" type="7" refreshedVersion="4"/>
  <connection id="9846" xr16:uid="{00000000-0015-0000-FFFF-FFFFF31C0000}" name="接続6507" type="7" refreshedVersion="4"/>
  <connection id="9847" xr16:uid="{00000000-0015-0000-FFFF-FFFFF41C0000}" name="接続6508" type="7" refreshedVersion="4"/>
  <connection id="9848" xr16:uid="{00000000-0015-0000-FFFF-FFFFF51C0000}" name="接続6509" type="7" refreshedVersion="4"/>
  <connection id="9849" xr16:uid="{00000000-0015-0000-FFFF-FFFFF61C0000}" name="接続651" type="7" refreshedVersion="4"/>
  <connection id="9850" xr16:uid="{00000000-0015-0000-FFFF-FFFFF71C0000}" name="接続6510" type="7" refreshedVersion="4"/>
  <connection id="9851" xr16:uid="{00000000-0015-0000-FFFF-FFFFF81C0000}" name="接続6511" type="7" refreshedVersion="4"/>
  <connection id="9852" xr16:uid="{00000000-0015-0000-FFFF-FFFFF91C0000}" name="接続6512" type="7" refreshedVersion="4"/>
  <connection id="9853" xr16:uid="{00000000-0015-0000-FFFF-FFFFFA1C0000}" name="接続6513" type="7" refreshedVersion="4"/>
  <connection id="9854" xr16:uid="{00000000-0015-0000-FFFF-FFFFFB1C0000}" name="接続6514" type="7" refreshedVersion="4"/>
  <connection id="9855" xr16:uid="{00000000-0015-0000-FFFF-FFFFFC1C0000}" name="接続6515" type="7" refreshedVersion="4"/>
  <connection id="9856" xr16:uid="{00000000-0015-0000-FFFF-FFFFFD1C0000}" name="接続6516" type="7" refreshedVersion="4"/>
  <connection id="9857" xr16:uid="{00000000-0015-0000-FFFF-FFFFFE1C0000}" name="接続6517" type="7" refreshedVersion="4"/>
  <connection id="9858" xr16:uid="{00000000-0015-0000-FFFF-FFFFFF1C0000}" name="接続6518" type="7" refreshedVersion="4"/>
  <connection id="9859" xr16:uid="{00000000-0015-0000-FFFF-FFFF001D0000}" name="接続6519" type="7" refreshedVersion="4"/>
  <connection id="9860" xr16:uid="{00000000-0015-0000-FFFF-FFFF011D0000}" name="接続652" type="7" refreshedVersion="4"/>
  <connection id="9861" xr16:uid="{00000000-0015-0000-FFFF-FFFF021D0000}" name="接続6520" type="7" refreshedVersion="4"/>
  <connection id="9862" xr16:uid="{00000000-0015-0000-FFFF-FFFF031D0000}" name="接続6521" type="7" refreshedVersion="4"/>
  <connection id="9863" xr16:uid="{00000000-0015-0000-FFFF-FFFF041D0000}" name="接続6522" type="7" refreshedVersion="4"/>
  <connection id="9864" xr16:uid="{00000000-0015-0000-FFFF-FFFF051D0000}" name="接続6523" type="7" refreshedVersion="4"/>
  <connection id="9865" xr16:uid="{00000000-0015-0000-FFFF-FFFF061D0000}" name="接続6524" type="7" refreshedVersion="4"/>
  <connection id="9866" xr16:uid="{00000000-0015-0000-FFFF-FFFF071D0000}" name="接続6525" type="7" refreshedVersion="4"/>
  <connection id="9867" xr16:uid="{00000000-0015-0000-FFFF-FFFF081D0000}" name="接続6526" type="7" refreshedVersion="4"/>
  <connection id="9868" xr16:uid="{00000000-0015-0000-FFFF-FFFF091D0000}" name="接続6527" type="7" refreshedVersion="4"/>
  <connection id="9869" xr16:uid="{00000000-0015-0000-FFFF-FFFF0A1D0000}" name="接続6528" type="7" refreshedVersion="4"/>
  <connection id="9870" xr16:uid="{00000000-0015-0000-FFFF-FFFF0B1D0000}" name="接続6529" type="7" refreshedVersion="4"/>
  <connection id="9871" xr16:uid="{00000000-0015-0000-FFFF-FFFF0C1D0000}" name="接続653" type="7" refreshedVersion="4"/>
  <connection id="9872" xr16:uid="{00000000-0015-0000-FFFF-FFFF0D1D0000}" name="接続6530" type="7" refreshedVersion="4"/>
  <connection id="9873" xr16:uid="{00000000-0015-0000-FFFF-FFFF0E1D0000}" name="接続6531" type="7" refreshedVersion="4"/>
  <connection id="9874" xr16:uid="{00000000-0015-0000-FFFF-FFFF0F1D0000}" name="接続6532" type="7" refreshedVersion="4"/>
  <connection id="9875" xr16:uid="{00000000-0015-0000-FFFF-FFFF101D0000}" name="接続6533" type="7" refreshedVersion="4"/>
  <connection id="9876" xr16:uid="{00000000-0015-0000-FFFF-FFFF111D0000}" name="接続6534" type="7" refreshedVersion="4"/>
  <connection id="9877" xr16:uid="{00000000-0015-0000-FFFF-FFFF121D0000}" name="接続6535" type="7" refreshedVersion="4"/>
  <connection id="9878" xr16:uid="{00000000-0015-0000-FFFF-FFFF131D0000}" name="接続6536" type="7" refreshedVersion="4"/>
  <connection id="9879" xr16:uid="{00000000-0015-0000-FFFF-FFFF141D0000}" name="接続6537" type="7" refreshedVersion="4"/>
  <connection id="9880" xr16:uid="{00000000-0015-0000-FFFF-FFFF151D0000}" name="接続6538" type="7" refreshedVersion="4"/>
  <connection id="9881" xr16:uid="{00000000-0015-0000-FFFF-FFFF161D0000}" name="接続6539" type="7" refreshedVersion="4"/>
  <connection id="9882" xr16:uid="{00000000-0015-0000-FFFF-FFFF171D0000}" name="接続654" type="7" refreshedVersion="4"/>
  <connection id="9883" xr16:uid="{00000000-0015-0000-FFFF-FFFF181D0000}" name="接続6540" type="7" refreshedVersion="4"/>
  <connection id="9884" xr16:uid="{00000000-0015-0000-FFFF-FFFF191D0000}" name="接続6541" type="7" refreshedVersion="4"/>
  <connection id="9885" xr16:uid="{00000000-0015-0000-FFFF-FFFF1A1D0000}" name="接続6542" type="7" refreshedVersion="4"/>
  <connection id="9886" xr16:uid="{00000000-0015-0000-FFFF-FFFF1B1D0000}" name="接続6543" type="7" refreshedVersion="4"/>
  <connection id="9887" xr16:uid="{00000000-0015-0000-FFFF-FFFF1C1D0000}" name="接続6544" type="7" refreshedVersion="4"/>
  <connection id="9888" xr16:uid="{00000000-0015-0000-FFFF-FFFF1D1D0000}" name="接続6545" type="7" refreshedVersion="4"/>
  <connection id="9889" xr16:uid="{00000000-0015-0000-FFFF-FFFF1E1D0000}" name="接続6546" type="7" refreshedVersion="4"/>
  <connection id="9890" xr16:uid="{00000000-0015-0000-FFFF-FFFF1F1D0000}" name="接続6547" type="7" refreshedVersion="4"/>
  <connection id="9891" xr16:uid="{00000000-0015-0000-FFFF-FFFF201D0000}" name="接続6548" type="7" refreshedVersion="4"/>
  <connection id="9892" xr16:uid="{00000000-0015-0000-FFFF-FFFF211D0000}" name="接続6549" type="7" refreshedVersion="4"/>
  <connection id="9893" xr16:uid="{00000000-0015-0000-FFFF-FFFF221D0000}" name="接続655" type="7" refreshedVersion="4"/>
  <connection id="9894" xr16:uid="{00000000-0015-0000-FFFF-FFFF231D0000}" name="接続6550" type="7" refreshedVersion="4"/>
  <connection id="9895" xr16:uid="{00000000-0015-0000-FFFF-FFFF241D0000}" name="接続6551" type="7" refreshedVersion="4"/>
  <connection id="9896" xr16:uid="{00000000-0015-0000-FFFF-FFFF251D0000}" name="接続6552" type="7" refreshedVersion="4"/>
  <connection id="9897" xr16:uid="{00000000-0015-0000-FFFF-FFFF261D0000}" name="接続6553" type="7" refreshedVersion="4"/>
  <connection id="9898" xr16:uid="{00000000-0015-0000-FFFF-FFFF271D0000}" name="接続6554" type="7" refreshedVersion="4"/>
  <connection id="9899" xr16:uid="{00000000-0015-0000-FFFF-FFFF281D0000}" name="接続6555" type="7" refreshedVersion="4"/>
  <connection id="9900" xr16:uid="{00000000-0015-0000-FFFF-FFFF291D0000}" name="接続6556" type="7" refreshedVersion="4"/>
  <connection id="9901" xr16:uid="{00000000-0015-0000-FFFF-FFFF2A1D0000}" name="接続6557" type="7" refreshedVersion="4"/>
  <connection id="9902" xr16:uid="{00000000-0015-0000-FFFF-FFFF2B1D0000}" name="接続6558" type="7" refreshedVersion="4"/>
  <connection id="9903" xr16:uid="{00000000-0015-0000-FFFF-FFFF2C1D0000}" name="接続6559" type="7" refreshedVersion="4"/>
  <connection id="9904" xr16:uid="{00000000-0015-0000-FFFF-FFFF2D1D0000}" name="接続656" type="7" refreshedVersion="4"/>
  <connection id="9905" xr16:uid="{00000000-0015-0000-FFFF-FFFF2E1D0000}" name="接続6560" type="7" refreshedVersion="4"/>
  <connection id="9906" xr16:uid="{00000000-0015-0000-FFFF-FFFF2F1D0000}" name="接続6561" type="7" refreshedVersion="4"/>
  <connection id="9907" xr16:uid="{00000000-0015-0000-FFFF-FFFF301D0000}" name="接続6562" type="7" refreshedVersion="4"/>
  <connection id="9908" xr16:uid="{00000000-0015-0000-FFFF-FFFF311D0000}" name="接続6563" type="7" refreshedVersion="4"/>
  <connection id="9909" xr16:uid="{00000000-0015-0000-FFFF-FFFF321D0000}" name="接続6564" type="7" refreshedVersion="4"/>
  <connection id="9910" xr16:uid="{00000000-0015-0000-FFFF-FFFF331D0000}" name="接続6565" type="7" refreshedVersion="4"/>
  <connection id="9911" xr16:uid="{00000000-0015-0000-FFFF-FFFF341D0000}" name="接続6566" type="7" refreshedVersion="4"/>
  <connection id="9912" xr16:uid="{00000000-0015-0000-FFFF-FFFF351D0000}" name="接続6567" type="7" refreshedVersion="4"/>
  <connection id="9913" xr16:uid="{00000000-0015-0000-FFFF-FFFF361D0000}" name="接続6568" type="7" refreshedVersion="4"/>
  <connection id="9914" xr16:uid="{00000000-0015-0000-FFFF-FFFF371D0000}" name="接続6569" type="7" refreshedVersion="4"/>
  <connection id="9915" xr16:uid="{00000000-0015-0000-FFFF-FFFF381D0000}" name="接続657" type="7" refreshedVersion="4"/>
  <connection id="9916" xr16:uid="{00000000-0015-0000-FFFF-FFFF391D0000}" name="接続6570" type="7" refreshedVersion="4"/>
  <connection id="9917" xr16:uid="{00000000-0015-0000-FFFF-FFFF3A1D0000}" name="接続6571" type="7" refreshedVersion="4"/>
  <connection id="9918" xr16:uid="{00000000-0015-0000-FFFF-FFFF3B1D0000}" name="接続6572" type="7" refreshedVersion="4"/>
  <connection id="9919" xr16:uid="{00000000-0015-0000-FFFF-FFFF3C1D0000}" name="接続6573" type="7" refreshedVersion="4"/>
  <connection id="9920" xr16:uid="{00000000-0015-0000-FFFF-FFFF3D1D0000}" name="接続6574" type="7" refreshedVersion="4"/>
  <connection id="9921" xr16:uid="{00000000-0015-0000-FFFF-FFFF3E1D0000}" name="接続6575" type="7" refreshedVersion="4"/>
  <connection id="9922" xr16:uid="{00000000-0015-0000-FFFF-FFFF3F1D0000}" name="接続6576" type="7" refreshedVersion="4"/>
  <connection id="9923" xr16:uid="{00000000-0015-0000-FFFF-FFFF401D0000}" name="接続6577" type="7" refreshedVersion="4"/>
  <connection id="9924" xr16:uid="{00000000-0015-0000-FFFF-FFFF411D0000}" name="接続6578" type="7" refreshedVersion="4"/>
  <connection id="9925" xr16:uid="{00000000-0015-0000-FFFF-FFFF421D0000}" name="接続6579" type="7" refreshedVersion="4"/>
  <connection id="9926" xr16:uid="{00000000-0015-0000-FFFF-FFFF431D0000}" name="接続658" type="7" refreshedVersion="4"/>
  <connection id="9927" xr16:uid="{00000000-0015-0000-FFFF-FFFF441D0000}" name="接続6580" type="7" refreshedVersion="4"/>
  <connection id="9928" xr16:uid="{00000000-0015-0000-FFFF-FFFF451D0000}" name="接続6581" type="7" refreshedVersion="4"/>
  <connection id="9929" xr16:uid="{00000000-0015-0000-FFFF-FFFF461D0000}" name="接続6582" type="7" refreshedVersion="4"/>
  <connection id="9930" xr16:uid="{00000000-0015-0000-FFFF-FFFF471D0000}" name="接続6583" type="7" refreshedVersion="4"/>
  <connection id="9931" xr16:uid="{00000000-0015-0000-FFFF-FFFF481D0000}" name="接続6584" type="7" refreshedVersion="4"/>
  <connection id="9932" xr16:uid="{00000000-0015-0000-FFFF-FFFF491D0000}" name="接続6585" type="7" refreshedVersion="4"/>
  <connection id="9933" xr16:uid="{00000000-0015-0000-FFFF-FFFF4A1D0000}" name="接続6586" type="7" refreshedVersion="4"/>
  <connection id="9934" xr16:uid="{00000000-0015-0000-FFFF-FFFF4B1D0000}" name="接続6587" type="7" refreshedVersion="4"/>
  <connection id="9935" xr16:uid="{00000000-0015-0000-FFFF-FFFF4C1D0000}" name="接続6588" type="7" refreshedVersion="4"/>
  <connection id="9936" xr16:uid="{00000000-0015-0000-FFFF-FFFF4D1D0000}" name="接続6589" type="7" refreshedVersion="4"/>
  <connection id="9937" xr16:uid="{00000000-0015-0000-FFFF-FFFF4E1D0000}" name="接続659" type="7" refreshedVersion="4"/>
  <connection id="9938" xr16:uid="{00000000-0015-0000-FFFF-FFFF4F1D0000}" name="接続6590" type="7" refreshedVersion="4"/>
  <connection id="9939" xr16:uid="{00000000-0015-0000-FFFF-FFFF501D0000}" name="接続6591" type="7" refreshedVersion="4"/>
  <connection id="9940" xr16:uid="{00000000-0015-0000-FFFF-FFFF511D0000}" name="接続6592" type="7" refreshedVersion="4"/>
  <connection id="9941" xr16:uid="{00000000-0015-0000-FFFF-FFFF521D0000}" name="接続6593" type="7" refreshedVersion="4"/>
  <connection id="9942" xr16:uid="{00000000-0015-0000-FFFF-FFFF531D0000}" name="接続6594" type="7" refreshedVersion="4"/>
  <connection id="9943" xr16:uid="{00000000-0015-0000-FFFF-FFFF541D0000}" name="接続6595" type="7" refreshedVersion="4"/>
  <connection id="9944" xr16:uid="{00000000-0015-0000-FFFF-FFFF551D0000}" name="接続6596" type="7" refreshedVersion="4"/>
  <connection id="9945" xr16:uid="{00000000-0015-0000-FFFF-FFFF561D0000}" name="接続6597" type="7" refreshedVersion="4"/>
  <connection id="9946" xr16:uid="{00000000-0015-0000-FFFF-FFFF571D0000}" name="接続6598" type="7" refreshedVersion="4"/>
  <connection id="9947" xr16:uid="{00000000-0015-0000-FFFF-FFFF581D0000}" name="接続6599" type="7" refreshedVersion="4"/>
  <connection id="9948" xr16:uid="{00000000-0015-0000-FFFF-FFFF591D0000}" name="接続66" type="7" refreshedVersion="4"/>
  <connection id="9949" xr16:uid="{00000000-0015-0000-FFFF-FFFF5A1D0000}" name="接続660" type="7" refreshedVersion="4"/>
  <connection id="9950" xr16:uid="{00000000-0015-0000-FFFF-FFFF5B1D0000}" name="接続6600" type="7" refreshedVersion="4"/>
  <connection id="9951" xr16:uid="{00000000-0015-0000-FFFF-FFFF5C1D0000}" name="接続6601" type="7" refreshedVersion="4"/>
  <connection id="9952" xr16:uid="{00000000-0015-0000-FFFF-FFFF5D1D0000}" name="接続6602" type="7" refreshedVersion="4"/>
  <connection id="9953" xr16:uid="{00000000-0015-0000-FFFF-FFFF5E1D0000}" name="接続6603" type="7" refreshedVersion="4"/>
  <connection id="9954" xr16:uid="{00000000-0015-0000-FFFF-FFFF5F1D0000}" name="接続6604" type="7" refreshedVersion="4"/>
  <connection id="9955" xr16:uid="{00000000-0015-0000-FFFF-FFFF601D0000}" name="接続6605" type="7" refreshedVersion="4"/>
  <connection id="9956" xr16:uid="{00000000-0015-0000-FFFF-FFFF611D0000}" name="接続6606" type="7" refreshedVersion="4"/>
  <connection id="9957" xr16:uid="{00000000-0015-0000-FFFF-FFFF621D0000}" name="接続6607" type="7" refreshedVersion="4"/>
  <connection id="9958" xr16:uid="{00000000-0015-0000-FFFF-FFFF631D0000}" name="接続6608" type="7" refreshedVersion="4"/>
  <connection id="9959" xr16:uid="{00000000-0015-0000-FFFF-FFFF641D0000}" name="接続6609" type="7" refreshedVersion="4"/>
  <connection id="9960" xr16:uid="{00000000-0015-0000-FFFF-FFFF651D0000}" name="接続661" type="7" refreshedVersion="4"/>
  <connection id="9961" xr16:uid="{00000000-0015-0000-FFFF-FFFF661D0000}" name="接続6610" type="7" refreshedVersion="4"/>
  <connection id="9962" xr16:uid="{00000000-0015-0000-FFFF-FFFF671D0000}" name="接続6611" type="7" refreshedVersion="4"/>
  <connection id="9963" xr16:uid="{00000000-0015-0000-FFFF-FFFF681D0000}" name="接続6612" type="7" refreshedVersion="4"/>
  <connection id="9964" xr16:uid="{00000000-0015-0000-FFFF-FFFF691D0000}" name="接続6613" type="7" refreshedVersion="4"/>
  <connection id="9965" xr16:uid="{00000000-0015-0000-FFFF-FFFF6A1D0000}" name="接続6614" type="7" refreshedVersion="4"/>
  <connection id="9966" xr16:uid="{00000000-0015-0000-FFFF-FFFF6B1D0000}" name="接続6615" type="7" refreshedVersion="4"/>
  <connection id="9967" xr16:uid="{00000000-0015-0000-FFFF-FFFF6C1D0000}" name="接続6616" type="7" refreshedVersion="4"/>
  <connection id="9968" xr16:uid="{00000000-0015-0000-FFFF-FFFF6D1D0000}" name="接続6617" type="7" refreshedVersion="4"/>
  <connection id="9969" xr16:uid="{00000000-0015-0000-FFFF-FFFF6E1D0000}" name="接続6618" type="7" refreshedVersion="4"/>
  <connection id="9970" xr16:uid="{00000000-0015-0000-FFFF-FFFF6F1D0000}" name="接続6619" type="7" refreshedVersion="4"/>
  <connection id="9971" xr16:uid="{00000000-0015-0000-FFFF-FFFF701D0000}" name="接続662" type="7" refreshedVersion="4"/>
  <connection id="9972" xr16:uid="{00000000-0015-0000-FFFF-FFFF711D0000}" name="接続6620" type="7" refreshedVersion="4"/>
  <connection id="9973" xr16:uid="{00000000-0015-0000-FFFF-FFFF721D0000}" name="接続6621" type="7" refreshedVersion="4"/>
  <connection id="9974" xr16:uid="{00000000-0015-0000-FFFF-FFFF731D0000}" name="接続6622" type="7" refreshedVersion="4"/>
  <connection id="9975" xr16:uid="{00000000-0015-0000-FFFF-FFFF741D0000}" name="接続6623" type="7" refreshedVersion="4"/>
  <connection id="9976" xr16:uid="{00000000-0015-0000-FFFF-FFFF751D0000}" name="接続6624" type="7" refreshedVersion="4"/>
  <connection id="9977" xr16:uid="{00000000-0015-0000-FFFF-FFFF761D0000}" name="接続6625" type="7" refreshedVersion="4"/>
  <connection id="9978" xr16:uid="{00000000-0015-0000-FFFF-FFFF771D0000}" name="接続6626" type="7" refreshedVersion="4"/>
  <connection id="9979" xr16:uid="{00000000-0015-0000-FFFF-FFFF781D0000}" name="接続6627" type="7" refreshedVersion="4"/>
  <connection id="9980" xr16:uid="{00000000-0015-0000-FFFF-FFFF791D0000}" name="接続6628" type="7" refreshedVersion="4"/>
  <connection id="9981" xr16:uid="{00000000-0015-0000-FFFF-FFFF7A1D0000}" name="接続6629" type="7" refreshedVersion="4"/>
  <connection id="9982" xr16:uid="{00000000-0015-0000-FFFF-FFFF7B1D0000}" name="接続663" type="7" refreshedVersion="4"/>
  <connection id="9983" xr16:uid="{00000000-0015-0000-FFFF-FFFF7C1D0000}" name="接続6630" type="7" refreshedVersion="4"/>
  <connection id="9984" xr16:uid="{00000000-0015-0000-FFFF-FFFF7D1D0000}" name="接続6631" type="7" refreshedVersion="4"/>
  <connection id="9985" xr16:uid="{00000000-0015-0000-FFFF-FFFF7E1D0000}" name="接続6632" type="7" refreshedVersion="4"/>
  <connection id="9986" xr16:uid="{00000000-0015-0000-FFFF-FFFF7F1D0000}" name="接続6633" type="7" refreshedVersion="4"/>
  <connection id="9987" xr16:uid="{00000000-0015-0000-FFFF-FFFF801D0000}" name="接続6634" type="7" refreshedVersion="4"/>
  <connection id="9988" xr16:uid="{00000000-0015-0000-FFFF-FFFF811D0000}" name="接続6635" type="7" refreshedVersion="4"/>
  <connection id="9989" xr16:uid="{00000000-0015-0000-FFFF-FFFF821D0000}" name="接続6636" type="7" refreshedVersion="4"/>
  <connection id="9990" xr16:uid="{00000000-0015-0000-FFFF-FFFF831D0000}" name="接続6637" type="7" refreshedVersion="4"/>
  <connection id="9991" xr16:uid="{00000000-0015-0000-FFFF-FFFF841D0000}" name="接続6638" type="7" refreshedVersion="4"/>
  <connection id="9992" xr16:uid="{00000000-0015-0000-FFFF-FFFF851D0000}" name="接続6639" type="7" refreshedVersion="4"/>
  <connection id="9993" xr16:uid="{00000000-0015-0000-FFFF-FFFF861D0000}" name="接続664" type="7" refreshedVersion="4"/>
  <connection id="9994" xr16:uid="{00000000-0015-0000-FFFF-FFFF871D0000}" name="接続6640" type="7" refreshedVersion="4"/>
  <connection id="9995" xr16:uid="{00000000-0015-0000-FFFF-FFFF881D0000}" name="接続6641" type="7" refreshedVersion="4"/>
  <connection id="9996" xr16:uid="{00000000-0015-0000-FFFF-FFFF891D0000}" name="接続6642" type="7" refreshedVersion="4"/>
  <connection id="9997" xr16:uid="{00000000-0015-0000-FFFF-FFFF8A1D0000}" name="接続6643" type="7" refreshedVersion="4"/>
  <connection id="9998" xr16:uid="{00000000-0015-0000-FFFF-FFFF8B1D0000}" name="接続6644" type="7" refreshedVersion="4"/>
  <connection id="9999" xr16:uid="{00000000-0015-0000-FFFF-FFFF8C1D0000}" name="接続6645" type="7" refreshedVersion="4"/>
  <connection id="10000" xr16:uid="{00000000-0015-0000-FFFF-FFFF8D1D0000}" name="接続6646" type="7" refreshedVersion="4"/>
  <connection id="10001" xr16:uid="{00000000-0015-0000-FFFF-FFFF8E1D0000}" name="接続6647" type="7" refreshedVersion="4"/>
  <connection id="10002" xr16:uid="{00000000-0015-0000-FFFF-FFFF8F1D0000}" name="接続6648" type="7" refreshedVersion="4"/>
  <connection id="10003" xr16:uid="{00000000-0015-0000-FFFF-FFFF901D0000}" name="接続6649" type="7" refreshedVersion="4"/>
  <connection id="10004" xr16:uid="{00000000-0015-0000-FFFF-FFFF911D0000}" name="接続665" type="7" refreshedVersion="4"/>
  <connection id="10005" xr16:uid="{00000000-0015-0000-FFFF-FFFF921D0000}" name="接続6650" type="7" refreshedVersion="4"/>
  <connection id="10006" xr16:uid="{00000000-0015-0000-FFFF-FFFF931D0000}" name="接続6651" type="7" refreshedVersion="4"/>
  <connection id="10007" xr16:uid="{00000000-0015-0000-FFFF-FFFF941D0000}" name="接続6652" type="7" refreshedVersion="4"/>
  <connection id="10008" xr16:uid="{00000000-0015-0000-FFFF-FFFF951D0000}" name="接続6653" type="7" refreshedVersion="4"/>
  <connection id="10009" xr16:uid="{00000000-0015-0000-FFFF-FFFF961D0000}" name="接続6654" type="7" refreshedVersion="4"/>
  <connection id="10010" xr16:uid="{00000000-0015-0000-FFFF-FFFF971D0000}" name="接続6655" type="7" refreshedVersion="4"/>
  <connection id="10011" xr16:uid="{00000000-0015-0000-FFFF-FFFF981D0000}" name="接続6656" type="7" refreshedVersion="4"/>
  <connection id="10012" xr16:uid="{00000000-0015-0000-FFFF-FFFF991D0000}" name="接続6657" type="7" refreshedVersion="4"/>
  <connection id="10013" xr16:uid="{00000000-0015-0000-FFFF-FFFF9A1D0000}" name="接続6658" type="7" refreshedVersion="4"/>
  <connection id="10014" xr16:uid="{00000000-0015-0000-FFFF-FFFF9B1D0000}" name="接続6659" type="7" refreshedVersion="4"/>
  <connection id="10015" xr16:uid="{00000000-0015-0000-FFFF-FFFF9C1D0000}" name="接続666" type="7" refreshedVersion="4"/>
  <connection id="10016" xr16:uid="{00000000-0015-0000-FFFF-FFFF9D1D0000}" name="接続6660" type="7" refreshedVersion="4"/>
  <connection id="10017" xr16:uid="{00000000-0015-0000-FFFF-FFFF9E1D0000}" name="接続6661" type="7" refreshedVersion="4"/>
  <connection id="10018" xr16:uid="{00000000-0015-0000-FFFF-FFFF9F1D0000}" name="接続6662" type="7" refreshedVersion="4"/>
  <connection id="10019" xr16:uid="{00000000-0015-0000-FFFF-FFFFA01D0000}" name="接続6663" type="7" refreshedVersion="4"/>
  <connection id="10020" xr16:uid="{00000000-0015-0000-FFFF-FFFFA11D0000}" name="接続6664" type="7" refreshedVersion="4"/>
  <connection id="10021" xr16:uid="{00000000-0015-0000-FFFF-FFFFA21D0000}" name="接続6665" type="7" refreshedVersion="4"/>
  <connection id="10022" xr16:uid="{00000000-0015-0000-FFFF-FFFFA31D0000}" name="接続6666" type="7" refreshedVersion="4"/>
  <connection id="10023" xr16:uid="{00000000-0015-0000-FFFF-FFFFA41D0000}" name="接続6667" type="7" refreshedVersion="4"/>
  <connection id="10024" xr16:uid="{00000000-0015-0000-FFFF-FFFFA51D0000}" name="接続6668" type="7" refreshedVersion="4"/>
  <connection id="10025" xr16:uid="{00000000-0015-0000-FFFF-FFFFA61D0000}" name="接続6669" type="7" refreshedVersion="4"/>
  <connection id="10026" xr16:uid="{00000000-0015-0000-FFFF-FFFFA71D0000}" name="接続667" type="7" refreshedVersion="4"/>
  <connection id="10027" xr16:uid="{00000000-0015-0000-FFFF-FFFFA81D0000}" name="接続6670" type="7" refreshedVersion="4"/>
  <connection id="10028" xr16:uid="{00000000-0015-0000-FFFF-FFFFA91D0000}" name="接続6671" type="7" refreshedVersion="4"/>
  <connection id="10029" xr16:uid="{00000000-0015-0000-FFFF-FFFFAA1D0000}" name="接続6672" type="7" refreshedVersion="4"/>
  <connection id="10030" xr16:uid="{00000000-0015-0000-FFFF-FFFFAB1D0000}" name="接続6673" type="7" refreshedVersion="4"/>
  <connection id="10031" xr16:uid="{00000000-0015-0000-FFFF-FFFFAC1D0000}" name="接続6674" type="7" refreshedVersion="4"/>
  <connection id="10032" xr16:uid="{00000000-0015-0000-FFFF-FFFFAD1D0000}" name="接続6675" type="7" refreshedVersion="4"/>
  <connection id="10033" xr16:uid="{00000000-0015-0000-FFFF-FFFFAE1D0000}" name="接続6676" type="7" refreshedVersion="4"/>
  <connection id="10034" xr16:uid="{00000000-0015-0000-FFFF-FFFFAF1D0000}" name="接続6677" type="7" refreshedVersion="4"/>
  <connection id="10035" xr16:uid="{00000000-0015-0000-FFFF-FFFFB01D0000}" name="接続6678" type="7" refreshedVersion="4"/>
  <connection id="10036" xr16:uid="{00000000-0015-0000-FFFF-FFFFB11D0000}" name="接続6679" type="7" refreshedVersion="4"/>
  <connection id="10037" xr16:uid="{00000000-0015-0000-FFFF-FFFFB21D0000}" name="接続668" type="7" refreshedVersion="4"/>
  <connection id="10038" xr16:uid="{00000000-0015-0000-FFFF-FFFFB31D0000}" name="接続6680" type="7" refreshedVersion="4"/>
  <connection id="10039" xr16:uid="{00000000-0015-0000-FFFF-FFFFB41D0000}" name="接続6681" type="7" refreshedVersion="4"/>
  <connection id="10040" xr16:uid="{00000000-0015-0000-FFFF-FFFFB51D0000}" name="接続6682" type="7" refreshedVersion="4"/>
  <connection id="10041" xr16:uid="{00000000-0015-0000-FFFF-FFFFB61D0000}" name="接続6683" type="7" refreshedVersion="4"/>
  <connection id="10042" xr16:uid="{00000000-0015-0000-FFFF-FFFFB71D0000}" name="接続6684" type="7" refreshedVersion="4"/>
  <connection id="10043" xr16:uid="{00000000-0015-0000-FFFF-FFFFB81D0000}" name="接続6685" type="7" refreshedVersion="4"/>
  <connection id="10044" xr16:uid="{00000000-0015-0000-FFFF-FFFFB91D0000}" name="接続6686" type="7" refreshedVersion="4"/>
  <connection id="10045" xr16:uid="{00000000-0015-0000-FFFF-FFFFBA1D0000}" name="接続6687" type="7" refreshedVersion="4"/>
  <connection id="10046" xr16:uid="{00000000-0015-0000-FFFF-FFFFBB1D0000}" name="接続6688" type="7" refreshedVersion="4"/>
  <connection id="10047" xr16:uid="{00000000-0015-0000-FFFF-FFFFBC1D0000}" name="接続6689" type="7" refreshedVersion="4"/>
  <connection id="10048" xr16:uid="{00000000-0015-0000-FFFF-FFFFBD1D0000}" name="接続669" type="7" refreshedVersion="4"/>
  <connection id="10049" xr16:uid="{00000000-0015-0000-FFFF-FFFFBE1D0000}" name="接続6690" type="7" refreshedVersion="4"/>
  <connection id="10050" xr16:uid="{00000000-0015-0000-FFFF-FFFFBF1D0000}" name="接続6691" type="7" refreshedVersion="4"/>
  <connection id="10051" xr16:uid="{00000000-0015-0000-FFFF-FFFFC01D0000}" name="接続6692" type="7" refreshedVersion="4"/>
  <connection id="10052" xr16:uid="{00000000-0015-0000-FFFF-FFFFC11D0000}" name="接続6693" type="7" refreshedVersion="4"/>
  <connection id="10053" xr16:uid="{00000000-0015-0000-FFFF-FFFFC21D0000}" name="接続6694" type="7" refreshedVersion="4"/>
  <connection id="10054" xr16:uid="{00000000-0015-0000-FFFF-FFFFC31D0000}" name="接続6695" type="7" refreshedVersion="4"/>
  <connection id="10055" xr16:uid="{00000000-0015-0000-FFFF-FFFFC41D0000}" name="接続6696" type="7" refreshedVersion="4"/>
  <connection id="10056" xr16:uid="{00000000-0015-0000-FFFF-FFFFC51D0000}" name="接続6697" type="7" refreshedVersion="4"/>
  <connection id="10057" xr16:uid="{00000000-0015-0000-FFFF-FFFFC61D0000}" name="接続6698" type="7" refreshedVersion="4"/>
  <connection id="10058" xr16:uid="{00000000-0015-0000-FFFF-FFFFC71D0000}" name="接続6699" type="7" refreshedVersion="4"/>
  <connection id="10059" xr16:uid="{00000000-0015-0000-FFFF-FFFFC81D0000}" name="接続67" type="7" refreshedVersion="4"/>
  <connection id="10060" xr16:uid="{00000000-0015-0000-FFFF-FFFFC91D0000}" name="接続670" type="7" refreshedVersion="4"/>
  <connection id="10061" xr16:uid="{00000000-0015-0000-FFFF-FFFFCA1D0000}" name="接続6700" type="7" refreshedVersion="4"/>
  <connection id="10062" xr16:uid="{00000000-0015-0000-FFFF-FFFFCB1D0000}" name="接続6701" type="7" refreshedVersion="4"/>
  <connection id="10063" xr16:uid="{00000000-0015-0000-FFFF-FFFFCC1D0000}" name="接続6702" type="7" refreshedVersion="4"/>
  <connection id="10064" xr16:uid="{00000000-0015-0000-FFFF-FFFFCD1D0000}" name="接続6703" type="7" refreshedVersion="4"/>
  <connection id="10065" xr16:uid="{00000000-0015-0000-FFFF-FFFFCE1D0000}" name="接続6704" type="7" refreshedVersion="4"/>
  <connection id="10066" xr16:uid="{00000000-0015-0000-FFFF-FFFFCF1D0000}" name="接続6705" type="7" refreshedVersion="4"/>
  <connection id="10067" xr16:uid="{00000000-0015-0000-FFFF-FFFFD01D0000}" name="接続6706" type="7" refreshedVersion="4"/>
  <connection id="10068" xr16:uid="{00000000-0015-0000-FFFF-FFFFD11D0000}" name="接続6707" type="7" refreshedVersion="4"/>
  <connection id="10069" xr16:uid="{00000000-0015-0000-FFFF-FFFFD21D0000}" name="接続6708" type="7" refreshedVersion="4"/>
  <connection id="10070" xr16:uid="{00000000-0015-0000-FFFF-FFFFD31D0000}" name="接続6709" type="7" refreshedVersion="4"/>
  <connection id="10071" xr16:uid="{00000000-0015-0000-FFFF-FFFFD41D0000}" name="接続671" type="7" refreshedVersion="4"/>
  <connection id="10072" xr16:uid="{00000000-0015-0000-FFFF-FFFFD51D0000}" name="接続6710" type="7" refreshedVersion="4"/>
  <connection id="10073" xr16:uid="{00000000-0015-0000-FFFF-FFFFD61D0000}" name="接続6711" type="7" refreshedVersion="4"/>
  <connection id="10074" xr16:uid="{00000000-0015-0000-FFFF-FFFFD71D0000}" name="接続6712" type="7" refreshedVersion="4"/>
  <connection id="10075" xr16:uid="{00000000-0015-0000-FFFF-FFFFD81D0000}" name="接続6713" type="7" refreshedVersion="4"/>
  <connection id="10076" xr16:uid="{00000000-0015-0000-FFFF-FFFFD91D0000}" name="接続6714" type="7" refreshedVersion="4"/>
  <connection id="10077" xr16:uid="{00000000-0015-0000-FFFF-FFFFDA1D0000}" name="接続6715" type="7" refreshedVersion="4"/>
  <connection id="10078" xr16:uid="{00000000-0015-0000-FFFF-FFFFDB1D0000}" name="接続6716" type="7" refreshedVersion="4"/>
  <connection id="10079" xr16:uid="{00000000-0015-0000-FFFF-FFFFDC1D0000}" name="接続6717" type="7" refreshedVersion="4"/>
  <connection id="10080" xr16:uid="{00000000-0015-0000-FFFF-FFFFDD1D0000}" name="接続6718" type="7" refreshedVersion="4"/>
  <connection id="10081" xr16:uid="{00000000-0015-0000-FFFF-FFFFDE1D0000}" name="接続6719" type="7" refreshedVersion="4"/>
  <connection id="10082" xr16:uid="{00000000-0015-0000-FFFF-FFFFDF1D0000}" name="接続672" type="7" refreshedVersion="4"/>
  <connection id="10083" xr16:uid="{00000000-0015-0000-FFFF-FFFFE01D0000}" name="接続6720" type="7" refreshedVersion="4"/>
  <connection id="10084" xr16:uid="{00000000-0015-0000-FFFF-FFFFE11D0000}" name="接続6721" type="7" refreshedVersion="4"/>
  <connection id="10085" xr16:uid="{00000000-0015-0000-FFFF-FFFFE21D0000}" name="接続6722" type="7" refreshedVersion="4"/>
  <connection id="10086" xr16:uid="{00000000-0015-0000-FFFF-FFFFE31D0000}" name="接続6723" type="7" refreshedVersion="4"/>
  <connection id="10087" xr16:uid="{00000000-0015-0000-FFFF-FFFFE41D0000}" name="接続6724" type="7" refreshedVersion="4"/>
  <connection id="10088" xr16:uid="{00000000-0015-0000-FFFF-FFFFE51D0000}" name="接続6725" type="7" refreshedVersion="4"/>
  <connection id="10089" xr16:uid="{00000000-0015-0000-FFFF-FFFFE61D0000}" name="接続6726" type="7" refreshedVersion="4"/>
  <connection id="10090" xr16:uid="{00000000-0015-0000-FFFF-FFFFE71D0000}" name="接続6727" type="7" refreshedVersion="4"/>
  <connection id="10091" xr16:uid="{00000000-0015-0000-FFFF-FFFFE81D0000}" name="接続6728" type="7" refreshedVersion="4"/>
  <connection id="10092" xr16:uid="{00000000-0015-0000-FFFF-FFFFE91D0000}" name="接続6729" type="7" refreshedVersion="4"/>
  <connection id="10093" xr16:uid="{00000000-0015-0000-FFFF-FFFFEA1D0000}" name="接続673" type="7" refreshedVersion="4"/>
  <connection id="10094" xr16:uid="{00000000-0015-0000-FFFF-FFFFEB1D0000}" name="接続6730" type="7" refreshedVersion="4"/>
  <connection id="10095" xr16:uid="{00000000-0015-0000-FFFF-FFFFEC1D0000}" name="接続6731" type="7" refreshedVersion="4"/>
  <connection id="10096" xr16:uid="{00000000-0015-0000-FFFF-FFFFED1D0000}" name="接続6732" type="7" refreshedVersion="4"/>
  <connection id="10097" xr16:uid="{00000000-0015-0000-FFFF-FFFFEE1D0000}" name="接続6733" type="7" refreshedVersion="4"/>
  <connection id="10098" xr16:uid="{00000000-0015-0000-FFFF-FFFFEF1D0000}" name="接続6734" type="7" refreshedVersion="4"/>
  <connection id="10099" xr16:uid="{00000000-0015-0000-FFFF-FFFFF01D0000}" name="接続6735" type="7" refreshedVersion="4"/>
  <connection id="10100" xr16:uid="{00000000-0015-0000-FFFF-FFFFF11D0000}" name="接続6736" type="7" refreshedVersion="4"/>
  <connection id="10101" xr16:uid="{00000000-0015-0000-FFFF-FFFFF21D0000}" name="接続6737" type="7" refreshedVersion="4"/>
  <connection id="10102" xr16:uid="{00000000-0015-0000-FFFF-FFFFF31D0000}" name="接続6738" type="7" refreshedVersion="4"/>
  <connection id="10103" xr16:uid="{00000000-0015-0000-FFFF-FFFFF41D0000}" name="接続6739" type="7" refreshedVersion="4"/>
  <connection id="10104" xr16:uid="{00000000-0015-0000-FFFF-FFFFF51D0000}" name="接続674" type="7" refreshedVersion="4"/>
  <connection id="10105" xr16:uid="{00000000-0015-0000-FFFF-FFFFF61D0000}" name="接続6740" type="7" refreshedVersion="4"/>
  <connection id="10106" xr16:uid="{00000000-0015-0000-FFFF-FFFFF71D0000}" name="接続6741" type="7" refreshedVersion="4"/>
  <connection id="10107" xr16:uid="{00000000-0015-0000-FFFF-FFFFF81D0000}" name="接続6742" type="7" refreshedVersion="4"/>
  <connection id="10108" xr16:uid="{00000000-0015-0000-FFFF-FFFFF91D0000}" name="接続6743" type="7" refreshedVersion="4"/>
  <connection id="10109" xr16:uid="{00000000-0015-0000-FFFF-FFFFFA1D0000}" name="接続6744" type="7" refreshedVersion="4"/>
  <connection id="10110" xr16:uid="{00000000-0015-0000-FFFF-FFFFFB1D0000}" name="接続6745" type="7" refreshedVersion="4"/>
  <connection id="10111" xr16:uid="{00000000-0015-0000-FFFF-FFFFFC1D0000}" name="接続6746" type="7" refreshedVersion="4"/>
  <connection id="10112" xr16:uid="{00000000-0015-0000-FFFF-FFFFFD1D0000}" name="接続6747" type="7" refreshedVersion="4"/>
  <connection id="10113" xr16:uid="{00000000-0015-0000-FFFF-FFFFFE1D0000}" name="接続6748" type="7" refreshedVersion="4"/>
  <connection id="10114" xr16:uid="{00000000-0015-0000-FFFF-FFFFFF1D0000}" name="接続6749" type="7" refreshedVersion="4"/>
  <connection id="10115" xr16:uid="{00000000-0015-0000-FFFF-FFFF001E0000}" name="接続675" type="7" refreshedVersion="4"/>
  <connection id="10116" xr16:uid="{00000000-0015-0000-FFFF-FFFF011E0000}" name="接続6750" type="7" refreshedVersion="4"/>
  <connection id="10117" xr16:uid="{00000000-0015-0000-FFFF-FFFF021E0000}" name="接続6751" type="7" refreshedVersion="4"/>
  <connection id="10118" xr16:uid="{00000000-0015-0000-FFFF-FFFF031E0000}" name="接続6752" type="7" refreshedVersion="4"/>
  <connection id="10119" xr16:uid="{00000000-0015-0000-FFFF-FFFF041E0000}" name="接続6753" type="7" refreshedVersion="4"/>
  <connection id="10120" xr16:uid="{00000000-0015-0000-FFFF-FFFF051E0000}" name="接続6754" type="7" refreshedVersion="4"/>
  <connection id="10121" xr16:uid="{00000000-0015-0000-FFFF-FFFF061E0000}" name="接続6755" type="7" refreshedVersion="4"/>
  <connection id="10122" xr16:uid="{00000000-0015-0000-FFFF-FFFF071E0000}" name="接続6756" type="7" refreshedVersion="4"/>
  <connection id="10123" xr16:uid="{00000000-0015-0000-FFFF-FFFF081E0000}" name="接続6757" type="7" refreshedVersion="4"/>
  <connection id="10124" xr16:uid="{00000000-0015-0000-FFFF-FFFF091E0000}" name="接続6758" type="7" refreshedVersion="4"/>
  <connection id="10125" xr16:uid="{00000000-0015-0000-FFFF-FFFF0A1E0000}" name="接続6759" type="7" refreshedVersion="4"/>
  <connection id="10126" xr16:uid="{00000000-0015-0000-FFFF-FFFF0B1E0000}" name="接続676" type="7" refreshedVersion="4"/>
  <connection id="10127" xr16:uid="{00000000-0015-0000-FFFF-FFFF0C1E0000}" name="接続6760" type="7" refreshedVersion="4"/>
  <connection id="10128" xr16:uid="{00000000-0015-0000-FFFF-FFFF0D1E0000}" name="接続6761" type="7" refreshedVersion="4"/>
  <connection id="10129" xr16:uid="{00000000-0015-0000-FFFF-FFFF0E1E0000}" name="接続6762" type="7" refreshedVersion="4"/>
  <connection id="10130" xr16:uid="{00000000-0015-0000-FFFF-FFFF0F1E0000}" name="接続6763" type="7" refreshedVersion="4"/>
  <connection id="10131" xr16:uid="{00000000-0015-0000-FFFF-FFFF101E0000}" name="接続6764" type="7" refreshedVersion="4"/>
  <connection id="10132" xr16:uid="{00000000-0015-0000-FFFF-FFFF111E0000}" name="接続6765" type="7" refreshedVersion="4"/>
  <connection id="10133" xr16:uid="{00000000-0015-0000-FFFF-FFFF121E0000}" name="接続6766" type="7" refreshedVersion="4"/>
  <connection id="10134" xr16:uid="{00000000-0015-0000-FFFF-FFFF131E0000}" name="接続6767" type="7" refreshedVersion="4"/>
  <connection id="10135" xr16:uid="{00000000-0015-0000-FFFF-FFFF141E0000}" name="接続6768" type="7" refreshedVersion="4"/>
  <connection id="10136" xr16:uid="{00000000-0015-0000-FFFF-FFFF151E0000}" name="接続6769" type="7" refreshedVersion="4"/>
  <connection id="10137" xr16:uid="{00000000-0015-0000-FFFF-FFFF161E0000}" name="接続677" type="7" refreshedVersion="4"/>
  <connection id="10138" xr16:uid="{00000000-0015-0000-FFFF-FFFF171E0000}" name="接続6770" type="7" refreshedVersion="4"/>
  <connection id="10139" xr16:uid="{00000000-0015-0000-FFFF-FFFF181E0000}" name="接続6771" type="7" refreshedVersion="4"/>
  <connection id="10140" xr16:uid="{00000000-0015-0000-FFFF-FFFF191E0000}" name="接続6772" type="7" refreshedVersion="4"/>
  <connection id="10141" xr16:uid="{00000000-0015-0000-FFFF-FFFF1A1E0000}" name="接続6773" type="7" refreshedVersion="4"/>
  <connection id="10142" xr16:uid="{00000000-0015-0000-FFFF-FFFF1B1E0000}" name="接続6774" type="7" refreshedVersion="4"/>
  <connection id="10143" xr16:uid="{00000000-0015-0000-FFFF-FFFF1C1E0000}" name="接続6775" type="7" refreshedVersion="4"/>
  <connection id="10144" xr16:uid="{00000000-0015-0000-FFFF-FFFF1D1E0000}" name="接続6776" type="7" refreshedVersion="4"/>
  <connection id="10145" xr16:uid="{00000000-0015-0000-FFFF-FFFF1E1E0000}" name="接続6777" type="7" refreshedVersion="4"/>
  <connection id="10146" xr16:uid="{00000000-0015-0000-FFFF-FFFF1F1E0000}" name="接続6778" type="7" refreshedVersion="4"/>
  <connection id="10147" xr16:uid="{00000000-0015-0000-FFFF-FFFF201E0000}" name="接続6779" type="7" refreshedVersion="4"/>
  <connection id="10148" xr16:uid="{00000000-0015-0000-FFFF-FFFF211E0000}" name="接続678" type="7" refreshedVersion="4"/>
  <connection id="10149" xr16:uid="{00000000-0015-0000-FFFF-FFFF221E0000}" name="接続6780" type="7" refreshedVersion="4"/>
  <connection id="10150" xr16:uid="{00000000-0015-0000-FFFF-FFFF231E0000}" name="接続6781" type="7" refreshedVersion="4"/>
  <connection id="10151" xr16:uid="{00000000-0015-0000-FFFF-FFFF241E0000}" name="接続6782" type="7" refreshedVersion="4"/>
  <connection id="10152" xr16:uid="{00000000-0015-0000-FFFF-FFFF251E0000}" name="接続6783" type="7" refreshedVersion="4"/>
  <connection id="10153" xr16:uid="{00000000-0015-0000-FFFF-FFFF261E0000}" name="接続6784" type="7" refreshedVersion="4"/>
  <connection id="10154" xr16:uid="{00000000-0015-0000-FFFF-FFFF271E0000}" name="接続6785" type="7" refreshedVersion="4"/>
  <connection id="10155" xr16:uid="{00000000-0015-0000-FFFF-FFFF281E0000}" name="接続6786" type="7" refreshedVersion="4"/>
  <connection id="10156" xr16:uid="{00000000-0015-0000-FFFF-FFFF291E0000}" name="接続6787" type="7" refreshedVersion="4"/>
  <connection id="10157" xr16:uid="{00000000-0015-0000-FFFF-FFFF2A1E0000}" name="接続6788" type="7" refreshedVersion="4"/>
  <connection id="10158" xr16:uid="{00000000-0015-0000-FFFF-FFFF2B1E0000}" name="接続6789" type="7" refreshedVersion="4"/>
  <connection id="10159" xr16:uid="{00000000-0015-0000-FFFF-FFFF2C1E0000}" name="接続679" type="7" refreshedVersion="4"/>
  <connection id="10160" xr16:uid="{00000000-0015-0000-FFFF-FFFF2D1E0000}" name="接続6790" type="7" refreshedVersion="4"/>
  <connection id="10161" xr16:uid="{00000000-0015-0000-FFFF-FFFF2E1E0000}" name="接続6791" type="7" refreshedVersion="4"/>
  <connection id="10162" xr16:uid="{00000000-0015-0000-FFFF-FFFF2F1E0000}" name="接続6792" type="7" refreshedVersion="4"/>
  <connection id="10163" xr16:uid="{00000000-0015-0000-FFFF-FFFF301E0000}" name="接続6793" type="7" refreshedVersion="4"/>
  <connection id="10164" xr16:uid="{00000000-0015-0000-FFFF-FFFF311E0000}" name="接続6794" type="7" refreshedVersion="4"/>
  <connection id="10165" xr16:uid="{00000000-0015-0000-FFFF-FFFF321E0000}" name="接続6795" type="7" refreshedVersion="4"/>
  <connection id="10166" xr16:uid="{00000000-0015-0000-FFFF-FFFF331E0000}" name="接続6796" type="7" refreshedVersion="4"/>
  <connection id="10167" xr16:uid="{00000000-0015-0000-FFFF-FFFF341E0000}" name="接続6797" type="7" refreshedVersion="4"/>
  <connection id="10168" xr16:uid="{00000000-0015-0000-FFFF-FFFF351E0000}" name="接続6798" type="7" refreshedVersion="4"/>
  <connection id="10169" xr16:uid="{00000000-0015-0000-FFFF-FFFF361E0000}" name="接続6799" type="7" refreshedVersion="4"/>
  <connection id="10170" xr16:uid="{00000000-0015-0000-FFFF-FFFF371E0000}" name="接続68" type="7" refreshedVersion="4"/>
  <connection id="10171" xr16:uid="{00000000-0015-0000-FFFF-FFFF381E0000}" name="接続680" type="7" refreshedVersion="4"/>
  <connection id="10172" xr16:uid="{00000000-0015-0000-FFFF-FFFF391E0000}" name="接続6800" type="7" refreshedVersion="4"/>
  <connection id="10173" xr16:uid="{00000000-0015-0000-FFFF-FFFF3A1E0000}" name="接続6801" type="7" refreshedVersion="4"/>
  <connection id="10174" xr16:uid="{00000000-0015-0000-FFFF-FFFF3B1E0000}" name="接続6802" type="7" refreshedVersion="4"/>
  <connection id="10175" xr16:uid="{00000000-0015-0000-FFFF-FFFF3C1E0000}" name="接続6803" type="7" refreshedVersion="4"/>
  <connection id="10176" xr16:uid="{00000000-0015-0000-FFFF-FFFF3D1E0000}" name="接続6804" type="7" refreshedVersion="4"/>
  <connection id="10177" xr16:uid="{00000000-0015-0000-FFFF-FFFF3E1E0000}" name="接続6805" type="7" refreshedVersion="4"/>
  <connection id="10178" xr16:uid="{00000000-0015-0000-FFFF-FFFF3F1E0000}" name="接続6806" type="7" refreshedVersion="4"/>
  <connection id="10179" xr16:uid="{00000000-0015-0000-FFFF-FFFF401E0000}" name="接続6807" type="7" refreshedVersion="4"/>
  <connection id="10180" xr16:uid="{00000000-0015-0000-FFFF-FFFF411E0000}" name="接続6808" type="7" refreshedVersion="4"/>
  <connection id="10181" xr16:uid="{00000000-0015-0000-FFFF-FFFF421E0000}" name="接続6809" type="7" refreshedVersion="4"/>
  <connection id="10182" xr16:uid="{00000000-0015-0000-FFFF-FFFF431E0000}" name="接続681" type="7" refreshedVersion="4"/>
  <connection id="10183" xr16:uid="{00000000-0015-0000-FFFF-FFFF441E0000}" name="接続6810" type="7" refreshedVersion="4"/>
  <connection id="10184" xr16:uid="{00000000-0015-0000-FFFF-FFFF451E0000}" name="接続6811" type="7" refreshedVersion="4"/>
  <connection id="10185" xr16:uid="{00000000-0015-0000-FFFF-FFFF461E0000}" name="接続6812" type="7" refreshedVersion="4"/>
  <connection id="10186" xr16:uid="{00000000-0015-0000-FFFF-FFFF471E0000}" name="接続6813" type="7" refreshedVersion="4"/>
  <connection id="10187" xr16:uid="{00000000-0015-0000-FFFF-FFFF481E0000}" name="接続6814" type="7" refreshedVersion="4"/>
  <connection id="10188" xr16:uid="{00000000-0015-0000-FFFF-FFFF491E0000}" name="接続6815" type="7" refreshedVersion="4"/>
  <connection id="10189" xr16:uid="{00000000-0015-0000-FFFF-FFFF4A1E0000}" name="接続6816" type="7" refreshedVersion="4"/>
  <connection id="10190" xr16:uid="{00000000-0015-0000-FFFF-FFFF4B1E0000}" name="接続6817" type="7" refreshedVersion="4"/>
  <connection id="10191" xr16:uid="{00000000-0015-0000-FFFF-FFFF4C1E0000}" name="接続6818" type="7" refreshedVersion="4"/>
  <connection id="10192" xr16:uid="{00000000-0015-0000-FFFF-FFFF4D1E0000}" name="接続6819" type="7" refreshedVersion="4"/>
  <connection id="10193" xr16:uid="{00000000-0015-0000-FFFF-FFFF4E1E0000}" name="接続682" type="7" refreshedVersion="4"/>
  <connection id="10194" xr16:uid="{00000000-0015-0000-FFFF-FFFF4F1E0000}" name="接続6820" type="7" refreshedVersion="4"/>
  <connection id="10195" xr16:uid="{00000000-0015-0000-FFFF-FFFF501E0000}" name="接続6821" type="7" refreshedVersion="4"/>
  <connection id="10196" xr16:uid="{00000000-0015-0000-FFFF-FFFF511E0000}" name="接続6822" type="7" refreshedVersion="4"/>
  <connection id="10197" xr16:uid="{00000000-0015-0000-FFFF-FFFF521E0000}" name="接続6823" type="7" refreshedVersion="4"/>
  <connection id="10198" xr16:uid="{00000000-0015-0000-FFFF-FFFF531E0000}" name="接続6824" type="7" refreshedVersion="4"/>
  <connection id="10199" xr16:uid="{00000000-0015-0000-FFFF-FFFF541E0000}" name="接続6825" type="7" refreshedVersion="4"/>
  <connection id="10200" xr16:uid="{00000000-0015-0000-FFFF-FFFF551E0000}" name="接続6826" type="7" refreshedVersion="4"/>
  <connection id="10201" xr16:uid="{00000000-0015-0000-FFFF-FFFF561E0000}" name="接続6827" type="7" refreshedVersion="4"/>
  <connection id="10202" xr16:uid="{00000000-0015-0000-FFFF-FFFF571E0000}" name="接続6828" type="7" refreshedVersion="4"/>
  <connection id="10203" xr16:uid="{00000000-0015-0000-FFFF-FFFF581E0000}" name="接続6829" type="7" refreshedVersion="4"/>
  <connection id="10204" xr16:uid="{00000000-0015-0000-FFFF-FFFF591E0000}" name="接続683" type="7" refreshedVersion="4"/>
  <connection id="10205" xr16:uid="{00000000-0015-0000-FFFF-FFFF5A1E0000}" name="接続6830" type="7" refreshedVersion="4"/>
  <connection id="10206" xr16:uid="{00000000-0015-0000-FFFF-FFFF5B1E0000}" name="接続6831" type="7" refreshedVersion="4"/>
  <connection id="10207" xr16:uid="{00000000-0015-0000-FFFF-FFFF5C1E0000}" name="接続6832" type="7" refreshedVersion="4"/>
  <connection id="10208" xr16:uid="{00000000-0015-0000-FFFF-FFFF5D1E0000}" name="接続6833" type="7" refreshedVersion="4"/>
  <connection id="10209" xr16:uid="{00000000-0015-0000-FFFF-FFFF5E1E0000}" name="接続6834" type="7" refreshedVersion="4"/>
  <connection id="10210" xr16:uid="{00000000-0015-0000-FFFF-FFFF5F1E0000}" name="接続6835" type="7" refreshedVersion="4"/>
  <connection id="10211" xr16:uid="{00000000-0015-0000-FFFF-FFFF601E0000}" name="接続6836" type="7" refreshedVersion="4"/>
  <connection id="10212" xr16:uid="{00000000-0015-0000-FFFF-FFFF611E0000}" name="接続6837" type="7" refreshedVersion="4"/>
  <connection id="10213" xr16:uid="{00000000-0015-0000-FFFF-FFFF621E0000}" name="接続6838" type="7" refreshedVersion="4"/>
  <connection id="10214" xr16:uid="{00000000-0015-0000-FFFF-FFFF631E0000}" name="接続6839" type="7" refreshedVersion="4"/>
  <connection id="10215" xr16:uid="{00000000-0015-0000-FFFF-FFFF641E0000}" name="接続684" type="7" refreshedVersion="4"/>
  <connection id="10216" xr16:uid="{00000000-0015-0000-FFFF-FFFF651E0000}" name="接続6840" type="7" refreshedVersion="4"/>
  <connection id="10217" xr16:uid="{00000000-0015-0000-FFFF-FFFF661E0000}" name="接続6841" type="7" refreshedVersion="4"/>
  <connection id="10218" xr16:uid="{00000000-0015-0000-FFFF-FFFF671E0000}" name="接続6842" type="7" refreshedVersion="4"/>
  <connection id="10219" xr16:uid="{00000000-0015-0000-FFFF-FFFF681E0000}" name="接続6843" type="7" refreshedVersion="4"/>
  <connection id="10220" xr16:uid="{00000000-0015-0000-FFFF-FFFF691E0000}" name="接続6844" type="7" refreshedVersion="4"/>
  <connection id="10221" xr16:uid="{00000000-0015-0000-FFFF-FFFF6A1E0000}" name="接続6845" type="7" refreshedVersion="4"/>
  <connection id="10222" xr16:uid="{00000000-0015-0000-FFFF-FFFF6B1E0000}" name="接続6846" type="7" refreshedVersion="4"/>
  <connection id="10223" xr16:uid="{00000000-0015-0000-FFFF-FFFF6C1E0000}" name="接続6847" type="7" refreshedVersion="4"/>
  <connection id="10224" xr16:uid="{00000000-0015-0000-FFFF-FFFF6D1E0000}" name="接続6848" type="7" refreshedVersion="4"/>
  <connection id="10225" xr16:uid="{00000000-0015-0000-FFFF-FFFF6E1E0000}" name="接続6849" type="7" refreshedVersion="4"/>
  <connection id="10226" xr16:uid="{00000000-0015-0000-FFFF-FFFF6F1E0000}" name="接続685" type="7" refreshedVersion="4"/>
  <connection id="10227" xr16:uid="{00000000-0015-0000-FFFF-FFFF701E0000}" name="接続6850" type="7" refreshedVersion="4"/>
  <connection id="10228" xr16:uid="{00000000-0015-0000-FFFF-FFFF711E0000}" name="接続6851" type="7" refreshedVersion="4"/>
  <connection id="10229" xr16:uid="{00000000-0015-0000-FFFF-FFFF721E0000}" name="接続6852" type="7" refreshedVersion="4"/>
  <connection id="10230" xr16:uid="{00000000-0015-0000-FFFF-FFFF731E0000}" name="接続6853" type="7" refreshedVersion="4"/>
  <connection id="10231" xr16:uid="{00000000-0015-0000-FFFF-FFFF741E0000}" name="接続6854" type="7" refreshedVersion="4"/>
  <connection id="10232" xr16:uid="{00000000-0015-0000-FFFF-FFFF751E0000}" name="接続6855" type="7" refreshedVersion="4"/>
  <connection id="10233" xr16:uid="{00000000-0015-0000-FFFF-FFFF761E0000}" name="接続6856" type="7" refreshedVersion="4"/>
  <connection id="10234" xr16:uid="{00000000-0015-0000-FFFF-FFFF771E0000}" name="接続6857" type="7" refreshedVersion="4"/>
  <connection id="10235" xr16:uid="{00000000-0015-0000-FFFF-FFFF781E0000}" name="接続6858" type="7" refreshedVersion="4"/>
  <connection id="10236" xr16:uid="{00000000-0015-0000-FFFF-FFFF791E0000}" name="接続6859" type="7" refreshedVersion="4"/>
  <connection id="10237" xr16:uid="{00000000-0015-0000-FFFF-FFFF7A1E0000}" name="接続686" type="7" refreshedVersion="4"/>
  <connection id="10238" xr16:uid="{00000000-0015-0000-FFFF-FFFF7B1E0000}" name="接続6860" type="7" refreshedVersion="4"/>
  <connection id="10239" xr16:uid="{00000000-0015-0000-FFFF-FFFF7C1E0000}" name="接続6861" type="7" refreshedVersion="4"/>
  <connection id="10240" xr16:uid="{00000000-0015-0000-FFFF-FFFF7D1E0000}" name="接続6862" type="7" refreshedVersion="4"/>
  <connection id="10241" xr16:uid="{00000000-0015-0000-FFFF-FFFF7E1E0000}" name="接続6863" type="7" refreshedVersion="4"/>
  <connection id="10242" xr16:uid="{00000000-0015-0000-FFFF-FFFF7F1E0000}" name="接続6864" type="7" refreshedVersion="4"/>
  <connection id="10243" xr16:uid="{00000000-0015-0000-FFFF-FFFF801E0000}" name="接続6865" type="7" refreshedVersion="4"/>
  <connection id="10244" xr16:uid="{00000000-0015-0000-FFFF-FFFF811E0000}" name="接続6866" type="7" refreshedVersion="4"/>
  <connection id="10245" xr16:uid="{00000000-0015-0000-FFFF-FFFF821E0000}" name="接続6867" type="7" refreshedVersion="4"/>
  <connection id="10246" xr16:uid="{00000000-0015-0000-FFFF-FFFF831E0000}" name="接続6868" type="7" refreshedVersion="4"/>
  <connection id="10247" xr16:uid="{00000000-0015-0000-FFFF-FFFF841E0000}" name="接続6869" type="7" refreshedVersion="4"/>
  <connection id="10248" xr16:uid="{00000000-0015-0000-FFFF-FFFF851E0000}" name="接続687" type="7" refreshedVersion="4"/>
  <connection id="10249" xr16:uid="{00000000-0015-0000-FFFF-FFFF861E0000}" name="接続6870" type="7" refreshedVersion="4"/>
  <connection id="10250" xr16:uid="{00000000-0015-0000-FFFF-FFFF871E0000}" name="接続6871" type="7" refreshedVersion="4"/>
  <connection id="10251" xr16:uid="{00000000-0015-0000-FFFF-FFFF881E0000}" name="接続6872" type="7" refreshedVersion="4"/>
  <connection id="10252" xr16:uid="{00000000-0015-0000-FFFF-FFFF891E0000}" name="接続6873" type="7" refreshedVersion="4"/>
  <connection id="10253" xr16:uid="{00000000-0015-0000-FFFF-FFFF8A1E0000}" name="接続6874" type="7" refreshedVersion="4"/>
  <connection id="10254" xr16:uid="{00000000-0015-0000-FFFF-FFFF8B1E0000}" name="接続6875" type="7" refreshedVersion="4"/>
  <connection id="10255" xr16:uid="{00000000-0015-0000-FFFF-FFFF8C1E0000}" name="接続6876" type="7" refreshedVersion="4"/>
  <connection id="10256" xr16:uid="{00000000-0015-0000-FFFF-FFFF8D1E0000}" name="接続6877" type="7" refreshedVersion="4"/>
  <connection id="10257" xr16:uid="{00000000-0015-0000-FFFF-FFFF8E1E0000}" name="接続6878" type="7" refreshedVersion="4"/>
  <connection id="10258" xr16:uid="{00000000-0015-0000-FFFF-FFFF8F1E0000}" name="接続6879" type="7" refreshedVersion="4"/>
  <connection id="10259" xr16:uid="{00000000-0015-0000-FFFF-FFFF901E0000}" name="接続688" type="7" refreshedVersion="4"/>
  <connection id="10260" xr16:uid="{00000000-0015-0000-FFFF-FFFF911E0000}" name="接続6880" type="7" refreshedVersion="4"/>
  <connection id="10261" xr16:uid="{00000000-0015-0000-FFFF-FFFF921E0000}" name="接続6881" type="7" refreshedVersion="4"/>
  <connection id="10262" xr16:uid="{00000000-0015-0000-FFFF-FFFF931E0000}" name="接続6882" type="7" refreshedVersion="4"/>
  <connection id="10263" xr16:uid="{00000000-0015-0000-FFFF-FFFF941E0000}" name="接続6883" type="7" refreshedVersion="4"/>
  <connection id="10264" xr16:uid="{00000000-0015-0000-FFFF-FFFF951E0000}" name="接続6884" type="7" refreshedVersion="4"/>
  <connection id="10265" xr16:uid="{00000000-0015-0000-FFFF-FFFF961E0000}" name="接続6885" type="7" refreshedVersion="4"/>
  <connection id="10266" xr16:uid="{00000000-0015-0000-FFFF-FFFF971E0000}" name="接続6886" type="7" refreshedVersion="4"/>
  <connection id="10267" xr16:uid="{00000000-0015-0000-FFFF-FFFF981E0000}" name="接続6887" type="7" refreshedVersion="4"/>
  <connection id="10268" xr16:uid="{00000000-0015-0000-FFFF-FFFF991E0000}" name="接続6888" type="7" refreshedVersion="4"/>
  <connection id="10269" xr16:uid="{00000000-0015-0000-FFFF-FFFF9A1E0000}" name="接続6889" type="7" refreshedVersion="4"/>
  <connection id="10270" xr16:uid="{00000000-0015-0000-FFFF-FFFF9B1E0000}" name="接続689" type="7" refreshedVersion="4"/>
  <connection id="10271" xr16:uid="{00000000-0015-0000-FFFF-FFFF9C1E0000}" name="接続6890" type="7" refreshedVersion="4"/>
  <connection id="10272" xr16:uid="{00000000-0015-0000-FFFF-FFFF9D1E0000}" name="接続6891" type="7" refreshedVersion="4"/>
  <connection id="10273" xr16:uid="{00000000-0015-0000-FFFF-FFFF9E1E0000}" name="接続6892" type="7" refreshedVersion="4"/>
  <connection id="10274" xr16:uid="{00000000-0015-0000-FFFF-FFFF9F1E0000}" name="接続6893" type="7" refreshedVersion="4"/>
  <connection id="10275" xr16:uid="{00000000-0015-0000-FFFF-FFFFA01E0000}" name="接続6894" type="7" refreshedVersion="4"/>
  <connection id="10276" xr16:uid="{00000000-0015-0000-FFFF-FFFFA11E0000}" name="接続6895" type="7" refreshedVersion="4"/>
  <connection id="10277" xr16:uid="{00000000-0015-0000-FFFF-FFFFA21E0000}" name="接続6896" type="7" refreshedVersion="4"/>
  <connection id="10278" xr16:uid="{00000000-0015-0000-FFFF-FFFFA31E0000}" name="接続6897" type="7" refreshedVersion="4"/>
  <connection id="10279" xr16:uid="{00000000-0015-0000-FFFF-FFFFA41E0000}" name="接続6898" type="7" refreshedVersion="4"/>
  <connection id="10280" xr16:uid="{00000000-0015-0000-FFFF-FFFFA51E0000}" name="接続6899" type="7" refreshedVersion="4"/>
  <connection id="10281" xr16:uid="{00000000-0015-0000-FFFF-FFFFA61E0000}" name="接続69" type="7" refreshedVersion="4"/>
  <connection id="10282" xr16:uid="{00000000-0015-0000-FFFF-FFFFA71E0000}" name="接続690" type="7" refreshedVersion="4"/>
  <connection id="10283" xr16:uid="{00000000-0015-0000-FFFF-FFFFA81E0000}" name="接続6900" type="7" refreshedVersion="4"/>
  <connection id="10284" xr16:uid="{00000000-0015-0000-FFFF-FFFFA91E0000}" name="接続6901" type="7" refreshedVersion="4"/>
  <connection id="10285" xr16:uid="{00000000-0015-0000-FFFF-FFFFAA1E0000}" name="接続6902" type="7" refreshedVersion="4"/>
  <connection id="10286" xr16:uid="{00000000-0015-0000-FFFF-FFFFAB1E0000}" name="接続6903" type="7" refreshedVersion="4"/>
  <connection id="10287" xr16:uid="{00000000-0015-0000-FFFF-FFFFAC1E0000}" name="接続6904" type="7" refreshedVersion="4"/>
  <connection id="10288" xr16:uid="{00000000-0015-0000-FFFF-FFFFAD1E0000}" name="接続6905" type="7" refreshedVersion="4"/>
  <connection id="10289" xr16:uid="{00000000-0015-0000-FFFF-FFFFAE1E0000}" name="接続6906" type="7" refreshedVersion="4"/>
  <connection id="10290" xr16:uid="{00000000-0015-0000-FFFF-FFFFAF1E0000}" name="接続6907" type="7" refreshedVersion="4"/>
  <connection id="10291" xr16:uid="{00000000-0015-0000-FFFF-FFFFB01E0000}" name="接続6908" type="7" refreshedVersion="4"/>
  <connection id="10292" xr16:uid="{00000000-0015-0000-FFFF-FFFFB11E0000}" name="接続6909" type="7" refreshedVersion="4"/>
  <connection id="10293" xr16:uid="{00000000-0015-0000-FFFF-FFFFB21E0000}" name="接続691" type="7" refreshedVersion="4"/>
  <connection id="10294" xr16:uid="{00000000-0015-0000-FFFF-FFFFB31E0000}" name="接続6910" type="7" refreshedVersion="4"/>
  <connection id="10295" xr16:uid="{00000000-0015-0000-FFFF-FFFFB41E0000}" name="接続6911" type="7" refreshedVersion="4"/>
  <connection id="10296" xr16:uid="{00000000-0015-0000-FFFF-FFFFB51E0000}" name="接続6912" type="7" refreshedVersion="4"/>
  <connection id="10297" xr16:uid="{00000000-0015-0000-FFFF-FFFFB61E0000}" name="接続6913" type="7" refreshedVersion="4"/>
  <connection id="10298" xr16:uid="{00000000-0015-0000-FFFF-FFFFB71E0000}" name="接続6914" type="7" refreshedVersion="4"/>
  <connection id="10299" xr16:uid="{00000000-0015-0000-FFFF-FFFFB81E0000}" name="接続6915" type="7" refreshedVersion="4"/>
  <connection id="10300" xr16:uid="{00000000-0015-0000-FFFF-FFFFB91E0000}" name="接続6916" type="7" refreshedVersion="4"/>
  <connection id="10301" xr16:uid="{00000000-0015-0000-FFFF-FFFFBA1E0000}" name="接続6917" type="7" refreshedVersion="4"/>
  <connection id="10302" xr16:uid="{00000000-0015-0000-FFFF-FFFFBB1E0000}" name="接続6918" type="7" refreshedVersion="4"/>
  <connection id="10303" xr16:uid="{00000000-0015-0000-FFFF-FFFFBC1E0000}" name="接続6919" type="7" refreshedVersion="4"/>
  <connection id="10304" xr16:uid="{00000000-0015-0000-FFFF-FFFFBD1E0000}" name="接続692" type="7" refreshedVersion="4"/>
  <connection id="10305" xr16:uid="{00000000-0015-0000-FFFF-FFFFBE1E0000}" name="接続6920" type="7" refreshedVersion="4"/>
  <connection id="10306" xr16:uid="{00000000-0015-0000-FFFF-FFFFBF1E0000}" name="接続6921" type="7" refreshedVersion="4"/>
  <connection id="10307" xr16:uid="{00000000-0015-0000-FFFF-FFFFC01E0000}" name="接続6922" type="7" refreshedVersion="4"/>
  <connection id="10308" xr16:uid="{00000000-0015-0000-FFFF-FFFFC11E0000}" name="接続6923" type="7" refreshedVersion="4"/>
  <connection id="10309" xr16:uid="{00000000-0015-0000-FFFF-FFFFC21E0000}" name="接続6924" type="7" refreshedVersion="4"/>
  <connection id="10310" xr16:uid="{00000000-0015-0000-FFFF-FFFFC31E0000}" name="接続6925" type="7" refreshedVersion="4"/>
  <connection id="10311" xr16:uid="{00000000-0015-0000-FFFF-FFFFC41E0000}" name="接続6926" type="7" refreshedVersion="4"/>
  <connection id="10312" xr16:uid="{00000000-0015-0000-FFFF-FFFFC51E0000}" name="接続6927" type="7" refreshedVersion="4"/>
  <connection id="10313" xr16:uid="{00000000-0015-0000-FFFF-FFFFC61E0000}" name="接続6928" type="7" refreshedVersion="4"/>
  <connection id="10314" xr16:uid="{00000000-0015-0000-FFFF-FFFFC71E0000}" name="接続6929" type="7" refreshedVersion="4"/>
  <connection id="10315" xr16:uid="{00000000-0015-0000-FFFF-FFFFC81E0000}" name="接続693" type="7" refreshedVersion="4"/>
  <connection id="10316" xr16:uid="{00000000-0015-0000-FFFF-FFFFC91E0000}" name="接続6930" type="7" refreshedVersion="4"/>
  <connection id="10317" xr16:uid="{00000000-0015-0000-FFFF-FFFFCA1E0000}" name="接続6931" type="7" refreshedVersion="4"/>
  <connection id="10318" xr16:uid="{00000000-0015-0000-FFFF-FFFFCB1E0000}" name="接続6932" type="7" refreshedVersion="4"/>
  <connection id="10319" xr16:uid="{00000000-0015-0000-FFFF-FFFFCC1E0000}" name="接続6933" type="7" refreshedVersion="4"/>
  <connection id="10320" xr16:uid="{00000000-0015-0000-FFFF-FFFFCD1E0000}" name="接続6934" type="7" refreshedVersion="4"/>
  <connection id="10321" xr16:uid="{00000000-0015-0000-FFFF-FFFFCE1E0000}" name="接続6935" type="7" refreshedVersion="4"/>
  <connection id="10322" xr16:uid="{00000000-0015-0000-FFFF-FFFFCF1E0000}" name="接続6936" type="7" refreshedVersion="4"/>
  <connection id="10323" xr16:uid="{00000000-0015-0000-FFFF-FFFFD01E0000}" name="接続6937" type="7" refreshedVersion="4"/>
  <connection id="10324" xr16:uid="{00000000-0015-0000-FFFF-FFFFD11E0000}" name="接続6938" type="7" refreshedVersion="4"/>
  <connection id="10325" xr16:uid="{00000000-0015-0000-FFFF-FFFFD21E0000}" name="接続6939" type="7" refreshedVersion="4"/>
  <connection id="10326" xr16:uid="{00000000-0015-0000-FFFF-FFFFD31E0000}" name="接続694" type="7" refreshedVersion="4"/>
  <connection id="10327" xr16:uid="{00000000-0015-0000-FFFF-FFFFD41E0000}" name="接続6940" type="7" refreshedVersion="4"/>
  <connection id="10328" xr16:uid="{00000000-0015-0000-FFFF-FFFFD51E0000}" name="接続6941" type="7" refreshedVersion="4"/>
  <connection id="10329" xr16:uid="{00000000-0015-0000-FFFF-FFFFD61E0000}" name="接続6942" type="7" refreshedVersion="4"/>
  <connection id="10330" xr16:uid="{00000000-0015-0000-FFFF-FFFFD71E0000}" name="接続6943" type="7" refreshedVersion="4"/>
  <connection id="10331" xr16:uid="{00000000-0015-0000-FFFF-FFFFD81E0000}" name="接続6944" type="7" refreshedVersion="4"/>
  <connection id="10332" xr16:uid="{00000000-0015-0000-FFFF-FFFFD91E0000}" name="接続6945" type="7" refreshedVersion="4"/>
  <connection id="10333" xr16:uid="{00000000-0015-0000-FFFF-FFFFDA1E0000}" name="接続6946" type="7" refreshedVersion="4"/>
  <connection id="10334" xr16:uid="{00000000-0015-0000-FFFF-FFFFDB1E0000}" name="接続6947" type="7" refreshedVersion="4"/>
  <connection id="10335" xr16:uid="{00000000-0015-0000-FFFF-FFFFDC1E0000}" name="接続6948" type="7" refreshedVersion="4"/>
  <connection id="10336" xr16:uid="{00000000-0015-0000-FFFF-FFFFDD1E0000}" name="接続6949" type="7" refreshedVersion="4"/>
  <connection id="10337" xr16:uid="{00000000-0015-0000-FFFF-FFFFDE1E0000}" name="接続695" type="7" refreshedVersion="4"/>
  <connection id="10338" xr16:uid="{00000000-0015-0000-FFFF-FFFFDF1E0000}" name="接続6950" type="7" refreshedVersion="4"/>
  <connection id="10339" xr16:uid="{00000000-0015-0000-FFFF-FFFFE01E0000}" name="接続6951" type="7" refreshedVersion="4"/>
  <connection id="10340" xr16:uid="{00000000-0015-0000-FFFF-FFFFE11E0000}" name="接続6952" type="7" refreshedVersion="4"/>
  <connection id="10341" xr16:uid="{00000000-0015-0000-FFFF-FFFFE21E0000}" name="接続6953" type="7" refreshedVersion="4"/>
  <connection id="10342" xr16:uid="{00000000-0015-0000-FFFF-FFFFE31E0000}" name="接続6954" type="7" refreshedVersion="4"/>
  <connection id="10343" xr16:uid="{00000000-0015-0000-FFFF-FFFFE41E0000}" name="接続6955" type="7" refreshedVersion="4"/>
  <connection id="10344" xr16:uid="{00000000-0015-0000-FFFF-FFFFE51E0000}" name="接続6956" type="7" refreshedVersion="4"/>
  <connection id="10345" xr16:uid="{00000000-0015-0000-FFFF-FFFFE61E0000}" name="接続6957" type="7" refreshedVersion="4"/>
  <connection id="10346" xr16:uid="{00000000-0015-0000-FFFF-FFFFE71E0000}" name="接続6958" type="7" refreshedVersion="4"/>
  <connection id="10347" xr16:uid="{00000000-0015-0000-FFFF-FFFFE81E0000}" name="接続6959" type="7" refreshedVersion="4"/>
  <connection id="10348" xr16:uid="{00000000-0015-0000-FFFF-FFFFE91E0000}" name="接続696" type="7" refreshedVersion="4"/>
  <connection id="10349" xr16:uid="{00000000-0015-0000-FFFF-FFFFEA1E0000}" name="接続6960" type="7" refreshedVersion="4"/>
  <connection id="10350" xr16:uid="{00000000-0015-0000-FFFF-FFFFEB1E0000}" name="接続6961" type="7" refreshedVersion="4"/>
  <connection id="10351" xr16:uid="{00000000-0015-0000-FFFF-FFFFEC1E0000}" name="接続6962" type="7" refreshedVersion="4"/>
  <connection id="10352" xr16:uid="{00000000-0015-0000-FFFF-FFFFED1E0000}" name="接続6963" type="7" refreshedVersion="4"/>
  <connection id="10353" xr16:uid="{00000000-0015-0000-FFFF-FFFFEE1E0000}" name="接続6964" type="7" refreshedVersion="4"/>
  <connection id="10354" xr16:uid="{00000000-0015-0000-FFFF-FFFFEF1E0000}" name="接続6965" type="7" refreshedVersion="4"/>
  <connection id="10355" xr16:uid="{00000000-0015-0000-FFFF-FFFFF01E0000}" name="接続6966" type="7" refreshedVersion="4"/>
  <connection id="10356" xr16:uid="{00000000-0015-0000-FFFF-FFFFF11E0000}" name="接続6967" type="7" refreshedVersion="4"/>
  <connection id="10357" xr16:uid="{00000000-0015-0000-FFFF-FFFFF21E0000}" name="接続6968" type="7" refreshedVersion="4"/>
  <connection id="10358" xr16:uid="{00000000-0015-0000-FFFF-FFFFF31E0000}" name="接続6969" type="7" refreshedVersion="4"/>
  <connection id="10359" xr16:uid="{00000000-0015-0000-FFFF-FFFFF41E0000}" name="接続697" type="7" refreshedVersion="4"/>
  <connection id="10360" xr16:uid="{00000000-0015-0000-FFFF-FFFFF51E0000}" name="接続6970" type="7" refreshedVersion="4"/>
  <connection id="10361" xr16:uid="{00000000-0015-0000-FFFF-FFFFF61E0000}" name="接続6971" type="7" refreshedVersion="4"/>
  <connection id="10362" xr16:uid="{00000000-0015-0000-FFFF-FFFFF71E0000}" name="接続6972" type="7" refreshedVersion="4"/>
  <connection id="10363" xr16:uid="{00000000-0015-0000-FFFF-FFFFF81E0000}" name="接続6973" type="7" refreshedVersion="4"/>
  <connection id="10364" xr16:uid="{00000000-0015-0000-FFFF-FFFFF91E0000}" name="接続6974" type="7" refreshedVersion="4"/>
  <connection id="10365" xr16:uid="{00000000-0015-0000-FFFF-FFFFFA1E0000}" name="接続6975" type="7" refreshedVersion="4"/>
  <connection id="10366" xr16:uid="{00000000-0015-0000-FFFF-FFFFFB1E0000}" name="接続6976" type="7" refreshedVersion="4"/>
  <connection id="10367" xr16:uid="{00000000-0015-0000-FFFF-FFFFFC1E0000}" name="接続6977" type="7" refreshedVersion="4"/>
  <connection id="10368" xr16:uid="{00000000-0015-0000-FFFF-FFFFFD1E0000}" name="接続6978" type="7" refreshedVersion="4"/>
  <connection id="10369" xr16:uid="{00000000-0015-0000-FFFF-FFFFFE1E0000}" name="接続6979" type="7" refreshedVersion="4"/>
  <connection id="10370" xr16:uid="{00000000-0015-0000-FFFF-FFFFFF1E0000}" name="接続698" type="7" refreshedVersion="4"/>
  <connection id="10371" xr16:uid="{00000000-0015-0000-FFFF-FFFF001F0000}" name="接続6980" type="7" refreshedVersion="4"/>
  <connection id="10372" xr16:uid="{00000000-0015-0000-FFFF-FFFF011F0000}" name="接続6981" type="7" refreshedVersion="4"/>
  <connection id="10373" xr16:uid="{00000000-0015-0000-FFFF-FFFF021F0000}" name="接続6982" type="7" refreshedVersion="4"/>
  <connection id="10374" xr16:uid="{00000000-0015-0000-FFFF-FFFF031F0000}" name="接続6983" type="7" refreshedVersion="4"/>
  <connection id="10375" xr16:uid="{00000000-0015-0000-FFFF-FFFF041F0000}" name="接続6984" type="7" refreshedVersion="4"/>
  <connection id="10376" xr16:uid="{00000000-0015-0000-FFFF-FFFF051F0000}" name="接続6985" type="7" refreshedVersion="4"/>
  <connection id="10377" xr16:uid="{00000000-0015-0000-FFFF-FFFF061F0000}" name="接続6986" type="7" refreshedVersion="4"/>
  <connection id="10378" xr16:uid="{00000000-0015-0000-FFFF-FFFF071F0000}" name="接続6987" type="7" refreshedVersion="4"/>
  <connection id="10379" xr16:uid="{00000000-0015-0000-FFFF-FFFF081F0000}" name="接続6988" type="7" refreshedVersion="4"/>
  <connection id="10380" xr16:uid="{00000000-0015-0000-FFFF-FFFF091F0000}" name="接続6989" type="7" refreshedVersion="4"/>
  <connection id="10381" xr16:uid="{00000000-0015-0000-FFFF-FFFF0A1F0000}" name="接続699" type="7" refreshedVersion="4"/>
  <connection id="10382" xr16:uid="{00000000-0015-0000-FFFF-FFFF0B1F0000}" name="接続6990" type="7" refreshedVersion="4"/>
  <connection id="10383" xr16:uid="{00000000-0015-0000-FFFF-FFFF0C1F0000}" name="接続6991" type="7" refreshedVersion="4"/>
  <connection id="10384" xr16:uid="{00000000-0015-0000-FFFF-FFFF0D1F0000}" name="接続6992" type="7" refreshedVersion="4"/>
  <connection id="10385" xr16:uid="{00000000-0015-0000-FFFF-FFFF0E1F0000}" name="接続6993" type="7" refreshedVersion="4"/>
  <connection id="10386" xr16:uid="{00000000-0015-0000-FFFF-FFFF0F1F0000}" name="接続6994" type="7" refreshedVersion="4"/>
  <connection id="10387" xr16:uid="{00000000-0015-0000-FFFF-FFFF101F0000}" name="接続6995" type="7" refreshedVersion="4"/>
  <connection id="10388" xr16:uid="{00000000-0015-0000-FFFF-FFFF111F0000}" name="接続6996" type="7" refreshedVersion="4"/>
  <connection id="10389" xr16:uid="{00000000-0015-0000-FFFF-FFFF121F0000}" name="接続6997" type="7" refreshedVersion="4"/>
  <connection id="10390" xr16:uid="{00000000-0015-0000-FFFF-FFFF131F0000}" name="接続6998" type="7" refreshedVersion="4"/>
  <connection id="10391" xr16:uid="{00000000-0015-0000-FFFF-FFFF141F0000}" name="接続6999" type="7" refreshedVersion="4"/>
  <connection id="10392" xr16:uid="{00000000-0015-0000-FFFF-FFFF151F0000}" name="接続7" type="7" refreshedVersion="3"/>
  <connection id="10393" xr16:uid="{00000000-0015-0000-FFFF-FFFF161F0000}" name="接続70" type="7" refreshedVersion="4"/>
  <connection id="10394" xr16:uid="{00000000-0015-0000-FFFF-FFFF171F0000}" name="接続700" type="7" refreshedVersion="4"/>
  <connection id="10395" xr16:uid="{00000000-0015-0000-FFFF-FFFF181F0000}" name="接続7000" type="7" refreshedVersion="4"/>
  <connection id="10396" xr16:uid="{00000000-0015-0000-FFFF-FFFF191F0000}" name="接続7001" type="7" refreshedVersion="4"/>
  <connection id="10397" xr16:uid="{00000000-0015-0000-FFFF-FFFF1A1F0000}" name="接続7002" type="7" refreshedVersion="4"/>
  <connection id="10398" xr16:uid="{00000000-0015-0000-FFFF-FFFF1B1F0000}" name="接続7003" type="7" refreshedVersion="4"/>
  <connection id="10399" xr16:uid="{00000000-0015-0000-FFFF-FFFF1C1F0000}" name="接続7004" type="7" refreshedVersion="4"/>
  <connection id="10400" xr16:uid="{00000000-0015-0000-FFFF-FFFF1D1F0000}" name="接続7005" type="7" refreshedVersion="4"/>
  <connection id="10401" xr16:uid="{00000000-0015-0000-FFFF-FFFF1E1F0000}" name="接続7006" type="7" refreshedVersion="4"/>
  <connection id="10402" xr16:uid="{00000000-0015-0000-FFFF-FFFF1F1F0000}" name="接続7007" type="7" refreshedVersion="4"/>
  <connection id="10403" xr16:uid="{00000000-0015-0000-FFFF-FFFF201F0000}" name="接続7008" type="7" refreshedVersion="4"/>
  <connection id="10404" xr16:uid="{00000000-0015-0000-FFFF-FFFF211F0000}" name="接続7009" type="7" refreshedVersion="4"/>
  <connection id="10405" xr16:uid="{00000000-0015-0000-FFFF-FFFF221F0000}" name="接続701" type="7" refreshedVersion="4"/>
  <connection id="10406" xr16:uid="{00000000-0015-0000-FFFF-FFFF231F0000}" name="接続7010" type="7" refreshedVersion="4"/>
  <connection id="10407" xr16:uid="{00000000-0015-0000-FFFF-FFFF241F0000}" name="接続7011" type="7" refreshedVersion="4"/>
  <connection id="10408" xr16:uid="{00000000-0015-0000-FFFF-FFFF251F0000}" name="接続7012" type="7" refreshedVersion="4"/>
  <connection id="10409" xr16:uid="{00000000-0015-0000-FFFF-FFFF261F0000}" name="接続7013" type="7" refreshedVersion="4"/>
  <connection id="10410" xr16:uid="{00000000-0015-0000-FFFF-FFFF271F0000}" name="接続7014" type="7" refreshedVersion="4"/>
  <connection id="10411" xr16:uid="{00000000-0015-0000-FFFF-FFFF281F0000}" name="接続7015" type="7" refreshedVersion="4"/>
  <connection id="10412" xr16:uid="{00000000-0015-0000-FFFF-FFFF291F0000}" name="接続7016" type="7" refreshedVersion="4"/>
  <connection id="10413" xr16:uid="{00000000-0015-0000-FFFF-FFFF2A1F0000}" name="接続7017" type="7" refreshedVersion="4"/>
  <connection id="10414" xr16:uid="{00000000-0015-0000-FFFF-FFFF2B1F0000}" name="接続7018" type="7" refreshedVersion="4"/>
  <connection id="10415" xr16:uid="{00000000-0015-0000-FFFF-FFFF2C1F0000}" name="接続7019" type="7" refreshedVersion="4"/>
  <connection id="10416" xr16:uid="{00000000-0015-0000-FFFF-FFFF2D1F0000}" name="接続702" type="7" refreshedVersion="4"/>
  <connection id="10417" xr16:uid="{00000000-0015-0000-FFFF-FFFF2E1F0000}" name="接続7020" type="7" refreshedVersion="4"/>
  <connection id="10418" xr16:uid="{00000000-0015-0000-FFFF-FFFF2F1F0000}" name="接続7021" type="7" refreshedVersion="4"/>
  <connection id="10419" xr16:uid="{00000000-0015-0000-FFFF-FFFF301F0000}" name="接続7022" type="7" refreshedVersion="4"/>
  <connection id="10420" xr16:uid="{00000000-0015-0000-FFFF-FFFF311F0000}" name="接続7023" type="7" refreshedVersion="4"/>
  <connection id="10421" xr16:uid="{00000000-0015-0000-FFFF-FFFF321F0000}" name="接続7024" type="7" refreshedVersion="4"/>
  <connection id="10422" xr16:uid="{00000000-0015-0000-FFFF-FFFF331F0000}" name="接続7025" type="7" refreshedVersion="4"/>
  <connection id="10423" xr16:uid="{00000000-0015-0000-FFFF-FFFF341F0000}" name="接続7026" type="7" refreshedVersion="4"/>
  <connection id="10424" xr16:uid="{00000000-0015-0000-FFFF-FFFF351F0000}" name="接続7027" type="7" refreshedVersion="4"/>
  <connection id="10425" xr16:uid="{00000000-0015-0000-FFFF-FFFF361F0000}" name="接続7028" type="7" refreshedVersion="4"/>
  <connection id="10426" xr16:uid="{00000000-0015-0000-FFFF-FFFF371F0000}" name="接続7029" type="7" refreshedVersion="4"/>
  <connection id="10427" xr16:uid="{00000000-0015-0000-FFFF-FFFF381F0000}" name="接続703" type="7" refreshedVersion="4"/>
  <connection id="10428" xr16:uid="{00000000-0015-0000-FFFF-FFFF391F0000}" name="接続7030" type="7" refreshedVersion="4"/>
  <connection id="10429" xr16:uid="{00000000-0015-0000-FFFF-FFFF3A1F0000}" name="接続7031" type="7" refreshedVersion="4"/>
  <connection id="10430" xr16:uid="{00000000-0015-0000-FFFF-FFFF3B1F0000}" name="接続7032" type="7" refreshedVersion="4"/>
  <connection id="10431" xr16:uid="{00000000-0015-0000-FFFF-FFFF3C1F0000}" name="接続7033" type="7" refreshedVersion="4"/>
  <connection id="10432" xr16:uid="{00000000-0015-0000-FFFF-FFFF3D1F0000}" name="接続7034" type="7" refreshedVersion="4"/>
  <connection id="10433" xr16:uid="{00000000-0015-0000-FFFF-FFFF3E1F0000}" name="接続7035" type="7" refreshedVersion="4"/>
  <connection id="10434" xr16:uid="{00000000-0015-0000-FFFF-FFFF3F1F0000}" name="接続7036" type="7" refreshedVersion="4"/>
  <connection id="10435" xr16:uid="{00000000-0015-0000-FFFF-FFFF401F0000}" name="接続7037" type="7" refreshedVersion="4"/>
  <connection id="10436" xr16:uid="{00000000-0015-0000-FFFF-FFFF411F0000}" name="接続7038" type="7" refreshedVersion="4"/>
  <connection id="10437" xr16:uid="{00000000-0015-0000-FFFF-FFFF421F0000}" name="接続7039" type="7" refreshedVersion="4"/>
  <connection id="10438" xr16:uid="{00000000-0015-0000-FFFF-FFFF431F0000}" name="接続704" type="7" refreshedVersion="4"/>
  <connection id="10439" xr16:uid="{00000000-0015-0000-FFFF-FFFF441F0000}" name="接続7040" type="7" refreshedVersion="4"/>
  <connection id="10440" xr16:uid="{00000000-0015-0000-FFFF-FFFF451F0000}" name="接続7041" type="7" refreshedVersion="4"/>
  <connection id="10441" xr16:uid="{00000000-0015-0000-FFFF-FFFF461F0000}" name="接続7042" type="7" refreshedVersion="4"/>
  <connection id="10442" xr16:uid="{00000000-0015-0000-FFFF-FFFF471F0000}" name="接続7043" type="7" refreshedVersion="4"/>
  <connection id="10443" xr16:uid="{00000000-0015-0000-FFFF-FFFF481F0000}" name="接続7044" type="7" refreshedVersion="4"/>
  <connection id="10444" xr16:uid="{00000000-0015-0000-FFFF-FFFF491F0000}" name="接続7045" type="7" refreshedVersion="4"/>
  <connection id="10445" xr16:uid="{00000000-0015-0000-FFFF-FFFF4A1F0000}" name="接続7046" type="7" refreshedVersion="4"/>
  <connection id="10446" xr16:uid="{00000000-0015-0000-FFFF-FFFF4B1F0000}" name="接続7047" type="7" refreshedVersion="4"/>
  <connection id="10447" xr16:uid="{00000000-0015-0000-FFFF-FFFF4C1F0000}" name="接続7048" type="7" refreshedVersion="4"/>
  <connection id="10448" xr16:uid="{00000000-0015-0000-FFFF-FFFF4D1F0000}" name="接続7049" type="7" refreshedVersion="4"/>
  <connection id="10449" xr16:uid="{00000000-0015-0000-FFFF-FFFF4E1F0000}" name="接続705" type="7" refreshedVersion="4"/>
  <connection id="10450" xr16:uid="{00000000-0015-0000-FFFF-FFFF4F1F0000}" name="接続7050" type="7" refreshedVersion="4"/>
  <connection id="10451" xr16:uid="{00000000-0015-0000-FFFF-FFFF501F0000}" name="接続7051" type="7" refreshedVersion="4"/>
  <connection id="10452" xr16:uid="{00000000-0015-0000-FFFF-FFFF511F0000}" name="接続7052" type="7" refreshedVersion="4"/>
  <connection id="10453" xr16:uid="{00000000-0015-0000-FFFF-FFFF521F0000}" name="接続7053" type="7" refreshedVersion="4"/>
  <connection id="10454" xr16:uid="{00000000-0015-0000-FFFF-FFFF531F0000}" name="接続7054" type="7" refreshedVersion="4"/>
  <connection id="10455" xr16:uid="{00000000-0015-0000-FFFF-FFFF541F0000}" name="接続7055" type="7" refreshedVersion="4"/>
  <connection id="10456" xr16:uid="{00000000-0015-0000-FFFF-FFFF551F0000}" name="接続7056" type="7" refreshedVersion="4"/>
  <connection id="10457" xr16:uid="{00000000-0015-0000-FFFF-FFFF561F0000}" name="接続7057" type="7" refreshedVersion="4"/>
  <connection id="10458" xr16:uid="{00000000-0015-0000-FFFF-FFFF571F0000}" name="接続7058" type="7" refreshedVersion="4"/>
  <connection id="10459" xr16:uid="{00000000-0015-0000-FFFF-FFFF581F0000}" name="接続7059" type="7" refreshedVersion="4"/>
  <connection id="10460" xr16:uid="{00000000-0015-0000-FFFF-FFFF591F0000}" name="接続706" type="7" refreshedVersion="4"/>
  <connection id="10461" xr16:uid="{00000000-0015-0000-FFFF-FFFF5A1F0000}" name="接続7060" type="7" refreshedVersion="4"/>
  <connection id="10462" xr16:uid="{00000000-0015-0000-FFFF-FFFF5B1F0000}" name="接続7061" type="7" refreshedVersion="4"/>
  <connection id="10463" xr16:uid="{00000000-0015-0000-FFFF-FFFF5C1F0000}" name="接続7062" type="7" refreshedVersion="4"/>
  <connection id="10464" xr16:uid="{00000000-0015-0000-FFFF-FFFF5D1F0000}" name="接続7063" type="7" refreshedVersion="4"/>
  <connection id="10465" xr16:uid="{00000000-0015-0000-FFFF-FFFF5E1F0000}" name="接続7064" type="7" refreshedVersion="4"/>
  <connection id="10466" xr16:uid="{00000000-0015-0000-FFFF-FFFF5F1F0000}" name="接続7065" type="7" refreshedVersion="4"/>
  <connection id="10467" xr16:uid="{00000000-0015-0000-FFFF-FFFF601F0000}" name="接続7066" type="7" refreshedVersion="4"/>
  <connection id="10468" xr16:uid="{00000000-0015-0000-FFFF-FFFF611F0000}" name="接続7067" type="7" refreshedVersion="4"/>
  <connection id="10469" xr16:uid="{00000000-0015-0000-FFFF-FFFF621F0000}" name="接続7068" type="7" refreshedVersion="4"/>
  <connection id="10470" xr16:uid="{00000000-0015-0000-FFFF-FFFF631F0000}" name="接続7069" type="7" refreshedVersion="4"/>
  <connection id="10471" xr16:uid="{00000000-0015-0000-FFFF-FFFF641F0000}" name="接続707" type="7" refreshedVersion="4"/>
  <connection id="10472" xr16:uid="{00000000-0015-0000-FFFF-FFFF651F0000}" name="接続7070" type="7" refreshedVersion="4"/>
  <connection id="10473" xr16:uid="{00000000-0015-0000-FFFF-FFFF661F0000}" name="接続7071" type="7" refreshedVersion="4"/>
  <connection id="10474" xr16:uid="{00000000-0015-0000-FFFF-FFFF671F0000}" name="接続7072" type="7" refreshedVersion="4"/>
  <connection id="10475" xr16:uid="{00000000-0015-0000-FFFF-FFFF681F0000}" name="接続7073" type="7" refreshedVersion="4"/>
  <connection id="10476" xr16:uid="{00000000-0015-0000-FFFF-FFFF691F0000}" name="接続7074" type="7" refreshedVersion="4"/>
  <connection id="10477" xr16:uid="{00000000-0015-0000-FFFF-FFFF6A1F0000}" name="接続7075" type="7" refreshedVersion="4"/>
  <connection id="10478" xr16:uid="{00000000-0015-0000-FFFF-FFFF6B1F0000}" name="接続7076" type="7" refreshedVersion="4"/>
  <connection id="10479" xr16:uid="{00000000-0015-0000-FFFF-FFFF6C1F0000}" name="接続7077" type="7" refreshedVersion="4"/>
  <connection id="10480" xr16:uid="{00000000-0015-0000-FFFF-FFFF6D1F0000}" name="接続7078" type="7" refreshedVersion="4"/>
  <connection id="10481" xr16:uid="{00000000-0015-0000-FFFF-FFFF6E1F0000}" name="接続7079" type="7" refreshedVersion="4"/>
  <connection id="10482" xr16:uid="{00000000-0015-0000-FFFF-FFFF6F1F0000}" name="接続708" type="7" refreshedVersion="4"/>
  <connection id="10483" xr16:uid="{00000000-0015-0000-FFFF-FFFF701F0000}" name="接続7080" type="7" refreshedVersion="4"/>
  <connection id="10484" xr16:uid="{00000000-0015-0000-FFFF-FFFF711F0000}" name="接続7081" type="7" refreshedVersion="4"/>
  <connection id="10485" xr16:uid="{00000000-0015-0000-FFFF-FFFF721F0000}" name="接続7082" type="7" refreshedVersion="4"/>
  <connection id="10486" xr16:uid="{00000000-0015-0000-FFFF-FFFF731F0000}" name="接続7083" type="7" refreshedVersion="4"/>
  <connection id="10487" xr16:uid="{00000000-0015-0000-FFFF-FFFF741F0000}" name="接続7084" type="7" refreshedVersion="4"/>
  <connection id="10488" xr16:uid="{00000000-0015-0000-FFFF-FFFF751F0000}" name="接続7085" type="7" refreshedVersion="4"/>
  <connection id="10489" xr16:uid="{00000000-0015-0000-FFFF-FFFF761F0000}" name="接続7086" type="7" refreshedVersion="4"/>
  <connection id="10490" xr16:uid="{00000000-0015-0000-FFFF-FFFF771F0000}" name="接続7087" type="7" refreshedVersion="4"/>
  <connection id="10491" xr16:uid="{00000000-0015-0000-FFFF-FFFF781F0000}" name="接続7088" type="7" refreshedVersion="4"/>
  <connection id="10492" xr16:uid="{00000000-0015-0000-FFFF-FFFF791F0000}" name="接続7089" type="7" refreshedVersion="4"/>
  <connection id="10493" xr16:uid="{00000000-0015-0000-FFFF-FFFF7A1F0000}" name="接続709" type="7" refreshedVersion="4"/>
  <connection id="10494" xr16:uid="{00000000-0015-0000-FFFF-FFFF7B1F0000}" name="接続7090" type="7" refreshedVersion="4"/>
  <connection id="10495" xr16:uid="{00000000-0015-0000-FFFF-FFFF7C1F0000}" name="接続7091" type="7" refreshedVersion="4"/>
  <connection id="10496" xr16:uid="{00000000-0015-0000-FFFF-FFFF7D1F0000}" name="接続7092" type="7" refreshedVersion="4"/>
  <connection id="10497" xr16:uid="{00000000-0015-0000-FFFF-FFFF7E1F0000}" name="接続7093" type="7" refreshedVersion="4"/>
  <connection id="10498" xr16:uid="{00000000-0015-0000-FFFF-FFFF7F1F0000}" name="接続7094" type="7" refreshedVersion="4"/>
  <connection id="10499" xr16:uid="{00000000-0015-0000-FFFF-FFFF801F0000}" name="接続7095" type="7" refreshedVersion="4"/>
  <connection id="10500" xr16:uid="{00000000-0015-0000-FFFF-FFFF811F0000}" name="接続7096" type="7" refreshedVersion="4"/>
  <connection id="10501" xr16:uid="{00000000-0015-0000-FFFF-FFFF821F0000}" name="接続7097" type="7" refreshedVersion="4"/>
  <connection id="10502" xr16:uid="{00000000-0015-0000-FFFF-FFFF831F0000}" name="接続7098" type="7" refreshedVersion="4"/>
  <connection id="10503" xr16:uid="{00000000-0015-0000-FFFF-FFFF841F0000}" name="接続7099" type="7" refreshedVersion="4"/>
  <connection id="10504" xr16:uid="{00000000-0015-0000-FFFF-FFFF851F0000}" name="接続71" type="7" refreshedVersion="4"/>
  <connection id="10505" xr16:uid="{00000000-0015-0000-FFFF-FFFF861F0000}" name="接続710" type="7" refreshedVersion="4"/>
  <connection id="10506" xr16:uid="{00000000-0015-0000-FFFF-FFFF871F0000}" name="接続7100" type="7" refreshedVersion="4"/>
  <connection id="10507" xr16:uid="{00000000-0015-0000-FFFF-FFFF881F0000}" name="接続7101" type="7" refreshedVersion="4"/>
  <connection id="10508" xr16:uid="{00000000-0015-0000-FFFF-FFFF891F0000}" name="接続7102" type="7" refreshedVersion="4"/>
  <connection id="10509" xr16:uid="{00000000-0015-0000-FFFF-FFFF8A1F0000}" name="接続7103" type="7" refreshedVersion="4"/>
  <connection id="10510" xr16:uid="{00000000-0015-0000-FFFF-FFFF8B1F0000}" name="接続7104" type="7" refreshedVersion="4"/>
  <connection id="10511" xr16:uid="{00000000-0015-0000-FFFF-FFFF8C1F0000}" name="接続7105" type="7" refreshedVersion="4"/>
  <connection id="10512" xr16:uid="{00000000-0015-0000-FFFF-FFFF8D1F0000}" name="接続7106" type="7" refreshedVersion="4"/>
  <connection id="10513" xr16:uid="{00000000-0015-0000-FFFF-FFFF8E1F0000}" name="接続7107" type="7" refreshedVersion="4"/>
  <connection id="10514" xr16:uid="{00000000-0015-0000-FFFF-FFFF8F1F0000}" name="接続7108" type="7" refreshedVersion="4"/>
  <connection id="10515" xr16:uid="{00000000-0015-0000-FFFF-FFFF901F0000}" name="接続7109" type="7" refreshedVersion="4"/>
  <connection id="10516" xr16:uid="{00000000-0015-0000-FFFF-FFFF911F0000}" name="接続711" type="7" refreshedVersion="4"/>
  <connection id="10517" xr16:uid="{00000000-0015-0000-FFFF-FFFF921F0000}" name="接続7110" type="7" refreshedVersion="4"/>
  <connection id="10518" xr16:uid="{00000000-0015-0000-FFFF-FFFF931F0000}" name="接続7111" type="7" refreshedVersion="4"/>
  <connection id="10519" xr16:uid="{00000000-0015-0000-FFFF-FFFF941F0000}" name="接続7112" type="7" refreshedVersion="4"/>
  <connection id="10520" xr16:uid="{00000000-0015-0000-FFFF-FFFF951F0000}" name="接続7113" type="7" refreshedVersion="4"/>
  <connection id="10521" xr16:uid="{00000000-0015-0000-FFFF-FFFF961F0000}" name="接続7114" type="7" refreshedVersion="4"/>
  <connection id="10522" xr16:uid="{00000000-0015-0000-FFFF-FFFF971F0000}" name="接続7115" type="7" refreshedVersion="4"/>
  <connection id="10523" xr16:uid="{00000000-0015-0000-FFFF-FFFF981F0000}" name="接続7116" type="7" refreshedVersion="4"/>
  <connection id="10524" xr16:uid="{00000000-0015-0000-FFFF-FFFF991F0000}" name="接続7117" type="7" refreshedVersion="4"/>
  <connection id="10525" xr16:uid="{00000000-0015-0000-FFFF-FFFF9A1F0000}" name="接続7118" type="7" refreshedVersion="4"/>
  <connection id="10526" xr16:uid="{00000000-0015-0000-FFFF-FFFF9B1F0000}" name="接続7119" type="7" refreshedVersion="4"/>
  <connection id="10527" xr16:uid="{00000000-0015-0000-FFFF-FFFF9C1F0000}" name="接続712" type="7" refreshedVersion="4"/>
  <connection id="10528" xr16:uid="{00000000-0015-0000-FFFF-FFFF9D1F0000}" name="接続7120" type="7" refreshedVersion="4"/>
  <connection id="10529" xr16:uid="{00000000-0015-0000-FFFF-FFFF9E1F0000}" name="接続7121" type="7" refreshedVersion="4"/>
  <connection id="10530" xr16:uid="{00000000-0015-0000-FFFF-FFFF9F1F0000}" name="接続7122" type="7" refreshedVersion="4"/>
  <connection id="10531" xr16:uid="{00000000-0015-0000-FFFF-FFFFA01F0000}" name="接続7123" type="7" refreshedVersion="4"/>
  <connection id="10532" xr16:uid="{00000000-0015-0000-FFFF-FFFFA11F0000}" name="接続7124" type="7" refreshedVersion="4"/>
  <connection id="10533" xr16:uid="{00000000-0015-0000-FFFF-FFFFA21F0000}" name="接続7125" type="7" refreshedVersion="4"/>
  <connection id="10534" xr16:uid="{00000000-0015-0000-FFFF-FFFFA31F0000}" name="接続7126" type="7" refreshedVersion="4"/>
  <connection id="10535" xr16:uid="{00000000-0015-0000-FFFF-FFFFA41F0000}" name="接続7127" type="7" refreshedVersion="4"/>
  <connection id="10536" xr16:uid="{00000000-0015-0000-FFFF-FFFFA51F0000}" name="接続7128" type="7" refreshedVersion="4"/>
  <connection id="10537" xr16:uid="{00000000-0015-0000-FFFF-FFFFA61F0000}" name="接続7129" type="7" refreshedVersion="4"/>
  <connection id="10538" xr16:uid="{00000000-0015-0000-FFFF-FFFFA71F0000}" name="接続713" type="7" refreshedVersion="4"/>
  <connection id="10539" xr16:uid="{00000000-0015-0000-FFFF-FFFFA81F0000}" name="接続7130" type="7" refreshedVersion="4"/>
  <connection id="10540" xr16:uid="{00000000-0015-0000-FFFF-FFFFA91F0000}" name="接続7131" type="7" refreshedVersion="4"/>
  <connection id="10541" xr16:uid="{00000000-0015-0000-FFFF-FFFFAA1F0000}" name="接続7132" type="7" refreshedVersion="4"/>
  <connection id="10542" xr16:uid="{00000000-0015-0000-FFFF-FFFFAB1F0000}" name="接続7133" type="7" refreshedVersion="4"/>
  <connection id="10543" xr16:uid="{00000000-0015-0000-FFFF-FFFFAC1F0000}" name="接続7134" type="7" refreshedVersion="4"/>
  <connection id="10544" xr16:uid="{00000000-0015-0000-FFFF-FFFFAD1F0000}" name="接続7135" type="7" refreshedVersion="4"/>
  <connection id="10545" xr16:uid="{00000000-0015-0000-FFFF-FFFFAE1F0000}" name="接続7136" type="7" refreshedVersion="4"/>
  <connection id="10546" xr16:uid="{00000000-0015-0000-FFFF-FFFFAF1F0000}" name="接続7137" type="7" refreshedVersion="4"/>
  <connection id="10547" xr16:uid="{00000000-0015-0000-FFFF-FFFFB01F0000}" name="接続7138" type="7" refreshedVersion="4"/>
  <connection id="10548" xr16:uid="{00000000-0015-0000-FFFF-FFFFB11F0000}" name="接続7139" type="7" refreshedVersion="4"/>
  <connection id="10549" xr16:uid="{00000000-0015-0000-FFFF-FFFFB21F0000}" name="接続714" type="7" refreshedVersion="4"/>
  <connection id="10550" xr16:uid="{00000000-0015-0000-FFFF-FFFFB31F0000}" name="接続7140" type="7" refreshedVersion="4"/>
  <connection id="10551" xr16:uid="{00000000-0015-0000-FFFF-FFFFB41F0000}" name="接続7141" type="7" refreshedVersion="4"/>
  <connection id="10552" xr16:uid="{00000000-0015-0000-FFFF-FFFFB51F0000}" name="接続7142" type="7" refreshedVersion="4"/>
  <connection id="10553" xr16:uid="{00000000-0015-0000-FFFF-FFFFB61F0000}" name="接続7143" type="7" refreshedVersion="4"/>
  <connection id="10554" xr16:uid="{00000000-0015-0000-FFFF-FFFFB71F0000}" name="接続7144" type="7" refreshedVersion="4"/>
  <connection id="10555" xr16:uid="{00000000-0015-0000-FFFF-FFFFB81F0000}" name="接続7145" type="7" refreshedVersion="4"/>
  <connection id="10556" xr16:uid="{00000000-0015-0000-FFFF-FFFFB91F0000}" name="接続7146" type="7" refreshedVersion="4"/>
  <connection id="10557" xr16:uid="{00000000-0015-0000-FFFF-FFFFBA1F0000}" name="接続7147" type="7" refreshedVersion="4"/>
  <connection id="10558" xr16:uid="{00000000-0015-0000-FFFF-FFFFBB1F0000}" name="接続7148" type="7" refreshedVersion="4"/>
  <connection id="10559" xr16:uid="{00000000-0015-0000-FFFF-FFFFBC1F0000}" name="接続7149" type="7" refreshedVersion="4"/>
  <connection id="10560" xr16:uid="{00000000-0015-0000-FFFF-FFFFBD1F0000}" name="接続715" type="7" refreshedVersion="4"/>
  <connection id="10561" xr16:uid="{00000000-0015-0000-FFFF-FFFFBE1F0000}" name="接続7150" type="7" refreshedVersion="4"/>
  <connection id="10562" xr16:uid="{00000000-0015-0000-FFFF-FFFFBF1F0000}" name="接続7151" type="7" refreshedVersion="4"/>
  <connection id="10563" xr16:uid="{00000000-0015-0000-FFFF-FFFFC01F0000}" name="接続7152" type="7" refreshedVersion="4"/>
  <connection id="10564" xr16:uid="{00000000-0015-0000-FFFF-FFFFC11F0000}" name="接続7153" type="7" refreshedVersion="4"/>
  <connection id="10565" xr16:uid="{00000000-0015-0000-FFFF-FFFFC21F0000}" name="接続7154" type="7" refreshedVersion="4"/>
  <connection id="10566" xr16:uid="{00000000-0015-0000-FFFF-FFFFC31F0000}" name="接続7155" type="7" refreshedVersion="4"/>
  <connection id="10567" xr16:uid="{00000000-0015-0000-FFFF-FFFFC41F0000}" name="接続7156" type="7" refreshedVersion="4"/>
  <connection id="10568" xr16:uid="{00000000-0015-0000-FFFF-FFFFC51F0000}" name="接続7157" type="7" refreshedVersion="4"/>
  <connection id="10569" xr16:uid="{00000000-0015-0000-FFFF-FFFFC61F0000}" name="接続7158" type="7" refreshedVersion="4"/>
  <connection id="10570" xr16:uid="{00000000-0015-0000-FFFF-FFFFC71F0000}" name="接続7159" type="7" refreshedVersion="4"/>
  <connection id="10571" xr16:uid="{00000000-0015-0000-FFFF-FFFFC81F0000}" name="接続716" type="7" refreshedVersion="4"/>
  <connection id="10572" xr16:uid="{00000000-0015-0000-FFFF-FFFFC91F0000}" name="接続7160" type="7" refreshedVersion="4"/>
  <connection id="10573" xr16:uid="{00000000-0015-0000-FFFF-FFFFCA1F0000}" name="接続7161" type="7" refreshedVersion="4"/>
  <connection id="10574" xr16:uid="{00000000-0015-0000-FFFF-FFFFCB1F0000}" name="接続7162" type="7" refreshedVersion="4"/>
  <connection id="10575" xr16:uid="{00000000-0015-0000-FFFF-FFFFCC1F0000}" name="接続7163" type="7" refreshedVersion="4"/>
  <connection id="10576" xr16:uid="{00000000-0015-0000-FFFF-FFFFCD1F0000}" name="接続7164" type="7" refreshedVersion="4"/>
  <connection id="10577" xr16:uid="{00000000-0015-0000-FFFF-FFFFCE1F0000}" name="接続7165" type="7" refreshedVersion="4"/>
  <connection id="10578" xr16:uid="{00000000-0015-0000-FFFF-FFFFCF1F0000}" name="接続7166" type="7" refreshedVersion="4"/>
  <connection id="10579" xr16:uid="{00000000-0015-0000-FFFF-FFFFD01F0000}" name="接続7167" type="7" refreshedVersion="4"/>
  <connection id="10580" xr16:uid="{00000000-0015-0000-FFFF-FFFFD11F0000}" name="接続7168" type="7" refreshedVersion="4"/>
  <connection id="10581" xr16:uid="{00000000-0015-0000-FFFF-FFFFD21F0000}" name="接続7169" type="7" refreshedVersion="4"/>
  <connection id="10582" xr16:uid="{00000000-0015-0000-FFFF-FFFFD31F0000}" name="接続717" type="7" refreshedVersion="4"/>
  <connection id="10583" xr16:uid="{00000000-0015-0000-FFFF-FFFFD41F0000}" name="接続7170" type="7" refreshedVersion="4"/>
  <connection id="10584" xr16:uid="{00000000-0015-0000-FFFF-FFFFD51F0000}" name="接続7171" type="7" refreshedVersion="4"/>
  <connection id="10585" xr16:uid="{00000000-0015-0000-FFFF-FFFFD61F0000}" name="接続7172" type="7" refreshedVersion="4"/>
  <connection id="10586" xr16:uid="{00000000-0015-0000-FFFF-FFFFD71F0000}" name="接続7173" type="7" refreshedVersion="4"/>
  <connection id="10587" xr16:uid="{00000000-0015-0000-FFFF-FFFFD81F0000}" name="接続7174" type="7" refreshedVersion="4"/>
  <connection id="10588" xr16:uid="{00000000-0015-0000-FFFF-FFFFD91F0000}" name="接続7175" type="7" refreshedVersion="4"/>
  <connection id="10589" xr16:uid="{00000000-0015-0000-FFFF-FFFFDA1F0000}" name="接続7176" type="7" refreshedVersion="4"/>
  <connection id="10590" xr16:uid="{00000000-0015-0000-FFFF-FFFFDB1F0000}" name="接続7177" type="7" refreshedVersion="4"/>
  <connection id="10591" xr16:uid="{00000000-0015-0000-FFFF-FFFFDC1F0000}" name="接続7178" type="7" refreshedVersion="4"/>
  <connection id="10592" xr16:uid="{00000000-0015-0000-FFFF-FFFFDD1F0000}" name="接続7179" type="7" refreshedVersion="4"/>
  <connection id="10593" xr16:uid="{00000000-0015-0000-FFFF-FFFFDE1F0000}" name="接続718" type="7" refreshedVersion="4"/>
  <connection id="10594" xr16:uid="{00000000-0015-0000-FFFF-FFFFDF1F0000}" name="接続7180" type="7" refreshedVersion="4"/>
  <connection id="10595" xr16:uid="{00000000-0015-0000-FFFF-FFFFE01F0000}" name="接続7181" type="7" refreshedVersion="4"/>
  <connection id="10596" xr16:uid="{00000000-0015-0000-FFFF-FFFFE11F0000}" name="接続7182" type="7" refreshedVersion="4"/>
  <connection id="10597" xr16:uid="{00000000-0015-0000-FFFF-FFFFE21F0000}" name="接続7183" type="7" refreshedVersion="4"/>
  <connection id="10598" xr16:uid="{00000000-0015-0000-FFFF-FFFFE31F0000}" name="接続7184" type="7" refreshedVersion="4"/>
  <connection id="10599" xr16:uid="{00000000-0015-0000-FFFF-FFFFE41F0000}" name="接続7185" type="7" refreshedVersion="4"/>
  <connection id="10600" xr16:uid="{00000000-0015-0000-FFFF-FFFFE51F0000}" name="接続7186" type="7" refreshedVersion="4"/>
  <connection id="10601" xr16:uid="{00000000-0015-0000-FFFF-FFFFE61F0000}" name="接続7187" type="7" refreshedVersion="4"/>
  <connection id="10602" xr16:uid="{00000000-0015-0000-FFFF-FFFFE71F0000}" name="接続7188" type="7" refreshedVersion="4"/>
  <connection id="10603" xr16:uid="{00000000-0015-0000-FFFF-FFFFE81F0000}" name="接続7189" type="7" refreshedVersion="4"/>
  <connection id="10604" xr16:uid="{00000000-0015-0000-FFFF-FFFFE91F0000}" name="接続719" type="7" refreshedVersion="4"/>
  <connection id="10605" xr16:uid="{00000000-0015-0000-FFFF-FFFFEA1F0000}" name="接続7190" type="7" refreshedVersion="4"/>
  <connection id="10606" xr16:uid="{00000000-0015-0000-FFFF-FFFFEB1F0000}" name="接続7191" type="7" refreshedVersion="4"/>
  <connection id="10607" xr16:uid="{00000000-0015-0000-FFFF-FFFFEC1F0000}" name="接続7192" type="7" refreshedVersion="4"/>
  <connection id="10608" xr16:uid="{00000000-0015-0000-FFFF-FFFFED1F0000}" name="接続7193" type="7" refreshedVersion="4"/>
  <connection id="10609" xr16:uid="{00000000-0015-0000-FFFF-FFFFEE1F0000}" name="接続7194" type="7" refreshedVersion="4"/>
  <connection id="10610" xr16:uid="{00000000-0015-0000-FFFF-FFFFEF1F0000}" name="接続7195" type="7" refreshedVersion="4"/>
  <connection id="10611" xr16:uid="{00000000-0015-0000-FFFF-FFFFF01F0000}" name="接続7196" type="7" refreshedVersion="4"/>
  <connection id="10612" xr16:uid="{00000000-0015-0000-FFFF-FFFFF11F0000}" name="接続7197" type="7" refreshedVersion="4"/>
  <connection id="10613" xr16:uid="{00000000-0015-0000-FFFF-FFFFF21F0000}" name="接続7198" type="7" refreshedVersion="4"/>
  <connection id="10614" xr16:uid="{00000000-0015-0000-FFFF-FFFFF31F0000}" name="接続7199" type="7" refreshedVersion="4"/>
  <connection id="10615" xr16:uid="{00000000-0015-0000-FFFF-FFFFF41F0000}" name="接続72" type="7" refreshedVersion="4"/>
  <connection id="10616" xr16:uid="{00000000-0015-0000-FFFF-FFFFF51F0000}" name="接続720" type="7" refreshedVersion="4"/>
  <connection id="10617" xr16:uid="{00000000-0015-0000-FFFF-FFFFF61F0000}" name="接続7200" type="7" refreshedVersion="4"/>
  <connection id="10618" xr16:uid="{00000000-0015-0000-FFFF-FFFFF71F0000}" name="接続7201" type="7" refreshedVersion="4"/>
  <connection id="10619" xr16:uid="{00000000-0015-0000-FFFF-FFFFF81F0000}" name="接続7202" type="7" refreshedVersion="4"/>
  <connection id="10620" xr16:uid="{00000000-0015-0000-FFFF-FFFFF91F0000}" name="接続7203" type="7" refreshedVersion="4"/>
  <connection id="10621" xr16:uid="{00000000-0015-0000-FFFF-FFFFFA1F0000}" name="接続7204" type="7" refreshedVersion="4"/>
  <connection id="10622" xr16:uid="{00000000-0015-0000-FFFF-FFFFFB1F0000}" name="接続7205" type="7" refreshedVersion="4"/>
  <connection id="10623" xr16:uid="{00000000-0015-0000-FFFF-FFFFFC1F0000}" name="接続7206" type="7" refreshedVersion="4"/>
  <connection id="10624" xr16:uid="{00000000-0015-0000-FFFF-FFFFFD1F0000}" name="接続7207" type="7" refreshedVersion="4"/>
  <connection id="10625" xr16:uid="{00000000-0015-0000-FFFF-FFFFFE1F0000}" name="接続7208" type="7" refreshedVersion="4"/>
  <connection id="10626" xr16:uid="{00000000-0015-0000-FFFF-FFFFFF1F0000}" name="接続7209" type="7" refreshedVersion="4"/>
  <connection id="10627" xr16:uid="{00000000-0015-0000-FFFF-FFFF00200000}" name="接続721" type="7" refreshedVersion="4"/>
  <connection id="10628" xr16:uid="{00000000-0015-0000-FFFF-FFFF01200000}" name="接続7210" type="7" refreshedVersion="4"/>
  <connection id="10629" xr16:uid="{00000000-0015-0000-FFFF-FFFF02200000}" name="接続7211" type="7" refreshedVersion="4"/>
  <connection id="10630" xr16:uid="{00000000-0015-0000-FFFF-FFFF03200000}" name="接続7212" type="7" refreshedVersion="4"/>
  <connection id="10631" xr16:uid="{00000000-0015-0000-FFFF-FFFF04200000}" name="接続7213" type="7" refreshedVersion="4"/>
  <connection id="10632" xr16:uid="{00000000-0015-0000-FFFF-FFFF05200000}" name="接続7214" type="7" refreshedVersion="4"/>
  <connection id="10633" xr16:uid="{00000000-0015-0000-FFFF-FFFF06200000}" name="接続7215" type="7" refreshedVersion="4"/>
  <connection id="10634" xr16:uid="{00000000-0015-0000-FFFF-FFFF07200000}" name="接続7216" type="7" refreshedVersion="4"/>
  <connection id="10635" xr16:uid="{00000000-0015-0000-FFFF-FFFF08200000}" name="接続7217" type="7" refreshedVersion="4"/>
  <connection id="10636" xr16:uid="{00000000-0015-0000-FFFF-FFFF09200000}" name="接続7218" type="7" refreshedVersion="4"/>
  <connection id="10637" xr16:uid="{00000000-0015-0000-FFFF-FFFF0A200000}" name="接続7219" type="7" refreshedVersion="4"/>
  <connection id="10638" xr16:uid="{00000000-0015-0000-FFFF-FFFF0B200000}" name="接続722" type="7" refreshedVersion="4"/>
  <connection id="10639" xr16:uid="{00000000-0015-0000-FFFF-FFFF0C200000}" name="接続7220" type="7" refreshedVersion="4"/>
  <connection id="10640" xr16:uid="{00000000-0015-0000-FFFF-FFFF0D200000}" name="接続7221" type="7" refreshedVersion="4"/>
  <connection id="10641" xr16:uid="{00000000-0015-0000-FFFF-FFFF0E200000}" name="接続7222" type="7" refreshedVersion="4"/>
  <connection id="10642" xr16:uid="{00000000-0015-0000-FFFF-FFFF0F200000}" name="接続7223" type="7" refreshedVersion="4"/>
  <connection id="10643" xr16:uid="{00000000-0015-0000-FFFF-FFFF10200000}" name="接続7224" type="7" refreshedVersion="4"/>
  <connection id="10644" xr16:uid="{00000000-0015-0000-FFFF-FFFF11200000}" name="接続7225" type="7" refreshedVersion="4"/>
  <connection id="10645" xr16:uid="{00000000-0015-0000-FFFF-FFFF12200000}" name="接続7226" type="7" refreshedVersion="4"/>
  <connection id="10646" xr16:uid="{00000000-0015-0000-FFFF-FFFF13200000}" name="接続7227" type="7" refreshedVersion="4"/>
  <connection id="10647" xr16:uid="{00000000-0015-0000-FFFF-FFFF14200000}" name="接続7228" type="7" refreshedVersion="4"/>
  <connection id="10648" xr16:uid="{00000000-0015-0000-FFFF-FFFF15200000}" name="接続7229" type="7" refreshedVersion="4"/>
  <connection id="10649" xr16:uid="{00000000-0015-0000-FFFF-FFFF16200000}" name="接続723" type="7" refreshedVersion="4"/>
  <connection id="10650" xr16:uid="{00000000-0015-0000-FFFF-FFFF17200000}" name="接続7230" type="7" refreshedVersion="4"/>
  <connection id="10651" xr16:uid="{00000000-0015-0000-FFFF-FFFF18200000}" name="接続7231" type="7" refreshedVersion="4"/>
  <connection id="10652" xr16:uid="{00000000-0015-0000-FFFF-FFFF19200000}" name="接続7232" type="7" refreshedVersion="4"/>
  <connection id="10653" xr16:uid="{00000000-0015-0000-FFFF-FFFF1A200000}" name="接続7233" type="7" refreshedVersion="4"/>
  <connection id="10654" xr16:uid="{00000000-0015-0000-FFFF-FFFF1B200000}" name="接続7234" type="7" refreshedVersion="4"/>
  <connection id="10655" xr16:uid="{00000000-0015-0000-FFFF-FFFF1C200000}" name="接続7235" type="7" refreshedVersion="4"/>
  <connection id="10656" xr16:uid="{00000000-0015-0000-FFFF-FFFF1D200000}" name="接続7236" type="7" refreshedVersion="4"/>
  <connection id="10657" xr16:uid="{00000000-0015-0000-FFFF-FFFF1E200000}" name="接続7237" type="7" refreshedVersion="4"/>
  <connection id="10658" xr16:uid="{00000000-0015-0000-FFFF-FFFF1F200000}" name="接続7238" type="7" refreshedVersion="4"/>
  <connection id="10659" xr16:uid="{00000000-0015-0000-FFFF-FFFF20200000}" name="接続7239" type="7" refreshedVersion="4"/>
  <connection id="10660" xr16:uid="{00000000-0015-0000-FFFF-FFFF21200000}" name="接続724" type="7" refreshedVersion="4"/>
  <connection id="10661" xr16:uid="{00000000-0015-0000-FFFF-FFFF22200000}" name="接続7240" type="7" refreshedVersion="4"/>
  <connection id="10662" xr16:uid="{00000000-0015-0000-FFFF-FFFF23200000}" name="接続7241" type="7" refreshedVersion="4"/>
  <connection id="10663" xr16:uid="{00000000-0015-0000-FFFF-FFFF24200000}" name="接続7242" type="7" refreshedVersion="4"/>
  <connection id="10664" xr16:uid="{00000000-0015-0000-FFFF-FFFF25200000}" name="接続7243" type="7" refreshedVersion="4"/>
  <connection id="10665" xr16:uid="{00000000-0015-0000-FFFF-FFFF26200000}" name="接続7244" type="7" refreshedVersion="4"/>
  <connection id="10666" xr16:uid="{00000000-0015-0000-FFFF-FFFF27200000}" name="接続7245" type="7" refreshedVersion="4"/>
  <connection id="10667" xr16:uid="{00000000-0015-0000-FFFF-FFFF28200000}" name="接続7246" type="7" refreshedVersion="4"/>
  <connection id="10668" xr16:uid="{00000000-0015-0000-FFFF-FFFF29200000}" name="接続7247" type="7" refreshedVersion="4"/>
  <connection id="10669" xr16:uid="{00000000-0015-0000-FFFF-FFFF2A200000}" name="接続7248" type="7" refreshedVersion="4"/>
  <connection id="10670" xr16:uid="{00000000-0015-0000-FFFF-FFFF2B200000}" name="接続7249" type="7" refreshedVersion="4"/>
  <connection id="10671" xr16:uid="{00000000-0015-0000-FFFF-FFFF2C200000}" name="接続725" type="7" refreshedVersion="4"/>
  <connection id="10672" xr16:uid="{00000000-0015-0000-FFFF-FFFF2D200000}" name="接続7250" type="7" refreshedVersion="4"/>
  <connection id="10673" xr16:uid="{00000000-0015-0000-FFFF-FFFF2E200000}" name="接続7251" type="7" refreshedVersion="4"/>
  <connection id="10674" xr16:uid="{00000000-0015-0000-FFFF-FFFF2F200000}" name="接続7252" type="7" refreshedVersion="4"/>
  <connection id="10675" xr16:uid="{00000000-0015-0000-FFFF-FFFF30200000}" name="接続7253" type="7" refreshedVersion="4"/>
  <connection id="10676" xr16:uid="{00000000-0015-0000-FFFF-FFFF31200000}" name="接続7254" type="7" refreshedVersion="4"/>
  <connection id="10677" xr16:uid="{00000000-0015-0000-FFFF-FFFF32200000}" name="接続7255" type="7" refreshedVersion="4"/>
  <connection id="10678" xr16:uid="{00000000-0015-0000-FFFF-FFFF33200000}" name="接続7256" type="7" refreshedVersion="4"/>
  <connection id="10679" xr16:uid="{00000000-0015-0000-FFFF-FFFF34200000}" name="接続7257" type="7" refreshedVersion="4"/>
  <connection id="10680" xr16:uid="{00000000-0015-0000-FFFF-FFFF35200000}" name="接続7258" type="7" refreshedVersion="4"/>
  <connection id="10681" xr16:uid="{00000000-0015-0000-FFFF-FFFF36200000}" name="接続7259" type="7" refreshedVersion="4"/>
  <connection id="10682" xr16:uid="{00000000-0015-0000-FFFF-FFFF37200000}" name="接続726" type="7" refreshedVersion="4"/>
  <connection id="10683" xr16:uid="{00000000-0015-0000-FFFF-FFFF38200000}" name="接続7260" type="7" refreshedVersion="4"/>
  <connection id="10684" xr16:uid="{00000000-0015-0000-FFFF-FFFF39200000}" name="接続7261" type="7" refreshedVersion="4"/>
  <connection id="10685" xr16:uid="{00000000-0015-0000-FFFF-FFFF3A200000}" name="接続7262" type="7" refreshedVersion="4"/>
  <connection id="10686" xr16:uid="{00000000-0015-0000-FFFF-FFFF3B200000}" name="接続7263" type="7" refreshedVersion="4"/>
  <connection id="10687" xr16:uid="{00000000-0015-0000-FFFF-FFFF3C200000}" name="接続7264" type="7" refreshedVersion="4"/>
  <connection id="10688" xr16:uid="{00000000-0015-0000-FFFF-FFFF3D200000}" name="接続7265" type="7" refreshedVersion="4"/>
  <connection id="10689" xr16:uid="{00000000-0015-0000-FFFF-FFFF3E200000}" name="接続7266" type="7" refreshedVersion="4"/>
  <connection id="10690" xr16:uid="{00000000-0015-0000-FFFF-FFFF3F200000}" name="接続7267" type="7" refreshedVersion="4"/>
  <connection id="10691" xr16:uid="{00000000-0015-0000-FFFF-FFFF40200000}" name="接続7268" type="7" refreshedVersion="4"/>
  <connection id="10692" xr16:uid="{00000000-0015-0000-FFFF-FFFF41200000}" name="接続7269" type="7" refreshedVersion="4"/>
  <connection id="10693" xr16:uid="{00000000-0015-0000-FFFF-FFFF42200000}" name="接続727" type="7" refreshedVersion="4"/>
  <connection id="10694" xr16:uid="{00000000-0015-0000-FFFF-FFFF43200000}" name="接続7270" type="7" refreshedVersion="4"/>
  <connection id="10695" xr16:uid="{00000000-0015-0000-FFFF-FFFF44200000}" name="接続7271" type="7" refreshedVersion="4"/>
  <connection id="10696" xr16:uid="{00000000-0015-0000-FFFF-FFFF45200000}" name="接続7272" type="7" refreshedVersion="4"/>
  <connection id="10697" xr16:uid="{00000000-0015-0000-FFFF-FFFF46200000}" name="接続7273" type="7" refreshedVersion="4"/>
  <connection id="10698" xr16:uid="{00000000-0015-0000-FFFF-FFFF47200000}" name="接続7274" type="7" refreshedVersion="4"/>
  <connection id="10699" xr16:uid="{00000000-0015-0000-FFFF-FFFF48200000}" name="接続7275" type="7" refreshedVersion="4"/>
  <connection id="10700" xr16:uid="{00000000-0015-0000-FFFF-FFFF49200000}" name="接続7276" type="7" refreshedVersion="4"/>
  <connection id="10701" xr16:uid="{00000000-0015-0000-FFFF-FFFF4A200000}" name="接続7277" type="7" refreshedVersion="4"/>
  <connection id="10702" xr16:uid="{00000000-0015-0000-FFFF-FFFF4B200000}" name="接続7278" type="7" refreshedVersion="4"/>
  <connection id="10703" xr16:uid="{00000000-0015-0000-FFFF-FFFF4C200000}" name="接続7279" type="7" refreshedVersion="4"/>
  <connection id="10704" xr16:uid="{00000000-0015-0000-FFFF-FFFF4D200000}" name="接続728" type="7" refreshedVersion="4"/>
  <connection id="10705" xr16:uid="{00000000-0015-0000-FFFF-FFFF4E200000}" name="接続7280" type="7" refreshedVersion="4"/>
  <connection id="10706" xr16:uid="{00000000-0015-0000-FFFF-FFFF4F200000}" name="接続7281" type="7" refreshedVersion="4"/>
  <connection id="10707" xr16:uid="{00000000-0015-0000-FFFF-FFFF50200000}" name="接続7282" type="7" refreshedVersion="4"/>
  <connection id="10708" xr16:uid="{00000000-0015-0000-FFFF-FFFF51200000}" name="接続7283" type="7" refreshedVersion="4"/>
  <connection id="10709" xr16:uid="{00000000-0015-0000-FFFF-FFFF52200000}" name="接続7284" type="7" refreshedVersion="4"/>
  <connection id="10710" xr16:uid="{00000000-0015-0000-FFFF-FFFF53200000}" name="接続7285" type="7" refreshedVersion="4"/>
  <connection id="10711" xr16:uid="{00000000-0015-0000-FFFF-FFFF54200000}" name="接続7286" type="7" refreshedVersion="4"/>
  <connection id="10712" xr16:uid="{00000000-0015-0000-FFFF-FFFF55200000}" name="接続7287" type="7" refreshedVersion="4"/>
  <connection id="10713" xr16:uid="{00000000-0015-0000-FFFF-FFFF56200000}" name="接続7288" type="7" refreshedVersion="4"/>
  <connection id="10714" xr16:uid="{00000000-0015-0000-FFFF-FFFF57200000}" name="接続7289" type="7" refreshedVersion="4"/>
  <connection id="10715" xr16:uid="{00000000-0015-0000-FFFF-FFFF58200000}" name="接続729" type="7" refreshedVersion="4"/>
  <connection id="10716" xr16:uid="{00000000-0015-0000-FFFF-FFFF59200000}" name="接続7290" type="7" refreshedVersion="4"/>
  <connection id="10717" xr16:uid="{00000000-0015-0000-FFFF-FFFF5A200000}" name="接続7291" type="7" refreshedVersion="4"/>
  <connection id="10718" xr16:uid="{00000000-0015-0000-FFFF-FFFF5B200000}" name="接続7292" type="7" refreshedVersion="4"/>
  <connection id="10719" xr16:uid="{00000000-0015-0000-FFFF-FFFF5C200000}" name="接続7293" type="7" refreshedVersion="4"/>
  <connection id="10720" xr16:uid="{00000000-0015-0000-FFFF-FFFF5D200000}" name="接続7294" type="7" refreshedVersion="4"/>
  <connection id="10721" xr16:uid="{00000000-0015-0000-FFFF-FFFF5E200000}" name="接続7295" type="7" refreshedVersion="4"/>
  <connection id="10722" xr16:uid="{00000000-0015-0000-FFFF-FFFF5F200000}" name="接続7296" type="7" refreshedVersion="4"/>
  <connection id="10723" xr16:uid="{00000000-0015-0000-FFFF-FFFF60200000}" name="接続7297" type="7" refreshedVersion="4"/>
  <connection id="10724" xr16:uid="{00000000-0015-0000-FFFF-FFFF61200000}" name="接続7298" type="7" refreshedVersion="4"/>
  <connection id="10725" xr16:uid="{00000000-0015-0000-FFFF-FFFF62200000}" name="接続7299" type="7" refreshedVersion="4"/>
  <connection id="10726" xr16:uid="{00000000-0015-0000-FFFF-FFFF63200000}" name="接続73" type="7" refreshedVersion="4"/>
  <connection id="10727" xr16:uid="{00000000-0015-0000-FFFF-FFFF64200000}" name="接続730" type="7" refreshedVersion="4"/>
  <connection id="10728" xr16:uid="{00000000-0015-0000-FFFF-FFFF65200000}" name="接続7300" type="7" refreshedVersion="4"/>
  <connection id="10729" xr16:uid="{00000000-0015-0000-FFFF-FFFF66200000}" name="接続7301" type="7" refreshedVersion="4"/>
  <connection id="10730" xr16:uid="{00000000-0015-0000-FFFF-FFFF67200000}" name="接続7302" type="7" refreshedVersion="4"/>
  <connection id="10731" xr16:uid="{00000000-0015-0000-FFFF-FFFF68200000}" name="接続7303" type="7" refreshedVersion="4"/>
  <connection id="10732" xr16:uid="{00000000-0015-0000-FFFF-FFFF69200000}" name="接続7304" type="7" refreshedVersion="4"/>
  <connection id="10733" xr16:uid="{00000000-0015-0000-FFFF-FFFF6A200000}" name="接続7305" type="7" refreshedVersion="4"/>
  <connection id="10734" xr16:uid="{00000000-0015-0000-FFFF-FFFF6B200000}" name="接続7306" type="7" refreshedVersion="4"/>
  <connection id="10735" xr16:uid="{00000000-0015-0000-FFFF-FFFF6C200000}" name="接続7307" type="7" refreshedVersion="4"/>
  <connection id="10736" xr16:uid="{00000000-0015-0000-FFFF-FFFF6D200000}" name="接続7308" type="7" refreshedVersion="4"/>
  <connection id="10737" xr16:uid="{00000000-0015-0000-FFFF-FFFF6E200000}" name="接続7309" type="7" refreshedVersion="4"/>
  <connection id="10738" xr16:uid="{00000000-0015-0000-FFFF-FFFF6F200000}" name="接続731" type="7" refreshedVersion="4"/>
  <connection id="10739" xr16:uid="{00000000-0015-0000-FFFF-FFFF70200000}" name="接続7310" type="7" refreshedVersion="4"/>
  <connection id="10740" xr16:uid="{00000000-0015-0000-FFFF-FFFF71200000}" name="接続7311" type="7" refreshedVersion="4"/>
  <connection id="10741" xr16:uid="{00000000-0015-0000-FFFF-FFFF72200000}" name="接続7312" type="7" refreshedVersion="4"/>
  <connection id="10742" xr16:uid="{00000000-0015-0000-FFFF-FFFF73200000}" name="接続7313" type="7" refreshedVersion="4"/>
  <connection id="10743" xr16:uid="{00000000-0015-0000-FFFF-FFFF74200000}" name="接続7314" type="7" refreshedVersion="4"/>
  <connection id="10744" xr16:uid="{00000000-0015-0000-FFFF-FFFF75200000}" name="接続7315" type="7" refreshedVersion="4"/>
  <connection id="10745" xr16:uid="{00000000-0015-0000-FFFF-FFFF76200000}" name="接続7316" type="7" refreshedVersion="4"/>
  <connection id="10746" xr16:uid="{00000000-0015-0000-FFFF-FFFF77200000}" name="接続7317" type="7" refreshedVersion="4"/>
  <connection id="10747" xr16:uid="{00000000-0015-0000-FFFF-FFFF78200000}" name="接続7318" type="7" refreshedVersion="4"/>
  <connection id="10748" xr16:uid="{00000000-0015-0000-FFFF-FFFF79200000}" name="接続7319" type="7" refreshedVersion="4"/>
  <connection id="10749" xr16:uid="{00000000-0015-0000-FFFF-FFFF7A200000}" name="接続732" type="7" refreshedVersion="4"/>
  <connection id="10750" xr16:uid="{00000000-0015-0000-FFFF-FFFF7B200000}" name="接続7320" type="7" refreshedVersion="4"/>
  <connection id="10751" xr16:uid="{00000000-0015-0000-FFFF-FFFF7C200000}" name="接続7321" type="7" refreshedVersion="4"/>
  <connection id="10752" xr16:uid="{00000000-0015-0000-FFFF-FFFF7D200000}" name="接続7322" type="7" refreshedVersion="4"/>
  <connection id="10753" xr16:uid="{00000000-0015-0000-FFFF-FFFF7E200000}" name="接続7323" type="7" refreshedVersion="4"/>
  <connection id="10754" xr16:uid="{00000000-0015-0000-FFFF-FFFF7F200000}" name="接続7324" type="7" refreshedVersion="4"/>
  <connection id="10755" xr16:uid="{00000000-0015-0000-FFFF-FFFF80200000}" name="接続7325" type="7" refreshedVersion="4"/>
  <connection id="10756" xr16:uid="{00000000-0015-0000-FFFF-FFFF81200000}" name="接続7326" type="7" refreshedVersion="4"/>
  <connection id="10757" xr16:uid="{00000000-0015-0000-FFFF-FFFF82200000}" name="接続7327" type="7" refreshedVersion="4"/>
  <connection id="10758" xr16:uid="{00000000-0015-0000-FFFF-FFFF83200000}" name="接続7328" type="7" refreshedVersion="4"/>
  <connection id="10759" xr16:uid="{00000000-0015-0000-FFFF-FFFF84200000}" name="接続7329" type="7" refreshedVersion="4"/>
  <connection id="10760" xr16:uid="{00000000-0015-0000-FFFF-FFFF85200000}" name="接続733" type="7" refreshedVersion="4"/>
  <connection id="10761" xr16:uid="{00000000-0015-0000-FFFF-FFFF86200000}" name="接続7330" type="7" refreshedVersion="4"/>
  <connection id="10762" xr16:uid="{00000000-0015-0000-FFFF-FFFF87200000}" name="接続7331" type="7" refreshedVersion="4"/>
  <connection id="10763" xr16:uid="{00000000-0015-0000-FFFF-FFFF88200000}" name="接続7332" type="7" refreshedVersion="4"/>
  <connection id="10764" xr16:uid="{00000000-0015-0000-FFFF-FFFF89200000}" name="接続7333" type="7" refreshedVersion="4"/>
  <connection id="10765" xr16:uid="{00000000-0015-0000-FFFF-FFFF8A200000}" name="接続7334" type="7" refreshedVersion="4"/>
  <connection id="10766" xr16:uid="{00000000-0015-0000-FFFF-FFFF8B200000}" name="接続7335" type="7" refreshedVersion="4"/>
  <connection id="10767" xr16:uid="{00000000-0015-0000-FFFF-FFFF8C200000}" name="接続7336" type="7" refreshedVersion="4"/>
  <connection id="10768" xr16:uid="{00000000-0015-0000-FFFF-FFFF8D200000}" name="接続7337" type="7" refreshedVersion="4"/>
  <connection id="10769" xr16:uid="{00000000-0015-0000-FFFF-FFFF8E200000}" name="接続7338" type="7" refreshedVersion="4"/>
  <connection id="10770" xr16:uid="{00000000-0015-0000-FFFF-FFFF8F200000}" name="接続7339" type="7" refreshedVersion="4"/>
  <connection id="10771" xr16:uid="{00000000-0015-0000-FFFF-FFFF90200000}" name="接続734" type="7" refreshedVersion="4"/>
  <connection id="10772" xr16:uid="{00000000-0015-0000-FFFF-FFFF91200000}" name="接続7340" type="7" refreshedVersion="4"/>
  <connection id="10773" xr16:uid="{00000000-0015-0000-FFFF-FFFF92200000}" name="接続7341" type="7" refreshedVersion="4"/>
  <connection id="10774" xr16:uid="{00000000-0015-0000-FFFF-FFFF93200000}" name="接続7342" type="7" refreshedVersion="4"/>
  <connection id="10775" xr16:uid="{00000000-0015-0000-FFFF-FFFF94200000}" name="接続7343" type="7" refreshedVersion="4"/>
  <connection id="10776" xr16:uid="{00000000-0015-0000-FFFF-FFFF95200000}" name="接続7344" type="7" refreshedVersion="4"/>
  <connection id="10777" xr16:uid="{00000000-0015-0000-FFFF-FFFF96200000}" name="接続7345" type="7" refreshedVersion="4"/>
  <connection id="10778" xr16:uid="{00000000-0015-0000-FFFF-FFFF97200000}" name="接続7346" type="7" refreshedVersion="4"/>
  <connection id="10779" xr16:uid="{00000000-0015-0000-FFFF-FFFF98200000}" name="接続7347" type="7" refreshedVersion="4"/>
  <connection id="10780" xr16:uid="{00000000-0015-0000-FFFF-FFFF99200000}" name="接続7348" type="7" refreshedVersion="4"/>
  <connection id="10781" xr16:uid="{00000000-0015-0000-FFFF-FFFF9A200000}" name="接続7349" type="7" refreshedVersion="4"/>
  <connection id="10782" xr16:uid="{00000000-0015-0000-FFFF-FFFF9B200000}" name="接続735" type="7" refreshedVersion="4"/>
  <connection id="10783" xr16:uid="{00000000-0015-0000-FFFF-FFFF9C200000}" name="接続7350" type="7" refreshedVersion="4"/>
  <connection id="10784" xr16:uid="{00000000-0015-0000-FFFF-FFFF9D200000}" name="接続7351" type="7" refreshedVersion="4"/>
  <connection id="10785" xr16:uid="{00000000-0015-0000-FFFF-FFFF9E200000}" name="接続7352" type="7" refreshedVersion="4"/>
  <connection id="10786" xr16:uid="{00000000-0015-0000-FFFF-FFFF9F200000}" name="接続7353" type="7" refreshedVersion="4"/>
  <connection id="10787" xr16:uid="{00000000-0015-0000-FFFF-FFFFA0200000}" name="接続7354" type="7" refreshedVersion="4"/>
  <connection id="10788" xr16:uid="{00000000-0015-0000-FFFF-FFFFA1200000}" name="接続7355" type="7" refreshedVersion="4"/>
  <connection id="10789" xr16:uid="{00000000-0015-0000-FFFF-FFFFA2200000}" name="接続7356" type="7" refreshedVersion="4"/>
  <connection id="10790" xr16:uid="{00000000-0015-0000-FFFF-FFFFA3200000}" name="接続7357" type="7" refreshedVersion="4"/>
  <connection id="10791" xr16:uid="{00000000-0015-0000-FFFF-FFFFA4200000}" name="接続7358" type="7" refreshedVersion="4"/>
  <connection id="10792" xr16:uid="{00000000-0015-0000-FFFF-FFFFA5200000}" name="接続7359" type="7" refreshedVersion="4"/>
  <connection id="10793" xr16:uid="{00000000-0015-0000-FFFF-FFFFA6200000}" name="接続736" type="7" refreshedVersion="4"/>
  <connection id="10794" xr16:uid="{00000000-0015-0000-FFFF-FFFFA7200000}" name="接続7360" type="7" refreshedVersion="4"/>
  <connection id="10795" xr16:uid="{00000000-0015-0000-FFFF-FFFFA8200000}" name="接続7361" type="7" refreshedVersion="4"/>
  <connection id="10796" xr16:uid="{00000000-0015-0000-FFFF-FFFFA9200000}" name="接続7362" type="7" refreshedVersion="4"/>
  <connection id="10797" xr16:uid="{00000000-0015-0000-FFFF-FFFFAA200000}" name="接続7363" type="7" refreshedVersion="4"/>
  <connection id="10798" xr16:uid="{00000000-0015-0000-FFFF-FFFFAB200000}" name="接続7364" type="7" refreshedVersion="4"/>
  <connection id="10799" xr16:uid="{00000000-0015-0000-FFFF-FFFFAC200000}" name="接続7365" type="7" refreshedVersion="4"/>
  <connection id="10800" xr16:uid="{00000000-0015-0000-FFFF-FFFFAD200000}" name="接続7366" type="7" refreshedVersion="4"/>
  <connection id="10801" xr16:uid="{00000000-0015-0000-FFFF-FFFFAE200000}" name="接続7367" type="7" refreshedVersion="4"/>
  <connection id="10802" xr16:uid="{00000000-0015-0000-FFFF-FFFFAF200000}" name="接続7368" type="7" refreshedVersion="4"/>
  <connection id="10803" xr16:uid="{00000000-0015-0000-FFFF-FFFFB0200000}" name="接続7369" type="7" refreshedVersion="4"/>
  <connection id="10804" xr16:uid="{00000000-0015-0000-FFFF-FFFFB1200000}" name="接続737" type="7" refreshedVersion="4"/>
  <connection id="10805" xr16:uid="{00000000-0015-0000-FFFF-FFFFB2200000}" name="接続7370" type="7" refreshedVersion="4"/>
  <connection id="10806" xr16:uid="{00000000-0015-0000-FFFF-FFFFB3200000}" name="接続7371" type="7" refreshedVersion="4"/>
  <connection id="10807" xr16:uid="{00000000-0015-0000-FFFF-FFFFB4200000}" name="接続7372" type="7" refreshedVersion="4"/>
  <connection id="10808" xr16:uid="{00000000-0015-0000-FFFF-FFFFB5200000}" name="接続7373" type="7" refreshedVersion="4"/>
  <connection id="10809" xr16:uid="{00000000-0015-0000-FFFF-FFFFB6200000}" name="接続7374" type="7" refreshedVersion="4"/>
  <connection id="10810" xr16:uid="{00000000-0015-0000-FFFF-FFFFB7200000}" name="接続7375" type="7" refreshedVersion="4"/>
  <connection id="10811" xr16:uid="{00000000-0015-0000-FFFF-FFFFB8200000}" name="接続7376" type="7" refreshedVersion="4"/>
  <connection id="10812" xr16:uid="{00000000-0015-0000-FFFF-FFFFB9200000}" name="接続7377" type="7" refreshedVersion="4"/>
  <connection id="10813" xr16:uid="{00000000-0015-0000-FFFF-FFFFBA200000}" name="接続7378" type="7" refreshedVersion="4"/>
  <connection id="10814" xr16:uid="{00000000-0015-0000-FFFF-FFFFBB200000}" name="接続7379" type="7" refreshedVersion="4"/>
  <connection id="10815" xr16:uid="{00000000-0015-0000-FFFF-FFFFBC200000}" name="接続738" type="7" refreshedVersion="4"/>
  <connection id="10816" xr16:uid="{00000000-0015-0000-FFFF-FFFFBD200000}" name="接続7380" type="7" refreshedVersion="4"/>
  <connection id="10817" xr16:uid="{00000000-0015-0000-FFFF-FFFFBE200000}" name="接続7381" type="7" refreshedVersion="4"/>
  <connection id="10818" xr16:uid="{00000000-0015-0000-FFFF-FFFFBF200000}" name="接続7382" type="7" refreshedVersion="4"/>
  <connection id="10819" xr16:uid="{00000000-0015-0000-FFFF-FFFFC0200000}" name="接続7383" type="7" refreshedVersion="4"/>
  <connection id="10820" xr16:uid="{00000000-0015-0000-FFFF-FFFFC1200000}" name="接続7384" type="7" refreshedVersion="4"/>
  <connection id="10821" xr16:uid="{00000000-0015-0000-FFFF-FFFFC2200000}" name="接続7385" type="7" refreshedVersion="4"/>
  <connection id="10822" xr16:uid="{00000000-0015-0000-FFFF-FFFFC3200000}" name="接続7386" type="7" refreshedVersion="4"/>
  <connection id="10823" xr16:uid="{00000000-0015-0000-FFFF-FFFFC4200000}" name="接続7387" type="7" refreshedVersion="4"/>
  <connection id="10824" xr16:uid="{00000000-0015-0000-FFFF-FFFFC5200000}" name="接続7388" type="7" refreshedVersion="4"/>
  <connection id="10825" xr16:uid="{00000000-0015-0000-FFFF-FFFFC6200000}" name="接続7389" type="7" refreshedVersion="4"/>
  <connection id="10826" xr16:uid="{00000000-0015-0000-FFFF-FFFFC7200000}" name="接続739" type="7" refreshedVersion="4"/>
  <connection id="10827" xr16:uid="{00000000-0015-0000-FFFF-FFFFC8200000}" name="接続7390" type="7" refreshedVersion="4"/>
  <connection id="10828" xr16:uid="{00000000-0015-0000-FFFF-FFFFC9200000}" name="接続7391" type="7" refreshedVersion="4"/>
  <connection id="10829" xr16:uid="{00000000-0015-0000-FFFF-FFFFCA200000}" name="接続7392" type="7" refreshedVersion="4"/>
  <connection id="10830" xr16:uid="{00000000-0015-0000-FFFF-FFFFCB200000}" name="接続7393" type="7" refreshedVersion="4"/>
  <connection id="10831" xr16:uid="{00000000-0015-0000-FFFF-FFFFCC200000}" name="接続7394" type="7" refreshedVersion="4"/>
  <connection id="10832" xr16:uid="{00000000-0015-0000-FFFF-FFFFCD200000}" name="接続7395" type="7" refreshedVersion="4"/>
  <connection id="10833" xr16:uid="{00000000-0015-0000-FFFF-FFFFCE200000}" name="接続7396" type="7" refreshedVersion="4"/>
  <connection id="10834" xr16:uid="{00000000-0015-0000-FFFF-FFFFCF200000}" name="接続7397" type="7" refreshedVersion="4"/>
  <connection id="10835" xr16:uid="{00000000-0015-0000-FFFF-FFFFD0200000}" name="接続7398" type="7" refreshedVersion="4"/>
  <connection id="10836" xr16:uid="{00000000-0015-0000-FFFF-FFFFD1200000}" name="接続7399" type="7" refreshedVersion="4"/>
  <connection id="10837" xr16:uid="{00000000-0015-0000-FFFF-FFFFD2200000}" name="接続74" type="7" refreshedVersion="4"/>
  <connection id="10838" xr16:uid="{00000000-0015-0000-FFFF-FFFFD3200000}" name="接続740" type="7" refreshedVersion="4"/>
  <connection id="10839" xr16:uid="{00000000-0015-0000-FFFF-FFFFD4200000}" name="接続7400" type="7" refreshedVersion="4"/>
  <connection id="10840" xr16:uid="{00000000-0015-0000-FFFF-FFFFD5200000}" name="接続7401" type="7" refreshedVersion="4"/>
  <connection id="10841" xr16:uid="{00000000-0015-0000-FFFF-FFFFD6200000}" name="接続7402" type="7" refreshedVersion="4"/>
  <connection id="10842" xr16:uid="{00000000-0015-0000-FFFF-FFFFD7200000}" name="接続7403" type="7" refreshedVersion="4"/>
  <connection id="10843" xr16:uid="{00000000-0015-0000-FFFF-FFFFD8200000}" name="接続7404" type="7" refreshedVersion="4"/>
  <connection id="10844" xr16:uid="{00000000-0015-0000-FFFF-FFFFD9200000}" name="接続7405" type="7" refreshedVersion="4"/>
  <connection id="10845" xr16:uid="{00000000-0015-0000-FFFF-FFFFDA200000}" name="接続7406" type="7" refreshedVersion="4"/>
  <connection id="10846" xr16:uid="{00000000-0015-0000-FFFF-FFFFDB200000}" name="接続7407" type="7" refreshedVersion="4"/>
  <connection id="10847" xr16:uid="{00000000-0015-0000-FFFF-FFFFDC200000}" name="接続7408" type="7" refreshedVersion="4"/>
  <connection id="10848" xr16:uid="{00000000-0015-0000-FFFF-FFFFDD200000}" name="接続7409" type="7" refreshedVersion="4"/>
  <connection id="10849" xr16:uid="{00000000-0015-0000-FFFF-FFFFDE200000}" name="接続741" type="7" refreshedVersion="4"/>
  <connection id="10850" xr16:uid="{00000000-0015-0000-FFFF-FFFFDF200000}" name="接続7410" type="7" refreshedVersion="4"/>
  <connection id="10851" xr16:uid="{00000000-0015-0000-FFFF-FFFFE0200000}" name="接続7411" type="7" refreshedVersion="4"/>
  <connection id="10852" xr16:uid="{00000000-0015-0000-FFFF-FFFFE1200000}" name="接続7412" type="7" refreshedVersion="4"/>
  <connection id="10853" xr16:uid="{00000000-0015-0000-FFFF-FFFFE2200000}" name="接続7413" type="7" refreshedVersion="4"/>
  <connection id="10854" xr16:uid="{00000000-0015-0000-FFFF-FFFFE3200000}" name="接続7414" type="7" refreshedVersion="4"/>
  <connection id="10855" xr16:uid="{00000000-0015-0000-FFFF-FFFFE4200000}" name="接続7415" type="7" refreshedVersion="4"/>
  <connection id="10856" xr16:uid="{00000000-0015-0000-FFFF-FFFFE5200000}" name="接続7416" type="7" refreshedVersion="4"/>
  <connection id="10857" xr16:uid="{00000000-0015-0000-FFFF-FFFFE6200000}" name="接続7417" type="7" refreshedVersion="4"/>
  <connection id="10858" xr16:uid="{00000000-0015-0000-FFFF-FFFFE7200000}" name="接続7418" type="7" refreshedVersion="4"/>
  <connection id="10859" xr16:uid="{00000000-0015-0000-FFFF-FFFFE8200000}" name="接続7419" type="7" refreshedVersion="4"/>
  <connection id="10860" xr16:uid="{00000000-0015-0000-FFFF-FFFFE9200000}" name="接続742" type="7" refreshedVersion="4"/>
  <connection id="10861" xr16:uid="{00000000-0015-0000-FFFF-FFFFEA200000}" name="接続7420" type="7" refreshedVersion="4"/>
  <connection id="10862" xr16:uid="{00000000-0015-0000-FFFF-FFFFEB200000}" name="接続7421" type="7" refreshedVersion="4"/>
  <connection id="10863" xr16:uid="{00000000-0015-0000-FFFF-FFFFEC200000}" name="接続7422" type="7" refreshedVersion="4"/>
  <connection id="10864" xr16:uid="{00000000-0015-0000-FFFF-FFFFED200000}" name="接続7423" type="7" refreshedVersion="4"/>
  <connection id="10865" xr16:uid="{00000000-0015-0000-FFFF-FFFFEE200000}" name="接続7424" type="7" refreshedVersion="4"/>
  <connection id="10866" xr16:uid="{00000000-0015-0000-FFFF-FFFFEF200000}" name="接続7425" type="7" refreshedVersion="4"/>
  <connection id="10867" xr16:uid="{00000000-0015-0000-FFFF-FFFFF0200000}" name="接続7426" type="7" refreshedVersion="4"/>
  <connection id="10868" xr16:uid="{00000000-0015-0000-FFFF-FFFFF1200000}" name="接続7427" type="7" refreshedVersion="4"/>
  <connection id="10869" xr16:uid="{00000000-0015-0000-FFFF-FFFFF2200000}" name="接続7428" type="7" refreshedVersion="4"/>
  <connection id="10870" xr16:uid="{00000000-0015-0000-FFFF-FFFFF3200000}" name="接続7429" type="7" refreshedVersion="4"/>
  <connection id="10871" xr16:uid="{00000000-0015-0000-FFFF-FFFFF4200000}" name="接続743" type="7" refreshedVersion="4"/>
  <connection id="10872" xr16:uid="{00000000-0015-0000-FFFF-FFFFF5200000}" name="接続7430" type="7" refreshedVersion="4"/>
  <connection id="10873" xr16:uid="{00000000-0015-0000-FFFF-FFFFF6200000}" name="接続7431" type="7" refreshedVersion="4"/>
  <connection id="10874" xr16:uid="{00000000-0015-0000-FFFF-FFFFF7200000}" name="接続7432" type="7" refreshedVersion="4"/>
  <connection id="10875" xr16:uid="{00000000-0015-0000-FFFF-FFFFF8200000}" name="接続7433" type="7" refreshedVersion="4"/>
  <connection id="10876" xr16:uid="{00000000-0015-0000-FFFF-FFFFF9200000}" name="接続7434" type="7" refreshedVersion="4"/>
  <connection id="10877" xr16:uid="{00000000-0015-0000-FFFF-FFFFFA200000}" name="接続7435" type="7" refreshedVersion="4"/>
  <connection id="10878" xr16:uid="{00000000-0015-0000-FFFF-FFFFFB200000}" name="接続7436" type="7" refreshedVersion="4"/>
  <connection id="10879" xr16:uid="{00000000-0015-0000-FFFF-FFFFFC200000}" name="接続7437" type="7" refreshedVersion="4"/>
  <connection id="10880" xr16:uid="{00000000-0015-0000-FFFF-FFFFFD200000}" name="接続7438" type="7" refreshedVersion="4"/>
  <connection id="10881" xr16:uid="{00000000-0015-0000-FFFF-FFFFFE200000}" name="接続7439" type="7" refreshedVersion="4"/>
  <connection id="10882" xr16:uid="{00000000-0015-0000-FFFF-FFFFFF200000}" name="接続744" type="7" refreshedVersion="4"/>
  <connection id="10883" xr16:uid="{00000000-0015-0000-FFFF-FFFF00210000}" name="接続7440" type="7" refreshedVersion="4"/>
  <connection id="10884" xr16:uid="{00000000-0015-0000-FFFF-FFFF01210000}" name="接続7441" type="7" refreshedVersion="4"/>
  <connection id="10885" xr16:uid="{00000000-0015-0000-FFFF-FFFF02210000}" name="接続7442" type="7" refreshedVersion="4"/>
  <connection id="10886" xr16:uid="{00000000-0015-0000-FFFF-FFFF03210000}" name="接続7443" type="7" refreshedVersion="4"/>
  <connection id="10887" xr16:uid="{00000000-0015-0000-FFFF-FFFF04210000}" name="接続7444" type="7" refreshedVersion="4"/>
  <connection id="10888" xr16:uid="{00000000-0015-0000-FFFF-FFFF05210000}" name="接続7445" type="7" refreshedVersion="4"/>
  <connection id="10889" xr16:uid="{00000000-0015-0000-FFFF-FFFF06210000}" name="接続7446" type="7" refreshedVersion="4"/>
  <connection id="10890" xr16:uid="{00000000-0015-0000-FFFF-FFFF07210000}" name="接続7447" type="7" refreshedVersion="4"/>
  <connection id="10891" xr16:uid="{00000000-0015-0000-FFFF-FFFF08210000}" name="接続7448" type="7" refreshedVersion="4"/>
  <connection id="10892" xr16:uid="{00000000-0015-0000-FFFF-FFFF09210000}" name="接続7449" type="7" refreshedVersion="4"/>
  <connection id="10893" xr16:uid="{00000000-0015-0000-FFFF-FFFF0A210000}" name="接続745" type="7" refreshedVersion="4"/>
  <connection id="10894" xr16:uid="{00000000-0015-0000-FFFF-FFFF0B210000}" name="接続7450" type="7" refreshedVersion="4"/>
  <connection id="10895" xr16:uid="{00000000-0015-0000-FFFF-FFFF0C210000}" name="接続7451" type="7" refreshedVersion="4"/>
  <connection id="10896" xr16:uid="{00000000-0015-0000-FFFF-FFFF0D210000}" name="接続7452" type="7" refreshedVersion="4"/>
  <connection id="10897" xr16:uid="{00000000-0015-0000-FFFF-FFFF0E210000}" name="接続7453" type="7" refreshedVersion="4"/>
  <connection id="10898" xr16:uid="{00000000-0015-0000-FFFF-FFFF0F210000}" name="接続7454" type="7" refreshedVersion="4"/>
  <connection id="10899" xr16:uid="{00000000-0015-0000-FFFF-FFFF10210000}" name="接続7455" type="7" refreshedVersion="4"/>
  <connection id="10900" xr16:uid="{00000000-0015-0000-FFFF-FFFF11210000}" name="接続7456" type="7" refreshedVersion="4"/>
  <connection id="10901" xr16:uid="{00000000-0015-0000-FFFF-FFFF12210000}" name="接続7457" type="7" refreshedVersion="4"/>
  <connection id="10902" xr16:uid="{00000000-0015-0000-FFFF-FFFF13210000}" name="接続7458" type="7" refreshedVersion="4"/>
  <connection id="10903" xr16:uid="{00000000-0015-0000-FFFF-FFFF14210000}" name="接続7459" type="7" refreshedVersion="4"/>
  <connection id="10904" xr16:uid="{00000000-0015-0000-FFFF-FFFF15210000}" name="接続746" type="7" refreshedVersion="4"/>
  <connection id="10905" xr16:uid="{00000000-0015-0000-FFFF-FFFF16210000}" name="接続7460" type="7" refreshedVersion="4"/>
  <connection id="10906" xr16:uid="{00000000-0015-0000-FFFF-FFFF17210000}" name="接続7461" type="7" refreshedVersion="4"/>
  <connection id="10907" xr16:uid="{00000000-0015-0000-FFFF-FFFF18210000}" name="接続7462" type="7" refreshedVersion="4"/>
  <connection id="10908" xr16:uid="{00000000-0015-0000-FFFF-FFFF19210000}" name="接続7463" type="7" refreshedVersion="4"/>
  <connection id="10909" xr16:uid="{00000000-0015-0000-FFFF-FFFF1A210000}" name="接続7464" type="7" refreshedVersion="4"/>
  <connection id="10910" xr16:uid="{00000000-0015-0000-FFFF-FFFF1B210000}" name="接続7465" type="7" refreshedVersion="4"/>
  <connection id="10911" xr16:uid="{00000000-0015-0000-FFFF-FFFF1C210000}" name="接続7466" type="7" refreshedVersion="4"/>
  <connection id="10912" xr16:uid="{00000000-0015-0000-FFFF-FFFF1D210000}" name="接続7467" type="7" refreshedVersion="4"/>
  <connection id="10913" xr16:uid="{00000000-0015-0000-FFFF-FFFF1E210000}" name="接続7468" type="7" refreshedVersion="4"/>
  <connection id="10914" xr16:uid="{00000000-0015-0000-FFFF-FFFF1F210000}" name="接続7469" type="7" refreshedVersion="4"/>
  <connection id="10915" xr16:uid="{00000000-0015-0000-FFFF-FFFF20210000}" name="接続747" type="7" refreshedVersion="4"/>
  <connection id="10916" xr16:uid="{00000000-0015-0000-FFFF-FFFF21210000}" name="接続7470" type="7" refreshedVersion="4"/>
  <connection id="10917" xr16:uid="{00000000-0015-0000-FFFF-FFFF22210000}" name="接続7471" type="7" refreshedVersion="4"/>
  <connection id="10918" xr16:uid="{00000000-0015-0000-FFFF-FFFF23210000}" name="接続7472" type="7" refreshedVersion="4"/>
  <connection id="10919" xr16:uid="{00000000-0015-0000-FFFF-FFFF24210000}" name="接続7473" type="7" refreshedVersion="4"/>
  <connection id="10920" xr16:uid="{00000000-0015-0000-FFFF-FFFF25210000}" name="接続7474" type="7" refreshedVersion="4"/>
  <connection id="10921" xr16:uid="{00000000-0015-0000-FFFF-FFFF26210000}" name="接続7475" type="7" refreshedVersion="4"/>
  <connection id="10922" xr16:uid="{00000000-0015-0000-FFFF-FFFF27210000}" name="接続7476" type="7" refreshedVersion="4"/>
  <connection id="10923" xr16:uid="{00000000-0015-0000-FFFF-FFFF28210000}" name="接続7477" type="7" refreshedVersion="4"/>
  <connection id="10924" xr16:uid="{00000000-0015-0000-FFFF-FFFF29210000}" name="接続7478" type="7" refreshedVersion="4"/>
  <connection id="10925" xr16:uid="{00000000-0015-0000-FFFF-FFFF2A210000}" name="接続7479" type="7" refreshedVersion="4"/>
  <connection id="10926" xr16:uid="{00000000-0015-0000-FFFF-FFFF2B210000}" name="接続748" type="7" refreshedVersion="4"/>
  <connection id="10927" xr16:uid="{00000000-0015-0000-FFFF-FFFF2C210000}" name="接続7480" type="7" refreshedVersion="4"/>
  <connection id="10928" xr16:uid="{00000000-0015-0000-FFFF-FFFF2D210000}" name="接続7481" type="7" refreshedVersion="4"/>
  <connection id="10929" xr16:uid="{00000000-0015-0000-FFFF-FFFF2E210000}" name="接続7482" type="7" refreshedVersion="4"/>
  <connection id="10930" xr16:uid="{00000000-0015-0000-FFFF-FFFF2F210000}" name="接続7483" type="7" refreshedVersion="4"/>
  <connection id="10931" xr16:uid="{00000000-0015-0000-FFFF-FFFF30210000}" name="接続7484" type="7" refreshedVersion="4"/>
  <connection id="10932" xr16:uid="{00000000-0015-0000-FFFF-FFFF31210000}" name="接続7485" type="7" refreshedVersion="4"/>
  <connection id="10933" xr16:uid="{00000000-0015-0000-FFFF-FFFF32210000}" name="接続7486" type="7" refreshedVersion="4"/>
  <connection id="10934" xr16:uid="{00000000-0015-0000-FFFF-FFFF33210000}" name="接続7487" type="7" refreshedVersion="4"/>
  <connection id="10935" xr16:uid="{00000000-0015-0000-FFFF-FFFF34210000}" name="接続7488" type="7" refreshedVersion="4"/>
  <connection id="10936" xr16:uid="{00000000-0015-0000-FFFF-FFFF35210000}" name="接続7489" type="7" refreshedVersion="4"/>
  <connection id="10937" xr16:uid="{00000000-0015-0000-FFFF-FFFF36210000}" name="接続749" type="7" refreshedVersion="4"/>
  <connection id="10938" xr16:uid="{00000000-0015-0000-FFFF-FFFF37210000}" name="接続7490" type="7" refreshedVersion="4"/>
  <connection id="10939" xr16:uid="{00000000-0015-0000-FFFF-FFFF38210000}" name="接続7491" type="7" refreshedVersion="4"/>
  <connection id="10940" xr16:uid="{00000000-0015-0000-FFFF-FFFF39210000}" name="接続7492" type="7" refreshedVersion="4"/>
  <connection id="10941" xr16:uid="{00000000-0015-0000-FFFF-FFFF3A210000}" name="接続7493" type="7" refreshedVersion="4"/>
  <connection id="10942" xr16:uid="{00000000-0015-0000-FFFF-FFFF3B210000}" name="接続7494" type="7" refreshedVersion="4"/>
  <connection id="10943" xr16:uid="{00000000-0015-0000-FFFF-FFFF3C210000}" name="接続7495" type="7" refreshedVersion="4"/>
  <connection id="10944" xr16:uid="{00000000-0015-0000-FFFF-FFFF3D210000}" name="接続7496" type="7" refreshedVersion="4"/>
  <connection id="10945" xr16:uid="{00000000-0015-0000-FFFF-FFFF3E210000}" name="接続7497" type="7" refreshedVersion="4"/>
  <connection id="10946" xr16:uid="{00000000-0015-0000-FFFF-FFFF3F210000}" name="接続7498" type="7" refreshedVersion="4"/>
  <connection id="10947" xr16:uid="{00000000-0015-0000-FFFF-FFFF40210000}" name="接続7499" type="7" refreshedVersion="4"/>
  <connection id="10948" xr16:uid="{00000000-0015-0000-FFFF-FFFF41210000}" name="接続75" type="7" refreshedVersion="4"/>
  <connection id="10949" xr16:uid="{00000000-0015-0000-FFFF-FFFF42210000}" name="接続750" type="7" refreshedVersion="4"/>
  <connection id="10950" xr16:uid="{00000000-0015-0000-FFFF-FFFF43210000}" name="接続7500" type="7" refreshedVersion="4"/>
  <connection id="10951" xr16:uid="{00000000-0015-0000-FFFF-FFFF44210000}" name="接続7501" type="7" refreshedVersion="4"/>
  <connection id="10952" xr16:uid="{00000000-0015-0000-FFFF-FFFF45210000}" name="接続7502" type="7" refreshedVersion="4"/>
  <connection id="10953" xr16:uid="{00000000-0015-0000-FFFF-FFFF46210000}" name="接続7503" type="7" refreshedVersion="4"/>
  <connection id="10954" xr16:uid="{00000000-0015-0000-FFFF-FFFF47210000}" name="接続7504" type="7" refreshedVersion="4"/>
  <connection id="10955" xr16:uid="{00000000-0015-0000-FFFF-FFFF48210000}" name="接続7505" type="7" refreshedVersion="4"/>
  <connection id="10956" xr16:uid="{00000000-0015-0000-FFFF-FFFF49210000}" name="接続7506" type="7" refreshedVersion="4"/>
  <connection id="10957" xr16:uid="{00000000-0015-0000-FFFF-FFFF4A210000}" name="接続7507" type="7" refreshedVersion="4"/>
  <connection id="10958" xr16:uid="{00000000-0015-0000-FFFF-FFFF4B210000}" name="接続7508" type="7" refreshedVersion="4"/>
  <connection id="10959" xr16:uid="{00000000-0015-0000-FFFF-FFFF4C210000}" name="接続7509" type="7" refreshedVersion="4"/>
  <connection id="10960" xr16:uid="{00000000-0015-0000-FFFF-FFFF4D210000}" name="接続751" type="7" refreshedVersion="4"/>
  <connection id="10961" xr16:uid="{00000000-0015-0000-FFFF-FFFF4E210000}" name="接続7510" type="7" refreshedVersion="4"/>
  <connection id="10962" xr16:uid="{00000000-0015-0000-FFFF-FFFF4F210000}" name="接続7511" type="7" refreshedVersion="4"/>
  <connection id="10963" xr16:uid="{00000000-0015-0000-FFFF-FFFF50210000}" name="接続7512" type="7" refreshedVersion="4"/>
  <connection id="10964" xr16:uid="{00000000-0015-0000-FFFF-FFFF51210000}" name="接続7513" type="7" refreshedVersion="4"/>
  <connection id="10965" xr16:uid="{00000000-0015-0000-FFFF-FFFF52210000}" name="接続7514" type="7" refreshedVersion="4"/>
  <connection id="10966" xr16:uid="{00000000-0015-0000-FFFF-FFFF53210000}" name="接続7515" type="7" refreshedVersion="4"/>
  <connection id="10967" xr16:uid="{00000000-0015-0000-FFFF-FFFF54210000}" name="接続7516" type="7" refreshedVersion="4"/>
  <connection id="10968" xr16:uid="{00000000-0015-0000-FFFF-FFFF55210000}" name="接続7517" type="7" refreshedVersion="4"/>
  <connection id="10969" xr16:uid="{00000000-0015-0000-FFFF-FFFF56210000}" name="接続7518" type="7" refreshedVersion="4"/>
  <connection id="10970" xr16:uid="{00000000-0015-0000-FFFF-FFFF57210000}" name="接続7519" type="7" refreshedVersion="4"/>
  <connection id="10971" xr16:uid="{00000000-0015-0000-FFFF-FFFF58210000}" name="接続752" type="7" refreshedVersion="4"/>
  <connection id="10972" xr16:uid="{00000000-0015-0000-FFFF-FFFF59210000}" name="接続7520" type="7" refreshedVersion="4"/>
  <connection id="10973" xr16:uid="{00000000-0015-0000-FFFF-FFFF5A210000}" name="接続7521" type="7" refreshedVersion="4"/>
  <connection id="10974" xr16:uid="{00000000-0015-0000-FFFF-FFFF5B210000}" name="接続7522" type="7" refreshedVersion="4"/>
  <connection id="10975" xr16:uid="{00000000-0015-0000-FFFF-FFFF5C210000}" name="接続7523" type="7" refreshedVersion="4"/>
  <connection id="10976" xr16:uid="{00000000-0015-0000-FFFF-FFFF5D210000}" name="接続7524" type="7" refreshedVersion="4"/>
  <connection id="10977" xr16:uid="{00000000-0015-0000-FFFF-FFFF5E210000}" name="接続7525" type="7" refreshedVersion="4"/>
  <connection id="10978" xr16:uid="{00000000-0015-0000-FFFF-FFFF5F210000}" name="接続7526" type="7" refreshedVersion="4"/>
  <connection id="10979" xr16:uid="{00000000-0015-0000-FFFF-FFFF60210000}" name="接続7527" type="7" refreshedVersion="4"/>
  <connection id="10980" xr16:uid="{00000000-0015-0000-FFFF-FFFF61210000}" name="接続7528" type="7" refreshedVersion="4"/>
  <connection id="10981" xr16:uid="{00000000-0015-0000-FFFF-FFFF62210000}" name="接続7529" type="7" refreshedVersion="4"/>
  <connection id="10982" xr16:uid="{00000000-0015-0000-FFFF-FFFF63210000}" name="接続753" type="7" refreshedVersion="4"/>
  <connection id="10983" xr16:uid="{00000000-0015-0000-FFFF-FFFF64210000}" name="接続7530" type="7" refreshedVersion="4"/>
  <connection id="10984" xr16:uid="{00000000-0015-0000-FFFF-FFFF65210000}" name="接続7531" type="7" refreshedVersion="4"/>
  <connection id="10985" xr16:uid="{00000000-0015-0000-FFFF-FFFF66210000}" name="接続7532" type="7" refreshedVersion="4"/>
  <connection id="10986" xr16:uid="{00000000-0015-0000-FFFF-FFFF67210000}" name="接続7533" type="7" refreshedVersion="4"/>
  <connection id="10987" xr16:uid="{00000000-0015-0000-FFFF-FFFF68210000}" name="接続7534" type="7" refreshedVersion="4"/>
  <connection id="10988" xr16:uid="{00000000-0015-0000-FFFF-FFFF69210000}" name="接続7535" type="7" refreshedVersion="4"/>
  <connection id="10989" xr16:uid="{00000000-0015-0000-FFFF-FFFF6A210000}" name="接続7536" type="7" refreshedVersion="4"/>
  <connection id="10990" xr16:uid="{00000000-0015-0000-FFFF-FFFF6B210000}" name="接続7537" type="7" refreshedVersion="4"/>
  <connection id="10991" xr16:uid="{00000000-0015-0000-FFFF-FFFF6C210000}" name="接続7538" type="7" refreshedVersion="4"/>
  <connection id="10992" xr16:uid="{00000000-0015-0000-FFFF-FFFF6D210000}" name="接続7539" type="7" refreshedVersion="4"/>
  <connection id="10993" xr16:uid="{00000000-0015-0000-FFFF-FFFF6E210000}" name="接続754" type="7" refreshedVersion="4"/>
  <connection id="10994" xr16:uid="{00000000-0015-0000-FFFF-FFFF6F210000}" name="接続7540" type="7" refreshedVersion="4"/>
  <connection id="10995" xr16:uid="{00000000-0015-0000-FFFF-FFFF70210000}" name="接続7541" type="7" refreshedVersion="4"/>
  <connection id="10996" xr16:uid="{00000000-0015-0000-FFFF-FFFF71210000}" name="接続7542" type="7" refreshedVersion="4"/>
  <connection id="10997" xr16:uid="{00000000-0015-0000-FFFF-FFFF72210000}" name="接続7543" type="7" refreshedVersion="4"/>
  <connection id="10998" xr16:uid="{00000000-0015-0000-FFFF-FFFF73210000}" name="接続7544" type="7" refreshedVersion="4"/>
  <connection id="10999" xr16:uid="{00000000-0015-0000-FFFF-FFFF74210000}" name="接続7545" type="7" refreshedVersion="4"/>
  <connection id="11000" xr16:uid="{00000000-0015-0000-FFFF-FFFF75210000}" name="接続7546" type="7" refreshedVersion="4"/>
  <connection id="11001" xr16:uid="{00000000-0015-0000-FFFF-FFFF76210000}" name="接続7547" type="7" refreshedVersion="4"/>
  <connection id="11002" xr16:uid="{00000000-0015-0000-FFFF-FFFF77210000}" name="接続7548" type="7" refreshedVersion="4"/>
  <connection id="11003" xr16:uid="{00000000-0015-0000-FFFF-FFFF78210000}" name="接続7549" type="7" refreshedVersion="4"/>
  <connection id="11004" xr16:uid="{00000000-0015-0000-FFFF-FFFF79210000}" name="接続755" type="7" refreshedVersion="4"/>
  <connection id="11005" xr16:uid="{00000000-0015-0000-FFFF-FFFF7A210000}" name="接続7550" type="7" refreshedVersion="4"/>
  <connection id="11006" xr16:uid="{00000000-0015-0000-FFFF-FFFF7B210000}" name="接続7551" type="7" refreshedVersion="4"/>
  <connection id="11007" xr16:uid="{00000000-0015-0000-FFFF-FFFF7C210000}" name="接続7552" type="7" refreshedVersion="4"/>
  <connection id="11008" xr16:uid="{00000000-0015-0000-FFFF-FFFF7D210000}" name="接続7553" type="7" refreshedVersion="4"/>
  <connection id="11009" xr16:uid="{00000000-0015-0000-FFFF-FFFF7E210000}" name="接続7554" type="7" refreshedVersion="4"/>
  <connection id="11010" xr16:uid="{00000000-0015-0000-FFFF-FFFF7F210000}" name="接続7555" type="7" refreshedVersion="4"/>
  <connection id="11011" xr16:uid="{00000000-0015-0000-FFFF-FFFF80210000}" name="接続7556" type="7" refreshedVersion="4"/>
  <connection id="11012" xr16:uid="{00000000-0015-0000-FFFF-FFFF81210000}" name="接続7557" type="7" refreshedVersion="4"/>
  <connection id="11013" xr16:uid="{00000000-0015-0000-FFFF-FFFF82210000}" name="接続7558" type="7" refreshedVersion="4"/>
  <connection id="11014" xr16:uid="{00000000-0015-0000-FFFF-FFFF83210000}" name="接続7559" type="7" refreshedVersion="4"/>
  <connection id="11015" xr16:uid="{00000000-0015-0000-FFFF-FFFF84210000}" name="接続756" type="7" refreshedVersion="4"/>
  <connection id="11016" xr16:uid="{00000000-0015-0000-FFFF-FFFF85210000}" name="接続7560" type="7" refreshedVersion="4"/>
  <connection id="11017" xr16:uid="{00000000-0015-0000-FFFF-FFFF86210000}" name="接続7561" type="7" refreshedVersion="4"/>
  <connection id="11018" xr16:uid="{00000000-0015-0000-FFFF-FFFF87210000}" name="接続7562" type="7" refreshedVersion="4"/>
  <connection id="11019" xr16:uid="{00000000-0015-0000-FFFF-FFFF88210000}" name="接続7563" type="7" refreshedVersion="4"/>
  <connection id="11020" xr16:uid="{00000000-0015-0000-FFFF-FFFF89210000}" name="接続7564" type="7" refreshedVersion="4"/>
  <connection id="11021" xr16:uid="{00000000-0015-0000-FFFF-FFFF8A210000}" name="接続7565" type="7" refreshedVersion="4"/>
  <connection id="11022" xr16:uid="{00000000-0015-0000-FFFF-FFFF8B210000}" name="接続7566" type="7" refreshedVersion="4"/>
  <connection id="11023" xr16:uid="{00000000-0015-0000-FFFF-FFFF8C210000}" name="接続7567" type="7" refreshedVersion="4"/>
  <connection id="11024" xr16:uid="{00000000-0015-0000-FFFF-FFFF8D210000}" name="接続7568" type="7" refreshedVersion="4"/>
  <connection id="11025" xr16:uid="{00000000-0015-0000-FFFF-FFFF8E210000}" name="接続7569" type="7" refreshedVersion="4"/>
  <connection id="11026" xr16:uid="{00000000-0015-0000-FFFF-FFFF8F210000}" name="接続757" type="7" refreshedVersion="4"/>
  <connection id="11027" xr16:uid="{00000000-0015-0000-FFFF-FFFF90210000}" name="接続7570" type="7" refreshedVersion="4"/>
  <connection id="11028" xr16:uid="{00000000-0015-0000-FFFF-FFFF91210000}" name="接続7571" type="7" refreshedVersion="4"/>
  <connection id="11029" xr16:uid="{00000000-0015-0000-FFFF-FFFF92210000}" name="接続7572" type="7" refreshedVersion="4"/>
  <connection id="11030" xr16:uid="{00000000-0015-0000-FFFF-FFFF93210000}" name="接続7573" type="7" refreshedVersion="4"/>
  <connection id="11031" xr16:uid="{00000000-0015-0000-FFFF-FFFF94210000}" name="接続7574" type="7" refreshedVersion="4"/>
  <connection id="11032" xr16:uid="{00000000-0015-0000-FFFF-FFFF95210000}" name="接続7575" type="7" refreshedVersion="4"/>
  <connection id="11033" xr16:uid="{00000000-0015-0000-FFFF-FFFF96210000}" name="接続7576" type="7" refreshedVersion="4"/>
  <connection id="11034" xr16:uid="{00000000-0015-0000-FFFF-FFFF97210000}" name="接続7577" type="7" refreshedVersion="4"/>
  <connection id="11035" xr16:uid="{00000000-0015-0000-FFFF-FFFF98210000}" name="接続7578" type="7" refreshedVersion="4"/>
  <connection id="11036" xr16:uid="{00000000-0015-0000-FFFF-FFFF99210000}" name="接続7579" type="7" refreshedVersion="4"/>
  <connection id="11037" xr16:uid="{00000000-0015-0000-FFFF-FFFF9A210000}" name="接続758" type="7" refreshedVersion="4"/>
  <connection id="11038" xr16:uid="{00000000-0015-0000-FFFF-FFFF9B210000}" name="接続7580" type="7" refreshedVersion="4"/>
  <connection id="11039" xr16:uid="{00000000-0015-0000-FFFF-FFFF9C210000}" name="接続7581" type="7" refreshedVersion="4"/>
  <connection id="11040" xr16:uid="{00000000-0015-0000-FFFF-FFFF9D210000}" name="接続7582" type="7" refreshedVersion="4"/>
  <connection id="11041" xr16:uid="{00000000-0015-0000-FFFF-FFFF9E210000}" name="接続7583" type="7" refreshedVersion="4"/>
  <connection id="11042" xr16:uid="{00000000-0015-0000-FFFF-FFFF9F210000}" name="接続7584" type="7" refreshedVersion="4"/>
  <connection id="11043" xr16:uid="{00000000-0015-0000-FFFF-FFFFA0210000}" name="接続7585" type="7" refreshedVersion="4"/>
  <connection id="11044" xr16:uid="{00000000-0015-0000-FFFF-FFFFA1210000}" name="接続7586" type="7" refreshedVersion="4"/>
  <connection id="11045" xr16:uid="{00000000-0015-0000-FFFF-FFFFA2210000}" name="接続7587" type="7" refreshedVersion="4"/>
  <connection id="11046" xr16:uid="{00000000-0015-0000-FFFF-FFFFA3210000}" name="接続7588" type="7" refreshedVersion="4"/>
  <connection id="11047" xr16:uid="{00000000-0015-0000-FFFF-FFFFA4210000}" name="接続7589" type="7" refreshedVersion="4"/>
  <connection id="11048" xr16:uid="{00000000-0015-0000-FFFF-FFFFA5210000}" name="接続759" type="7" refreshedVersion="4"/>
  <connection id="11049" xr16:uid="{00000000-0015-0000-FFFF-FFFFA6210000}" name="接続7590" type="7" refreshedVersion="4"/>
  <connection id="11050" xr16:uid="{00000000-0015-0000-FFFF-FFFFA7210000}" name="接続7591" type="7" refreshedVersion="4"/>
  <connection id="11051" xr16:uid="{00000000-0015-0000-FFFF-FFFFA8210000}" name="接続7592" type="7" refreshedVersion="4"/>
  <connection id="11052" xr16:uid="{00000000-0015-0000-FFFF-FFFFA9210000}" name="接続7593" type="7" refreshedVersion="4"/>
  <connection id="11053" xr16:uid="{00000000-0015-0000-FFFF-FFFFAA210000}" name="接続7594" type="7" refreshedVersion="4"/>
  <connection id="11054" xr16:uid="{00000000-0015-0000-FFFF-FFFFAB210000}" name="接続7595" type="7" refreshedVersion="4"/>
  <connection id="11055" xr16:uid="{00000000-0015-0000-FFFF-FFFFAC210000}" name="接続7596" type="7" refreshedVersion="4"/>
  <connection id="11056" xr16:uid="{00000000-0015-0000-FFFF-FFFFAD210000}" name="接続7597" type="7" refreshedVersion="4"/>
  <connection id="11057" xr16:uid="{00000000-0015-0000-FFFF-FFFFAE210000}" name="接続7598" type="7" refreshedVersion="4"/>
  <connection id="11058" xr16:uid="{00000000-0015-0000-FFFF-FFFFAF210000}" name="接続7599" type="7" refreshedVersion="4"/>
  <connection id="11059" xr16:uid="{00000000-0015-0000-FFFF-FFFFB0210000}" name="接続76" type="7" refreshedVersion="4"/>
  <connection id="11060" xr16:uid="{00000000-0015-0000-FFFF-FFFFB1210000}" name="接続760" type="7" refreshedVersion="4"/>
  <connection id="11061" xr16:uid="{00000000-0015-0000-FFFF-FFFFB2210000}" name="接続7600" type="7" refreshedVersion="4"/>
  <connection id="11062" xr16:uid="{00000000-0015-0000-FFFF-FFFFB3210000}" name="接続7601" type="7" refreshedVersion="4"/>
  <connection id="11063" xr16:uid="{00000000-0015-0000-FFFF-FFFFB4210000}" name="接続7602" type="7" refreshedVersion="4"/>
  <connection id="11064" xr16:uid="{00000000-0015-0000-FFFF-FFFFB5210000}" name="接続7603" type="7" refreshedVersion="4"/>
  <connection id="11065" xr16:uid="{00000000-0015-0000-FFFF-FFFFB6210000}" name="接続7604" type="7" refreshedVersion="4"/>
  <connection id="11066" xr16:uid="{00000000-0015-0000-FFFF-FFFFB7210000}" name="接続7605" type="7" refreshedVersion="4"/>
  <connection id="11067" xr16:uid="{00000000-0015-0000-FFFF-FFFFB8210000}" name="接続7606" type="7" refreshedVersion="4"/>
  <connection id="11068" xr16:uid="{00000000-0015-0000-FFFF-FFFFB9210000}" name="接続7607" type="7" refreshedVersion="4"/>
  <connection id="11069" xr16:uid="{00000000-0015-0000-FFFF-FFFFBA210000}" name="接続7608" type="7" refreshedVersion="4"/>
  <connection id="11070" xr16:uid="{00000000-0015-0000-FFFF-FFFFBB210000}" name="接続7609" type="7" refreshedVersion="4"/>
  <connection id="11071" xr16:uid="{00000000-0015-0000-FFFF-FFFFBC210000}" name="接続761" type="7" refreshedVersion="4"/>
  <connection id="11072" xr16:uid="{00000000-0015-0000-FFFF-FFFFBD210000}" name="接続7610" type="7" refreshedVersion="4"/>
  <connection id="11073" xr16:uid="{00000000-0015-0000-FFFF-FFFFBE210000}" name="接続7611" type="7" refreshedVersion="4"/>
  <connection id="11074" xr16:uid="{00000000-0015-0000-FFFF-FFFFBF210000}" name="接続7612" type="7" refreshedVersion="4"/>
  <connection id="11075" xr16:uid="{00000000-0015-0000-FFFF-FFFFC0210000}" name="接続7613" type="7" refreshedVersion="4"/>
  <connection id="11076" xr16:uid="{00000000-0015-0000-FFFF-FFFFC1210000}" name="接続7614" type="7" refreshedVersion="4"/>
  <connection id="11077" xr16:uid="{00000000-0015-0000-FFFF-FFFFC2210000}" name="接続7615" type="7" refreshedVersion="4"/>
  <connection id="11078" xr16:uid="{00000000-0015-0000-FFFF-FFFFC3210000}" name="接続7616" type="7" refreshedVersion="4"/>
  <connection id="11079" xr16:uid="{00000000-0015-0000-FFFF-FFFFC4210000}" name="接続7617" type="7" refreshedVersion="4"/>
  <connection id="11080" xr16:uid="{00000000-0015-0000-FFFF-FFFFC5210000}" name="接続7618" type="7" refreshedVersion="4"/>
  <connection id="11081" xr16:uid="{00000000-0015-0000-FFFF-FFFFC6210000}" name="接続7619" type="7" refreshedVersion="4"/>
  <connection id="11082" xr16:uid="{00000000-0015-0000-FFFF-FFFFC7210000}" name="接続762" type="7" refreshedVersion="4"/>
  <connection id="11083" xr16:uid="{00000000-0015-0000-FFFF-FFFFC8210000}" name="接続7620" type="7" refreshedVersion="4"/>
  <connection id="11084" xr16:uid="{00000000-0015-0000-FFFF-FFFFC9210000}" name="接続7621" type="7" refreshedVersion="4"/>
  <connection id="11085" xr16:uid="{00000000-0015-0000-FFFF-FFFFCA210000}" name="接続7622" type="7" refreshedVersion="4"/>
  <connection id="11086" xr16:uid="{00000000-0015-0000-FFFF-FFFFCB210000}" name="接続7623" type="7" refreshedVersion="4"/>
  <connection id="11087" xr16:uid="{00000000-0015-0000-FFFF-FFFFCC210000}" name="接続7624" type="7" refreshedVersion="4"/>
  <connection id="11088" xr16:uid="{00000000-0015-0000-FFFF-FFFFCD210000}" name="接続7625" type="7" refreshedVersion="4"/>
  <connection id="11089" xr16:uid="{00000000-0015-0000-FFFF-FFFFCE210000}" name="接続7626" type="7" refreshedVersion="4"/>
  <connection id="11090" xr16:uid="{00000000-0015-0000-FFFF-FFFFCF210000}" name="接続7627" type="7" refreshedVersion="4"/>
  <connection id="11091" xr16:uid="{00000000-0015-0000-FFFF-FFFFD0210000}" name="接続7628" type="7" refreshedVersion="4"/>
  <connection id="11092" xr16:uid="{00000000-0015-0000-FFFF-FFFFD1210000}" name="接続7629" type="7" refreshedVersion="4"/>
  <connection id="11093" xr16:uid="{00000000-0015-0000-FFFF-FFFFD2210000}" name="接続763" type="7" refreshedVersion="4"/>
  <connection id="11094" xr16:uid="{00000000-0015-0000-FFFF-FFFFD3210000}" name="接続7630" type="7" refreshedVersion="4"/>
  <connection id="11095" xr16:uid="{00000000-0015-0000-FFFF-FFFFD4210000}" name="接続7631" type="7" refreshedVersion="4"/>
  <connection id="11096" xr16:uid="{00000000-0015-0000-FFFF-FFFFD5210000}" name="接続7632" type="7" refreshedVersion="4"/>
  <connection id="11097" xr16:uid="{00000000-0015-0000-FFFF-FFFFD6210000}" name="接続7633" type="7" refreshedVersion="4"/>
  <connection id="11098" xr16:uid="{00000000-0015-0000-FFFF-FFFFD7210000}" name="接続7634" type="7" refreshedVersion="4"/>
  <connection id="11099" xr16:uid="{00000000-0015-0000-FFFF-FFFFD8210000}" name="接続7635" type="7" refreshedVersion="4"/>
  <connection id="11100" xr16:uid="{00000000-0015-0000-FFFF-FFFFD9210000}" name="接続7636" type="7" refreshedVersion="4"/>
  <connection id="11101" xr16:uid="{00000000-0015-0000-FFFF-FFFFDA210000}" name="接続7637" type="7" refreshedVersion="4"/>
  <connection id="11102" xr16:uid="{00000000-0015-0000-FFFF-FFFFDB210000}" name="接続7638" type="7" refreshedVersion="4"/>
  <connection id="11103" xr16:uid="{00000000-0015-0000-FFFF-FFFFDC210000}" name="接続7639" type="7" refreshedVersion="4"/>
  <connection id="11104" xr16:uid="{00000000-0015-0000-FFFF-FFFFDD210000}" name="接続764" type="7" refreshedVersion="4"/>
  <connection id="11105" xr16:uid="{00000000-0015-0000-FFFF-FFFFDE210000}" name="接続7640" type="7" refreshedVersion="4"/>
  <connection id="11106" xr16:uid="{00000000-0015-0000-FFFF-FFFFDF210000}" name="接続7641" type="7" refreshedVersion="4"/>
  <connection id="11107" xr16:uid="{00000000-0015-0000-FFFF-FFFFE0210000}" name="接続7642" type="7" refreshedVersion="4"/>
  <connection id="11108" xr16:uid="{00000000-0015-0000-FFFF-FFFFE1210000}" name="接続7643" type="7" refreshedVersion="4"/>
  <connection id="11109" xr16:uid="{00000000-0015-0000-FFFF-FFFFE2210000}" name="接続7644" type="7" refreshedVersion="4"/>
  <connection id="11110" xr16:uid="{00000000-0015-0000-FFFF-FFFFE3210000}" name="接続7645" type="7" refreshedVersion="4"/>
  <connection id="11111" xr16:uid="{00000000-0015-0000-FFFF-FFFFE4210000}" name="接続7646" type="7" refreshedVersion="4"/>
  <connection id="11112" xr16:uid="{00000000-0015-0000-FFFF-FFFFE5210000}" name="接続7647" type="7" refreshedVersion="4"/>
  <connection id="11113" xr16:uid="{00000000-0015-0000-FFFF-FFFFE6210000}" name="接続7648" type="7" refreshedVersion="4"/>
  <connection id="11114" xr16:uid="{00000000-0015-0000-FFFF-FFFFE7210000}" name="接続7649" type="7" refreshedVersion="4"/>
  <connection id="11115" xr16:uid="{00000000-0015-0000-FFFF-FFFFE8210000}" name="接続765" type="7" refreshedVersion="4"/>
  <connection id="11116" xr16:uid="{00000000-0015-0000-FFFF-FFFFE9210000}" name="接続7650" type="7" refreshedVersion="4"/>
  <connection id="11117" xr16:uid="{00000000-0015-0000-FFFF-FFFFEA210000}" name="接続7651" type="7" refreshedVersion="4"/>
  <connection id="11118" xr16:uid="{00000000-0015-0000-FFFF-FFFFEB210000}" name="接続7652" type="7" refreshedVersion="4"/>
  <connection id="11119" xr16:uid="{00000000-0015-0000-FFFF-FFFFEC210000}" name="接続7653" type="7" refreshedVersion="4"/>
  <connection id="11120" xr16:uid="{00000000-0015-0000-FFFF-FFFFED210000}" name="接続7654" type="7" refreshedVersion="4"/>
  <connection id="11121" xr16:uid="{00000000-0015-0000-FFFF-FFFFEE210000}" name="接続7655" type="7" refreshedVersion="4"/>
  <connection id="11122" xr16:uid="{00000000-0015-0000-FFFF-FFFFEF210000}" name="接続7656" type="7" refreshedVersion="4"/>
  <connection id="11123" xr16:uid="{00000000-0015-0000-FFFF-FFFFF0210000}" name="接続7657" type="7" refreshedVersion="4"/>
  <connection id="11124" xr16:uid="{00000000-0015-0000-FFFF-FFFFF1210000}" name="接続7658" type="7" refreshedVersion="4"/>
  <connection id="11125" xr16:uid="{00000000-0015-0000-FFFF-FFFFF2210000}" name="接続7659" type="7" refreshedVersion="4"/>
  <connection id="11126" xr16:uid="{00000000-0015-0000-FFFF-FFFFF3210000}" name="接続766" type="7" refreshedVersion="4"/>
  <connection id="11127" xr16:uid="{00000000-0015-0000-FFFF-FFFFF4210000}" name="接続7660" type="7" refreshedVersion="4"/>
  <connection id="11128" xr16:uid="{00000000-0015-0000-FFFF-FFFFF5210000}" name="接続7661" type="7" refreshedVersion="4"/>
  <connection id="11129" xr16:uid="{00000000-0015-0000-FFFF-FFFFF6210000}" name="接続7662" type="7" refreshedVersion="4"/>
  <connection id="11130" xr16:uid="{00000000-0015-0000-FFFF-FFFFF7210000}" name="接続7663" type="7" refreshedVersion="4"/>
  <connection id="11131" xr16:uid="{00000000-0015-0000-FFFF-FFFFF8210000}" name="接続7664" type="7" refreshedVersion="4"/>
  <connection id="11132" xr16:uid="{00000000-0015-0000-FFFF-FFFFF9210000}" name="接続7665" type="7" refreshedVersion="4"/>
  <connection id="11133" xr16:uid="{00000000-0015-0000-FFFF-FFFFFA210000}" name="接続7666" type="7" refreshedVersion="4"/>
  <connection id="11134" xr16:uid="{00000000-0015-0000-FFFF-FFFFFB210000}" name="接続7667" type="7" refreshedVersion="4"/>
  <connection id="11135" xr16:uid="{00000000-0015-0000-FFFF-FFFFFC210000}" name="接続7668" type="7" refreshedVersion="4"/>
  <connection id="11136" xr16:uid="{00000000-0015-0000-FFFF-FFFFFD210000}" name="接続7669" type="7" refreshedVersion="4"/>
  <connection id="11137" xr16:uid="{00000000-0015-0000-FFFF-FFFFFE210000}" name="接続767" type="7" refreshedVersion="4"/>
  <connection id="11138" xr16:uid="{00000000-0015-0000-FFFF-FFFFFF210000}" name="接続7670" type="7" refreshedVersion="4"/>
  <connection id="11139" xr16:uid="{00000000-0015-0000-FFFF-FFFF00220000}" name="接続7671" type="7" refreshedVersion="4"/>
  <connection id="11140" xr16:uid="{00000000-0015-0000-FFFF-FFFF01220000}" name="接続7672" type="7" refreshedVersion="4"/>
  <connection id="11141" xr16:uid="{00000000-0015-0000-FFFF-FFFF02220000}" name="接続7673" type="7" refreshedVersion="4"/>
  <connection id="11142" xr16:uid="{00000000-0015-0000-FFFF-FFFF03220000}" name="接続7674" type="7" refreshedVersion="4"/>
  <connection id="11143" xr16:uid="{00000000-0015-0000-FFFF-FFFF04220000}" name="接続7675" type="7" refreshedVersion="4"/>
  <connection id="11144" xr16:uid="{00000000-0015-0000-FFFF-FFFF05220000}" name="接続7676" type="7" refreshedVersion="4"/>
  <connection id="11145" xr16:uid="{00000000-0015-0000-FFFF-FFFF06220000}" name="接続7677" type="7" refreshedVersion="4"/>
  <connection id="11146" xr16:uid="{00000000-0015-0000-FFFF-FFFF07220000}" name="接続7678" type="7" refreshedVersion="4"/>
  <connection id="11147" xr16:uid="{00000000-0015-0000-FFFF-FFFF08220000}" name="接続7679" type="7" refreshedVersion="4"/>
  <connection id="11148" xr16:uid="{00000000-0015-0000-FFFF-FFFF09220000}" name="接続768" type="7" refreshedVersion="4"/>
  <connection id="11149" xr16:uid="{00000000-0015-0000-FFFF-FFFF0A220000}" name="接続7680" type="7" refreshedVersion="4"/>
  <connection id="11150" xr16:uid="{00000000-0015-0000-FFFF-FFFF0B220000}" name="接続7681" type="7" refreshedVersion="4"/>
  <connection id="11151" xr16:uid="{00000000-0015-0000-FFFF-FFFF0C220000}" name="接続7682" type="7" refreshedVersion="4"/>
  <connection id="11152" xr16:uid="{00000000-0015-0000-FFFF-FFFF0D220000}" name="接続7683" type="7" refreshedVersion="4"/>
  <connection id="11153" xr16:uid="{00000000-0015-0000-FFFF-FFFF0E220000}" name="接続7684" type="7" refreshedVersion="4"/>
  <connection id="11154" xr16:uid="{00000000-0015-0000-FFFF-FFFF0F220000}" name="接続7685" type="7" refreshedVersion="4"/>
  <connection id="11155" xr16:uid="{00000000-0015-0000-FFFF-FFFF10220000}" name="接続7686" type="7" refreshedVersion="4"/>
  <connection id="11156" xr16:uid="{00000000-0015-0000-FFFF-FFFF11220000}" name="接続7687" type="7" refreshedVersion="4"/>
  <connection id="11157" xr16:uid="{00000000-0015-0000-FFFF-FFFF12220000}" name="接続7688" type="7" refreshedVersion="4"/>
  <connection id="11158" xr16:uid="{00000000-0015-0000-FFFF-FFFF13220000}" name="接続7689" type="7" refreshedVersion="4"/>
  <connection id="11159" xr16:uid="{00000000-0015-0000-FFFF-FFFF14220000}" name="接続769" type="7" refreshedVersion="4"/>
  <connection id="11160" xr16:uid="{00000000-0015-0000-FFFF-FFFF15220000}" name="接続7690" type="7" refreshedVersion="4"/>
  <connection id="11161" xr16:uid="{00000000-0015-0000-FFFF-FFFF16220000}" name="接続7691" type="7" refreshedVersion="4"/>
  <connection id="11162" xr16:uid="{00000000-0015-0000-FFFF-FFFF17220000}" name="接続7692" type="7" refreshedVersion="4"/>
  <connection id="11163" xr16:uid="{00000000-0015-0000-FFFF-FFFF18220000}" name="接続7693" type="7" refreshedVersion="4"/>
  <connection id="11164" xr16:uid="{00000000-0015-0000-FFFF-FFFF19220000}" name="接続7694" type="7" refreshedVersion="4"/>
  <connection id="11165" xr16:uid="{00000000-0015-0000-FFFF-FFFF1A220000}" name="接続7695" type="7" refreshedVersion="4"/>
  <connection id="11166" xr16:uid="{00000000-0015-0000-FFFF-FFFF1B220000}" name="接続7696" type="7" refreshedVersion="4"/>
  <connection id="11167" xr16:uid="{00000000-0015-0000-FFFF-FFFF1C220000}" name="接続7697" type="7" refreshedVersion="4"/>
  <connection id="11168" xr16:uid="{00000000-0015-0000-FFFF-FFFF1D220000}" name="接続7698" type="7" refreshedVersion="4"/>
  <connection id="11169" xr16:uid="{00000000-0015-0000-FFFF-FFFF1E220000}" name="接続7699" type="7" refreshedVersion="4"/>
  <connection id="11170" xr16:uid="{00000000-0015-0000-FFFF-FFFF1F220000}" name="接続77" type="7" refreshedVersion="4"/>
  <connection id="11171" xr16:uid="{00000000-0015-0000-FFFF-FFFF20220000}" name="接続770" type="7" refreshedVersion="4"/>
  <connection id="11172" xr16:uid="{00000000-0015-0000-FFFF-FFFF21220000}" name="接続7700" type="7" refreshedVersion="4"/>
  <connection id="11173" xr16:uid="{00000000-0015-0000-FFFF-FFFF22220000}" name="接続7701" type="7" refreshedVersion="4"/>
  <connection id="11174" xr16:uid="{00000000-0015-0000-FFFF-FFFF23220000}" name="接続7702" type="7" refreshedVersion="4"/>
  <connection id="11175" xr16:uid="{00000000-0015-0000-FFFF-FFFF24220000}" name="接続7703" type="7" refreshedVersion="4"/>
  <connection id="11176" xr16:uid="{00000000-0015-0000-FFFF-FFFF25220000}" name="接続7704" type="7" refreshedVersion="4"/>
  <connection id="11177" xr16:uid="{00000000-0015-0000-FFFF-FFFF26220000}" name="接続7705" type="7" refreshedVersion="4"/>
  <connection id="11178" xr16:uid="{00000000-0015-0000-FFFF-FFFF27220000}" name="接続7706" type="7" refreshedVersion="4"/>
  <connection id="11179" xr16:uid="{00000000-0015-0000-FFFF-FFFF28220000}" name="接続7707" type="7" refreshedVersion="4"/>
  <connection id="11180" xr16:uid="{00000000-0015-0000-FFFF-FFFF29220000}" name="接続7708" type="7" refreshedVersion="4"/>
  <connection id="11181" xr16:uid="{00000000-0015-0000-FFFF-FFFF2A220000}" name="接続7709" type="7" refreshedVersion="4"/>
  <connection id="11182" xr16:uid="{00000000-0015-0000-FFFF-FFFF2B220000}" name="接続771" type="7" refreshedVersion="4"/>
  <connection id="11183" xr16:uid="{00000000-0015-0000-FFFF-FFFF2C220000}" name="接続7710" type="7" refreshedVersion="4"/>
  <connection id="11184" xr16:uid="{00000000-0015-0000-FFFF-FFFF2D220000}" name="接続7711" type="7" refreshedVersion="4"/>
  <connection id="11185" xr16:uid="{00000000-0015-0000-FFFF-FFFF2E220000}" name="接続7712" type="7" refreshedVersion="4"/>
  <connection id="11186" xr16:uid="{00000000-0015-0000-FFFF-FFFF2F220000}" name="接続7713" type="7" refreshedVersion="4"/>
  <connection id="11187" xr16:uid="{00000000-0015-0000-FFFF-FFFF30220000}" name="接続7714" type="7" refreshedVersion="4"/>
  <connection id="11188" xr16:uid="{00000000-0015-0000-FFFF-FFFF31220000}" name="接続7715" type="7" refreshedVersion="4"/>
  <connection id="11189" xr16:uid="{00000000-0015-0000-FFFF-FFFF32220000}" name="接続7716" type="7" refreshedVersion="4"/>
  <connection id="11190" xr16:uid="{00000000-0015-0000-FFFF-FFFF33220000}" name="接続7717" type="7" refreshedVersion="4"/>
  <connection id="11191" xr16:uid="{00000000-0015-0000-FFFF-FFFF34220000}" name="接続7718" type="7" refreshedVersion="4"/>
  <connection id="11192" xr16:uid="{00000000-0015-0000-FFFF-FFFF35220000}" name="接続7719" type="7" refreshedVersion="4"/>
  <connection id="11193" xr16:uid="{00000000-0015-0000-FFFF-FFFF36220000}" name="接続772" type="7" refreshedVersion="4"/>
  <connection id="11194" xr16:uid="{00000000-0015-0000-FFFF-FFFF37220000}" name="接続7720" type="7" refreshedVersion="4"/>
  <connection id="11195" xr16:uid="{00000000-0015-0000-FFFF-FFFF38220000}" name="接続7721" type="7" refreshedVersion="4"/>
  <connection id="11196" xr16:uid="{00000000-0015-0000-FFFF-FFFF39220000}" name="接続7722" type="7" refreshedVersion="4"/>
  <connection id="11197" xr16:uid="{00000000-0015-0000-FFFF-FFFF3A220000}" name="接続7723" type="7" refreshedVersion="4"/>
  <connection id="11198" xr16:uid="{00000000-0015-0000-FFFF-FFFF3B220000}" name="接続7724" type="7" refreshedVersion="4"/>
  <connection id="11199" xr16:uid="{00000000-0015-0000-FFFF-FFFF3C220000}" name="接続7725" type="7" refreshedVersion="4"/>
  <connection id="11200" xr16:uid="{00000000-0015-0000-FFFF-FFFF3D220000}" name="接続7726" type="7" refreshedVersion="4"/>
  <connection id="11201" xr16:uid="{00000000-0015-0000-FFFF-FFFF3E220000}" name="接続7727" type="7" refreshedVersion="4"/>
  <connection id="11202" xr16:uid="{00000000-0015-0000-FFFF-FFFF3F220000}" name="接続7728" type="7" refreshedVersion="4"/>
  <connection id="11203" xr16:uid="{00000000-0015-0000-FFFF-FFFF40220000}" name="接続7729" type="7" refreshedVersion="4"/>
  <connection id="11204" xr16:uid="{00000000-0015-0000-FFFF-FFFF41220000}" name="接続773" type="7" refreshedVersion="4"/>
  <connection id="11205" xr16:uid="{00000000-0015-0000-FFFF-FFFF42220000}" name="接続7730" type="7" refreshedVersion="4"/>
  <connection id="11206" xr16:uid="{00000000-0015-0000-FFFF-FFFF43220000}" name="接続7731" type="7" refreshedVersion="4"/>
  <connection id="11207" xr16:uid="{00000000-0015-0000-FFFF-FFFF44220000}" name="接続7732" type="7" refreshedVersion="4"/>
  <connection id="11208" xr16:uid="{00000000-0015-0000-FFFF-FFFF45220000}" name="接続7733" type="7" refreshedVersion="4"/>
  <connection id="11209" xr16:uid="{00000000-0015-0000-FFFF-FFFF46220000}" name="接続7734" type="7" refreshedVersion="4"/>
  <connection id="11210" xr16:uid="{00000000-0015-0000-FFFF-FFFF47220000}" name="接続7735" type="7" refreshedVersion="4"/>
  <connection id="11211" xr16:uid="{00000000-0015-0000-FFFF-FFFF48220000}" name="接続7736" type="7" refreshedVersion="4"/>
  <connection id="11212" xr16:uid="{00000000-0015-0000-FFFF-FFFF49220000}" name="接続7737" type="7" refreshedVersion="4"/>
  <connection id="11213" xr16:uid="{00000000-0015-0000-FFFF-FFFF4A220000}" name="接続7738" type="7" refreshedVersion="4"/>
  <connection id="11214" xr16:uid="{00000000-0015-0000-FFFF-FFFF4B220000}" name="接続7739" type="7" refreshedVersion="4"/>
  <connection id="11215" xr16:uid="{00000000-0015-0000-FFFF-FFFF4C220000}" name="接続774" type="7" refreshedVersion="4"/>
  <connection id="11216" xr16:uid="{00000000-0015-0000-FFFF-FFFF4D220000}" name="接続7740" type="7" refreshedVersion="4"/>
  <connection id="11217" xr16:uid="{00000000-0015-0000-FFFF-FFFF4E220000}" name="接続7741" type="7" refreshedVersion="4"/>
  <connection id="11218" xr16:uid="{00000000-0015-0000-FFFF-FFFF4F220000}" name="接続7742" type="7" refreshedVersion="4"/>
  <connection id="11219" xr16:uid="{00000000-0015-0000-FFFF-FFFF50220000}" name="接続7743" type="7" refreshedVersion="4"/>
  <connection id="11220" xr16:uid="{00000000-0015-0000-FFFF-FFFF51220000}" name="接続7744" type="7" refreshedVersion="4"/>
  <connection id="11221" xr16:uid="{00000000-0015-0000-FFFF-FFFF52220000}" name="接続7745" type="7" refreshedVersion="4"/>
  <connection id="11222" xr16:uid="{00000000-0015-0000-FFFF-FFFF53220000}" name="接続7746" type="7" refreshedVersion="4"/>
  <connection id="11223" xr16:uid="{00000000-0015-0000-FFFF-FFFF54220000}" name="接続7747" type="7" refreshedVersion="4"/>
  <connection id="11224" xr16:uid="{00000000-0015-0000-FFFF-FFFF55220000}" name="接続7748" type="7" refreshedVersion="4"/>
  <connection id="11225" xr16:uid="{00000000-0015-0000-FFFF-FFFF56220000}" name="接続7749" type="7" refreshedVersion="4"/>
  <connection id="11226" xr16:uid="{00000000-0015-0000-FFFF-FFFF57220000}" name="接続775" type="7" refreshedVersion="4"/>
  <connection id="11227" xr16:uid="{00000000-0015-0000-FFFF-FFFF58220000}" name="接続7750" type="7" refreshedVersion="4"/>
  <connection id="11228" xr16:uid="{00000000-0015-0000-FFFF-FFFF59220000}" name="接続7751" type="7" refreshedVersion="4"/>
  <connection id="11229" xr16:uid="{00000000-0015-0000-FFFF-FFFF5A220000}" name="接続7752" type="7" refreshedVersion="4"/>
  <connection id="11230" xr16:uid="{00000000-0015-0000-FFFF-FFFF5B220000}" name="接続7753" type="7" refreshedVersion="4"/>
  <connection id="11231" xr16:uid="{00000000-0015-0000-FFFF-FFFF5C220000}" name="接続7754" type="7" refreshedVersion="4"/>
  <connection id="11232" xr16:uid="{00000000-0015-0000-FFFF-FFFF5D220000}" name="接続7755" type="7" refreshedVersion="4"/>
  <connection id="11233" xr16:uid="{00000000-0015-0000-FFFF-FFFF5E220000}" name="接続7756" type="7" refreshedVersion="4"/>
  <connection id="11234" xr16:uid="{00000000-0015-0000-FFFF-FFFF5F220000}" name="接続7757" type="7" refreshedVersion="4"/>
  <connection id="11235" xr16:uid="{00000000-0015-0000-FFFF-FFFF60220000}" name="接続7758" type="7" refreshedVersion="4"/>
  <connection id="11236" xr16:uid="{00000000-0015-0000-FFFF-FFFF61220000}" name="接続7759" type="7" refreshedVersion="4"/>
  <connection id="11237" xr16:uid="{00000000-0015-0000-FFFF-FFFF62220000}" name="接続776" type="7" refreshedVersion="4"/>
  <connection id="11238" xr16:uid="{00000000-0015-0000-FFFF-FFFF63220000}" name="接続7760" type="7" refreshedVersion="4"/>
  <connection id="11239" xr16:uid="{00000000-0015-0000-FFFF-FFFF64220000}" name="接続7761" type="7" refreshedVersion="4"/>
  <connection id="11240" xr16:uid="{00000000-0015-0000-FFFF-FFFF65220000}" name="接続7762" type="7" refreshedVersion="4"/>
  <connection id="11241" xr16:uid="{00000000-0015-0000-FFFF-FFFF66220000}" name="接続7763" type="7" refreshedVersion="4"/>
  <connection id="11242" xr16:uid="{00000000-0015-0000-FFFF-FFFF67220000}" name="接続7764" type="7" refreshedVersion="4"/>
  <connection id="11243" xr16:uid="{00000000-0015-0000-FFFF-FFFF68220000}" name="接続7765" type="7" refreshedVersion="4"/>
  <connection id="11244" xr16:uid="{00000000-0015-0000-FFFF-FFFF69220000}" name="接続7766" type="7" refreshedVersion="4"/>
  <connection id="11245" xr16:uid="{00000000-0015-0000-FFFF-FFFF6A220000}" name="接続7767" type="7" refreshedVersion="4"/>
  <connection id="11246" xr16:uid="{00000000-0015-0000-FFFF-FFFF6B220000}" name="接続7768" type="7" refreshedVersion="4"/>
  <connection id="11247" xr16:uid="{00000000-0015-0000-FFFF-FFFF6C220000}" name="接続7769" type="7" refreshedVersion="4"/>
  <connection id="11248" xr16:uid="{00000000-0015-0000-FFFF-FFFF6D220000}" name="接続777" type="7" refreshedVersion="4"/>
  <connection id="11249" xr16:uid="{00000000-0015-0000-FFFF-FFFF6E220000}" name="接続7770" type="7" refreshedVersion="4"/>
  <connection id="11250" xr16:uid="{00000000-0015-0000-FFFF-FFFF6F220000}" name="接続7771" type="7" refreshedVersion="4"/>
  <connection id="11251" xr16:uid="{00000000-0015-0000-FFFF-FFFF70220000}" name="接続7772" type="7" refreshedVersion="4"/>
  <connection id="11252" xr16:uid="{00000000-0015-0000-FFFF-FFFF71220000}" name="接続7773" type="7" refreshedVersion="4"/>
  <connection id="11253" xr16:uid="{00000000-0015-0000-FFFF-FFFF72220000}" name="接続7774" type="7" refreshedVersion="4"/>
  <connection id="11254" xr16:uid="{00000000-0015-0000-FFFF-FFFF73220000}" name="接続7775" type="7" refreshedVersion="4"/>
  <connection id="11255" xr16:uid="{00000000-0015-0000-FFFF-FFFF74220000}" name="接続7776" type="7" refreshedVersion="4"/>
  <connection id="11256" xr16:uid="{00000000-0015-0000-FFFF-FFFF75220000}" name="接続7777" type="7" refreshedVersion="4"/>
  <connection id="11257" xr16:uid="{00000000-0015-0000-FFFF-FFFF76220000}" name="接続7778" type="7" refreshedVersion="4"/>
  <connection id="11258" xr16:uid="{00000000-0015-0000-FFFF-FFFF77220000}" name="接続7779" type="7" refreshedVersion="4"/>
  <connection id="11259" xr16:uid="{00000000-0015-0000-FFFF-FFFF78220000}" name="接続778" type="7" refreshedVersion="4"/>
  <connection id="11260" xr16:uid="{00000000-0015-0000-FFFF-FFFF79220000}" name="接続7780" type="7" refreshedVersion="4"/>
  <connection id="11261" xr16:uid="{00000000-0015-0000-FFFF-FFFF7A220000}" name="接続7781" type="7" refreshedVersion="4"/>
  <connection id="11262" xr16:uid="{00000000-0015-0000-FFFF-FFFF7B220000}" name="接続7782" type="7" refreshedVersion="4"/>
  <connection id="11263" xr16:uid="{00000000-0015-0000-FFFF-FFFF7C220000}" name="接続7783" type="7" refreshedVersion="4"/>
  <connection id="11264" xr16:uid="{00000000-0015-0000-FFFF-FFFF7D220000}" name="接続7784" type="7" refreshedVersion="4"/>
  <connection id="11265" xr16:uid="{00000000-0015-0000-FFFF-FFFF7E220000}" name="接続7785" type="7" refreshedVersion="4"/>
  <connection id="11266" xr16:uid="{00000000-0015-0000-FFFF-FFFF7F220000}" name="接続7786" type="7" refreshedVersion="4"/>
  <connection id="11267" xr16:uid="{00000000-0015-0000-FFFF-FFFF80220000}" name="接続7787" type="7" refreshedVersion="4"/>
  <connection id="11268" xr16:uid="{00000000-0015-0000-FFFF-FFFF81220000}" name="接続7788" type="7" refreshedVersion="4"/>
  <connection id="11269" xr16:uid="{00000000-0015-0000-FFFF-FFFF82220000}" name="接続7789" type="7" refreshedVersion="4"/>
  <connection id="11270" xr16:uid="{00000000-0015-0000-FFFF-FFFF83220000}" name="接続779" type="7" refreshedVersion="4"/>
  <connection id="11271" xr16:uid="{00000000-0015-0000-FFFF-FFFF84220000}" name="接続7790" type="7" refreshedVersion="4"/>
  <connection id="11272" xr16:uid="{00000000-0015-0000-FFFF-FFFF85220000}" name="接続7791" type="7" refreshedVersion="4"/>
  <connection id="11273" xr16:uid="{00000000-0015-0000-FFFF-FFFF86220000}" name="接続7792" type="7" refreshedVersion="4"/>
  <connection id="11274" xr16:uid="{00000000-0015-0000-FFFF-FFFF87220000}" name="接続7793" type="7" refreshedVersion="4"/>
  <connection id="11275" xr16:uid="{00000000-0015-0000-FFFF-FFFF88220000}" name="接続7794" type="7" refreshedVersion="4"/>
  <connection id="11276" xr16:uid="{00000000-0015-0000-FFFF-FFFF89220000}" name="接続7795" type="7" refreshedVersion="4"/>
  <connection id="11277" xr16:uid="{00000000-0015-0000-FFFF-FFFF8A220000}" name="接続7796" type="7" refreshedVersion="4"/>
  <connection id="11278" xr16:uid="{00000000-0015-0000-FFFF-FFFF8B220000}" name="接続7797" type="7" refreshedVersion="4"/>
  <connection id="11279" xr16:uid="{00000000-0015-0000-FFFF-FFFF8C220000}" name="接続7798" type="7" refreshedVersion="4"/>
  <connection id="11280" xr16:uid="{00000000-0015-0000-FFFF-FFFF8D220000}" name="接続7799" type="7" refreshedVersion="4"/>
  <connection id="11281" xr16:uid="{00000000-0015-0000-FFFF-FFFF8E220000}" name="接続78" type="7" refreshedVersion="4"/>
  <connection id="11282" xr16:uid="{00000000-0015-0000-FFFF-FFFF8F220000}" name="接続780" type="7" refreshedVersion="4"/>
  <connection id="11283" xr16:uid="{00000000-0015-0000-FFFF-FFFF90220000}" name="接続7800" type="7" refreshedVersion="4"/>
  <connection id="11284" xr16:uid="{00000000-0015-0000-FFFF-FFFF91220000}" name="接続7801" type="7" refreshedVersion="4"/>
  <connection id="11285" xr16:uid="{00000000-0015-0000-FFFF-FFFF92220000}" name="接続7802" type="7" refreshedVersion="4"/>
  <connection id="11286" xr16:uid="{00000000-0015-0000-FFFF-FFFF93220000}" name="接続7803" type="7" refreshedVersion="4"/>
  <connection id="11287" xr16:uid="{00000000-0015-0000-FFFF-FFFF94220000}" name="接続7804" type="7" refreshedVersion="4"/>
  <connection id="11288" xr16:uid="{00000000-0015-0000-FFFF-FFFF95220000}" name="接続7805" type="7" refreshedVersion="4"/>
  <connection id="11289" xr16:uid="{00000000-0015-0000-FFFF-FFFF96220000}" name="接続7806" type="7" refreshedVersion="4"/>
  <connection id="11290" xr16:uid="{00000000-0015-0000-FFFF-FFFF97220000}" name="接続7807" type="7" refreshedVersion="4"/>
  <connection id="11291" xr16:uid="{00000000-0015-0000-FFFF-FFFF98220000}" name="接続7808" type="7" refreshedVersion="4"/>
  <connection id="11292" xr16:uid="{00000000-0015-0000-FFFF-FFFF99220000}" name="接続7809" type="7" refreshedVersion="4"/>
  <connection id="11293" xr16:uid="{00000000-0015-0000-FFFF-FFFF9A220000}" name="接続781" type="7" refreshedVersion="4"/>
  <connection id="11294" xr16:uid="{00000000-0015-0000-FFFF-FFFF9B220000}" name="接続7810" type="7" refreshedVersion="4"/>
  <connection id="11295" xr16:uid="{00000000-0015-0000-FFFF-FFFF9C220000}" name="接続7811" type="7" refreshedVersion="4"/>
  <connection id="11296" xr16:uid="{00000000-0015-0000-FFFF-FFFF9D220000}" name="接続7812" type="7" refreshedVersion="4"/>
  <connection id="11297" xr16:uid="{00000000-0015-0000-FFFF-FFFF9E220000}" name="接続7813" type="7" refreshedVersion="4"/>
  <connection id="11298" xr16:uid="{00000000-0015-0000-FFFF-FFFF9F220000}" name="接続7814" type="7" refreshedVersion="4"/>
  <connection id="11299" xr16:uid="{00000000-0015-0000-FFFF-FFFFA0220000}" name="接続7815" type="7" refreshedVersion="4"/>
  <connection id="11300" xr16:uid="{00000000-0015-0000-FFFF-FFFFA1220000}" name="接続7816" type="7" refreshedVersion="4"/>
  <connection id="11301" xr16:uid="{00000000-0015-0000-FFFF-FFFFA2220000}" name="接続7817" type="7" refreshedVersion="4"/>
  <connection id="11302" xr16:uid="{00000000-0015-0000-FFFF-FFFFA3220000}" name="接続7818" type="7" refreshedVersion="4"/>
  <connection id="11303" xr16:uid="{00000000-0015-0000-FFFF-FFFFA4220000}" name="接続7819" type="7" refreshedVersion="4"/>
  <connection id="11304" xr16:uid="{00000000-0015-0000-FFFF-FFFFA5220000}" name="接続782" type="7" refreshedVersion="4"/>
  <connection id="11305" xr16:uid="{00000000-0015-0000-FFFF-FFFFA6220000}" name="接続7820" type="7" refreshedVersion="4"/>
  <connection id="11306" xr16:uid="{00000000-0015-0000-FFFF-FFFFA7220000}" name="接続7821" type="7" refreshedVersion="4"/>
  <connection id="11307" xr16:uid="{00000000-0015-0000-FFFF-FFFFA8220000}" name="接続7822" type="7" refreshedVersion="4"/>
  <connection id="11308" xr16:uid="{00000000-0015-0000-FFFF-FFFFA9220000}" name="接続7823" type="7" refreshedVersion="4"/>
  <connection id="11309" xr16:uid="{00000000-0015-0000-FFFF-FFFFAA220000}" name="接続7824" type="7" refreshedVersion="4"/>
  <connection id="11310" xr16:uid="{00000000-0015-0000-FFFF-FFFFAB220000}" name="接続7825" type="7" refreshedVersion="4"/>
  <connection id="11311" xr16:uid="{00000000-0015-0000-FFFF-FFFFAC220000}" name="接続7826" type="7" refreshedVersion="4"/>
  <connection id="11312" xr16:uid="{00000000-0015-0000-FFFF-FFFFAD220000}" name="接続7827" type="7" refreshedVersion="4"/>
  <connection id="11313" xr16:uid="{00000000-0015-0000-FFFF-FFFFAE220000}" name="接続7828" type="7" refreshedVersion="4"/>
  <connection id="11314" xr16:uid="{00000000-0015-0000-FFFF-FFFFAF220000}" name="接続7829" type="7" refreshedVersion="4"/>
  <connection id="11315" xr16:uid="{00000000-0015-0000-FFFF-FFFFB0220000}" name="接続783" type="7" refreshedVersion="4"/>
  <connection id="11316" xr16:uid="{00000000-0015-0000-FFFF-FFFFB1220000}" name="接続7830" type="7" refreshedVersion="4"/>
  <connection id="11317" xr16:uid="{00000000-0015-0000-FFFF-FFFFB2220000}" name="接続7831" type="7" refreshedVersion="4"/>
  <connection id="11318" xr16:uid="{00000000-0015-0000-FFFF-FFFFB3220000}" name="接続7832" type="7" refreshedVersion="4"/>
  <connection id="11319" xr16:uid="{00000000-0015-0000-FFFF-FFFFB4220000}" name="接続7833" type="7" refreshedVersion="4"/>
  <connection id="11320" xr16:uid="{00000000-0015-0000-FFFF-FFFFB5220000}" name="接続7834" type="7" refreshedVersion="4"/>
  <connection id="11321" xr16:uid="{00000000-0015-0000-FFFF-FFFFB6220000}" name="接続7835" type="7" refreshedVersion="4"/>
  <connection id="11322" xr16:uid="{00000000-0015-0000-FFFF-FFFFB7220000}" name="接続7836" type="7" refreshedVersion="4"/>
  <connection id="11323" xr16:uid="{00000000-0015-0000-FFFF-FFFFB8220000}" name="接続7837" type="7" refreshedVersion="4"/>
  <connection id="11324" xr16:uid="{00000000-0015-0000-FFFF-FFFFB9220000}" name="接続7838" type="7" refreshedVersion="4"/>
  <connection id="11325" xr16:uid="{00000000-0015-0000-FFFF-FFFFBA220000}" name="接続7839" type="7" refreshedVersion="4"/>
  <connection id="11326" xr16:uid="{00000000-0015-0000-FFFF-FFFFBB220000}" name="接続784" type="7" refreshedVersion="4"/>
  <connection id="11327" xr16:uid="{00000000-0015-0000-FFFF-FFFFBC220000}" name="接続7840" type="7" refreshedVersion="4"/>
  <connection id="11328" xr16:uid="{00000000-0015-0000-FFFF-FFFFBD220000}" name="接続7841" type="7" refreshedVersion="4"/>
  <connection id="11329" xr16:uid="{00000000-0015-0000-FFFF-FFFFBE220000}" name="接続7842" type="7" refreshedVersion="4"/>
  <connection id="11330" xr16:uid="{00000000-0015-0000-FFFF-FFFFBF220000}" name="接続7843" type="7" refreshedVersion="4"/>
  <connection id="11331" xr16:uid="{00000000-0015-0000-FFFF-FFFFC0220000}" name="接続7844" type="7" refreshedVersion="4"/>
  <connection id="11332" xr16:uid="{00000000-0015-0000-FFFF-FFFFC1220000}" name="接続7845" type="7" refreshedVersion="4"/>
  <connection id="11333" xr16:uid="{00000000-0015-0000-FFFF-FFFFC2220000}" name="接続7846" type="7" refreshedVersion="4"/>
  <connection id="11334" xr16:uid="{00000000-0015-0000-FFFF-FFFFC3220000}" name="接続7847" type="7" refreshedVersion="4"/>
  <connection id="11335" xr16:uid="{00000000-0015-0000-FFFF-FFFFC4220000}" name="接続7848" type="7" refreshedVersion="4"/>
  <connection id="11336" xr16:uid="{00000000-0015-0000-FFFF-FFFFC5220000}" name="接続7849" type="7" refreshedVersion="4"/>
  <connection id="11337" xr16:uid="{00000000-0015-0000-FFFF-FFFFC6220000}" name="接続785" type="7" refreshedVersion="4"/>
  <connection id="11338" xr16:uid="{00000000-0015-0000-FFFF-FFFFC7220000}" name="接続7850" type="7" refreshedVersion="4"/>
  <connection id="11339" xr16:uid="{00000000-0015-0000-FFFF-FFFFC8220000}" name="接続7851" type="7" refreshedVersion="4"/>
  <connection id="11340" xr16:uid="{00000000-0015-0000-FFFF-FFFFC9220000}" name="接続7852" type="7" refreshedVersion="4"/>
  <connection id="11341" xr16:uid="{00000000-0015-0000-FFFF-FFFFCA220000}" name="接続7853" type="7" refreshedVersion="4"/>
  <connection id="11342" xr16:uid="{00000000-0015-0000-FFFF-FFFFCB220000}" name="接続7854" type="7" refreshedVersion="4"/>
  <connection id="11343" xr16:uid="{00000000-0015-0000-FFFF-FFFFCC220000}" name="接続7855" type="7" refreshedVersion="4"/>
  <connection id="11344" xr16:uid="{00000000-0015-0000-FFFF-FFFFCD220000}" name="接続7856" type="7" refreshedVersion="4"/>
  <connection id="11345" xr16:uid="{00000000-0015-0000-FFFF-FFFFCE220000}" name="接続7857" type="7" refreshedVersion="4"/>
  <connection id="11346" xr16:uid="{00000000-0015-0000-FFFF-FFFFCF220000}" name="接続7858" type="7" refreshedVersion="4"/>
  <connection id="11347" xr16:uid="{00000000-0015-0000-FFFF-FFFFD0220000}" name="接続7859" type="7" refreshedVersion="4"/>
  <connection id="11348" xr16:uid="{00000000-0015-0000-FFFF-FFFFD1220000}" name="接続786" type="7" refreshedVersion="4"/>
  <connection id="11349" xr16:uid="{00000000-0015-0000-FFFF-FFFFD2220000}" name="接続7860" type="7" refreshedVersion="4"/>
  <connection id="11350" xr16:uid="{00000000-0015-0000-FFFF-FFFFD3220000}" name="接続7861" type="7" refreshedVersion="4"/>
  <connection id="11351" xr16:uid="{00000000-0015-0000-FFFF-FFFFD4220000}" name="接続7862" type="7" refreshedVersion="4"/>
  <connection id="11352" xr16:uid="{00000000-0015-0000-FFFF-FFFFD5220000}" name="接続7863" type="7" refreshedVersion="4"/>
  <connection id="11353" xr16:uid="{00000000-0015-0000-FFFF-FFFFD6220000}" name="接続7864" type="7" refreshedVersion="4"/>
  <connection id="11354" xr16:uid="{00000000-0015-0000-FFFF-FFFFD7220000}" name="接続7865" type="7" refreshedVersion="4"/>
  <connection id="11355" xr16:uid="{00000000-0015-0000-FFFF-FFFFD8220000}" name="接続7866" type="7" refreshedVersion="4"/>
  <connection id="11356" xr16:uid="{00000000-0015-0000-FFFF-FFFFD9220000}" name="接続7867" type="7" refreshedVersion="4"/>
  <connection id="11357" xr16:uid="{00000000-0015-0000-FFFF-FFFFDA220000}" name="接続7868" type="7" refreshedVersion="4"/>
  <connection id="11358" xr16:uid="{00000000-0015-0000-FFFF-FFFFDB220000}" name="接続7869" type="7" refreshedVersion="4"/>
  <connection id="11359" xr16:uid="{00000000-0015-0000-FFFF-FFFFDC220000}" name="接続787" type="7" refreshedVersion="4"/>
  <connection id="11360" xr16:uid="{00000000-0015-0000-FFFF-FFFFDD220000}" name="接続7870" type="7" refreshedVersion="4"/>
  <connection id="11361" xr16:uid="{00000000-0015-0000-FFFF-FFFFDE220000}" name="接続7871" type="7" refreshedVersion="4"/>
  <connection id="11362" xr16:uid="{00000000-0015-0000-FFFF-FFFFDF220000}" name="接続7872" type="7" refreshedVersion="4"/>
  <connection id="11363" xr16:uid="{00000000-0015-0000-FFFF-FFFFE0220000}" name="接続7873" type="7" refreshedVersion="4"/>
  <connection id="11364" xr16:uid="{00000000-0015-0000-FFFF-FFFFE1220000}" name="接続7874" type="7" refreshedVersion="4"/>
  <connection id="11365" xr16:uid="{00000000-0015-0000-FFFF-FFFFE2220000}" name="接続7875" type="7" refreshedVersion="4"/>
  <connection id="11366" xr16:uid="{00000000-0015-0000-FFFF-FFFFE3220000}" name="接続7876" type="7" refreshedVersion="4"/>
  <connection id="11367" xr16:uid="{00000000-0015-0000-FFFF-FFFFE4220000}" name="接続7877" type="7" refreshedVersion="4"/>
  <connection id="11368" xr16:uid="{00000000-0015-0000-FFFF-FFFFE5220000}" name="接続7878" type="7" refreshedVersion="4"/>
  <connection id="11369" xr16:uid="{00000000-0015-0000-FFFF-FFFFE6220000}" name="接続7879" type="7" refreshedVersion="4"/>
  <connection id="11370" xr16:uid="{00000000-0015-0000-FFFF-FFFFE7220000}" name="接続788" type="7" refreshedVersion="4"/>
  <connection id="11371" xr16:uid="{00000000-0015-0000-FFFF-FFFFE8220000}" name="接続7880" type="7" refreshedVersion="4"/>
  <connection id="11372" xr16:uid="{00000000-0015-0000-FFFF-FFFFE9220000}" name="接続7881" type="7" refreshedVersion="4"/>
  <connection id="11373" xr16:uid="{00000000-0015-0000-FFFF-FFFFEA220000}" name="接続7882" type="7" refreshedVersion="4"/>
  <connection id="11374" xr16:uid="{00000000-0015-0000-FFFF-FFFFEB220000}" name="接続7883" type="7" refreshedVersion="4"/>
  <connection id="11375" xr16:uid="{00000000-0015-0000-FFFF-FFFFEC220000}" name="接続7884" type="7" refreshedVersion="4"/>
  <connection id="11376" xr16:uid="{00000000-0015-0000-FFFF-FFFFED220000}" name="接続7885" type="7" refreshedVersion="4"/>
  <connection id="11377" xr16:uid="{00000000-0015-0000-FFFF-FFFFEE220000}" name="接続7886" type="7" refreshedVersion="4"/>
  <connection id="11378" xr16:uid="{00000000-0015-0000-FFFF-FFFFEF220000}" name="接続7887" type="7" refreshedVersion="4"/>
  <connection id="11379" xr16:uid="{00000000-0015-0000-FFFF-FFFFF0220000}" name="接続7888" type="7" refreshedVersion="4"/>
  <connection id="11380" xr16:uid="{00000000-0015-0000-FFFF-FFFFF1220000}" name="接続7889" type="7" refreshedVersion="4"/>
  <connection id="11381" xr16:uid="{00000000-0015-0000-FFFF-FFFFF2220000}" name="接続789" type="7" refreshedVersion="4"/>
  <connection id="11382" xr16:uid="{00000000-0015-0000-FFFF-FFFFF3220000}" name="接続7890" type="7" refreshedVersion="4"/>
  <connection id="11383" xr16:uid="{00000000-0015-0000-FFFF-FFFFF4220000}" name="接続7891" type="7" refreshedVersion="4"/>
  <connection id="11384" xr16:uid="{00000000-0015-0000-FFFF-FFFFF5220000}" name="接続7892" type="7" refreshedVersion="4"/>
  <connection id="11385" xr16:uid="{00000000-0015-0000-FFFF-FFFFF6220000}" name="接続7893" type="7" refreshedVersion="4"/>
  <connection id="11386" xr16:uid="{00000000-0015-0000-FFFF-FFFFF7220000}" name="接続7894" type="7" refreshedVersion="4"/>
  <connection id="11387" xr16:uid="{00000000-0015-0000-FFFF-FFFFF8220000}" name="接続7895" type="7" refreshedVersion="4"/>
  <connection id="11388" xr16:uid="{00000000-0015-0000-FFFF-FFFFF9220000}" name="接続7896" type="7" refreshedVersion="4"/>
  <connection id="11389" xr16:uid="{00000000-0015-0000-FFFF-FFFFFA220000}" name="接続7897" type="7" refreshedVersion="4"/>
  <connection id="11390" xr16:uid="{00000000-0015-0000-FFFF-FFFFFB220000}" name="接続7898" type="7" refreshedVersion="4"/>
  <connection id="11391" xr16:uid="{00000000-0015-0000-FFFF-FFFFFC220000}" name="接続7899" type="7" refreshedVersion="4"/>
  <connection id="11392" xr16:uid="{00000000-0015-0000-FFFF-FFFFFD220000}" name="接続79" type="7" refreshedVersion="4"/>
  <connection id="11393" xr16:uid="{00000000-0015-0000-FFFF-FFFFFE220000}" name="接続790" type="7" refreshedVersion="4"/>
  <connection id="11394" xr16:uid="{00000000-0015-0000-FFFF-FFFFFF220000}" name="接続7900" type="7" refreshedVersion="4"/>
  <connection id="11395" xr16:uid="{00000000-0015-0000-FFFF-FFFF00230000}" name="接続7901" type="7" refreshedVersion="4"/>
  <connection id="11396" xr16:uid="{00000000-0015-0000-FFFF-FFFF01230000}" name="接続7902" type="7" refreshedVersion="4"/>
  <connection id="11397" xr16:uid="{00000000-0015-0000-FFFF-FFFF02230000}" name="接続7903" type="7" refreshedVersion="4"/>
  <connection id="11398" xr16:uid="{00000000-0015-0000-FFFF-FFFF03230000}" name="接続7904" type="7" refreshedVersion="4"/>
  <connection id="11399" xr16:uid="{00000000-0015-0000-FFFF-FFFF04230000}" name="接続7905" type="7" refreshedVersion="4"/>
  <connection id="11400" xr16:uid="{00000000-0015-0000-FFFF-FFFF05230000}" name="接続7906" type="7" refreshedVersion="4"/>
  <connection id="11401" xr16:uid="{00000000-0015-0000-FFFF-FFFF06230000}" name="接続7907" type="7" refreshedVersion="4"/>
  <connection id="11402" xr16:uid="{00000000-0015-0000-FFFF-FFFF07230000}" name="接続7908" type="7" refreshedVersion="4"/>
  <connection id="11403" xr16:uid="{00000000-0015-0000-FFFF-FFFF08230000}" name="接続7909" type="7" refreshedVersion="4"/>
  <connection id="11404" xr16:uid="{00000000-0015-0000-FFFF-FFFF09230000}" name="接続791" type="7" refreshedVersion="4"/>
  <connection id="11405" xr16:uid="{00000000-0015-0000-FFFF-FFFF0A230000}" name="接続7910" type="7" refreshedVersion="4"/>
  <connection id="11406" xr16:uid="{00000000-0015-0000-FFFF-FFFF0B230000}" name="接続7911" type="7" refreshedVersion="4"/>
  <connection id="11407" xr16:uid="{00000000-0015-0000-FFFF-FFFF0C230000}" name="接続7912" type="7" refreshedVersion="4"/>
  <connection id="11408" xr16:uid="{00000000-0015-0000-FFFF-FFFF0D230000}" name="接続7913" type="7" refreshedVersion="4"/>
  <connection id="11409" xr16:uid="{00000000-0015-0000-FFFF-FFFF0E230000}" name="接続7914" type="7" refreshedVersion="4"/>
  <connection id="11410" xr16:uid="{00000000-0015-0000-FFFF-FFFF0F230000}" name="接続7915" type="7" refreshedVersion="4"/>
  <connection id="11411" xr16:uid="{00000000-0015-0000-FFFF-FFFF10230000}" name="接続7916" type="7" refreshedVersion="4"/>
  <connection id="11412" xr16:uid="{00000000-0015-0000-FFFF-FFFF11230000}" name="接続7917" type="7" refreshedVersion="4"/>
  <connection id="11413" xr16:uid="{00000000-0015-0000-FFFF-FFFF12230000}" name="接続7918" type="7" refreshedVersion="4"/>
  <connection id="11414" xr16:uid="{00000000-0015-0000-FFFF-FFFF13230000}" name="接続7919" type="7" refreshedVersion="4"/>
  <connection id="11415" xr16:uid="{00000000-0015-0000-FFFF-FFFF14230000}" name="接続792" type="7" refreshedVersion="4"/>
  <connection id="11416" xr16:uid="{00000000-0015-0000-FFFF-FFFF15230000}" name="接続7920" type="7" refreshedVersion="4"/>
  <connection id="11417" xr16:uid="{00000000-0015-0000-FFFF-FFFF16230000}" name="接続7921" type="7" refreshedVersion="4"/>
  <connection id="11418" xr16:uid="{00000000-0015-0000-FFFF-FFFF17230000}" name="接続7922" type="7" refreshedVersion="4"/>
  <connection id="11419" xr16:uid="{00000000-0015-0000-FFFF-FFFF18230000}" name="接続7923" type="7" refreshedVersion="4"/>
  <connection id="11420" xr16:uid="{00000000-0015-0000-FFFF-FFFF19230000}" name="接続7924" type="7" refreshedVersion="4"/>
  <connection id="11421" xr16:uid="{00000000-0015-0000-FFFF-FFFF1A230000}" name="接続7925" type="7" refreshedVersion="4"/>
  <connection id="11422" xr16:uid="{00000000-0015-0000-FFFF-FFFF1B230000}" name="接続7926" type="7" refreshedVersion="4"/>
  <connection id="11423" xr16:uid="{00000000-0015-0000-FFFF-FFFF1C230000}" name="接続7927" type="7" refreshedVersion="4"/>
  <connection id="11424" xr16:uid="{00000000-0015-0000-FFFF-FFFF1D230000}" name="接続7928" type="7" refreshedVersion="4"/>
  <connection id="11425" xr16:uid="{00000000-0015-0000-FFFF-FFFF1E230000}" name="接続7929" type="7" refreshedVersion="4"/>
  <connection id="11426" xr16:uid="{00000000-0015-0000-FFFF-FFFF1F230000}" name="接続793" type="7" refreshedVersion="4"/>
  <connection id="11427" xr16:uid="{00000000-0015-0000-FFFF-FFFF20230000}" name="接続7930" type="7" refreshedVersion="4"/>
  <connection id="11428" xr16:uid="{00000000-0015-0000-FFFF-FFFF21230000}" name="接続7931" type="7" refreshedVersion="4"/>
  <connection id="11429" xr16:uid="{00000000-0015-0000-FFFF-FFFF22230000}" name="接続7932" type="7" refreshedVersion="4"/>
  <connection id="11430" xr16:uid="{00000000-0015-0000-FFFF-FFFF23230000}" name="接続7933" type="7" refreshedVersion="4"/>
  <connection id="11431" xr16:uid="{00000000-0015-0000-FFFF-FFFF24230000}" name="接続7934" type="7" refreshedVersion="4"/>
  <connection id="11432" xr16:uid="{00000000-0015-0000-FFFF-FFFF25230000}" name="接続7935" type="7" refreshedVersion="4"/>
  <connection id="11433" xr16:uid="{00000000-0015-0000-FFFF-FFFF26230000}" name="接続7936" type="7" refreshedVersion="4"/>
  <connection id="11434" xr16:uid="{00000000-0015-0000-FFFF-FFFF27230000}" name="接続7937" type="7" refreshedVersion="4"/>
  <connection id="11435" xr16:uid="{00000000-0015-0000-FFFF-FFFF28230000}" name="接続7938" type="7" refreshedVersion="4"/>
  <connection id="11436" xr16:uid="{00000000-0015-0000-FFFF-FFFF29230000}" name="接続7939" type="7" refreshedVersion="4"/>
  <connection id="11437" xr16:uid="{00000000-0015-0000-FFFF-FFFF2A230000}" name="接続794" type="7" refreshedVersion="4"/>
  <connection id="11438" xr16:uid="{00000000-0015-0000-FFFF-FFFF2B230000}" name="接続7940" type="7" refreshedVersion="4"/>
  <connection id="11439" xr16:uid="{00000000-0015-0000-FFFF-FFFF2C230000}" name="接続7941" type="7" refreshedVersion="4"/>
  <connection id="11440" xr16:uid="{00000000-0015-0000-FFFF-FFFF2D230000}" name="接続7942" type="7" refreshedVersion="4"/>
  <connection id="11441" xr16:uid="{00000000-0015-0000-FFFF-FFFF2E230000}" name="接続7943" type="7" refreshedVersion="4"/>
  <connection id="11442" xr16:uid="{00000000-0015-0000-FFFF-FFFF2F230000}" name="接続7944" type="7" refreshedVersion="4"/>
  <connection id="11443" xr16:uid="{00000000-0015-0000-FFFF-FFFF30230000}" name="接続7945" type="7" refreshedVersion="4"/>
  <connection id="11444" xr16:uid="{00000000-0015-0000-FFFF-FFFF31230000}" name="接続7946" type="7" refreshedVersion="4"/>
  <connection id="11445" xr16:uid="{00000000-0015-0000-FFFF-FFFF32230000}" name="接続7947" type="7" refreshedVersion="4"/>
  <connection id="11446" xr16:uid="{00000000-0015-0000-FFFF-FFFF33230000}" name="接続7948" type="7" refreshedVersion="4"/>
  <connection id="11447" xr16:uid="{00000000-0015-0000-FFFF-FFFF34230000}" name="接続7949" type="7" refreshedVersion="4"/>
  <connection id="11448" xr16:uid="{00000000-0015-0000-FFFF-FFFF35230000}" name="接続795" type="7" refreshedVersion="4"/>
  <connection id="11449" xr16:uid="{00000000-0015-0000-FFFF-FFFF36230000}" name="接続7950" type="7" refreshedVersion="4"/>
  <connection id="11450" xr16:uid="{00000000-0015-0000-FFFF-FFFF37230000}" name="接続7951" type="7" refreshedVersion="4"/>
  <connection id="11451" xr16:uid="{00000000-0015-0000-FFFF-FFFF38230000}" name="接続7952" type="7" refreshedVersion="4"/>
  <connection id="11452" xr16:uid="{00000000-0015-0000-FFFF-FFFF39230000}" name="接続7953" type="7" refreshedVersion="4"/>
  <connection id="11453" xr16:uid="{00000000-0015-0000-FFFF-FFFF3A230000}" name="接続7954" type="7" refreshedVersion="4"/>
  <connection id="11454" xr16:uid="{00000000-0015-0000-FFFF-FFFF3B230000}" name="接続7955" type="7" refreshedVersion="4"/>
  <connection id="11455" xr16:uid="{00000000-0015-0000-FFFF-FFFF3C230000}" name="接続7956" type="7" refreshedVersion="4"/>
  <connection id="11456" xr16:uid="{00000000-0015-0000-FFFF-FFFF3D230000}" name="接続7957" type="7" refreshedVersion="4"/>
  <connection id="11457" xr16:uid="{00000000-0015-0000-FFFF-FFFF3E230000}" name="接続7958" type="7" refreshedVersion="4"/>
  <connection id="11458" xr16:uid="{00000000-0015-0000-FFFF-FFFF3F230000}" name="接続7959" type="7" refreshedVersion="4"/>
  <connection id="11459" xr16:uid="{00000000-0015-0000-FFFF-FFFF40230000}" name="接続796" type="7" refreshedVersion="4"/>
  <connection id="11460" xr16:uid="{00000000-0015-0000-FFFF-FFFF41230000}" name="接続7960" type="7" refreshedVersion="4"/>
  <connection id="11461" xr16:uid="{00000000-0015-0000-FFFF-FFFF42230000}" name="接続7961" type="7" refreshedVersion="4"/>
  <connection id="11462" xr16:uid="{00000000-0015-0000-FFFF-FFFF43230000}" name="接続7962" type="7" refreshedVersion="4"/>
  <connection id="11463" xr16:uid="{00000000-0015-0000-FFFF-FFFF44230000}" name="接続7963" type="7" refreshedVersion="4"/>
  <connection id="11464" xr16:uid="{00000000-0015-0000-FFFF-FFFF45230000}" name="接続7964" type="7" refreshedVersion="4"/>
  <connection id="11465" xr16:uid="{00000000-0015-0000-FFFF-FFFF46230000}" name="接続7965" type="7" refreshedVersion="4"/>
  <connection id="11466" xr16:uid="{00000000-0015-0000-FFFF-FFFF47230000}" name="接続7966" type="7" refreshedVersion="4"/>
  <connection id="11467" xr16:uid="{00000000-0015-0000-FFFF-FFFF48230000}" name="接続7967" type="7" refreshedVersion="4"/>
  <connection id="11468" xr16:uid="{00000000-0015-0000-FFFF-FFFF49230000}" name="接続7968" type="7" refreshedVersion="4"/>
  <connection id="11469" xr16:uid="{00000000-0015-0000-FFFF-FFFF4A230000}" name="接続7969" type="7" refreshedVersion="4"/>
  <connection id="11470" xr16:uid="{00000000-0015-0000-FFFF-FFFF4B230000}" name="接続797" type="7" refreshedVersion="4"/>
  <connection id="11471" xr16:uid="{00000000-0015-0000-FFFF-FFFF4C230000}" name="接続7970" type="7" refreshedVersion="4"/>
  <connection id="11472" xr16:uid="{00000000-0015-0000-FFFF-FFFF4D230000}" name="接続7971" type="7" refreshedVersion="4"/>
  <connection id="11473" xr16:uid="{00000000-0015-0000-FFFF-FFFF4E230000}" name="接続7972" type="7" refreshedVersion="4"/>
  <connection id="11474" xr16:uid="{00000000-0015-0000-FFFF-FFFF4F230000}" name="接続7973" type="7" refreshedVersion="4"/>
  <connection id="11475" xr16:uid="{00000000-0015-0000-FFFF-FFFF50230000}" name="接続7974" type="7" refreshedVersion="4"/>
  <connection id="11476" xr16:uid="{00000000-0015-0000-FFFF-FFFF51230000}" name="接続7975" type="7" refreshedVersion="4"/>
  <connection id="11477" xr16:uid="{00000000-0015-0000-FFFF-FFFF52230000}" name="接続7976" type="7" refreshedVersion="4"/>
  <connection id="11478" xr16:uid="{00000000-0015-0000-FFFF-FFFF53230000}" name="接続7977" type="7" refreshedVersion="4"/>
  <connection id="11479" xr16:uid="{00000000-0015-0000-FFFF-FFFF54230000}" name="接続7978" type="7" refreshedVersion="4"/>
  <connection id="11480" xr16:uid="{00000000-0015-0000-FFFF-FFFF55230000}" name="接続7979" type="7" refreshedVersion="4"/>
  <connection id="11481" xr16:uid="{00000000-0015-0000-FFFF-FFFF56230000}" name="接続798" type="7" refreshedVersion="4"/>
  <connection id="11482" xr16:uid="{00000000-0015-0000-FFFF-FFFF57230000}" name="接続7980" type="7" refreshedVersion="4"/>
  <connection id="11483" xr16:uid="{00000000-0015-0000-FFFF-FFFF58230000}" name="接続7981" type="7" refreshedVersion="4"/>
  <connection id="11484" xr16:uid="{00000000-0015-0000-FFFF-FFFF59230000}" name="接続7982" type="7" refreshedVersion="4"/>
  <connection id="11485" xr16:uid="{00000000-0015-0000-FFFF-FFFF5A230000}" name="接続7983" type="7" refreshedVersion="4"/>
  <connection id="11486" xr16:uid="{00000000-0015-0000-FFFF-FFFF5B230000}" name="接続7984" type="7" refreshedVersion="4"/>
  <connection id="11487" xr16:uid="{00000000-0015-0000-FFFF-FFFF5C230000}" name="接続7985" type="7" refreshedVersion="4"/>
  <connection id="11488" xr16:uid="{00000000-0015-0000-FFFF-FFFF5D230000}" name="接続7986" type="7" refreshedVersion="4"/>
  <connection id="11489" xr16:uid="{00000000-0015-0000-FFFF-FFFF5E230000}" name="接続7987" type="7" refreshedVersion="4"/>
  <connection id="11490" xr16:uid="{00000000-0015-0000-FFFF-FFFF5F230000}" name="接続7988" type="7" refreshedVersion="4"/>
  <connection id="11491" xr16:uid="{00000000-0015-0000-FFFF-FFFF60230000}" name="接続7989" type="7" refreshedVersion="4"/>
  <connection id="11492" xr16:uid="{00000000-0015-0000-FFFF-FFFF61230000}" name="接続799" type="7" refreshedVersion="4"/>
  <connection id="11493" xr16:uid="{00000000-0015-0000-FFFF-FFFF62230000}" name="接続7990" type="7" refreshedVersion="4"/>
  <connection id="11494" xr16:uid="{00000000-0015-0000-FFFF-FFFF63230000}" name="接続7991" type="7" refreshedVersion="4"/>
  <connection id="11495" xr16:uid="{00000000-0015-0000-FFFF-FFFF64230000}" name="接続7992" type="7" refreshedVersion="4"/>
  <connection id="11496" xr16:uid="{00000000-0015-0000-FFFF-FFFF65230000}" name="接続7993" type="7" refreshedVersion="4"/>
  <connection id="11497" xr16:uid="{00000000-0015-0000-FFFF-FFFF66230000}" name="接続7994" type="7" refreshedVersion="4"/>
  <connection id="11498" xr16:uid="{00000000-0015-0000-FFFF-FFFF67230000}" name="接続7995" type="7" refreshedVersion="4"/>
  <connection id="11499" xr16:uid="{00000000-0015-0000-FFFF-FFFF68230000}" name="接続7996" type="7" refreshedVersion="4"/>
  <connection id="11500" xr16:uid="{00000000-0015-0000-FFFF-FFFF69230000}" name="接続7997" type="7" refreshedVersion="4"/>
  <connection id="11501" xr16:uid="{00000000-0015-0000-FFFF-FFFF6A230000}" name="接続7998" type="7" refreshedVersion="4"/>
  <connection id="11502" xr16:uid="{00000000-0015-0000-FFFF-FFFF6B230000}" name="接続7999" type="7" refreshedVersion="4"/>
  <connection id="11503" xr16:uid="{00000000-0015-0000-FFFF-FFFF6C230000}" name="接続8" type="7" refreshedVersion="3"/>
  <connection id="11504" xr16:uid="{00000000-0015-0000-FFFF-FFFF6D230000}" name="接続80" type="7" refreshedVersion="4"/>
  <connection id="11505" xr16:uid="{00000000-0015-0000-FFFF-FFFF6E230000}" name="接続800" type="7" refreshedVersion="4"/>
  <connection id="11506" xr16:uid="{00000000-0015-0000-FFFF-FFFF6F230000}" name="接続8000" type="7" refreshedVersion="4"/>
  <connection id="11507" xr16:uid="{00000000-0015-0000-FFFF-FFFF70230000}" name="接続8001" type="7" refreshedVersion="4"/>
  <connection id="11508" xr16:uid="{00000000-0015-0000-FFFF-FFFF71230000}" name="接続8002" type="7" refreshedVersion="4"/>
  <connection id="11509" xr16:uid="{00000000-0015-0000-FFFF-FFFF72230000}" name="接続8003" type="7" refreshedVersion="4"/>
  <connection id="11510" xr16:uid="{00000000-0015-0000-FFFF-FFFF73230000}" name="接続8004" type="7" refreshedVersion="4"/>
  <connection id="11511" xr16:uid="{00000000-0015-0000-FFFF-FFFF74230000}" name="接続8005" type="7" refreshedVersion="4"/>
  <connection id="11512" xr16:uid="{00000000-0015-0000-FFFF-FFFF75230000}" name="接続8006" type="7" refreshedVersion="4"/>
  <connection id="11513" xr16:uid="{00000000-0015-0000-FFFF-FFFF76230000}" name="接続8007" type="7" refreshedVersion="4"/>
  <connection id="11514" xr16:uid="{00000000-0015-0000-FFFF-FFFF77230000}" name="接続8008" type="7" refreshedVersion="4"/>
  <connection id="11515" xr16:uid="{00000000-0015-0000-FFFF-FFFF78230000}" name="接続8009" type="7" refreshedVersion="4"/>
  <connection id="11516" xr16:uid="{00000000-0015-0000-FFFF-FFFF79230000}" name="接続801" type="7" refreshedVersion="4"/>
  <connection id="11517" xr16:uid="{00000000-0015-0000-FFFF-FFFF7A230000}" name="接続8010" type="7" refreshedVersion="4"/>
  <connection id="11518" xr16:uid="{00000000-0015-0000-FFFF-FFFF7B230000}" name="接続8011" type="7" refreshedVersion="4"/>
  <connection id="11519" xr16:uid="{00000000-0015-0000-FFFF-FFFF7C230000}" name="接続8012" type="7" refreshedVersion="4"/>
  <connection id="11520" xr16:uid="{00000000-0015-0000-FFFF-FFFF7D230000}" name="接続8013" type="7" refreshedVersion="4"/>
  <connection id="11521" xr16:uid="{00000000-0015-0000-FFFF-FFFF7E230000}" name="接続8014" type="7" refreshedVersion="4"/>
  <connection id="11522" xr16:uid="{00000000-0015-0000-FFFF-FFFF7F230000}" name="接続8015" type="7" refreshedVersion="4"/>
  <connection id="11523" xr16:uid="{00000000-0015-0000-FFFF-FFFF80230000}" name="接続8016" type="7" refreshedVersion="4"/>
  <connection id="11524" xr16:uid="{00000000-0015-0000-FFFF-FFFF81230000}" name="接続8017" type="7" refreshedVersion="4"/>
  <connection id="11525" xr16:uid="{00000000-0015-0000-FFFF-FFFF82230000}" name="接続8018" type="7" refreshedVersion="4"/>
  <connection id="11526" xr16:uid="{00000000-0015-0000-FFFF-FFFF83230000}" name="接続8019" type="7" refreshedVersion="4"/>
  <connection id="11527" xr16:uid="{00000000-0015-0000-FFFF-FFFF84230000}" name="接続802" type="7" refreshedVersion="4"/>
  <connection id="11528" xr16:uid="{00000000-0015-0000-FFFF-FFFF85230000}" name="接続8020" type="7" refreshedVersion="4"/>
  <connection id="11529" xr16:uid="{00000000-0015-0000-FFFF-FFFF86230000}" name="接続8021" type="7" refreshedVersion="4"/>
  <connection id="11530" xr16:uid="{00000000-0015-0000-FFFF-FFFF87230000}" name="接続8022" type="7" refreshedVersion="4"/>
  <connection id="11531" xr16:uid="{00000000-0015-0000-FFFF-FFFF88230000}" name="接続8023" type="7" refreshedVersion="4"/>
  <connection id="11532" xr16:uid="{00000000-0015-0000-FFFF-FFFF89230000}" name="接続8024" type="7" refreshedVersion="4"/>
  <connection id="11533" xr16:uid="{00000000-0015-0000-FFFF-FFFF8A230000}" name="接続8025" type="7" refreshedVersion="4"/>
  <connection id="11534" xr16:uid="{00000000-0015-0000-FFFF-FFFF8B230000}" name="接続8026" type="7" refreshedVersion="4"/>
  <connection id="11535" xr16:uid="{00000000-0015-0000-FFFF-FFFF8C230000}" name="接続8027" type="7" refreshedVersion="4"/>
  <connection id="11536" xr16:uid="{00000000-0015-0000-FFFF-FFFF8D230000}" name="接続8028" type="7" refreshedVersion="4"/>
  <connection id="11537" xr16:uid="{00000000-0015-0000-FFFF-FFFF8E230000}" name="接続8029" type="7" refreshedVersion="4"/>
  <connection id="11538" xr16:uid="{00000000-0015-0000-FFFF-FFFF8F230000}" name="接続803" type="7" refreshedVersion="4"/>
  <connection id="11539" xr16:uid="{00000000-0015-0000-FFFF-FFFF90230000}" name="接続8030" type="7" refreshedVersion="4"/>
  <connection id="11540" xr16:uid="{00000000-0015-0000-FFFF-FFFF91230000}" name="接続8031" type="7" refreshedVersion="4"/>
  <connection id="11541" xr16:uid="{00000000-0015-0000-FFFF-FFFF92230000}" name="接続8032" type="7" refreshedVersion="4"/>
  <connection id="11542" xr16:uid="{00000000-0015-0000-FFFF-FFFF93230000}" name="接続8033" type="7" refreshedVersion="4"/>
  <connection id="11543" xr16:uid="{00000000-0015-0000-FFFF-FFFF94230000}" name="接続8034" type="7" refreshedVersion="4"/>
  <connection id="11544" xr16:uid="{00000000-0015-0000-FFFF-FFFF95230000}" name="接続8035" type="7" refreshedVersion="4"/>
  <connection id="11545" xr16:uid="{00000000-0015-0000-FFFF-FFFF96230000}" name="接続8036" type="7" refreshedVersion="4"/>
  <connection id="11546" xr16:uid="{00000000-0015-0000-FFFF-FFFF97230000}" name="接続8037" type="7" refreshedVersion="4"/>
  <connection id="11547" xr16:uid="{00000000-0015-0000-FFFF-FFFF98230000}" name="接続8038" type="7" refreshedVersion="4"/>
  <connection id="11548" xr16:uid="{00000000-0015-0000-FFFF-FFFF99230000}" name="接続8039" type="7" refreshedVersion="4"/>
  <connection id="11549" xr16:uid="{00000000-0015-0000-FFFF-FFFF9A230000}" name="接続804" type="7" refreshedVersion="4"/>
  <connection id="11550" xr16:uid="{00000000-0015-0000-FFFF-FFFF9B230000}" name="接続8040" type="7" refreshedVersion="4"/>
  <connection id="11551" xr16:uid="{00000000-0015-0000-FFFF-FFFF9C230000}" name="接続8041" type="7" refreshedVersion="4"/>
  <connection id="11552" xr16:uid="{00000000-0015-0000-FFFF-FFFF9D230000}" name="接続8042" type="7" refreshedVersion="4"/>
  <connection id="11553" xr16:uid="{00000000-0015-0000-FFFF-FFFF9E230000}" name="接続8043" type="7" refreshedVersion="4"/>
  <connection id="11554" xr16:uid="{00000000-0015-0000-FFFF-FFFF9F230000}" name="接続8044" type="7" refreshedVersion="4"/>
  <connection id="11555" xr16:uid="{00000000-0015-0000-FFFF-FFFFA0230000}" name="接続8045" type="7" refreshedVersion="4"/>
  <connection id="11556" xr16:uid="{00000000-0015-0000-FFFF-FFFFA1230000}" name="接続8046" type="7" refreshedVersion="4"/>
  <connection id="11557" xr16:uid="{00000000-0015-0000-FFFF-FFFFA2230000}" name="接続8047" type="7" refreshedVersion="4"/>
  <connection id="11558" xr16:uid="{00000000-0015-0000-FFFF-FFFFA3230000}" name="接続8048" type="7" refreshedVersion="4"/>
  <connection id="11559" xr16:uid="{00000000-0015-0000-FFFF-FFFFA4230000}" name="接続8049" type="7" refreshedVersion="4"/>
  <connection id="11560" xr16:uid="{00000000-0015-0000-FFFF-FFFFA5230000}" name="接続805" type="7" refreshedVersion="4"/>
  <connection id="11561" xr16:uid="{00000000-0015-0000-FFFF-FFFFA6230000}" name="接続8050" type="7" refreshedVersion="4"/>
  <connection id="11562" xr16:uid="{00000000-0015-0000-FFFF-FFFFA7230000}" name="接続8051" type="7" refreshedVersion="4"/>
  <connection id="11563" xr16:uid="{00000000-0015-0000-FFFF-FFFFA8230000}" name="接続8052" type="7" refreshedVersion="4"/>
  <connection id="11564" xr16:uid="{00000000-0015-0000-FFFF-FFFFA9230000}" name="接続8053" type="7" refreshedVersion="4"/>
  <connection id="11565" xr16:uid="{00000000-0015-0000-FFFF-FFFFAA230000}" name="接続8054" type="7" refreshedVersion="4"/>
  <connection id="11566" xr16:uid="{00000000-0015-0000-FFFF-FFFFAB230000}" name="接続8055" type="7" refreshedVersion="4"/>
  <connection id="11567" xr16:uid="{00000000-0015-0000-FFFF-FFFFAC230000}" name="接続8056" type="7" refreshedVersion="4"/>
  <connection id="11568" xr16:uid="{00000000-0015-0000-FFFF-FFFFAD230000}" name="接続8057" type="7" refreshedVersion="4"/>
  <connection id="11569" xr16:uid="{00000000-0015-0000-FFFF-FFFFAE230000}" name="接続8058" type="7" refreshedVersion="4"/>
  <connection id="11570" xr16:uid="{00000000-0015-0000-FFFF-FFFFAF230000}" name="接続8059" type="7" refreshedVersion="4"/>
  <connection id="11571" xr16:uid="{00000000-0015-0000-FFFF-FFFFB0230000}" name="接続806" type="7" refreshedVersion="4"/>
  <connection id="11572" xr16:uid="{00000000-0015-0000-FFFF-FFFFB1230000}" name="接続8060" type="7" refreshedVersion="4"/>
  <connection id="11573" xr16:uid="{00000000-0015-0000-FFFF-FFFFB2230000}" name="接続8061" type="7" refreshedVersion="4"/>
  <connection id="11574" xr16:uid="{00000000-0015-0000-FFFF-FFFFB3230000}" name="接続8062" type="7" refreshedVersion="4"/>
  <connection id="11575" xr16:uid="{00000000-0015-0000-FFFF-FFFFB4230000}" name="接続8063" type="7" refreshedVersion="4"/>
  <connection id="11576" xr16:uid="{00000000-0015-0000-FFFF-FFFFB5230000}" name="接続8064" type="7" refreshedVersion="4"/>
  <connection id="11577" xr16:uid="{00000000-0015-0000-FFFF-FFFFB6230000}" name="接続8065" type="7" refreshedVersion="4"/>
  <connection id="11578" xr16:uid="{00000000-0015-0000-FFFF-FFFFB7230000}" name="接続8066" type="7" refreshedVersion="4"/>
  <connection id="11579" xr16:uid="{00000000-0015-0000-FFFF-FFFFB8230000}" name="接続8067" type="7" refreshedVersion="4"/>
  <connection id="11580" xr16:uid="{00000000-0015-0000-FFFF-FFFFB9230000}" name="接続8068" type="7" refreshedVersion="4"/>
  <connection id="11581" xr16:uid="{00000000-0015-0000-FFFF-FFFFBA230000}" name="接続8069" type="7" refreshedVersion="4"/>
  <connection id="11582" xr16:uid="{00000000-0015-0000-FFFF-FFFFBB230000}" name="接続807" type="7" refreshedVersion="4"/>
  <connection id="11583" xr16:uid="{00000000-0015-0000-FFFF-FFFFBC230000}" name="接続8070" type="7" refreshedVersion="4"/>
  <connection id="11584" xr16:uid="{00000000-0015-0000-FFFF-FFFFBD230000}" name="接続8071" type="7" refreshedVersion="4"/>
  <connection id="11585" xr16:uid="{00000000-0015-0000-FFFF-FFFFBE230000}" name="接続8072" type="7" refreshedVersion="4"/>
  <connection id="11586" xr16:uid="{00000000-0015-0000-FFFF-FFFFBF230000}" name="接続8073" type="7" refreshedVersion="4"/>
  <connection id="11587" xr16:uid="{00000000-0015-0000-FFFF-FFFFC0230000}" name="接続8074" type="7" refreshedVersion="4"/>
  <connection id="11588" xr16:uid="{00000000-0015-0000-FFFF-FFFFC1230000}" name="接続8075" type="7" refreshedVersion="4"/>
  <connection id="11589" xr16:uid="{00000000-0015-0000-FFFF-FFFFC2230000}" name="接続8076" type="7" refreshedVersion="4"/>
  <connection id="11590" xr16:uid="{00000000-0015-0000-FFFF-FFFFC3230000}" name="接続8077" type="7" refreshedVersion="4"/>
  <connection id="11591" xr16:uid="{00000000-0015-0000-FFFF-FFFFC4230000}" name="接続8078" type="7" refreshedVersion="4"/>
  <connection id="11592" xr16:uid="{00000000-0015-0000-FFFF-FFFFC5230000}" name="接続8079" type="7" refreshedVersion="4"/>
  <connection id="11593" xr16:uid="{00000000-0015-0000-FFFF-FFFFC6230000}" name="接続808" type="7" refreshedVersion="4"/>
  <connection id="11594" xr16:uid="{00000000-0015-0000-FFFF-FFFFC7230000}" name="接続8080" type="7" refreshedVersion="4"/>
  <connection id="11595" xr16:uid="{00000000-0015-0000-FFFF-FFFFC8230000}" name="接続8081" type="7" refreshedVersion="4"/>
  <connection id="11596" xr16:uid="{00000000-0015-0000-FFFF-FFFFC9230000}" name="接続8082" type="7" refreshedVersion="4"/>
  <connection id="11597" xr16:uid="{00000000-0015-0000-FFFF-FFFFCA230000}" name="接続8083" type="7" refreshedVersion="4"/>
  <connection id="11598" xr16:uid="{00000000-0015-0000-FFFF-FFFFCB230000}" name="接続8084" type="7" refreshedVersion="4"/>
  <connection id="11599" xr16:uid="{00000000-0015-0000-FFFF-FFFFCC230000}" name="接続8085" type="7" refreshedVersion="4"/>
  <connection id="11600" xr16:uid="{00000000-0015-0000-FFFF-FFFFCD230000}" name="接続8086" type="7" refreshedVersion="4"/>
  <connection id="11601" xr16:uid="{00000000-0015-0000-FFFF-FFFFCE230000}" name="接続8087" type="7" refreshedVersion="4"/>
  <connection id="11602" xr16:uid="{00000000-0015-0000-FFFF-FFFFCF230000}" name="接続8088" type="7" refreshedVersion="4"/>
  <connection id="11603" xr16:uid="{00000000-0015-0000-FFFF-FFFFD0230000}" name="接続8089" type="7" refreshedVersion="4"/>
  <connection id="11604" xr16:uid="{00000000-0015-0000-FFFF-FFFFD1230000}" name="接続809" type="7" refreshedVersion="4"/>
  <connection id="11605" xr16:uid="{00000000-0015-0000-FFFF-FFFFD2230000}" name="接続8090" type="7" refreshedVersion="4"/>
  <connection id="11606" xr16:uid="{00000000-0015-0000-FFFF-FFFFD3230000}" name="接続8091" type="7" refreshedVersion="4"/>
  <connection id="11607" xr16:uid="{00000000-0015-0000-FFFF-FFFFD4230000}" name="接続8092" type="7" refreshedVersion="4"/>
  <connection id="11608" xr16:uid="{00000000-0015-0000-FFFF-FFFFD5230000}" name="接続8093" type="7" refreshedVersion="4"/>
  <connection id="11609" xr16:uid="{00000000-0015-0000-FFFF-FFFFD6230000}" name="接続8094" type="7" refreshedVersion="4"/>
  <connection id="11610" xr16:uid="{00000000-0015-0000-FFFF-FFFFD7230000}" name="接続8095" type="7" refreshedVersion="4"/>
  <connection id="11611" xr16:uid="{00000000-0015-0000-FFFF-FFFFD8230000}" name="接続8096" type="7" refreshedVersion="4"/>
  <connection id="11612" xr16:uid="{00000000-0015-0000-FFFF-FFFFD9230000}" name="接続8097" type="7" refreshedVersion="4"/>
  <connection id="11613" xr16:uid="{00000000-0015-0000-FFFF-FFFFDA230000}" name="接続8098" type="7" refreshedVersion="4"/>
  <connection id="11614" xr16:uid="{00000000-0015-0000-FFFF-FFFFDB230000}" name="接続8099" type="7" refreshedVersion="4"/>
  <connection id="11615" xr16:uid="{00000000-0015-0000-FFFF-FFFFDC230000}" name="接続81" type="7" refreshedVersion="4"/>
  <connection id="11616" xr16:uid="{00000000-0015-0000-FFFF-FFFFDD230000}" name="接続810" type="7" refreshedVersion="4"/>
  <connection id="11617" xr16:uid="{00000000-0015-0000-FFFF-FFFFDE230000}" name="接続8100" type="7" refreshedVersion="4"/>
  <connection id="11618" xr16:uid="{00000000-0015-0000-FFFF-FFFFDF230000}" name="接続8101" type="7" refreshedVersion="4"/>
  <connection id="11619" xr16:uid="{00000000-0015-0000-FFFF-FFFFE0230000}" name="接続8102" type="7" refreshedVersion="4"/>
  <connection id="11620" xr16:uid="{00000000-0015-0000-FFFF-FFFFE1230000}" name="接続8103" type="7" refreshedVersion="4"/>
  <connection id="11621" xr16:uid="{00000000-0015-0000-FFFF-FFFFE2230000}" name="接続8104" type="7" refreshedVersion="4"/>
  <connection id="11622" xr16:uid="{00000000-0015-0000-FFFF-FFFFE3230000}" name="接続8105" type="7" refreshedVersion="4"/>
  <connection id="11623" xr16:uid="{00000000-0015-0000-FFFF-FFFFE4230000}" name="接続8106" type="7" refreshedVersion="4"/>
  <connection id="11624" xr16:uid="{00000000-0015-0000-FFFF-FFFFE5230000}" name="接続8107" type="7" refreshedVersion="4"/>
  <connection id="11625" xr16:uid="{00000000-0015-0000-FFFF-FFFFE6230000}" name="接続8108" type="7" refreshedVersion="4"/>
  <connection id="11626" xr16:uid="{00000000-0015-0000-FFFF-FFFFE7230000}" name="接続8109" type="7" refreshedVersion="4"/>
  <connection id="11627" xr16:uid="{00000000-0015-0000-FFFF-FFFFE8230000}" name="接続811" type="7" refreshedVersion="4"/>
  <connection id="11628" xr16:uid="{00000000-0015-0000-FFFF-FFFFE9230000}" name="接続8110" type="7" refreshedVersion="4"/>
  <connection id="11629" xr16:uid="{00000000-0015-0000-FFFF-FFFFEA230000}" name="接続8111" type="7" refreshedVersion="4"/>
  <connection id="11630" xr16:uid="{00000000-0015-0000-FFFF-FFFFEB230000}" name="接続8112" type="7" refreshedVersion="4"/>
  <connection id="11631" xr16:uid="{00000000-0015-0000-FFFF-FFFFEC230000}" name="接続8113" type="7" refreshedVersion="4"/>
  <connection id="11632" xr16:uid="{00000000-0015-0000-FFFF-FFFFED230000}" name="接続8114" type="7" refreshedVersion="4"/>
  <connection id="11633" xr16:uid="{00000000-0015-0000-FFFF-FFFFEE230000}" name="接続8115" type="7" refreshedVersion="4"/>
  <connection id="11634" xr16:uid="{00000000-0015-0000-FFFF-FFFFEF230000}" name="接続8116" type="7" refreshedVersion="4"/>
  <connection id="11635" xr16:uid="{00000000-0015-0000-FFFF-FFFFF0230000}" name="接続8117" type="7" refreshedVersion="4"/>
  <connection id="11636" xr16:uid="{00000000-0015-0000-FFFF-FFFFF1230000}" name="接続8118" type="7" refreshedVersion="4"/>
  <connection id="11637" xr16:uid="{00000000-0015-0000-FFFF-FFFFF2230000}" name="接続8119" type="7" refreshedVersion="4"/>
  <connection id="11638" xr16:uid="{00000000-0015-0000-FFFF-FFFFF3230000}" name="接続812" type="7" refreshedVersion="4"/>
  <connection id="11639" xr16:uid="{00000000-0015-0000-FFFF-FFFFF4230000}" name="接続8120" type="7" refreshedVersion="4"/>
  <connection id="11640" xr16:uid="{00000000-0015-0000-FFFF-FFFFF5230000}" name="接続8121" type="7" refreshedVersion="4"/>
  <connection id="11641" xr16:uid="{00000000-0015-0000-FFFF-FFFFF6230000}" name="接続8122" type="7" refreshedVersion="4"/>
  <connection id="11642" xr16:uid="{00000000-0015-0000-FFFF-FFFFF7230000}" name="接続8123" type="7" refreshedVersion="4"/>
  <connection id="11643" xr16:uid="{00000000-0015-0000-FFFF-FFFFF8230000}" name="接続8124" type="7" refreshedVersion="4"/>
  <connection id="11644" xr16:uid="{00000000-0015-0000-FFFF-FFFFF9230000}" name="接続8125" type="7" refreshedVersion="4"/>
  <connection id="11645" xr16:uid="{00000000-0015-0000-FFFF-FFFFFA230000}" name="接続8126" type="7" refreshedVersion="4"/>
  <connection id="11646" xr16:uid="{00000000-0015-0000-FFFF-FFFFFB230000}" name="接続8127" type="7" refreshedVersion="4"/>
  <connection id="11647" xr16:uid="{00000000-0015-0000-FFFF-FFFFFC230000}" name="接続8128" type="7" refreshedVersion="4"/>
  <connection id="11648" xr16:uid="{00000000-0015-0000-FFFF-FFFFFD230000}" name="接続8129" type="7" refreshedVersion="4"/>
  <connection id="11649" xr16:uid="{00000000-0015-0000-FFFF-FFFFFE230000}" name="接続813" type="7" refreshedVersion="4"/>
  <connection id="11650" xr16:uid="{00000000-0015-0000-FFFF-FFFFFF230000}" name="接続8130" type="7" refreshedVersion="4"/>
  <connection id="11651" xr16:uid="{00000000-0015-0000-FFFF-FFFF00240000}" name="接続8131" type="7" refreshedVersion="4"/>
  <connection id="11652" xr16:uid="{00000000-0015-0000-FFFF-FFFF01240000}" name="接続8132" type="7" refreshedVersion="4"/>
  <connection id="11653" xr16:uid="{00000000-0015-0000-FFFF-FFFF02240000}" name="接続8133" type="7" refreshedVersion="4"/>
  <connection id="11654" xr16:uid="{00000000-0015-0000-FFFF-FFFF03240000}" name="接続8134" type="7" refreshedVersion="4"/>
  <connection id="11655" xr16:uid="{00000000-0015-0000-FFFF-FFFF04240000}" name="接続8135" type="7" refreshedVersion="4"/>
  <connection id="11656" xr16:uid="{00000000-0015-0000-FFFF-FFFF05240000}" name="接続8136" type="7" refreshedVersion="4"/>
  <connection id="11657" xr16:uid="{00000000-0015-0000-FFFF-FFFF06240000}" name="接続8137" type="7" refreshedVersion="4"/>
  <connection id="11658" xr16:uid="{00000000-0015-0000-FFFF-FFFF07240000}" name="接続8138" type="7" refreshedVersion="4"/>
  <connection id="11659" xr16:uid="{00000000-0015-0000-FFFF-FFFF08240000}" name="接続8139" type="7" refreshedVersion="4"/>
  <connection id="11660" xr16:uid="{00000000-0015-0000-FFFF-FFFF09240000}" name="接続814" type="7" refreshedVersion="4"/>
  <connection id="11661" xr16:uid="{00000000-0015-0000-FFFF-FFFF0A240000}" name="接続8140" type="7" refreshedVersion="4"/>
  <connection id="11662" xr16:uid="{00000000-0015-0000-FFFF-FFFF0B240000}" name="接続8141" type="7" refreshedVersion="4"/>
  <connection id="11663" xr16:uid="{00000000-0015-0000-FFFF-FFFF0C240000}" name="接続8142" type="7" refreshedVersion="4"/>
  <connection id="11664" xr16:uid="{00000000-0015-0000-FFFF-FFFF0D240000}" name="接続8143" type="7" refreshedVersion="4"/>
  <connection id="11665" xr16:uid="{00000000-0015-0000-FFFF-FFFF0E240000}" name="接続8144" type="7" refreshedVersion="4"/>
  <connection id="11666" xr16:uid="{00000000-0015-0000-FFFF-FFFF0F240000}" name="接続8145" type="7" refreshedVersion="4"/>
  <connection id="11667" xr16:uid="{00000000-0015-0000-FFFF-FFFF10240000}" name="接続8146" type="7" refreshedVersion="4"/>
  <connection id="11668" xr16:uid="{00000000-0015-0000-FFFF-FFFF11240000}" name="接続8147" type="7" refreshedVersion="4"/>
  <connection id="11669" xr16:uid="{00000000-0015-0000-FFFF-FFFF12240000}" name="接続8148" type="7" refreshedVersion="4"/>
  <connection id="11670" xr16:uid="{00000000-0015-0000-FFFF-FFFF13240000}" name="接続8149" type="7" refreshedVersion="4"/>
  <connection id="11671" xr16:uid="{00000000-0015-0000-FFFF-FFFF14240000}" name="接続815" type="7" refreshedVersion="4"/>
  <connection id="11672" xr16:uid="{00000000-0015-0000-FFFF-FFFF15240000}" name="接続8150" type="7" refreshedVersion="4"/>
  <connection id="11673" xr16:uid="{00000000-0015-0000-FFFF-FFFF16240000}" name="接続8151" type="7" refreshedVersion="4"/>
  <connection id="11674" xr16:uid="{00000000-0015-0000-FFFF-FFFF17240000}" name="接続8152" type="7" refreshedVersion="4"/>
  <connection id="11675" xr16:uid="{00000000-0015-0000-FFFF-FFFF18240000}" name="接続8153" type="7" refreshedVersion="4"/>
  <connection id="11676" xr16:uid="{00000000-0015-0000-FFFF-FFFF19240000}" name="接続8154" type="7" refreshedVersion="4"/>
  <connection id="11677" xr16:uid="{00000000-0015-0000-FFFF-FFFF1A240000}" name="接続8155" type="7" refreshedVersion="4"/>
  <connection id="11678" xr16:uid="{00000000-0015-0000-FFFF-FFFF1B240000}" name="接続8156" type="7" refreshedVersion="4"/>
  <connection id="11679" xr16:uid="{00000000-0015-0000-FFFF-FFFF1C240000}" name="接続8157" type="7" refreshedVersion="4"/>
  <connection id="11680" xr16:uid="{00000000-0015-0000-FFFF-FFFF1D240000}" name="接続8158" type="7" refreshedVersion="4"/>
  <connection id="11681" xr16:uid="{00000000-0015-0000-FFFF-FFFF1E240000}" name="接続8159" type="7" refreshedVersion="4"/>
  <connection id="11682" xr16:uid="{00000000-0015-0000-FFFF-FFFF1F240000}" name="接続816" type="7" refreshedVersion="4"/>
  <connection id="11683" xr16:uid="{00000000-0015-0000-FFFF-FFFF20240000}" name="接続8160" type="7" refreshedVersion="4"/>
  <connection id="11684" xr16:uid="{00000000-0015-0000-FFFF-FFFF21240000}" name="接続8161" type="7" refreshedVersion="4"/>
  <connection id="11685" xr16:uid="{00000000-0015-0000-FFFF-FFFF22240000}" name="接続8162" type="7" refreshedVersion="4"/>
  <connection id="11686" xr16:uid="{00000000-0015-0000-FFFF-FFFF23240000}" name="接続8163" type="7" refreshedVersion="4"/>
  <connection id="11687" xr16:uid="{00000000-0015-0000-FFFF-FFFF24240000}" name="接続8164" type="7" refreshedVersion="4"/>
  <connection id="11688" xr16:uid="{00000000-0015-0000-FFFF-FFFF25240000}" name="接続8165" type="7" refreshedVersion="4"/>
  <connection id="11689" xr16:uid="{00000000-0015-0000-FFFF-FFFF26240000}" name="接続8166" type="7" refreshedVersion="4"/>
  <connection id="11690" xr16:uid="{00000000-0015-0000-FFFF-FFFF27240000}" name="接続8167" type="7" refreshedVersion="4"/>
  <connection id="11691" xr16:uid="{00000000-0015-0000-FFFF-FFFF28240000}" name="接続8168" type="7" refreshedVersion="4"/>
  <connection id="11692" xr16:uid="{00000000-0015-0000-FFFF-FFFF29240000}" name="接続8169" type="7" refreshedVersion="4"/>
  <connection id="11693" xr16:uid="{00000000-0015-0000-FFFF-FFFF2A240000}" name="接続817" type="7" refreshedVersion="4"/>
  <connection id="11694" xr16:uid="{00000000-0015-0000-FFFF-FFFF2B240000}" name="接続8170" type="7" refreshedVersion="4"/>
  <connection id="11695" xr16:uid="{00000000-0015-0000-FFFF-FFFF2C240000}" name="接続8171" type="7" refreshedVersion="4"/>
  <connection id="11696" xr16:uid="{00000000-0015-0000-FFFF-FFFF2D240000}" name="接続8172" type="7" refreshedVersion="4"/>
  <connection id="11697" xr16:uid="{00000000-0015-0000-FFFF-FFFF2E240000}" name="接続8173" type="7" refreshedVersion="4"/>
  <connection id="11698" xr16:uid="{00000000-0015-0000-FFFF-FFFF2F240000}" name="接続8174" type="7" refreshedVersion="4"/>
  <connection id="11699" xr16:uid="{00000000-0015-0000-FFFF-FFFF30240000}" name="接続8175" type="7" refreshedVersion="4"/>
  <connection id="11700" xr16:uid="{00000000-0015-0000-FFFF-FFFF31240000}" name="接続8176" type="7" refreshedVersion="4"/>
  <connection id="11701" xr16:uid="{00000000-0015-0000-FFFF-FFFF32240000}" name="接続8177" type="7" refreshedVersion="4"/>
  <connection id="11702" xr16:uid="{00000000-0015-0000-FFFF-FFFF33240000}" name="接続8178" type="7" refreshedVersion="4"/>
  <connection id="11703" xr16:uid="{00000000-0015-0000-FFFF-FFFF34240000}" name="接続8179" type="7" refreshedVersion="4"/>
  <connection id="11704" xr16:uid="{00000000-0015-0000-FFFF-FFFF35240000}" name="接続818" type="7" refreshedVersion="4"/>
  <connection id="11705" xr16:uid="{00000000-0015-0000-FFFF-FFFF36240000}" name="接続8180" type="7" refreshedVersion="4"/>
  <connection id="11706" xr16:uid="{00000000-0015-0000-FFFF-FFFF37240000}" name="接続8181" type="7" refreshedVersion="4"/>
  <connection id="11707" xr16:uid="{00000000-0015-0000-FFFF-FFFF38240000}" name="接続8182" type="7" refreshedVersion="4"/>
  <connection id="11708" xr16:uid="{00000000-0015-0000-FFFF-FFFF39240000}" name="接続8183" type="7" refreshedVersion="4"/>
  <connection id="11709" xr16:uid="{00000000-0015-0000-FFFF-FFFF3A240000}" name="接続8184" type="7" refreshedVersion="4"/>
  <connection id="11710" xr16:uid="{00000000-0015-0000-FFFF-FFFF3B240000}" name="接続8185" type="7" refreshedVersion="4"/>
  <connection id="11711" xr16:uid="{00000000-0015-0000-FFFF-FFFF3C240000}" name="接続8186" type="7" refreshedVersion="4"/>
  <connection id="11712" xr16:uid="{00000000-0015-0000-FFFF-FFFF3D240000}" name="接続8187" type="7" refreshedVersion="4"/>
  <connection id="11713" xr16:uid="{00000000-0015-0000-FFFF-FFFF3E240000}" name="接続8188" type="7" refreshedVersion="4"/>
  <connection id="11714" xr16:uid="{00000000-0015-0000-FFFF-FFFF3F240000}" name="接続8189" type="7" refreshedVersion="4"/>
  <connection id="11715" xr16:uid="{00000000-0015-0000-FFFF-FFFF40240000}" name="接続819" type="7" refreshedVersion="4"/>
  <connection id="11716" xr16:uid="{00000000-0015-0000-FFFF-FFFF41240000}" name="接続8190" type="7" refreshedVersion="4"/>
  <connection id="11717" xr16:uid="{00000000-0015-0000-FFFF-FFFF42240000}" name="接続8191" type="7" refreshedVersion="4"/>
  <connection id="11718" xr16:uid="{00000000-0015-0000-FFFF-FFFF43240000}" name="接続8192" type="7" refreshedVersion="4"/>
  <connection id="11719" xr16:uid="{00000000-0015-0000-FFFF-FFFF44240000}" name="接続8193" type="7" refreshedVersion="4"/>
  <connection id="11720" xr16:uid="{00000000-0015-0000-FFFF-FFFF45240000}" name="接続8194" type="7" refreshedVersion="4"/>
  <connection id="11721" xr16:uid="{00000000-0015-0000-FFFF-FFFF46240000}" name="接続8195" type="7" refreshedVersion="4"/>
  <connection id="11722" xr16:uid="{00000000-0015-0000-FFFF-FFFF47240000}" name="接続8196" type="7" refreshedVersion="4"/>
  <connection id="11723" xr16:uid="{00000000-0015-0000-FFFF-FFFF48240000}" name="接続8197" type="7" refreshedVersion="4"/>
  <connection id="11724" xr16:uid="{00000000-0015-0000-FFFF-FFFF49240000}" name="接続8198" type="7" refreshedVersion="4"/>
  <connection id="11725" xr16:uid="{00000000-0015-0000-FFFF-FFFF4A240000}" name="接続8199" type="7" refreshedVersion="4"/>
  <connection id="11726" xr16:uid="{00000000-0015-0000-FFFF-FFFF4B240000}" name="接続82" type="7" refreshedVersion="4"/>
  <connection id="11727" xr16:uid="{00000000-0015-0000-FFFF-FFFF4C240000}" name="接続820" type="7" refreshedVersion="4"/>
  <connection id="11728" xr16:uid="{00000000-0015-0000-FFFF-FFFF4D240000}" name="接続8200" type="7" refreshedVersion="4"/>
  <connection id="11729" xr16:uid="{00000000-0015-0000-FFFF-FFFF4E240000}" name="接続8201" type="7" refreshedVersion="4"/>
  <connection id="11730" xr16:uid="{00000000-0015-0000-FFFF-FFFF4F240000}" name="接続8202" type="7" refreshedVersion="4"/>
  <connection id="11731" xr16:uid="{00000000-0015-0000-FFFF-FFFF50240000}" name="接続8203" type="7" refreshedVersion="4"/>
  <connection id="11732" xr16:uid="{00000000-0015-0000-FFFF-FFFF51240000}" name="接続8204" type="7" refreshedVersion="4"/>
  <connection id="11733" xr16:uid="{00000000-0015-0000-FFFF-FFFF52240000}" name="接続8205" type="7" refreshedVersion="4"/>
  <connection id="11734" xr16:uid="{00000000-0015-0000-FFFF-FFFF53240000}" name="接続8206" type="7" refreshedVersion="4"/>
  <connection id="11735" xr16:uid="{00000000-0015-0000-FFFF-FFFF54240000}" name="接続8207" type="7" refreshedVersion="4"/>
  <connection id="11736" xr16:uid="{00000000-0015-0000-FFFF-FFFF55240000}" name="接続8208" type="7" refreshedVersion="4"/>
  <connection id="11737" xr16:uid="{00000000-0015-0000-FFFF-FFFF56240000}" name="接続8209" type="7" refreshedVersion="4"/>
  <connection id="11738" xr16:uid="{00000000-0015-0000-FFFF-FFFF57240000}" name="接続821" type="7" refreshedVersion="4"/>
  <connection id="11739" xr16:uid="{00000000-0015-0000-FFFF-FFFF58240000}" name="接続8210" type="7" refreshedVersion="4"/>
  <connection id="11740" xr16:uid="{00000000-0015-0000-FFFF-FFFF59240000}" name="接続8211" type="7" refreshedVersion="4"/>
  <connection id="11741" xr16:uid="{00000000-0015-0000-FFFF-FFFF5A240000}" name="接続8212" type="7" refreshedVersion="4"/>
  <connection id="11742" xr16:uid="{00000000-0015-0000-FFFF-FFFF5B240000}" name="接続8213" type="7" refreshedVersion="4"/>
  <connection id="11743" xr16:uid="{00000000-0015-0000-FFFF-FFFF5C240000}" name="接続8214" type="7" refreshedVersion="4"/>
  <connection id="11744" xr16:uid="{00000000-0015-0000-FFFF-FFFF5D240000}" name="接続8215" type="7" refreshedVersion="4"/>
  <connection id="11745" xr16:uid="{00000000-0015-0000-FFFF-FFFF5E240000}" name="接続8216" type="7" refreshedVersion="4"/>
  <connection id="11746" xr16:uid="{00000000-0015-0000-FFFF-FFFF5F240000}" name="接続8217" type="7" refreshedVersion="4"/>
  <connection id="11747" xr16:uid="{00000000-0015-0000-FFFF-FFFF60240000}" name="接続8218" type="7" refreshedVersion="4"/>
  <connection id="11748" xr16:uid="{00000000-0015-0000-FFFF-FFFF61240000}" name="接続8219" type="7" refreshedVersion="4"/>
  <connection id="11749" xr16:uid="{00000000-0015-0000-FFFF-FFFF62240000}" name="接続822" type="7" refreshedVersion="4"/>
  <connection id="11750" xr16:uid="{00000000-0015-0000-FFFF-FFFF63240000}" name="接続8220" type="7" refreshedVersion="4"/>
  <connection id="11751" xr16:uid="{00000000-0015-0000-FFFF-FFFF64240000}" name="接続8221" type="7" refreshedVersion="4"/>
  <connection id="11752" xr16:uid="{00000000-0015-0000-FFFF-FFFF65240000}" name="接続8222" type="7" refreshedVersion="4"/>
  <connection id="11753" xr16:uid="{00000000-0015-0000-FFFF-FFFF66240000}" name="接続8223" type="7" refreshedVersion="4"/>
  <connection id="11754" xr16:uid="{00000000-0015-0000-FFFF-FFFF67240000}" name="接続8224" type="7" refreshedVersion="4"/>
  <connection id="11755" xr16:uid="{00000000-0015-0000-FFFF-FFFF68240000}" name="接続8225" type="7" refreshedVersion="4"/>
  <connection id="11756" xr16:uid="{00000000-0015-0000-FFFF-FFFF69240000}" name="接続8226" type="7" refreshedVersion="4"/>
  <connection id="11757" xr16:uid="{00000000-0015-0000-FFFF-FFFF6A240000}" name="接続8227" type="7" refreshedVersion="4"/>
  <connection id="11758" xr16:uid="{00000000-0015-0000-FFFF-FFFF6B240000}" name="接続8228" type="7" refreshedVersion="4"/>
  <connection id="11759" xr16:uid="{00000000-0015-0000-FFFF-FFFF6C240000}" name="接続8229" type="7" refreshedVersion="4"/>
  <connection id="11760" xr16:uid="{00000000-0015-0000-FFFF-FFFF6D240000}" name="接続823" type="7" refreshedVersion="4"/>
  <connection id="11761" xr16:uid="{00000000-0015-0000-FFFF-FFFF6E240000}" name="接続8230" type="7" refreshedVersion="4"/>
  <connection id="11762" xr16:uid="{00000000-0015-0000-FFFF-FFFF6F240000}" name="接続8231" type="7" refreshedVersion="4"/>
  <connection id="11763" xr16:uid="{00000000-0015-0000-FFFF-FFFF70240000}" name="接続8232" type="7" refreshedVersion="4"/>
  <connection id="11764" xr16:uid="{00000000-0015-0000-FFFF-FFFF71240000}" name="接続8233" type="7" refreshedVersion="4"/>
  <connection id="11765" xr16:uid="{00000000-0015-0000-FFFF-FFFF72240000}" name="接続8234" type="7" refreshedVersion="4"/>
  <connection id="11766" xr16:uid="{00000000-0015-0000-FFFF-FFFF73240000}" name="接続8235" type="7" refreshedVersion="4"/>
  <connection id="11767" xr16:uid="{00000000-0015-0000-FFFF-FFFF74240000}" name="接続8236" type="7" refreshedVersion="4"/>
  <connection id="11768" xr16:uid="{00000000-0015-0000-FFFF-FFFF75240000}" name="接続8237" type="7" refreshedVersion="4"/>
  <connection id="11769" xr16:uid="{00000000-0015-0000-FFFF-FFFF76240000}" name="接続8238" type="7" refreshedVersion="4"/>
  <connection id="11770" xr16:uid="{00000000-0015-0000-FFFF-FFFF77240000}" name="接続8239" type="7" refreshedVersion="4"/>
  <connection id="11771" xr16:uid="{00000000-0015-0000-FFFF-FFFF78240000}" name="接続824" type="7" refreshedVersion="4"/>
  <connection id="11772" xr16:uid="{00000000-0015-0000-FFFF-FFFF79240000}" name="接続8240" type="7" refreshedVersion="4"/>
  <connection id="11773" xr16:uid="{00000000-0015-0000-FFFF-FFFF7A240000}" name="接続8241" type="7" refreshedVersion="4"/>
  <connection id="11774" xr16:uid="{00000000-0015-0000-FFFF-FFFF7B240000}" name="接続8242" type="7" refreshedVersion="4"/>
  <connection id="11775" xr16:uid="{00000000-0015-0000-FFFF-FFFF7C240000}" name="接続8243" type="7" refreshedVersion="4"/>
  <connection id="11776" xr16:uid="{00000000-0015-0000-FFFF-FFFF7D240000}" name="接続8244" type="7" refreshedVersion="4"/>
  <connection id="11777" xr16:uid="{00000000-0015-0000-FFFF-FFFF7E240000}" name="接続8245" type="7" refreshedVersion="4"/>
  <connection id="11778" xr16:uid="{00000000-0015-0000-FFFF-FFFF7F240000}" name="接続8246" type="7" refreshedVersion="4"/>
  <connection id="11779" xr16:uid="{00000000-0015-0000-FFFF-FFFF80240000}" name="接続8247" type="7" refreshedVersion="4"/>
  <connection id="11780" xr16:uid="{00000000-0015-0000-FFFF-FFFF81240000}" name="接続8248" type="7" refreshedVersion="4"/>
  <connection id="11781" xr16:uid="{00000000-0015-0000-FFFF-FFFF82240000}" name="接続8249" type="7" refreshedVersion="4"/>
  <connection id="11782" xr16:uid="{00000000-0015-0000-FFFF-FFFF83240000}" name="接続825" type="7" refreshedVersion="4"/>
  <connection id="11783" xr16:uid="{00000000-0015-0000-FFFF-FFFF84240000}" name="接続8250" type="7" refreshedVersion="4"/>
  <connection id="11784" xr16:uid="{00000000-0015-0000-FFFF-FFFF85240000}" name="接続8251" type="7" refreshedVersion="4"/>
  <connection id="11785" xr16:uid="{00000000-0015-0000-FFFF-FFFF86240000}" name="接続8252" type="7" refreshedVersion="4"/>
  <connection id="11786" xr16:uid="{00000000-0015-0000-FFFF-FFFF87240000}" name="接続8253" type="7" refreshedVersion="4"/>
  <connection id="11787" xr16:uid="{00000000-0015-0000-FFFF-FFFF88240000}" name="接続8254" type="7" refreshedVersion="4"/>
  <connection id="11788" xr16:uid="{00000000-0015-0000-FFFF-FFFF89240000}" name="接続8255" type="7" refreshedVersion="4"/>
  <connection id="11789" xr16:uid="{00000000-0015-0000-FFFF-FFFF8A240000}" name="接続8256" type="7" refreshedVersion="4"/>
  <connection id="11790" xr16:uid="{00000000-0015-0000-FFFF-FFFF8B240000}" name="接続8257" type="7" refreshedVersion="4"/>
  <connection id="11791" xr16:uid="{00000000-0015-0000-FFFF-FFFF8C240000}" name="接続8258" type="7" refreshedVersion="4"/>
  <connection id="11792" xr16:uid="{00000000-0015-0000-FFFF-FFFF8D240000}" name="接続8259" type="7" refreshedVersion="4"/>
  <connection id="11793" xr16:uid="{00000000-0015-0000-FFFF-FFFF8E240000}" name="接続826" type="7" refreshedVersion="4"/>
  <connection id="11794" xr16:uid="{00000000-0015-0000-FFFF-FFFF8F240000}" name="接続8260" type="7" refreshedVersion="4"/>
  <connection id="11795" xr16:uid="{00000000-0015-0000-FFFF-FFFF90240000}" name="接続8261" type="7" refreshedVersion="4"/>
  <connection id="11796" xr16:uid="{00000000-0015-0000-FFFF-FFFF91240000}" name="接続8262" type="7" refreshedVersion="4"/>
  <connection id="11797" xr16:uid="{00000000-0015-0000-FFFF-FFFF92240000}" name="接続8263" type="7" refreshedVersion="4"/>
  <connection id="11798" xr16:uid="{00000000-0015-0000-FFFF-FFFF93240000}" name="接続8264" type="7" refreshedVersion="4"/>
  <connection id="11799" xr16:uid="{00000000-0015-0000-FFFF-FFFF94240000}" name="接続8265" type="7" refreshedVersion="4"/>
  <connection id="11800" xr16:uid="{00000000-0015-0000-FFFF-FFFF95240000}" name="接続8266" type="7" refreshedVersion="4"/>
  <connection id="11801" xr16:uid="{00000000-0015-0000-FFFF-FFFF96240000}" name="接続8267" type="7" refreshedVersion="4"/>
  <connection id="11802" xr16:uid="{00000000-0015-0000-FFFF-FFFF97240000}" name="接続8268" type="7" refreshedVersion="4"/>
  <connection id="11803" xr16:uid="{00000000-0015-0000-FFFF-FFFF98240000}" name="接続8269" type="7" refreshedVersion="4"/>
  <connection id="11804" xr16:uid="{00000000-0015-0000-FFFF-FFFF99240000}" name="接続827" type="7" refreshedVersion="4"/>
  <connection id="11805" xr16:uid="{00000000-0015-0000-FFFF-FFFF9A240000}" name="接続8270" type="7" refreshedVersion="4"/>
  <connection id="11806" xr16:uid="{00000000-0015-0000-FFFF-FFFF9B240000}" name="接続8271" type="7" refreshedVersion="4"/>
  <connection id="11807" xr16:uid="{00000000-0015-0000-FFFF-FFFF9C240000}" name="接続8272" type="7" refreshedVersion="4"/>
  <connection id="11808" xr16:uid="{00000000-0015-0000-FFFF-FFFF9D240000}" name="接続8273" type="7" refreshedVersion="4"/>
  <connection id="11809" xr16:uid="{00000000-0015-0000-FFFF-FFFF9E240000}" name="接続8274" type="7" refreshedVersion="4"/>
  <connection id="11810" xr16:uid="{00000000-0015-0000-FFFF-FFFF9F240000}" name="接続8275" type="7" refreshedVersion="4"/>
  <connection id="11811" xr16:uid="{00000000-0015-0000-FFFF-FFFFA0240000}" name="接続8276" type="7" refreshedVersion="4"/>
  <connection id="11812" xr16:uid="{00000000-0015-0000-FFFF-FFFFA1240000}" name="接続8277" type="7" refreshedVersion="4"/>
  <connection id="11813" xr16:uid="{00000000-0015-0000-FFFF-FFFFA2240000}" name="接続8278" type="7" refreshedVersion="4"/>
  <connection id="11814" xr16:uid="{00000000-0015-0000-FFFF-FFFFA3240000}" name="接続8279" type="7" refreshedVersion="4"/>
  <connection id="11815" xr16:uid="{00000000-0015-0000-FFFF-FFFFA4240000}" name="接続828" type="7" refreshedVersion="4"/>
  <connection id="11816" xr16:uid="{00000000-0015-0000-FFFF-FFFFA5240000}" name="接続8280" type="7" refreshedVersion="4"/>
  <connection id="11817" xr16:uid="{00000000-0015-0000-FFFF-FFFFA6240000}" name="接続8281" type="7" refreshedVersion="4"/>
  <connection id="11818" xr16:uid="{00000000-0015-0000-FFFF-FFFFA7240000}" name="接続8282" type="7" refreshedVersion="4"/>
  <connection id="11819" xr16:uid="{00000000-0015-0000-FFFF-FFFFA8240000}" name="接続8283" type="7" refreshedVersion="4"/>
  <connection id="11820" xr16:uid="{00000000-0015-0000-FFFF-FFFFA9240000}" name="接続8284" type="7" refreshedVersion="4"/>
  <connection id="11821" xr16:uid="{00000000-0015-0000-FFFF-FFFFAA240000}" name="接続8285" type="7" refreshedVersion="4"/>
  <connection id="11822" xr16:uid="{00000000-0015-0000-FFFF-FFFFAB240000}" name="接続8286" type="7" refreshedVersion="4"/>
  <connection id="11823" xr16:uid="{00000000-0015-0000-FFFF-FFFFAC240000}" name="接続8287" type="7" refreshedVersion="4"/>
  <connection id="11824" xr16:uid="{00000000-0015-0000-FFFF-FFFFAD240000}" name="接続8288" type="7" refreshedVersion="4"/>
  <connection id="11825" xr16:uid="{00000000-0015-0000-FFFF-FFFFAE240000}" name="接続8289" type="7" refreshedVersion="4"/>
  <connection id="11826" xr16:uid="{00000000-0015-0000-FFFF-FFFFAF240000}" name="接続829" type="7" refreshedVersion="4"/>
  <connection id="11827" xr16:uid="{00000000-0015-0000-FFFF-FFFFB0240000}" name="接続8290" type="7" refreshedVersion="4"/>
  <connection id="11828" xr16:uid="{00000000-0015-0000-FFFF-FFFFB1240000}" name="接続8291" type="7" refreshedVersion="4"/>
  <connection id="11829" xr16:uid="{00000000-0015-0000-FFFF-FFFFB2240000}" name="接続8292" type="7" refreshedVersion="4"/>
  <connection id="11830" xr16:uid="{00000000-0015-0000-FFFF-FFFFB3240000}" name="接続8293" type="7" refreshedVersion="4"/>
  <connection id="11831" xr16:uid="{00000000-0015-0000-FFFF-FFFFB4240000}" name="接続8294" type="7" refreshedVersion="4"/>
  <connection id="11832" xr16:uid="{00000000-0015-0000-FFFF-FFFFB5240000}" name="接続8295" type="7" refreshedVersion="4"/>
  <connection id="11833" xr16:uid="{00000000-0015-0000-FFFF-FFFFB6240000}" name="接続8296" type="7" refreshedVersion="4"/>
  <connection id="11834" xr16:uid="{00000000-0015-0000-FFFF-FFFFB7240000}" name="接続8297" type="7" refreshedVersion="4"/>
  <connection id="11835" xr16:uid="{00000000-0015-0000-FFFF-FFFFB8240000}" name="接続8298" type="7" refreshedVersion="4"/>
  <connection id="11836" xr16:uid="{00000000-0015-0000-FFFF-FFFFB9240000}" name="接続8299" type="7" refreshedVersion="4"/>
  <connection id="11837" xr16:uid="{00000000-0015-0000-FFFF-FFFFBA240000}" name="接続83" type="7" refreshedVersion="4"/>
  <connection id="11838" xr16:uid="{00000000-0015-0000-FFFF-FFFFBB240000}" name="接続830" type="7" refreshedVersion="4"/>
  <connection id="11839" xr16:uid="{00000000-0015-0000-FFFF-FFFFBC240000}" name="接続8300" type="7" refreshedVersion="4"/>
  <connection id="11840" xr16:uid="{00000000-0015-0000-FFFF-FFFFBD240000}" name="接続8301" type="7" refreshedVersion="4"/>
  <connection id="11841" xr16:uid="{00000000-0015-0000-FFFF-FFFFBE240000}" name="接続8302" type="7" refreshedVersion="4"/>
  <connection id="11842" xr16:uid="{00000000-0015-0000-FFFF-FFFFBF240000}" name="接続8303" type="7" refreshedVersion="4"/>
  <connection id="11843" xr16:uid="{00000000-0015-0000-FFFF-FFFFC0240000}" name="接続8304" type="7" refreshedVersion="4"/>
  <connection id="11844" xr16:uid="{00000000-0015-0000-FFFF-FFFFC1240000}" name="接続8305" type="7" refreshedVersion="4"/>
  <connection id="11845" xr16:uid="{00000000-0015-0000-FFFF-FFFFC2240000}" name="接続8306" type="7" refreshedVersion="4"/>
  <connection id="11846" xr16:uid="{00000000-0015-0000-FFFF-FFFFC3240000}" name="接続8307" type="7" refreshedVersion="4"/>
  <connection id="11847" xr16:uid="{00000000-0015-0000-FFFF-FFFFC4240000}" name="接続8308" type="7" refreshedVersion="4"/>
  <connection id="11848" xr16:uid="{00000000-0015-0000-FFFF-FFFFC5240000}" name="接続8309" type="7" refreshedVersion="4"/>
  <connection id="11849" xr16:uid="{00000000-0015-0000-FFFF-FFFFC6240000}" name="接続831" type="7" refreshedVersion="4"/>
  <connection id="11850" xr16:uid="{00000000-0015-0000-FFFF-FFFFC7240000}" name="接続8310" type="7" refreshedVersion="4"/>
  <connection id="11851" xr16:uid="{00000000-0015-0000-FFFF-FFFFC8240000}" name="接続8311" type="7" refreshedVersion="4"/>
  <connection id="11852" xr16:uid="{00000000-0015-0000-FFFF-FFFFC9240000}" name="接続8312" type="7" refreshedVersion="4"/>
  <connection id="11853" xr16:uid="{00000000-0015-0000-FFFF-FFFFCA240000}" name="接続8313" type="7" refreshedVersion="4"/>
  <connection id="11854" xr16:uid="{00000000-0015-0000-FFFF-FFFFCB240000}" name="接続8314" type="7" refreshedVersion="4"/>
  <connection id="11855" xr16:uid="{00000000-0015-0000-FFFF-FFFFCC240000}" name="接続8315" type="7" refreshedVersion="4"/>
  <connection id="11856" xr16:uid="{00000000-0015-0000-FFFF-FFFFCD240000}" name="接続8316" type="7" refreshedVersion="4"/>
  <connection id="11857" xr16:uid="{00000000-0015-0000-FFFF-FFFFCE240000}" name="接続8317" type="7" refreshedVersion="4"/>
  <connection id="11858" xr16:uid="{00000000-0015-0000-FFFF-FFFFCF240000}" name="接続8318" type="7" refreshedVersion="4"/>
  <connection id="11859" xr16:uid="{00000000-0015-0000-FFFF-FFFFD0240000}" name="接続8319" type="7" refreshedVersion="4"/>
  <connection id="11860" xr16:uid="{00000000-0015-0000-FFFF-FFFFD1240000}" name="接続832" type="7" refreshedVersion="4"/>
  <connection id="11861" xr16:uid="{00000000-0015-0000-FFFF-FFFFD2240000}" name="接続8320" type="7" refreshedVersion="4"/>
  <connection id="11862" xr16:uid="{00000000-0015-0000-FFFF-FFFFD3240000}" name="接続8321" type="7" refreshedVersion="4"/>
  <connection id="11863" xr16:uid="{00000000-0015-0000-FFFF-FFFFD4240000}" name="接続8322" type="7" refreshedVersion="4"/>
  <connection id="11864" xr16:uid="{00000000-0015-0000-FFFF-FFFFD5240000}" name="接続8323" type="7" refreshedVersion="4"/>
  <connection id="11865" xr16:uid="{00000000-0015-0000-FFFF-FFFFD6240000}" name="接続8324" type="7" refreshedVersion="4"/>
  <connection id="11866" xr16:uid="{00000000-0015-0000-FFFF-FFFFD7240000}" name="接続8325" type="7" refreshedVersion="4"/>
  <connection id="11867" xr16:uid="{00000000-0015-0000-FFFF-FFFFD8240000}" name="接続8326" type="7" refreshedVersion="4"/>
  <connection id="11868" xr16:uid="{00000000-0015-0000-FFFF-FFFFD9240000}" name="接続8327" type="7" refreshedVersion="4"/>
  <connection id="11869" xr16:uid="{00000000-0015-0000-FFFF-FFFFDA240000}" name="接続8328" type="7" refreshedVersion="4"/>
  <connection id="11870" xr16:uid="{00000000-0015-0000-FFFF-FFFFDB240000}" name="接続8329" type="7" refreshedVersion="4"/>
  <connection id="11871" xr16:uid="{00000000-0015-0000-FFFF-FFFFDC240000}" name="接続833" type="7" refreshedVersion="4"/>
  <connection id="11872" xr16:uid="{00000000-0015-0000-FFFF-FFFFDD240000}" name="接続8330" type="7" refreshedVersion="4"/>
  <connection id="11873" xr16:uid="{00000000-0015-0000-FFFF-FFFFDE240000}" name="接続8331" type="7" refreshedVersion="4"/>
  <connection id="11874" xr16:uid="{00000000-0015-0000-FFFF-FFFFDF240000}" name="接続8332" type="7" refreshedVersion="4"/>
  <connection id="11875" xr16:uid="{00000000-0015-0000-FFFF-FFFFE0240000}" name="接続8333" type="7" refreshedVersion="4"/>
  <connection id="11876" xr16:uid="{00000000-0015-0000-FFFF-FFFFE1240000}" name="接続8334" type="7" refreshedVersion="4"/>
  <connection id="11877" xr16:uid="{00000000-0015-0000-FFFF-FFFFE2240000}" name="接続8335" type="7" refreshedVersion="4"/>
  <connection id="11878" xr16:uid="{00000000-0015-0000-FFFF-FFFFE3240000}" name="接続8336" type="7" refreshedVersion="4"/>
  <connection id="11879" xr16:uid="{00000000-0015-0000-FFFF-FFFFE4240000}" name="接続8337" type="7" refreshedVersion="4"/>
  <connection id="11880" xr16:uid="{00000000-0015-0000-FFFF-FFFFE5240000}" name="接続8338" type="7" refreshedVersion="4"/>
  <connection id="11881" xr16:uid="{00000000-0015-0000-FFFF-FFFFE6240000}" name="接続8339" type="7" refreshedVersion="4"/>
  <connection id="11882" xr16:uid="{00000000-0015-0000-FFFF-FFFFE7240000}" name="接続834" type="7" refreshedVersion="4"/>
  <connection id="11883" xr16:uid="{00000000-0015-0000-FFFF-FFFFE8240000}" name="接続8340" type="7" refreshedVersion="4"/>
  <connection id="11884" xr16:uid="{00000000-0015-0000-FFFF-FFFFE9240000}" name="接続8341" type="7" refreshedVersion="4"/>
  <connection id="11885" xr16:uid="{00000000-0015-0000-FFFF-FFFFEA240000}" name="接続8342" type="7" refreshedVersion="4"/>
  <connection id="11886" xr16:uid="{00000000-0015-0000-FFFF-FFFFEB240000}" name="接続8343" type="7" refreshedVersion="4"/>
  <connection id="11887" xr16:uid="{00000000-0015-0000-FFFF-FFFFEC240000}" name="接続8344" type="7" refreshedVersion="4"/>
  <connection id="11888" xr16:uid="{00000000-0015-0000-FFFF-FFFFED240000}" name="接続8345" type="7" refreshedVersion="4"/>
  <connection id="11889" xr16:uid="{00000000-0015-0000-FFFF-FFFFEE240000}" name="接続8346" type="7" refreshedVersion="4"/>
  <connection id="11890" xr16:uid="{00000000-0015-0000-FFFF-FFFFEF240000}" name="接続8347" type="7" refreshedVersion="4"/>
  <connection id="11891" xr16:uid="{00000000-0015-0000-FFFF-FFFFF0240000}" name="接続8348" type="7" refreshedVersion="4"/>
  <connection id="11892" xr16:uid="{00000000-0015-0000-FFFF-FFFFF1240000}" name="接続8349" type="7" refreshedVersion="4"/>
  <connection id="11893" xr16:uid="{00000000-0015-0000-FFFF-FFFFF2240000}" name="接続835" type="7" refreshedVersion="4"/>
  <connection id="11894" xr16:uid="{00000000-0015-0000-FFFF-FFFFF3240000}" name="接続8350" type="7" refreshedVersion="4"/>
  <connection id="11895" xr16:uid="{00000000-0015-0000-FFFF-FFFFF4240000}" name="接続8351" type="7" refreshedVersion="4"/>
  <connection id="11896" xr16:uid="{00000000-0015-0000-FFFF-FFFFF5240000}" name="接続8352" type="7" refreshedVersion="4"/>
  <connection id="11897" xr16:uid="{00000000-0015-0000-FFFF-FFFFF6240000}" name="接続8353" type="7" refreshedVersion="4"/>
  <connection id="11898" xr16:uid="{00000000-0015-0000-FFFF-FFFFF7240000}" name="接続8354" type="7" refreshedVersion="4"/>
  <connection id="11899" xr16:uid="{00000000-0015-0000-FFFF-FFFFF8240000}" name="接続8355" type="7" refreshedVersion="4"/>
  <connection id="11900" xr16:uid="{00000000-0015-0000-FFFF-FFFFF9240000}" name="接続8356" type="7" refreshedVersion="4"/>
  <connection id="11901" xr16:uid="{00000000-0015-0000-FFFF-FFFFFA240000}" name="接続8357" type="7" refreshedVersion="4"/>
  <connection id="11902" xr16:uid="{00000000-0015-0000-FFFF-FFFFFB240000}" name="接続8358" type="7" refreshedVersion="4"/>
  <connection id="11903" xr16:uid="{00000000-0015-0000-FFFF-FFFFFC240000}" name="接続8359" type="7" refreshedVersion="4"/>
  <connection id="11904" xr16:uid="{00000000-0015-0000-FFFF-FFFFFD240000}" name="接続836" type="7" refreshedVersion="4"/>
  <connection id="11905" xr16:uid="{00000000-0015-0000-FFFF-FFFFFE240000}" name="接続8360" type="7" refreshedVersion="4"/>
  <connection id="11906" xr16:uid="{00000000-0015-0000-FFFF-FFFFFF240000}" name="接続8361" type="7" refreshedVersion="4"/>
  <connection id="11907" xr16:uid="{00000000-0015-0000-FFFF-FFFF00250000}" name="接続8362" type="7" refreshedVersion="4"/>
  <connection id="11908" xr16:uid="{00000000-0015-0000-FFFF-FFFF01250000}" name="接続8363" type="7" refreshedVersion="4"/>
  <connection id="11909" xr16:uid="{00000000-0015-0000-FFFF-FFFF02250000}" name="接続8364" type="7" refreshedVersion="4"/>
  <connection id="11910" xr16:uid="{00000000-0015-0000-FFFF-FFFF03250000}" name="接続8365" type="7" refreshedVersion="4"/>
  <connection id="11911" xr16:uid="{00000000-0015-0000-FFFF-FFFF04250000}" name="接続8366" type="7" refreshedVersion="4"/>
  <connection id="11912" xr16:uid="{00000000-0015-0000-FFFF-FFFF05250000}" name="接続8367" type="7" refreshedVersion="4"/>
  <connection id="11913" xr16:uid="{00000000-0015-0000-FFFF-FFFF06250000}" name="接続8368" type="7" refreshedVersion="4"/>
  <connection id="11914" xr16:uid="{00000000-0015-0000-FFFF-FFFF07250000}" name="接続8369" type="7" refreshedVersion="4"/>
  <connection id="11915" xr16:uid="{00000000-0015-0000-FFFF-FFFF08250000}" name="接続837" type="7" refreshedVersion="4"/>
  <connection id="11916" xr16:uid="{00000000-0015-0000-FFFF-FFFF09250000}" name="接続8370" type="7" refreshedVersion="4"/>
  <connection id="11917" xr16:uid="{00000000-0015-0000-FFFF-FFFF0A250000}" name="接続8371" type="7" refreshedVersion="4"/>
  <connection id="11918" xr16:uid="{00000000-0015-0000-FFFF-FFFF0B250000}" name="接続8372" type="7" refreshedVersion="4"/>
  <connection id="11919" xr16:uid="{00000000-0015-0000-FFFF-FFFF0C250000}" name="接続8373" type="7" refreshedVersion="4"/>
  <connection id="11920" xr16:uid="{00000000-0015-0000-FFFF-FFFF0D250000}" name="接続8374" type="7" refreshedVersion="4"/>
  <connection id="11921" xr16:uid="{00000000-0015-0000-FFFF-FFFF0E250000}" name="接続8375" type="7" refreshedVersion="4"/>
  <connection id="11922" xr16:uid="{00000000-0015-0000-FFFF-FFFF0F250000}" name="接続8376" type="7" refreshedVersion="4"/>
  <connection id="11923" xr16:uid="{00000000-0015-0000-FFFF-FFFF10250000}" name="接続8377" type="7" refreshedVersion="4"/>
  <connection id="11924" xr16:uid="{00000000-0015-0000-FFFF-FFFF11250000}" name="接続8378" type="7" refreshedVersion="4"/>
  <connection id="11925" xr16:uid="{00000000-0015-0000-FFFF-FFFF12250000}" name="接続8379" type="7" refreshedVersion="4"/>
  <connection id="11926" xr16:uid="{00000000-0015-0000-FFFF-FFFF13250000}" name="接続838" type="7" refreshedVersion="4"/>
  <connection id="11927" xr16:uid="{00000000-0015-0000-FFFF-FFFF14250000}" name="接続8380" type="7" refreshedVersion="4"/>
  <connection id="11928" xr16:uid="{00000000-0015-0000-FFFF-FFFF15250000}" name="接続8381" type="7" refreshedVersion="4"/>
  <connection id="11929" xr16:uid="{00000000-0015-0000-FFFF-FFFF16250000}" name="接続8382" type="7" refreshedVersion="4"/>
  <connection id="11930" xr16:uid="{00000000-0015-0000-FFFF-FFFF17250000}" name="接続8383" type="7" refreshedVersion="4"/>
  <connection id="11931" xr16:uid="{00000000-0015-0000-FFFF-FFFF18250000}" name="接続8384" type="7" refreshedVersion="4"/>
  <connection id="11932" xr16:uid="{00000000-0015-0000-FFFF-FFFF19250000}" name="接続8385" type="7" refreshedVersion="4"/>
  <connection id="11933" xr16:uid="{00000000-0015-0000-FFFF-FFFF1A250000}" name="接続8386" type="7" refreshedVersion="4"/>
  <connection id="11934" xr16:uid="{00000000-0015-0000-FFFF-FFFF1B250000}" name="接続8387" type="7" refreshedVersion="4"/>
  <connection id="11935" xr16:uid="{00000000-0015-0000-FFFF-FFFF1C250000}" name="接続8388" type="7" refreshedVersion="4"/>
  <connection id="11936" xr16:uid="{00000000-0015-0000-FFFF-FFFF1D250000}" name="接続8389" type="7" refreshedVersion="4"/>
  <connection id="11937" xr16:uid="{00000000-0015-0000-FFFF-FFFF1E250000}" name="接続839" type="7" refreshedVersion="4"/>
  <connection id="11938" xr16:uid="{00000000-0015-0000-FFFF-FFFF1F250000}" name="接続8390" type="7" refreshedVersion="4"/>
  <connection id="11939" xr16:uid="{00000000-0015-0000-FFFF-FFFF20250000}" name="接続8391" type="7" refreshedVersion="4"/>
  <connection id="11940" xr16:uid="{00000000-0015-0000-FFFF-FFFF21250000}" name="接続8392" type="7" refreshedVersion="4"/>
  <connection id="11941" xr16:uid="{00000000-0015-0000-FFFF-FFFF22250000}" name="接続8393" type="7" refreshedVersion="4"/>
  <connection id="11942" xr16:uid="{00000000-0015-0000-FFFF-FFFF23250000}" name="接続8394" type="7" refreshedVersion="4"/>
  <connection id="11943" xr16:uid="{00000000-0015-0000-FFFF-FFFF24250000}" name="接続8395" type="7" refreshedVersion="4"/>
  <connection id="11944" xr16:uid="{00000000-0015-0000-FFFF-FFFF25250000}" name="接続8396" type="7" refreshedVersion="4"/>
  <connection id="11945" xr16:uid="{00000000-0015-0000-FFFF-FFFF26250000}" name="接続8397" type="7" refreshedVersion="4"/>
  <connection id="11946" xr16:uid="{00000000-0015-0000-FFFF-FFFF27250000}" name="接続8398" type="7" refreshedVersion="4"/>
  <connection id="11947" xr16:uid="{00000000-0015-0000-FFFF-FFFF28250000}" name="接続8399" type="7" refreshedVersion="4"/>
  <connection id="11948" xr16:uid="{00000000-0015-0000-FFFF-FFFF29250000}" name="接続84" type="7" refreshedVersion="4"/>
  <connection id="11949" xr16:uid="{00000000-0015-0000-FFFF-FFFF2A250000}" name="接続840" type="7" refreshedVersion="4"/>
  <connection id="11950" xr16:uid="{00000000-0015-0000-FFFF-FFFF2B250000}" name="接続8400" type="7" refreshedVersion="4"/>
  <connection id="11951" xr16:uid="{00000000-0015-0000-FFFF-FFFF2C250000}" name="接続8401" type="7" refreshedVersion="4"/>
  <connection id="11952" xr16:uid="{00000000-0015-0000-FFFF-FFFF2D250000}" name="接続8402" type="7" refreshedVersion="4"/>
  <connection id="11953" xr16:uid="{00000000-0015-0000-FFFF-FFFF2E250000}" name="接続8403" type="7" refreshedVersion="4"/>
  <connection id="11954" xr16:uid="{00000000-0015-0000-FFFF-FFFF2F250000}" name="接続8404" type="7" refreshedVersion="4"/>
  <connection id="11955" xr16:uid="{00000000-0015-0000-FFFF-FFFF30250000}" name="接続8405" type="7" refreshedVersion="4"/>
  <connection id="11956" xr16:uid="{00000000-0015-0000-FFFF-FFFF31250000}" name="接続8406" type="7" refreshedVersion="4"/>
  <connection id="11957" xr16:uid="{00000000-0015-0000-FFFF-FFFF32250000}" name="接続8407" type="7" refreshedVersion="4"/>
  <connection id="11958" xr16:uid="{00000000-0015-0000-FFFF-FFFF33250000}" name="接続8408" type="7" refreshedVersion="4"/>
  <connection id="11959" xr16:uid="{00000000-0015-0000-FFFF-FFFF34250000}" name="接続8409" type="7" refreshedVersion="4"/>
  <connection id="11960" xr16:uid="{00000000-0015-0000-FFFF-FFFF35250000}" name="接続841" type="7" refreshedVersion="4"/>
  <connection id="11961" xr16:uid="{00000000-0015-0000-FFFF-FFFF36250000}" name="接続8410" type="7" refreshedVersion="4"/>
  <connection id="11962" xr16:uid="{00000000-0015-0000-FFFF-FFFF37250000}" name="接続8411" type="7" refreshedVersion="4"/>
  <connection id="11963" xr16:uid="{00000000-0015-0000-FFFF-FFFF38250000}" name="接続8412" type="7" refreshedVersion="4"/>
  <connection id="11964" xr16:uid="{00000000-0015-0000-FFFF-FFFF39250000}" name="接続8413" type="7" refreshedVersion="4"/>
  <connection id="11965" xr16:uid="{00000000-0015-0000-FFFF-FFFF3A250000}" name="接続8414" type="7" refreshedVersion="4"/>
  <connection id="11966" xr16:uid="{00000000-0015-0000-FFFF-FFFF3B250000}" name="接続8415" type="7" refreshedVersion="4"/>
  <connection id="11967" xr16:uid="{00000000-0015-0000-FFFF-FFFF3C250000}" name="接続8416" type="7" refreshedVersion="4"/>
  <connection id="11968" xr16:uid="{00000000-0015-0000-FFFF-FFFF3D250000}" name="接続8417" type="7" refreshedVersion="4"/>
  <connection id="11969" xr16:uid="{00000000-0015-0000-FFFF-FFFF3E250000}" name="接続8418" type="7" refreshedVersion="4"/>
  <connection id="11970" xr16:uid="{00000000-0015-0000-FFFF-FFFF3F250000}" name="接続8419" type="7" refreshedVersion="4"/>
  <connection id="11971" xr16:uid="{00000000-0015-0000-FFFF-FFFF40250000}" name="接続842" type="7" refreshedVersion="4"/>
  <connection id="11972" xr16:uid="{00000000-0015-0000-FFFF-FFFF41250000}" name="接続8420" type="7" refreshedVersion="4"/>
  <connection id="11973" xr16:uid="{00000000-0015-0000-FFFF-FFFF42250000}" name="接続8421" type="7" refreshedVersion="4"/>
  <connection id="11974" xr16:uid="{00000000-0015-0000-FFFF-FFFF43250000}" name="接続8422" type="7" refreshedVersion="4"/>
  <connection id="11975" xr16:uid="{00000000-0015-0000-FFFF-FFFF44250000}" name="接続8423" type="7" refreshedVersion="4"/>
  <connection id="11976" xr16:uid="{00000000-0015-0000-FFFF-FFFF45250000}" name="接続8424" type="7" refreshedVersion="4"/>
  <connection id="11977" xr16:uid="{00000000-0015-0000-FFFF-FFFF46250000}" name="接続8425" type="7" refreshedVersion="4"/>
  <connection id="11978" xr16:uid="{00000000-0015-0000-FFFF-FFFF47250000}" name="接続8426" type="7" refreshedVersion="4"/>
  <connection id="11979" xr16:uid="{00000000-0015-0000-FFFF-FFFF48250000}" name="接続8427" type="7" refreshedVersion="4"/>
  <connection id="11980" xr16:uid="{00000000-0015-0000-FFFF-FFFF49250000}" name="接続8428" type="7" refreshedVersion="4"/>
  <connection id="11981" xr16:uid="{00000000-0015-0000-FFFF-FFFF4A250000}" name="接続8429" type="7" refreshedVersion="4"/>
  <connection id="11982" xr16:uid="{00000000-0015-0000-FFFF-FFFF4B250000}" name="接続843" type="7" refreshedVersion="4"/>
  <connection id="11983" xr16:uid="{00000000-0015-0000-FFFF-FFFF4C250000}" name="接続8430" type="7" refreshedVersion="4"/>
  <connection id="11984" xr16:uid="{00000000-0015-0000-FFFF-FFFF4D250000}" name="接続8431" type="7" refreshedVersion="4"/>
  <connection id="11985" xr16:uid="{00000000-0015-0000-FFFF-FFFF4E250000}" name="接続8432" type="7" refreshedVersion="4"/>
  <connection id="11986" xr16:uid="{00000000-0015-0000-FFFF-FFFF4F250000}" name="接続8433" type="7" refreshedVersion="4"/>
  <connection id="11987" xr16:uid="{00000000-0015-0000-FFFF-FFFF50250000}" name="接続8434" type="7" refreshedVersion="4"/>
  <connection id="11988" xr16:uid="{00000000-0015-0000-FFFF-FFFF51250000}" name="接続8435" type="7" refreshedVersion="4"/>
  <connection id="11989" xr16:uid="{00000000-0015-0000-FFFF-FFFF52250000}" name="接続8436" type="7" refreshedVersion="4"/>
  <connection id="11990" xr16:uid="{00000000-0015-0000-FFFF-FFFF53250000}" name="接続8437" type="7" refreshedVersion="4"/>
  <connection id="11991" xr16:uid="{00000000-0015-0000-FFFF-FFFF54250000}" name="接続8438" type="7" refreshedVersion="4"/>
  <connection id="11992" xr16:uid="{00000000-0015-0000-FFFF-FFFF55250000}" name="接続8439" type="7" refreshedVersion="4"/>
  <connection id="11993" xr16:uid="{00000000-0015-0000-FFFF-FFFF56250000}" name="接続844" type="7" refreshedVersion="4"/>
  <connection id="11994" xr16:uid="{00000000-0015-0000-FFFF-FFFF57250000}" name="接続8440" type="7" refreshedVersion="4"/>
  <connection id="11995" xr16:uid="{00000000-0015-0000-FFFF-FFFF58250000}" name="接続8441" type="7" refreshedVersion="4"/>
  <connection id="11996" xr16:uid="{00000000-0015-0000-FFFF-FFFF59250000}" name="接続8442" type="7" refreshedVersion="4"/>
  <connection id="11997" xr16:uid="{00000000-0015-0000-FFFF-FFFF5A250000}" name="接続8443" type="7" refreshedVersion="4"/>
  <connection id="11998" xr16:uid="{00000000-0015-0000-FFFF-FFFF5B250000}" name="接続8444" type="7" refreshedVersion="4"/>
  <connection id="11999" xr16:uid="{00000000-0015-0000-FFFF-FFFF5C250000}" name="接続8445" type="7" refreshedVersion="4"/>
  <connection id="12000" xr16:uid="{00000000-0015-0000-FFFF-FFFF5D250000}" name="接続8446" type="7" refreshedVersion="4"/>
  <connection id="12001" xr16:uid="{00000000-0015-0000-FFFF-FFFF5E250000}" name="接続8447" type="7" refreshedVersion="4"/>
  <connection id="12002" xr16:uid="{00000000-0015-0000-FFFF-FFFF5F250000}" name="接続8448" type="7" refreshedVersion="4"/>
  <connection id="12003" xr16:uid="{00000000-0015-0000-FFFF-FFFF60250000}" name="接続8449" type="7" refreshedVersion="4"/>
  <connection id="12004" xr16:uid="{00000000-0015-0000-FFFF-FFFF61250000}" name="接続845" type="7" refreshedVersion="4"/>
  <connection id="12005" xr16:uid="{00000000-0015-0000-FFFF-FFFF62250000}" name="接続8450" type="7" refreshedVersion="4"/>
  <connection id="12006" xr16:uid="{00000000-0015-0000-FFFF-FFFF63250000}" name="接続8451" type="7" refreshedVersion="4"/>
  <connection id="12007" xr16:uid="{00000000-0015-0000-FFFF-FFFF64250000}" name="接続8452" type="7" refreshedVersion="4"/>
  <connection id="12008" xr16:uid="{00000000-0015-0000-FFFF-FFFF65250000}" name="接続8453" type="7" refreshedVersion="4"/>
  <connection id="12009" xr16:uid="{00000000-0015-0000-FFFF-FFFF66250000}" name="接続8454" type="7" refreshedVersion="4"/>
  <connection id="12010" xr16:uid="{00000000-0015-0000-FFFF-FFFF67250000}" name="接続8455" type="7" refreshedVersion="4"/>
  <connection id="12011" xr16:uid="{00000000-0015-0000-FFFF-FFFF68250000}" name="接続8456" type="7" refreshedVersion="4"/>
  <connection id="12012" xr16:uid="{00000000-0015-0000-FFFF-FFFF69250000}" name="接続8457" type="7" refreshedVersion="4"/>
  <connection id="12013" xr16:uid="{00000000-0015-0000-FFFF-FFFF6A250000}" name="接続8458" type="7" refreshedVersion="4"/>
  <connection id="12014" xr16:uid="{00000000-0015-0000-FFFF-FFFF6B250000}" name="接続8459" type="7" refreshedVersion="4"/>
  <connection id="12015" xr16:uid="{00000000-0015-0000-FFFF-FFFF6C250000}" name="接続846" type="7" refreshedVersion="4"/>
  <connection id="12016" xr16:uid="{00000000-0015-0000-FFFF-FFFF6D250000}" name="接続8460" type="7" refreshedVersion="4"/>
  <connection id="12017" xr16:uid="{00000000-0015-0000-FFFF-FFFF6E250000}" name="接続8461" type="7" refreshedVersion="4"/>
  <connection id="12018" xr16:uid="{00000000-0015-0000-FFFF-FFFF6F250000}" name="接続8462" type="7" refreshedVersion="4"/>
  <connection id="12019" xr16:uid="{00000000-0015-0000-FFFF-FFFF70250000}" name="接続8463" type="7" refreshedVersion="4"/>
  <connection id="12020" xr16:uid="{00000000-0015-0000-FFFF-FFFF71250000}" name="接続8464" type="7" refreshedVersion="4"/>
  <connection id="12021" xr16:uid="{00000000-0015-0000-FFFF-FFFF72250000}" name="接続8465" type="7" refreshedVersion="4"/>
  <connection id="12022" xr16:uid="{00000000-0015-0000-FFFF-FFFF73250000}" name="接続8466" type="7" refreshedVersion="4"/>
  <connection id="12023" xr16:uid="{00000000-0015-0000-FFFF-FFFF74250000}" name="接続8467" type="7" refreshedVersion="4"/>
  <connection id="12024" xr16:uid="{00000000-0015-0000-FFFF-FFFF75250000}" name="接続8468" type="7" refreshedVersion="4"/>
  <connection id="12025" xr16:uid="{00000000-0015-0000-FFFF-FFFF76250000}" name="接続8469" type="7" refreshedVersion="4"/>
  <connection id="12026" xr16:uid="{00000000-0015-0000-FFFF-FFFF77250000}" name="接続847" type="7" refreshedVersion="4"/>
  <connection id="12027" xr16:uid="{00000000-0015-0000-FFFF-FFFF78250000}" name="接続8470" type="7" refreshedVersion="4"/>
  <connection id="12028" xr16:uid="{00000000-0015-0000-FFFF-FFFF79250000}" name="接続8471" type="7" refreshedVersion="4"/>
  <connection id="12029" xr16:uid="{00000000-0015-0000-FFFF-FFFF7A250000}" name="接続8472" type="7" refreshedVersion="4"/>
  <connection id="12030" xr16:uid="{00000000-0015-0000-FFFF-FFFF7B250000}" name="接続8473" type="7" refreshedVersion="4"/>
  <connection id="12031" xr16:uid="{00000000-0015-0000-FFFF-FFFF7C250000}" name="接続8474" type="7" refreshedVersion="4"/>
  <connection id="12032" xr16:uid="{00000000-0015-0000-FFFF-FFFF7D250000}" name="接続8475" type="7" refreshedVersion="4"/>
  <connection id="12033" xr16:uid="{00000000-0015-0000-FFFF-FFFF7E250000}" name="接続8476" type="7" refreshedVersion="4"/>
  <connection id="12034" xr16:uid="{00000000-0015-0000-FFFF-FFFF7F250000}" name="接続8477" type="7" refreshedVersion="4"/>
  <connection id="12035" xr16:uid="{00000000-0015-0000-FFFF-FFFF80250000}" name="接続8478" type="7" refreshedVersion="4"/>
  <connection id="12036" xr16:uid="{00000000-0015-0000-FFFF-FFFF81250000}" name="接続8479" type="7" refreshedVersion="4"/>
  <connection id="12037" xr16:uid="{00000000-0015-0000-FFFF-FFFF82250000}" name="接続848" type="7" refreshedVersion="4"/>
  <connection id="12038" xr16:uid="{00000000-0015-0000-FFFF-FFFF83250000}" name="接続8480" type="7" refreshedVersion="4"/>
  <connection id="12039" xr16:uid="{00000000-0015-0000-FFFF-FFFF84250000}" name="接続8481" type="7" refreshedVersion="4"/>
  <connection id="12040" xr16:uid="{00000000-0015-0000-FFFF-FFFF85250000}" name="接続8482" type="7" refreshedVersion="4"/>
  <connection id="12041" xr16:uid="{00000000-0015-0000-FFFF-FFFF86250000}" name="接続8483" type="7" refreshedVersion="4"/>
  <connection id="12042" xr16:uid="{00000000-0015-0000-FFFF-FFFF87250000}" name="接続8484" type="7" refreshedVersion="4"/>
  <connection id="12043" xr16:uid="{00000000-0015-0000-FFFF-FFFF88250000}" name="接続8485" type="7" refreshedVersion="4"/>
  <connection id="12044" xr16:uid="{00000000-0015-0000-FFFF-FFFF89250000}" name="接続8486" type="7" refreshedVersion="4"/>
  <connection id="12045" xr16:uid="{00000000-0015-0000-FFFF-FFFF8A250000}" name="接続8487" type="7" refreshedVersion="4"/>
  <connection id="12046" xr16:uid="{00000000-0015-0000-FFFF-FFFF8B250000}" name="接続8488" type="7" refreshedVersion="4"/>
  <connection id="12047" xr16:uid="{00000000-0015-0000-FFFF-FFFF8C250000}" name="接続8489" type="7" refreshedVersion="4"/>
  <connection id="12048" xr16:uid="{00000000-0015-0000-FFFF-FFFF8D250000}" name="接続849" type="7" refreshedVersion="4"/>
  <connection id="12049" xr16:uid="{00000000-0015-0000-FFFF-FFFF8E250000}" name="接続8490" type="7" refreshedVersion="4"/>
  <connection id="12050" xr16:uid="{00000000-0015-0000-FFFF-FFFF8F250000}" name="接続8491" type="7" refreshedVersion="4"/>
  <connection id="12051" xr16:uid="{00000000-0015-0000-FFFF-FFFF90250000}" name="接続8492" type="7" refreshedVersion="4"/>
  <connection id="12052" xr16:uid="{00000000-0015-0000-FFFF-FFFF91250000}" name="接続8493" type="7" refreshedVersion="4"/>
  <connection id="12053" xr16:uid="{00000000-0015-0000-FFFF-FFFF92250000}" name="接続8494" type="7" refreshedVersion="4"/>
  <connection id="12054" xr16:uid="{00000000-0015-0000-FFFF-FFFF93250000}" name="接続8495" type="7" refreshedVersion="4"/>
  <connection id="12055" xr16:uid="{00000000-0015-0000-FFFF-FFFF94250000}" name="接続8496" type="7" refreshedVersion="4"/>
  <connection id="12056" xr16:uid="{00000000-0015-0000-FFFF-FFFF95250000}" name="接続8497" type="7" refreshedVersion="4"/>
  <connection id="12057" xr16:uid="{00000000-0015-0000-FFFF-FFFF96250000}" name="接続8498" type="7" refreshedVersion="4"/>
  <connection id="12058" xr16:uid="{00000000-0015-0000-FFFF-FFFF97250000}" name="接続8499" type="7" refreshedVersion="4"/>
  <connection id="12059" xr16:uid="{00000000-0015-0000-FFFF-FFFF98250000}" name="接続85" type="7" refreshedVersion="4"/>
  <connection id="12060" xr16:uid="{00000000-0015-0000-FFFF-FFFF99250000}" name="接続850" type="7" refreshedVersion="4"/>
  <connection id="12061" xr16:uid="{00000000-0015-0000-FFFF-FFFF9A250000}" name="接続8500" type="7" refreshedVersion="4"/>
  <connection id="12062" xr16:uid="{00000000-0015-0000-FFFF-FFFF9B250000}" name="接続8501" type="7" refreshedVersion="4"/>
  <connection id="12063" xr16:uid="{00000000-0015-0000-FFFF-FFFF9C250000}" name="接続8502" type="7" refreshedVersion="4"/>
  <connection id="12064" xr16:uid="{00000000-0015-0000-FFFF-FFFF9D250000}" name="接続8503" type="7" refreshedVersion="4"/>
  <connection id="12065" xr16:uid="{00000000-0015-0000-FFFF-FFFF9E250000}" name="接続8504" type="7" refreshedVersion="4"/>
  <connection id="12066" xr16:uid="{00000000-0015-0000-FFFF-FFFF9F250000}" name="接続8505" type="7" refreshedVersion="4"/>
  <connection id="12067" xr16:uid="{00000000-0015-0000-FFFF-FFFFA0250000}" name="接続8506" type="7" refreshedVersion="4"/>
  <connection id="12068" xr16:uid="{00000000-0015-0000-FFFF-FFFFA1250000}" name="接続8507" type="7" refreshedVersion="4"/>
  <connection id="12069" xr16:uid="{00000000-0015-0000-FFFF-FFFFA2250000}" name="接続8508" type="7" refreshedVersion="4"/>
  <connection id="12070" xr16:uid="{00000000-0015-0000-FFFF-FFFFA3250000}" name="接続8509" type="7" refreshedVersion="4"/>
  <connection id="12071" xr16:uid="{00000000-0015-0000-FFFF-FFFFA4250000}" name="接続851" type="7" refreshedVersion="4"/>
  <connection id="12072" xr16:uid="{00000000-0015-0000-FFFF-FFFFA5250000}" name="接続8510" type="7" refreshedVersion="4"/>
  <connection id="12073" xr16:uid="{00000000-0015-0000-FFFF-FFFFA6250000}" name="接続8511" type="7" refreshedVersion="4"/>
  <connection id="12074" xr16:uid="{00000000-0015-0000-FFFF-FFFFA7250000}" name="接続8512" type="7" refreshedVersion="4"/>
  <connection id="12075" xr16:uid="{00000000-0015-0000-FFFF-FFFFA8250000}" name="接続8513" type="7" refreshedVersion="4"/>
  <connection id="12076" xr16:uid="{00000000-0015-0000-FFFF-FFFFA9250000}" name="接続8514" type="7" refreshedVersion="4"/>
  <connection id="12077" xr16:uid="{00000000-0015-0000-FFFF-FFFFAA250000}" name="接続8515" type="7" refreshedVersion="4"/>
  <connection id="12078" xr16:uid="{00000000-0015-0000-FFFF-FFFFAB250000}" name="接続8516" type="7" refreshedVersion="4"/>
  <connection id="12079" xr16:uid="{00000000-0015-0000-FFFF-FFFFAC250000}" name="接続8517" type="7" refreshedVersion="4"/>
  <connection id="12080" xr16:uid="{00000000-0015-0000-FFFF-FFFFAD250000}" name="接続8518" type="7" refreshedVersion="4"/>
  <connection id="12081" xr16:uid="{00000000-0015-0000-FFFF-FFFFAE250000}" name="接続8519" type="7" refreshedVersion="4"/>
  <connection id="12082" xr16:uid="{00000000-0015-0000-FFFF-FFFFAF250000}" name="接続852" type="7" refreshedVersion="4"/>
  <connection id="12083" xr16:uid="{00000000-0015-0000-FFFF-FFFFB0250000}" name="接続8520" type="7" refreshedVersion="4"/>
  <connection id="12084" xr16:uid="{00000000-0015-0000-FFFF-FFFFB1250000}" name="接続8521" type="7" refreshedVersion="4"/>
  <connection id="12085" xr16:uid="{00000000-0015-0000-FFFF-FFFFB2250000}" name="接続8522" type="7" refreshedVersion="4"/>
  <connection id="12086" xr16:uid="{00000000-0015-0000-FFFF-FFFFB3250000}" name="接続8523" type="7" refreshedVersion="4"/>
  <connection id="12087" xr16:uid="{00000000-0015-0000-FFFF-FFFFB4250000}" name="接続8524" type="7" refreshedVersion="4"/>
  <connection id="12088" xr16:uid="{00000000-0015-0000-FFFF-FFFFB5250000}" name="接続8525" type="7" refreshedVersion="4"/>
  <connection id="12089" xr16:uid="{00000000-0015-0000-FFFF-FFFFB6250000}" name="接続8526" type="7" refreshedVersion="4"/>
  <connection id="12090" xr16:uid="{00000000-0015-0000-FFFF-FFFFB7250000}" name="接続8527" type="7" refreshedVersion="4"/>
  <connection id="12091" xr16:uid="{00000000-0015-0000-FFFF-FFFFB8250000}" name="接続8528" type="7" refreshedVersion="4"/>
  <connection id="12092" xr16:uid="{00000000-0015-0000-FFFF-FFFFB9250000}" name="接続8529" type="7" refreshedVersion="4"/>
  <connection id="12093" xr16:uid="{00000000-0015-0000-FFFF-FFFFBA250000}" name="接続853" type="7" refreshedVersion="4"/>
  <connection id="12094" xr16:uid="{00000000-0015-0000-FFFF-FFFFBB250000}" name="接続8530" type="7" refreshedVersion="4"/>
  <connection id="12095" xr16:uid="{00000000-0015-0000-FFFF-FFFFBC250000}" name="接続8531" type="7" refreshedVersion="4"/>
  <connection id="12096" xr16:uid="{00000000-0015-0000-FFFF-FFFFBD250000}" name="接続8532" type="7" refreshedVersion="4"/>
  <connection id="12097" xr16:uid="{00000000-0015-0000-FFFF-FFFFBE250000}" name="接続8533" type="7" refreshedVersion="4"/>
  <connection id="12098" xr16:uid="{00000000-0015-0000-FFFF-FFFFBF250000}" name="接続8534" type="7" refreshedVersion="4"/>
  <connection id="12099" xr16:uid="{00000000-0015-0000-FFFF-FFFFC0250000}" name="接続8535" type="7" refreshedVersion="4"/>
  <connection id="12100" xr16:uid="{00000000-0015-0000-FFFF-FFFFC1250000}" name="接続8536" type="7" refreshedVersion="4"/>
  <connection id="12101" xr16:uid="{00000000-0015-0000-FFFF-FFFFC2250000}" name="接続8537" type="7" refreshedVersion="4"/>
  <connection id="12102" xr16:uid="{00000000-0015-0000-FFFF-FFFFC3250000}" name="接続8538" type="7" refreshedVersion="4"/>
  <connection id="12103" xr16:uid="{00000000-0015-0000-FFFF-FFFFC4250000}" name="接続8539" type="7" refreshedVersion="4"/>
  <connection id="12104" xr16:uid="{00000000-0015-0000-FFFF-FFFFC5250000}" name="接続854" type="7" refreshedVersion="4"/>
  <connection id="12105" xr16:uid="{00000000-0015-0000-FFFF-FFFFC6250000}" name="接続8540" type="7" refreshedVersion="4"/>
  <connection id="12106" xr16:uid="{00000000-0015-0000-FFFF-FFFFC7250000}" name="接続8541" type="7" refreshedVersion="4"/>
  <connection id="12107" xr16:uid="{00000000-0015-0000-FFFF-FFFFC8250000}" name="接続8542" type="7" refreshedVersion="4"/>
  <connection id="12108" xr16:uid="{00000000-0015-0000-FFFF-FFFFC9250000}" name="接続8543" type="7" refreshedVersion="4"/>
  <connection id="12109" xr16:uid="{00000000-0015-0000-FFFF-FFFFCA250000}" name="接続8544" type="7" refreshedVersion="4"/>
  <connection id="12110" xr16:uid="{00000000-0015-0000-FFFF-FFFFCB250000}" name="接続8545" type="7" refreshedVersion="4"/>
  <connection id="12111" xr16:uid="{00000000-0015-0000-FFFF-FFFFCC250000}" name="接続8546" type="7" refreshedVersion="4"/>
  <connection id="12112" xr16:uid="{00000000-0015-0000-FFFF-FFFFCD250000}" name="接続8547" type="7" refreshedVersion="4"/>
  <connection id="12113" xr16:uid="{00000000-0015-0000-FFFF-FFFFCE250000}" name="接続8548" type="7" refreshedVersion="4"/>
  <connection id="12114" xr16:uid="{00000000-0015-0000-FFFF-FFFFCF250000}" name="接続8549" type="7" refreshedVersion="4"/>
  <connection id="12115" xr16:uid="{00000000-0015-0000-FFFF-FFFFD0250000}" name="接続855" type="7" refreshedVersion="4"/>
  <connection id="12116" xr16:uid="{00000000-0015-0000-FFFF-FFFFD1250000}" name="接続8550" type="7" refreshedVersion="4"/>
  <connection id="12117" xr16:uid="{00000000-0015-0000-FFFF-FFFFD2250000}" name="接続8551" type="7" refreshedVersion="4"/>
  <connection id="12118" xr16:uid="{00000000-0015-0000-FFFF-FFFFD3250000}" name="接続8552" type="7" refreshedVersion="4"/>
  <connection id="12119" xr16:uid="{00000000-0015-0000-FFFF-FFFFD4250000}" name="接続8553" type="7" refreshedVersion="4"/>
  <connection id="12120" xr16:uid="{00000000-0015-0000-FFFF-FFFFD5250000}" name="接続8554" type="7" refreshedVersion="4"/>
  <connection id="12121" xr16:uid="{00000000-0015-0000-FFFF-FFFFD6250000}" name="接続8555" type="7" refreshedVersion="4"/>
  <connection id="12122" xr16:uid="{00000000-0015-0000-FFFF-FFFFD7250000}" name="接続8556" type="7" refreshedVersion="4"/>
  <connection id="12123" xr16:uid="{00000000-0015-0000-FFFF-FFFFD8250000}" name="接続8557" type="7" refreshedVersion="4"/>
  <connection id="12124" xr16:uid="{00000000-0015-0000-FFFF-FFFFD9250000}" name="接続8558" type="7" refreshedVersion="4"/>
  <connection id="12125" xr16:uid="{00000000-0015-0000-FFFF-FFFFDA250000}" name="接続8559" type="7" refreshedVersion="4"/>
  <connection id="12126" xr16:uid="{00000000-0015-0000-FFFF-FFFFDB250000}" name="接続856" type="7" refreshedVersion="4"/>
  <connection id="12127" xr16:uid="{00000000-0015-0000-FFFF-FFFFDC250000}" name="接続8560" type="7" refreshedVersion="4"/>
  <connection id="12128" xr16:uid="{00000000-0015-0000-FFFF-FFFFDD250000}" name="接続8561" type="7" refreshedVersion="4"/>
  <connection id="12129" xr16:uid="{00000000-0015-0000-FFFF-FFFFDE250000}" name="接続8562" type="7" refreshedVersion="4"/>
  <connection id="12130" xr16:uid="{00000000-0015-0000-FFFF-FFFFDF250000}" name="接続8563" type="7" refreshedVersion="4"/>
  <connection id="12131" xr16:uid="{00000000-0015-0000-FFFF-FFFFE0250000}" name="接続8564" type="7" refreshedVersion="4"/>
  <connection id="12132" xr16:uid="{00000000-0015-0000-FFFF-FFFFE1250000}" name="接続8565" type="7" refreshedVersion="4"/>
  <connection id="12133" xr16:uid="{00000000-0015-0000-FFFF-FFFFE2250000}" name="接続8566" type="7" refreshedVersion="4"/>
  <connection id="12134" xr16:uid="{00000000-0015-0000-FFFF-FFFFE3250000}" name="接続8567" type="7" refreshedVersion="4"/>
  <connection id="12135" xr16:uid="{00000000-0015-0000-FFFF-FFFFE4250000}" name="接続8568" type="7" refreshedVersion="4"/>
  <connection id="12136" xr16:uid="{00000000-0015-0000-FFFF-FFFFE5250000}" name="接続8569" type="7" refreshedVersion="4"/>
  <connection id="12137" xr16:uid="{00000000-0015-0000-FFFF-FFFFE6250000}" name="接続857" type="7" refreshedVersion="4"/>
  <connection id="12138" xr16:uid="{00000000-0015-0000-FFFF-FFFFE7250000}" name="接続8570" type="7" refreshedVersion="4"/>
  <connection id="12139" xr16:uid="{00000000-0015-0000-FFFF-FFFFE8250000}" name="接続8571" type="7" refreshedVersion="4"/>
  <connection id="12140" xr16:uid="{00000000-0015-0000-FFFF-FFFFE9250000}" name="接続8572" type="7" refreshedVersion="4"/>
  <connection id="12141" xr16:uid="{00000000-0015-0000-FFFF-FFFFEA250000}" name="接続8573" type="7" refreshedVersion="4"/>
  <connection id="12142" xr16:uid="{00000000-0015-0000-FFFF-FFFFEB250000}" name="接続8574" type="7" refreshedVersion="4"/>
  <connection id="12143" xr16:uid="{00000000-0015-0000-FFFF-FFFFEC250000}" name="接続8575" type="7" refreshedVersion="4"/>
  <connection id="12144" xr16:uid="{00000000-0015-0000-FFFF-FFFFED250000}" name="接続8576" type="7" refreshedVersion="4"/>
  <connection id="12145" xr16:uid="{00000000-0015-0000-FFFF-FFFFEE250000}" name="接続8577" type="7" refreshedVersion="4"/>
  <connection id="12146" xr16:uid="{00000000-0015-0000-FFFF-FFFFEF250000}" name="接続8578" type="7" refreshedVersion="4"/>
  <connection id="12147" xr16:uid="{00000000-0015-0000-FFFF-FFFFF0250000}" name="接続8579" type="7" refreshedVersion="4"/>
  <connection id="12148" xr16:uid="{00000000-0015-0000-FFFF-FFFFF1250000}" name="接続858" type="7" refreshedVersion="4"/>
  <connection id="12149" xr16:uid="{00000000-0015-0000-FFFF-FFFFF2250000}" name="接続8580" type="7" refreshedVersion="4"/>
  <connection id="12150" xr16:uid="{00000000-0015-0000-FFFF-FFFFF3250000}" name="接続8581" type="7" refreshedVersion="4"/>
  <connection id="12151" xr16:uid="{00000000-0015-0000-FFFF-FFFFF4250000}" name="接続8582" type="7" refreshedVersion="4"/>
  <connection id="12152" xr16:uid="{00000000-0015-0000-FFFF-FFFFF5250000}" name="接続8583" type="7" refreshedVersion="4"/>
  <connection id="12153" xr16:uid="{00000000-0015-0000-FFFF-FFFFF6250000}" name="接続8584" type="7" refreshedVersion="4"/>
  <connection id="12154" xr16:uid="{00000000-0015-0000-FFFF-FFFFF7250000}" name="接続8585" type="7" refreshedVersion="4"/>
  <connection id="12155" xr16:uid="{00000000-0015-0000-FFFF-FFFFF8250000}" name="接続8586" type="7" refreshedVersion="4"/>
  <connection id="12156" xr16:uid="{00000000-0015-0000-FFFF-FFFFF9250000}" name="接続8587" type="7" refreshedVersion="4"/>
  <connection id="12157" xr16:uid="{00000000-0015-0000-FFFF-FFFFFA250000}" name="接続8588" type="7" refreshedVersion="4"/>
  <connection id="12158" xr16:uid="{00000000-0015-0000-FFFF-FFFFFB250000}" name="接続8589" type="7" refreshedVersion="4"/>
  <connection id="12159" xr16:uid="{00000000-0015-0000-FFFF-FFFFFC250000}" name="接続859" type="7" refreshedVersion="4"/>
  <connection id="12160" xr16:uid="{00000000-0015-0000-FFFF-FFFFFD250000}" name="接続8590" type="7" refreshedVersion="4"/>
  <connection id="12161" xr16:uid="{00000000-0015-0000-FFFF-FFFFFE250000}" name="接続8591" type="7" refreshedVersion="4"/>
  <connection id="12162" xr16:uid="{00000000-0015-0000-FFFF-FFFFFF250000}" name="接続8592" type="7" refreshedVersion="4"/>
  <connection id="12163" xr16:uid="{00000000-0015-0000-FFFF-FFFF00260000}" name="接続8593" type="7" refreshedVersion="4"/>
  <connection id="12164" xr16:uid="{00000000-0015-0000-FFFF-FFFF01260000}" name="接続8594" type="7" refreshedVersion="4"/>
  <connection id="12165" xr16:uid="{00000000-0015-0000-FFFF-FFFF02260000}" name="接続8595" type="7" refreshedVersion="4"/>
  <connection id="12166" xr16:uid="{00000000-0015-0000-FFFF-FFFF03260000}" name="接続8596" type="7" refreshedVersion="4"/>
  <connection id="12167" xr16:uid="{00000000-0015-0000-FFFF-FFFF04260000}" name="接続8597" type="7" refreshedVersion="4"/>
  <connection id="12168" xr16:uid="{00000000-0015-0000-FFFF-FFFF05260000}" name="接続8598" type="7" refreshedVersion="4"/>
  <connection id="12169" xr16:uid="{00000000-0015-0000-FFFF-FFFF06260000}" name="接続8599" type="7" refreshedVersion="4"/>
  <connection id="12170" xr16:uid="{00000000-0015-0000-FFFF-FFFF07260000}" name="接続86" type="7" refreshedVersion="4"/>
  <connection id="12171" xr16:uid="{00000000-0015-0000-FFFF-FFFF08260000}" name="接続860" type="7" refreshedVersion="4"/>
  <connection id="12172" xr16:uid="{00000000-0015-0000-FFFF-FFFF09260000}" name="接続8600" type="7" refreshedVersion="4"/>
  <connection id="12173" xr16:uid="{00000000-0015-0000-FFFF-FFFF0A260000}" name="接続8601" type="7" refreshedVersion="4"/>
  <connection id="12174" xr16:uid="{00000000-0015-0000-FFFF-FFFF0B260000}" name="接続8602" type="7" refreshedVersion="4"/>
  <connection id="12175" xr16:uid="{00000000-0015-0000-FFFF-FFFF0C260000}" name="接続8603" type="7" refreshedVersion="4"/>
  <connection id="12176" xr16:uid="{00000000-0015-0000-FFFF-FFFF0D260000}" name="接続8604" type="7" refreshedVersion="4"/>
  <connection id="12177" xr16:uid="{00000000-0015-0000-FFFF-FFFF0E260000}" name="接続8605" type="7" refreshedVersion="4"/>
  <connection id="12178" xr16:uid="{00000000-0015-0000-FFFF-FFFF0F260000}" name="接続8606" type="7" refreshedVersion="4"/>
  <connection id="12179" xr16:uid="{00000000-0015-0000-FFFF-FFFF10260000}" name="接続8607" type="7" refreshedVersion="4"/>
  <connection id="12180" xr16:uid="{00000000-0015-0000-FFFF-FFFF11260000}" name="接続8608" type="7" refreshedVersion="4"/>
  <connection id="12181" xr16:uid="{00000000-0015-0000-FFFF-FFFF12260000}" name="接続8609" type="7" refreshedVersion="4"/>
  <connection id="12182" xr16:uid="{00000000-0015-0000-FFFF-FFFF13260000}" name="接続861" type="7" refreshedVersion="4"/>
  <connection id="12183" xr16:uid="{00000000-0015-0000-FFFF-FFFF14260000}" name="接続8610" type="7" refreshedVersion="4"/>
  <connection id="12184" xr16:uid="{00000000-0015-0000-FFFF-FFFF15260000}" name="接続8611" type="7" refreshedVersion="4"/>
  <connection id="12185" xr16:uid="{00000000-0015-0000-FFFF-FFFF16260000}" name="接続8612" type="7" refreshedVersion="4"/>
  <connection id="12186" xr16:uid="{00000000-0015-0000-FFFF-FFFF17260000}" name="接続8613" type="7" refreshedVersion="4"/>
  <connection id="12187" xr16:uid="{00000000-0015-0000-FFFF-FFFF18260000}" name="接続8614" type="7" refreshedVersion="4"/>
  <connection id="12188" xr16:uid="{00000000-0015-0000-FFFF-FFFF19260000}" name="接続8615" type="7" refreshedVersion="4"/>
  <connection id="12189" xr16:uid="{00000000-0015-0000-FFFF-FFFF1A260000}" name="接続8616" type="7" refreshedVersion="4"/>
  <connection id="12190" xr16:uid="{00000000-0015-0000-FFFF-FFFF1B260000}" name="接続8617" type="7" refreshedVersion="4"/>
  <connection id="12191" xr16:uid="{00000000-0015-0000-FFFF-FFFF1C260000}" name="接続8618" type="7" refreshedVersion="4"/>
  <connection id="12192" xr16:uid="{00000000-0015-0000-FFFF-FFFF1D260000}" name="接続8619" type="7" refreshedVersion="4"/>
  <connection id="12193" xr16:uid="{00000000-0015-0000-FFFF-FFFF1E260000}" name="接続862" type="7" refreshedVersion="4"/>
  <connection id="12194" xr16:uid="{00000000-0015-0000-FFFF-FFFF1F260000}" name="接続8620" type="7" refreshedVersion="4"/>
  <connection id="12195" xr16:uid="{00000000-0015-0000-FFFF-FFFF20260000}" name="接続8621" type="7" refreshedVersion="4"/>
  <connection id="12196" xr16:uid="{00000000-0015-0000-FFFF-FFFF21260000}" name="接続8622" type="7" refreshedVersion="4"/>
  <connection id="12197" xr16:uid="{00000000-0015-0000-FFFF-FFFF22260000}" name="接続8623" type="7" refreshedVersion="4"/>
  <connection id="12198" xr16:uid="{00000000-0015-0000-FFFF-FFFF23260000}" name="接続8624" type="7" refreshedVersion="4"/>
  <connection id="12199" xr16:uid="{00000000-0015-0000-FFFF-FFFF24260000}" name="接続8625" type="7" refreshedVersion="4"/>
  <connection id="12200" xr16:uid="{00000000-0015-0000-FFFF-FFFF25260000}" name="接続8626" type="7" refreshedVersion="4"/>
  <connection id="12201" xr16:uid="{00000000-0015-0000-FFFF-FFFF26260000}" name="接続8627" type="7" refreshedVersion="4"/>
  <connection id="12202" xr16:uid="{00000000-0015-0000-FFFF-FFFF27260000}" name="接続8628" type="7" refreshedVersion="4"/>
  <connection id="12203" xr16:uid="{00000000-0015-0000-FFFF-FFFF28260000}" name="接続8629" type="7" refreshedVersion="4"/>
  <connection id="12204" xr16:uid="{00000000-0015-0000-FFFF-FFFF29260000}" name="接続863" type="7" refreshedVersion="4"/>
  <connection id="12205" xr16:uid="{00000000-0015-0000-FFFF-FFFF2A260000}" name="接続8630" type="7" refreshedVersion="4"/>
  <connection id="12206" xr16:uid="{00000000-0015-0000-FFFF-FFFF2B260000}" name="接続8631" type="7" refreshedVersion="4"/>
  <connection id="12207" xr16:uid="{00000000-0015-0000-FFFF-FFFF2C260000}" name="接続8632" type="7" refreshedVersion="4"/>
  <connection id="12208" xr16:uid="{00000000-0015-0000-FFFF-FFFF2D260000}" name="接続8633" type="7" refreshedVersion="4"/>
  <connection id="12209" xr16:uid="{00000000-0015-0000-FFFF-FFFF2E260000}" name="接続8634" type="7" refreshedVersion="4"/>
  <connection id="12210" xr16:uid="{00000000-0015-0000-FFFF-FFFF2F260000}" name="接続8635" type="7" refreshedVersion="4"/>
  <connection id="12211" xr16:uid="{00000000-0015-0000-FFFF-FFFF30260000}" name="接続8636" type="7" refreshedVersion="4"/>
  <connection id="12212" xr16:uid="{00000000-0015-0000-FFFF-FFFF31260000}" name="接続8637" type="7" refreshedVersion="4"/>
  <connection id="12213" xr16:uid="{00000000-0015-0000-FFFF-FFFF32260000}" name="接続8638" type="7" refreshedVersion="4"/>
  <connection id="12214" xr16:uid="{00000000-0015-0000-FFFF-FFFF33260000}" name="接続8639" type="7" refreshedVersion="4"/>
  <connection id="12215" xr16:uid="{00000000-0015-0000-FFFF-FFFF34260000}" name="接続864" type="7" refreshedVersion="4"/>
  <connection id="12216" xr16:uid="{00000000-0015-0000-FFFF-FFFF35260000}" name="接続8640" type="7" refreshedVersion="4"/>
  <connection id="12217" xr16:uid="{00000000-0015-0000-FFFF-FFFF36260000}" name="接続8641" type="7" refreshedVersion="4"/>
  <connection id="12218" xr16:uid="{00000000-0015-0000-FFFF-FFFF37260000}" name="接続8642" type="7" refreshedVersion="4"/>
  <connection id="12219" xr16:uid="{00000000-0015-0000-FFFF-FFFF38260000}" name="接続8643" type="7" refreshedVersion="4"/>
  <connection id="12220" xr16:uid="{00000000-0015-0000-FFFF-FFFF39260000}" name="接続8644" type="7" refreshedVersion="4"/>
  <connection id="12221" xr16:uid="{00000000-0015-0000-FFFF-FFFF3A260000}" name="接続8645" type="7" refreshedVersion="4"/>
  <connection id="12222" xr16:uid="{00000000-0015-0000-FFFF-FFFF3B260000}" name="接続8646" type="7" refreshedVersion="4"/>
  <connection id="12223" xr16:uid="{00000000-0015-0000-FFFF-FFFF3C260000}" name="接続8647" type="7" refreshedVersion="4"/>
  <connection id="12224" xr16:uid="{00000000-0015-0000-FFFF-FFFF3D260000}" name="接続8648" type="7" refreshedVersion="4"/>
  <connection id="12225" xr16:uid="{00000000-0015-0000-FFFF-FFFF3E260000}" name="接続8649" type="7" refreshedVersion="4"/>
  <connection id="12226" xr16:uid="{00000000-0015-0000-FFFF-FFFF3F260000}" name="接続865" type="7" refreshedVersion="4"/>
  <connection id="12227" xr16:uid="{00000000-0015-0000-FFFF-FFFF40260000}" name="接続8650" type="7" refreshedVersion="4"/>
  <connection id="12228" xr16:uid="{00000000-0015-0000-FFFF-FFFF41260000}" name="接続8651" type="7" refreshedVersion="4"/>
  <connection id="12229" xr16:uid="{00000000-0015-0000-FFFF-FFFF42260000}" name="接続8652" type="7" refreshedVersion="4"/>
  <connection id="12230" xr16:uid="{00000000-0015-0000-FFFF-FFFF43260000}" name="接続8653" type="7" refreshedVersion="4"/>
  <connection id="12231" xr16:uid="{00000000-0015-0000-FFFF-FFFF44260000}" name="接続8654" type="7" refreshedVersion="4"/>
  <connection id="12232" xr16:uid="{00000000-0015-0000-FFFF-FFFF45260000}" name="接続8655" type="7" refreshedVersion="4"/>
  <connection id="12233" xr16:uid="{00000000-0015-0000-FFFF-FFFF46260000}" name="接続8656" type="7" refreshedVersion="4"/>
  <connection id="12234" xr16:uid="{00000000-0015-0000-FFFF-FFFF47260000}" name="接続8657" type="7" refreshedVersion="4"/>
  <connection id="12235" xr16:uid="{00000000-0015-0000-FFFF-FFFF48260000}" name="接続8658" type="7" refreshedVersion="4"/>
  <connection id="12236" xr16:uid="{00000000-0015-0000-FFFF-FFFF49260000}" name="接続8659" type="7" refreshedVersion="4"/>
  <connection id="12237" xr16:uid="{00000000-0015-0000-FFFF-FFFF4A260000}" name="接続866" type="7" refreshedVersion="4"/>
  <connection id="12238" xr16:uid="{00000000-0015-0000-FFFF-FFFF4B260000}" name="接続8660" type="7" refreshedVersion="4"/>
  <connection id="12239" xr16:uid="{00000000-0015-0000-FFFF-FFFF4C260000}" name="接続8661" type="7" refreshedVersion="4"/>
  <connection id="12240" xr16:uid="{00000000-0015-0000-FFFF-FFFF4D260000}" name="接続8662" type="7" refreshedVersion="4"/>
  <connection id="12241" xr16:uid="{00000000-0015-0000-FFFF-FFFF4E260000}" name="接続8663" type="7" refreshedVersion="4"/>
  <connection id="12242" xr16:uid="{00000000-0015-0000-FFFF-FFFF4F260000}" name="接続8664" type="7" refreshedVersion="4"/>
  <connection id="12243" xr16:uid="{00000000-0015-0000-FFFF-FFFF50260000}" name="接続8665" type="7" refreshedVersion="4"/>
  <connection id="12244" xr16:uid="{00000000-0015-0000-FFFF-FFFF51260000}" name="接続8666" type="7" refreshedVersion="4"/>
  <connection id="12245" xr16:uid="{00000000-0015-0000-FFFF-FFFF52260000}" name="接続8667" type="7" refreshedVersion="4"/>
  <connection id="12246" xr16:uid="{00000000-0015-0000-FFFF-FFFF53260000}" name="接続8668" type="7" refreshedVersion="4"/>
  <connection id="12247" xr16:uid="{00000000-0015-0000-FFFF-FFFF54260000}" name="接続8669" type="7" refreshedVersion="4"/>
  <connection id="12248" xr16:uid="{00000000-0015-0000-FFFF-FFFF55260000}" name="接続867" type="7" refreshedVersion="4"/>
  <connection id="12249" xr16:uid="{00000000-0015-0000-FFFF-FFFF56260000}" name="接続8670" type="7" refreshedVersion="4"/>
  <connection id="12250" xr16:uid="{00000000-0015-0000-FFFF-FFFF57260000}" name="接続8671" type="7" refreshedVersion="4"/>
  <connection id="12251" xr16:uid="{00000000-0015-0000-FFFF-FFFF58260000}" name="接続8672" type="7" refreshedVersion="4"/>
  <connection id="12252" xr16:uid="{00000000-0015-0000-FFFF-FFFF59260000}" name="接続8673" type="7" refreshedVersion="4"/>
  <connection id="12253" xr16:uid="{00000000-0015-0000-FFFF-FFFF5A260000}" name="接続8674" type="7" refreshedVersion="4"/>
  <connection id="12254" xr16:uid="{00000000-0015-0000-FFFF-FFFF5B260000}" name="接続8675" type="7" refreshedVersion="4"/>
  <connection id="12255" xr16:uid="{00000000-0015-0000-FFFF-FFFF5C260000}" name="接続8676" type="7" refreshedVersion="4"/>
  <connection id="12256" xr16:uid="{00000000-0015-0000-FFFF-FFFF5D260000}" name="接続8677" type="7" refreshedVersion="4"/>
  <connection id="12257" xr16:uid="{00000000-0015-0000-FFFF-FFFF5E260000}" name="接続8678" type="7" refreshedVersion="4"/>
  <connection id="12258" xr16:uid="{00000000-0015-0000-FFFF-FFFF5F260000}" name="接続8679" type="7" refreshedVersion="4"/>
  <connection id="12259" xr16:uid="{00000000-0015-0000-FFFF-FFFF60260000}" name="接続868" type="7" refreshedVersion="4"/>
  <connection id="12260" xr16:uid="{00000000-0015-0000-FFFF-FFFF61260000}" name="接続8680" type="7" refreshedVersion="4"/>
  <connection id="12261" xr16:uid="{00000000-0015-0000-FFFF-FFFF62260000}" name="接続8681" type="7" refreshedVersion="4"/>
  <connection id="12262" xr16:uid="{00000000-0015-0000-FFFF-FFFF63260000}" name="接続8682" type="7" refreshedVersion="4"/>
  <connection id="12263" xr16:uid="{00000000-0015-0000-FFFF-FFFF64260000}" name="接続8683" type="7" refreshedVersion="4"/>
  <connection id="12264" xr16:uid="{00000000-0015-0000-FFFF-FFFF65260000}" name="接続8684" type="7" refreshedVersion="4"/>
  <connection id="12265" xr16:uid="{00000000-0015-0000-FFFF-FFFF66260000}" name="接続8685" type="7" refreshedVersion="4"/>
  <connection id="12266" xr16:uid="{00000000-0015-0000-FFFF-FFFF67260000}" name="接続8686" type="7" refreshedVersion="4"/>
  <connection id="12267" xr16:uid="{00000000-0015-0000-FFFF-FFFF68260000}" name="接続8687" type="7" refreshedVersion="4"/>
  <connection id="12268" xr16:uid="{00000000-0015-0000-FFFF-FFFF69260000}" name="接続8688" type="7" refreshedVersion="4"/>
  <connection id="12269" xr16:uid="{00000000-0015-0000-FFFF-FFFF6A260000}" name="接続8689" type="7" refreshedVersion="4"/>
  <connection id="12270" xr16:uid="{00000000-0015-0000-FFFF-FFFF6B260000}" name="接続869" type="7" refreshedVersion="4"/>
  <connection id="12271" xr16:uid="{00000000-0015-0000-FFFF-FFFF6C260000}" name="接続8690" type="7" refreshedVersion="4"/>
  <connection id="12272" xr16:uid="{00000000-0015-0000-FFFF-FFFF6D260000}" name="接続8691" type="7" refreshedVersion="4"/>
  <connection id="12273" xr16:uid="{00000000-0015-0000-FFFF-FFFF6E260000}" name="接続8692" type="7" refreshedVersion="4"/>
  <connection id="12274" xr16:uid="{00000000-0015-0000-FFFF-FFFF6F260000}" name="接続8693" type="7" refreshedVersion="4"/>
  <connection id="12275" xr16:uid="{00000000-0015-0000-FFFF-FFFF70260000}" name="接続8694" type="7" refreshedVersion="4"/>
  <connection id="12276" xr16:uid="{00000000-0015-0000-FFFF-FFFF71260000}" name="接続8695" type="7" refreshedVersion="4"/>
  <connection id="12277" xr16:uid="{00000000-0015-0000-FFFF-FFFF72260000}" name="接続8696" type="7" refreshedVersion="4"/>
  <connection id="12278" xr16:uid="{00000000-0015-0000-FFFF-FFFF73260000}" name="接続8697" type="7" refreshedVersion="4"/>
  <connection id="12279" xr16:uid="{00000000-0015-0000-FFFF-FFFF74260000}" name="接続8698" type="7" refreshedVersion="4"/>
  <connection id="12280" xr16:uid="{00000000-0015-0000-FFFF-FFFF75260000}" name="接続8699" type="7" refreshedVersion="4"/>
  <connection id="12281" xr16:uid="{00000000-0015-0000-FFFF-FFFF76260000}" name="接続87" type="7" refreshedVersion="4"/>
  <connection id="12282" xr16:uid="{00000000-0015-0000-FFFF-FFFF77260000}" name="接続870" type="7" refreshedVersion="4"/>
  <connection id="12283" xr16:uid="{00000000-0015-0000-FFFF-FFFF78260000}" name="接続8700" type="7" refreshedVersion="4"/>
  <connection id="12284" xr16:uid="{00000000-0015-0000-FFFF-FFFF79260000}" name="接続8701" type="7" refreshedVersion="4"/>
  <connection id="12285" xr16:uid="{00000000-0015-0000-FFFF-FFFF7A260000}" name="接続8702" type="7" refreshedVersion="4"/>
  <connection id="12286" xr16:uid="{00000000-0015-0000-FFFF-FFFF7B260000}" name="接続8703" type="7" refreshedVersion="4"/>
  <connection id="12287" xr16:uid="{00000000-0015-0000-FFFF-FFFF7C260000}" name="接続8704" type="7" refreshedVersion="4"/>
  <connection id="12288" xr16:uid="{00000000-0015-0000-FFFF-FFFF7D260000}" name="接続8705" type="7" refreshedVersion="4"/>
  <connection id="12289" xr16:uid="{00000000-0015-0000-FFFF-FFFF7E260000}" name="接続8706" type="7" refreshedVersion="4"/>
  <connection id="12290" xr16:uid="{00000000-0015-0000-FFFF-FFFF7F260000}" name="接続8707" type="7" refreshedVersion="4"/>
  <connection id="12291" xr16:uid="{00000000-0015-0000-FFFF-FFFF80260000}" name="接続8708" type="7" refreshedVersion="4"/>
  <connection id="12292" xr16:uid="{00000000-0015-0000-FFFF-FFFF81260000}" name="接続8709" type="7" refreshedVersion="4"/>
  <connection id="12293" xr16:uid="{00000000-0015-0000-FFFF-FFFF82260000}" name="接続871" type="7" refreshedVersion="4"/>
  <connection id="12294" xr16:uid="{00000000-0015-0000-FFFF-FFFF83260000}" name="接続8710" type="7" refreshedVersion="4"/>
  <connection id="12295" xr16:uid="{00000000-0015-0000-FFFF-FFFF84260000}" name="接続8711" type="7" refreshedVersion="4"/>
  <connection id="12296" xr16:uid="{00000000-0015-0000-FFFF-FFFF85260000}" name="接続8712" type="7" refreshedVersion="4"/>
  <connection id="12297" xr16:uid="{00000000-0015-0000-FFFF-FFFF86260000}" name="接続8713" type="7" refreshedVersion="4"/>
  <connection id="12298" xr16:uid="{00000000-0015-0000-FFFF-FFFF87260000}" name="接続8714" type="7" refreshedVersion="4"/>
  <connection id="12299" xr16:uid="{00000000-0015-0000-FFFF-FFFF88260000}" name="接続8715" type="7" refreshedVersion="4"/>
  <connection id="12300" xr16:uid="{00000000-0015-0000-FFFF-FFFF89260000}" name="接続8716" type="7" refreshedVersion="4"/>
  <connection id="12301" xr16:uid="{00000000-0015-0000-FFFF-FFFF8A260000}" name="接続8717" type="7" refreshedVersion="4"/>
  <connection id="12302" xr16:uid="{00000000-0015-0000-FFFF-FFFF8B260000}" name="接続8718" type="7" refreshedVersion="4"/>
  <connection id="12303" xr16:uid="{00000000-0015-0000-FFFF-FFFF8C260000}" name="接続8719" type="7" refreshedVersion="4"/>
  <connection id="12304" xr16:uid="{00000000-0015-0000-FFFF-FFFF8D260000}" name="接続872" type="7" refreshedVersion="4"/>
  <connection id="12305" xr16:uid="{00000000-0015-0000-FFFF-FFFF8E260000}" name="接続8720" type="7" refreshedVersion="4"/>
  <connection id="12306" xr16:uid="{00000000-0015-0000-FFFF-FFFF8F260000}" name="接続8721" type="7" refreshedVersion="4"/>
  <connection id="12307" xr16:uid="{00000000-0015-0000-FFFF-FFFF90260000}" name="接続8722" type="7" refreshedVersion="4"/>
  <connection id="12308" xr16:uid="{00000000-0015-0000-FFFF-FFFF91260000}" name="接続8723" type="7" refreshedVersion="4"/>
  <connection id="12309" xr16:uid="{00000000-0015-0000-FFFF-FFFF92260000}" name="接続8724" type="7" refreshedVersion="4"/>
  <connection id="12310" xr16:uid="{00000000-0015-0000-FFFF-FFFF93260000}" name="接続8725" type="7" refreshedVersion="4"/>
  <connection id="12311" xr16:uid="{00000000-0015-0000-FFFF-FFFF94260000}" name="接続8726" type="7" refreshedVersion="4"/>
  <connection id="12312" xr16:uid="{00000000-0015-0000-FFFF-FFFF95260000}" name="接続8727" type="7" refreshedVersion="4"/>
  <connection id="12313" xr16:uid="{00000000-0015-0000-FFFF-FFFF96260000}" name="接続8728" type="7" refreshedVersion="4"/>
  <connection id="12314" xr16:uid="{00000000-0015-0000-FFFF-FFFF97260000}" name="接続8729" type="7" refreshedVersion="4"/>
  <connection id="12315" xr16:uid="{00000000-0015-0000-FFFF-FFFF98260000}" name="接続873" type="7" refreshedVersion="4"/>
  <connection id="12316" xr16:uid="{00000000-0015-0000-FFFF-FFFF99260000}" name="接続8730" type="7" refreshedVersion="4"/>
  <connection id="12317" xr16:uid="{00000000-0015-0000-FFFF-FFFF9A260000}" name="接続8731" type="7" refreshedVersion="4"/>
  <connection id="12318" xr16:uid="{00000000-0015-0000-FFFF-FFFF9B260000}" name="接続8732" type="7" refreshedVersion="4"/>
  <connection id="12319" xr16:uid="{00000000-0015-0000-FFFF-FFFF9C260000}" name="接続8733" type="7" refreshedVersion="4"/>
  <connection id="12320" xr16:uid="{00000000-0015-0000-FFFF-FFFF9D260000}" name="接続8734" type="7" refreshedVersion="4"/>
  <connection id="12321" xr16:uid="{00000000-0015-0000-FFFF-FFFF9E260000}" name="接続8735" type="7" refreshedVersion="4"/>
  <connection id="12322" xr16:uid="{00000000-0015-0000-FFFF-FFFF9F260000}" name="接続8736" type="7" refreshedVersion="4"/>
  <connection id="12323" xr16:uid="{00000000-0015-0000-FFFF-FFFFA0260000}" name="接続8737" type="7" refreshedVersion="4"/>
  <connection id="12324" xr16:uid="{00000000-0015-0000-FFFF-FFFFA1260000}" name="接続8738" type="7" refreshedVersion="4"/>
  <connection id="12325" xr16:uid="{00000000-0015-0000-FFFF-FFFFA2260000}" name="接続8739" type="7" refreshedVersion="4"/>
  <connection id="12326" xr16:uid="{00000000-0015-0000-FFFF-FFFFA3260000}" name="接続874" type="7" refreshedVersion="4"/>
  <connection id="12327" xr16:uid="{00000000-0015-0000-FFFF-FFFFA4260000}" name="接続8740" type="7" refreshedVersion="4"/>
  <connection id="12328" xr16:uid="{00000000-0015-0000-FFFF-FFFFA5260000}" name="接続8741" type="7" refreshedVersion="4"/>
  <connection id="12329" xr16:uid="{00000000-0015-0000-FFFF-FFFFA6260000}" name="接続8742" type="7" refreshedVersion="4"/>
  <connection id="12330" xr16:uid="{00000000-0015-0000-FFFF-FFFFA7260000}" name="接続8743" type="7" refreshedVersion="4"/>
  <connection id="12331" xr16:uid="{00000000-0015-0000-FFFF-FFFFA8260000}" name="接続8744" type="7" refreshedVersion="4"/>
  <connection id="12332" xr16:uid="{00000000-0015-0000-FFFF-FFFFA9260000}" name="接続8745" type="7" refreshedVersion="4"/>
  <connection id="12333" xr16:uid="{00000000-0015-0000-FFFF-FFFFAA260000}" name="接続8746" type="7" refreshedVersion="4"/>
  <connection id="12334" xr16:uid="{00000000-0015-0000-FFFF-FFFFAB260000}" name="接続8747" type="7" refreshedVersion="4"/>
  <connection id="12335" xr16:uid="{00000000-0015-0000-FFFF-FFFFAC260000}" name="接続8748" type="7" refreshedVersion="4"/>
  <connection id="12336" xr16:uid="{00000000-0015-0000-FFFF-FFFFAD260000}" name="接続8749" type="7" refreshedVersion="4"/>
  <connection id="12337" xr16:uid="{00000000-0015-0000-FFFF-FFFFAE260000}" name="接続875" type="7" refreshedVersion="4"/>
  <connection id="12338" xr16:uid="{00000000-0015-0000-FFFF-FFFFAF260000}" name="接続8750" type="7" refreshedVersion="4"/>
  <connection id="12339" xr16:uid="{00000000-0015-0000-FFFF-FFFFB0260000}" name="接続8751" type="7" refreshedVersion="4"/>
  <connection id="12340" xr16:uid="{00000000-0015-0000-FFFF-FFFFB1260000}" name="接続8752" type="7" refreshedVersion="4"/>
  <connection id="12341" xr16:uid="{00000000-0015-0000-FFFF-FFFFB2260000}" name="接続8753" type="7" refreshedVersion="4"/>
  <connection id="12342" xr16:uid="{00000000-0015-0000-FFFF-FFFFB3260000}" name="接続8754" type="7" refreshedVersion="4"/>
  <connection id="12343" xr16:uid="{00000000-0015-0000-FFFF-FFFFB4260000}" name="接続8755" type="7" refreshedVersion="4"/>
  <connection id="12344" xr16:uid="{00000000-0015-0000-FFFF-FFFFB5260000}" name="接続8756" type="7" refreshedVersion="4"/>
  <connection id="12345" xr16:uid="{00000000-0015-0000-FFFF-FFFFB6260000}" name="接続8757" type="7" refreshedVersion="4"/>
  <connection id="12346" xr16:uid="{00000000-0015-0000-FFFF-FFFFB7260000}" name="接続8758" type="7" refreshedVersion="4"/>
  <connection id="12347" xr16:uid="{00000000-0015-0000-FFFF-FFFFB8260000}" name="接続8759" type="7" refreshedVersion="4"/>
  <connection id="12348" xr16:uid="{00000000-0015-0000-FFFF-FFFFB9260000}" name="接続876" type="7" refreshedVersion="4"/>
  <connection id="12349" xr16:uid="{00000000-0015-0000-FFFF-FFFFBA260000}" name="接続8760" type="7" refreshedVersion="4"/>
  <connection id="12350" xr16:uid="{00000000-0015-0000-FFFF-FFFFBB260000}" name="接続8761" type="7" refreshedVersion="4"/>
  <connection id="12351" xr16:uid="{00000000-0015-0000-FFFF-FFFFBC260000}" name="接続8762" type="7" refreshedVersion="4"/>
  <connection id="12352" xr16:uid="{00000000-0015-0000-FFFF-FFFFBD260000}" name="接続8763" type="7" refreshedVersion="4"/>
  <connection id="12353" xr16:uid="{00000000-0015-0000-FFFF-FFFFBE260000}" name="接続8764" type="7" refreshedVersion="4"/>
  <connection id="12354" xr16:uid="{00000000-0015-0000-FFFF-FFFFBF260000}" name="接続8765" type="7" refreshedVersion="4"/>
  <connection id="12355" xr16:uid="{00000000-0015-0000-FFFF-FFFFC0260000}" name="接続8766" type="7" refreshedVersion="4"/>
  <connection id="12356" xr16:uid="{00000000-0015-0000-FFFF-FFFFC1260000}" name="接続8767" type="7" refreshedVersion="4"/>
  <connection id="12357" xr16:uid="{00000000-0015-0000-FFFF-FFFFC2260000}" name="接続8768" type="7" refreshedVersion="4"/>
  <connection id="12358" xr16:uid="{00000000-0015-0000-FFFF-FFFFC3260000}" name="接続8769" type="7" refreshedVersion="4"/>
  <connection id="12359" xr16:uid="{00000000-0015-0000-FFFF-FFFFC4260000}" name="接続877" type="7" refreshedVersion="4"/>
  <connection id="12360" xr16:uid="{00000000-0015-0000-FFFF-FFFFC5260000}" name="接続8770" type="7" refreshedVersion="4"/>
  <connection id="12361" xr16:uid="{00000000-0015-0000-FFFF-FFFFC6260000}" name="接続8771" type="7" refreshedVersion="4"/>
  <connection id="12362" xr16:uid="{00000000-0015-0000-FFFF-FFFFC7260000}" name="接続8772" type="7" refreshedVersion="4"/>
  <connection id="12363" xr16:uid="{00000000-0015-0000-FFFF-FFFFC8260000}" name="接続8773" type="7" refreshedVersion="4"/>
  <connection id="12364" xr16:uid="{00000000-0015-0000-FFFF-FFFFC9260000}" name="接続8774" type="7" refreshedVersion="4"/>
  <connection id="12365" xr16:uid="{00000000-0015-0000-FFFF-FFFFCA260000}" name="接続8775" type="7" refreshedVersion="4"/>
  <connection id="12366" xr16:uid="{00000000-0015-0000-FFFF-FFFFCB260000}" name="接続8776" type="7" refreshedVersion="4"/>
  <connection id="12367" xr16:uid="{00000000-0015-0000-FFFF-FFFFCC260000}" name="接続8777" type="7" refreshedVersion="4"/>
  <connection id="12368" xr16:uid="{00000000-0015-0000-FFFF-FFFFCD260000}" name="接続8778" type="7" refreshedVersion="4"/>
  <connection id="12369" xr16:uid="{00000000-0015-0000-FFFF-FFFFCE260000}" name="接続8779" type="7" refreshedVersion="4"/>
  <connection id="12370" xr16:uid="{00000000-0015-0000-FFFF-FFFFCF260000}" name="接続878" type="7" refreshedVersion="4"/>
  <connection id="12371" xr16:uid="{00000000-0015-0000-FFFF-FFFFD0260000}" name="接続8780" type="7" refreshedVersion="4"/>
  <connection id="12372" xr16:uid="{00000000-0015-0000-FFFF-FFFFD1260000}" name="接続8781" type="7" refreshedVersion="4"/>
  <connection id="12373" xr16:uid="{00000000-0015-0000-FFFF-FFFFD2260000}" name="接続8782" type="7" refreshedVersion="4"/>
  <connection id="12374" xr16:uid="{00000000-0015-0000-FFFF-FFFFD3260000}" name="接続8783" type="7" refreshedVersion="4"/>
  <connection id="12375" xr16:uid="{00000000-0015-0000-FFFF-FFFFD4260000}" name="接続8784" type="7" refreshedVersion="4"/>
  <connection id="12376" xr16:uid="{00000000-0015-0000-FFFF-FFFFD5260000}" name="接続8785" type="7" refreshedVersion="4"/>
  <connection id="12377" xr16:uid="{00000000-0015-0000-FFFF-FFFFD6260000}" name="接続8786" type="7" refreshedVersion="4"/>
  <connection id="12378" xr16:uid="{00000000-0015-0000-FFFF-FFFFD7260000}" name="接続8787" type="7" refreshedVersion="4"/>
  <connection id="12379" xr16:uid="{00000000-0015-0000-FFFF-FFFFD8260000}" name="接続8788" type="7" refreshedVersion="4"/>
  <connection id="12380" xr16:uid="{00000000-0015-0000-FFFF-FFFFD9260000}" name="接続8789" type="7" refreshedVersion="4"/>
  <connection id="12381" xr16:uid="{00000000-0015-0000-FFFF-FFFFDA260000}" name="接続879" type="7" refreshedVersion="4"/>
  <connection id="12382" xr16:uid="{00000000-0015-0000-FFFF-FFFFDB260000}" name="接続8790" type="7" refreshedVersion="4"/>
  <connection id="12383" xr16:uid="{00000000-0015-0000-FFFF-FFFFDC260000}" name="接続8791" type="7" refreshedVersion="4"/>
  <connection id="12384" xr16:uid="{00000000-0015-0000-FFFF-FFFFDD260000}" name="接続8792" type="7" refreshedVersion="4"/>
  <connection id="12385" xr16:uid="{00000000-0015-0000-FFFF-FFFFDE260000}" name="接続8793" type="7" refreshedVersion="4"/>
  <connection id="12386" xr16:uid="{00000000-0015-0000-FFFF-FFFFDF260000}" name="接続8794" type="7" refreshedVersion="4"/>
  <connection id="12387" xr16:uid="{00000000-0015-0000-FFFF-FFFFE0260000}" name="接続8795" type="7" refreshedVersion="4"/>
  <connection id="12388" xr16:uid="{00000000-0015-0000-FFFF-FFFFE1260000}" name="接続8796" type="7" refreshedVersion="4"/>
  <connection id="12389" xr16:uid="{00000000-0015-0000-FFFF-FFFFE2260000}" name="接続8797" type="7" refreshedVersion="4"/>
  <connection id="12390" xr16:uid="{00000000-0015-0000-FFFF-FFFFE3260000}" name="接続8798" type="7" refreshedVersion="4"/>
  <connection id="12391" xr16:uid="{00000000-0015-0000-FFFF-FFFFE4260000}" name="接続8799" type="7" refreshedVersion="4"/>
  <connection id="12392" xr16:uid="{00000000-0015-0000-FFFF-FFFFE5260000}" name="接続88" type="7" refreshedVersion="4"/>
  <connection id="12393" xr16:uid="{00000000-0015-0000-FFFF-FFFFE6260000}" name="接続880" type="7" refreshedVersion="4"/>
  <connection id="12394" xr16:uid="{00000000-0015-0000-FFFF-FFFFE7260000}" name="接続8800" type="7" refreshedVersion="4"/>
  <connection id="12395" xr16:uid="{00000000-0015-0000-FFFF-FFFFE8260000}" name="接続8801" type="7" refreshedVersion="4"/>
  <connection id="12396" xr16:uid="{00000000-0015-0000-FFFF-FFFFE9260000}" name="接続8802" type="7" refreshedVersion="4"/>
  <connection id="12397" xr16:uid="{00000000-0015-0000-FFFF-FFFFEA260000}" name="接続8803" type="7" refreshedVersion="4"/>
  <connection id="12398" xr16:uid="{00000000-0015-0000-FFFF-FFFFEB260000}" name="接続8804" type="7" refreshedVersion="4"/>
  <connection id="12399" xr16:uid="{00000000-0015-0000-FFFF-FFFFEC260000}" name="接続8805" type="7" refreshedVersion="4"/>
  <connection id="12400" xr16:uid="{00000000-0015-0000-FFFF-FFFFED260000}" name="接続8806" type="7" refreshedVersion="4"/>
  <connection id="12401" xr16:uid="{00000000-0015-0000-FFFF-FFFFEE260000}" name="接続8807" type="7" refreshedVersion="4"/>
  <connection id="12402" xr16:uid="{00000000-0015-0000-FFFF-FFFFEF260000}" name="接続8808" type="7" refreshedVersion="4"/>
  <connection id="12403" xr16:uid="{00000000-0015-0000-FFFF-FFFFF0260000}" name="接続8809" type="7" refreshedVersion="4"/>
  <connection id="12404" xr16:uid="{00000000-0015-0000-FFFF-FFFFF1260000}" name="接続881" type="7" refreshedVersion="4"/>
  <connection id="12405" xr16:uid="{00000000-0015-0000-FFFF-FFFFF2260000}" name="接続8810" type="7" refreshedVersion="4"/>
  <connection id="12406" xr16:uid="{00000000-0015-0000-FFFF-FFFFF3260000}" name="接続8811" type="7" refreshedVersion="4"/>
  <connection id="12407" xr16:uid="{00000000-0015-0000-FFFF-FFFFF4260000}" name="接続8812" type="7" refreshedVersion="4"/>
  <connection id="12408" xr16:uid="{00000000-0015-0000-FFFF-FFFFF5260000}" name="接続8813" type="7" refreshedVersion="4"/>
  <connection id="12409" xr16:uid="{00000000-0015-0000-FFFF-FFFFF6260000}" name="接続8814" type="7" refreshedVersion="4"/>
  <connection id="12410" xr16:uid="{00000000-0015-0000-FFFF-FFFFF7260000}" name="接続8815" type="7" refreshedVersion="4"/>
  <connection id="12411" xr16:uid="{00000000-0015-0000-FFFF-FFFFF8260000}" name="接続8816" type="7" refreshedVersion="4"/>
  <connection id="12412" xr16:uid="{00000000-0015-0000-FFFF-FFFFF9260000}" name="接続8817" type="7" refreshedVersion="4"/>
  <connection id="12413" xr16:uid="{00000000-0015-0000-FFFF-FFFFFA260000}" name="接続8818" type="7" refreshedVersion="4"/>
  <connection id="12414" xr16:uid="{00000000-0015-0000-FFFF-FFFFFB260000}" name="接続8819" type="7" refreshedVersion="4"/>
  <connection id="12415" xr16:uid="{00000000-0015-0000-FFFF-FFFFFC260000}" name="接続882" type="7" refreshedVersion="4"/>
  <connection id="12416" xr16:uid="{00000000-0015-0000-FFFF-FFFFFD260000}" name="接続8820" type="7" refreshedVersion="4"/>
  <connection id="12417" xr16:uid="{00000000-0015-0000-FFFF-FFFFFE260000}" name="接続8821" type="7" refreshedVersion="4"/>
  <connection id="12418" xr16:uid="{00000000-0015-0000-FFFF-FFFFFF260000}" name="接続8822" type="7" refreshedVersion="4"/>
  <connection id="12419" xr16:uid="{00000000-0015-0000-FFFF-FFFF00270000}" name="接続8823" type="7" refreshedVersion="4"/>
  <connection id="12420" xr16:uid="{00000000-0015-0000-FFFF-FFFF01270000}" name="接続8824" type="7" refreshedVersion="4"/>
  <connection id="12421" xr16:uid="{00000000-0015-0000-FFFF-FFFF02270000}" name="接続8825" type="7" refreshedVersion="4"/>
  <connection id="12422" xr16:uid="{00000000-0015-0000-FFFF-FFFF03270000}" name="接続8826" type="7" refreshedVersion="4"/>
  <connection id="12423" xr16:uid="{00000000-0015-0000-FFFF-FFFF04270000}" name="接続8827" type="7" refreshedVersion="4"/>
  <connection id="12424" xr16:uid="{00000000-0015-0000-FFFF-FFFF05270000}" name="接続8828" type="7" refreshedVersion="4"/>
  <connection id="12425" xr16:uid="{00000000-0015-0000-FFFF-FFFF06270000}" name="接続8829" type="7" refreshedVersion="4"/>
  <connection id="12426" xr16:uid="{00000000-0015-0000-FFFF-FFFF07270000}" name="接続883" type="7" refreshedVersion="4"/>
  <connection id="12427" xr16:uid="{00000000-0015-0000-FFFF-FFFF08270000}" name="接続8830" type="7" refreshedVersion="4"/>
  <connection id="12428" xr16:uid="{00000000-0015-0000-FFFF-FFFF09270000}" name="接続8831" type="7" refreshedVersion="4"/>
  <connection id="12429" xr16:uid="{00000000-0015-0000-FFFF-FFFF0A270000}" name="接続8832" type="7" refreshedVersion="4"/>
  <connection id="12430" xr16:uid="{00000000-0015-0000-FFFF-FFFF0B270000}" name="接続8833" type="7" refreshedVersion="4"/>
  <connection id="12431" xr16:uid="{00000000-0015-0000-FFFF-FFFF0C270000}" name="接続8834" type="7" refreshedVersion="4"/>
  <connection id="12432" xr16:uid="{00000000-0015-0000-FFFF-FFFF0D270000}" name="接続8835" type="7" refreshedVersion="4"/>
  <connection id="12433" xr16:uid="{00000000-0015-0000-FFFF-FFFF0E270000}" name="接続8836" type="7" refreshedVersion="4"/>
  <connection id="12434" xr16:uid="{00000000-0015-0000-FFFF-FFFF0F270000}" name="接続8837" type="7" refreshedVersion="4"/>
  <connection id="12435" xr16:uid="{00000000-0015-0000-FFFF-FFFF10270000}" name="接続8838" type="7" refreshedVersion="4"/>
  <connection id="12436" xr16:uid="{00000000-0015-0000-FFFF-FFFF11270000}" name="接続8839" type="7" refreshedVersion="4"/>
  <connection id="12437" xr16:uid="{00000000-0015-0000-FFFF-FFFF12270000}" name="接続884" type="7" refreshedVersion="4"/>
  <connection id="12438" xr16:uid="{00000000-0015-0000-FFFF-FFFF13270000}" name="接続8840" type="7" refreshedVersion="4"/>
  <connection id="12439" xr16:uid="{00000000-0015-0000-FFFF-FFFF14270000}" name="接続8841" type="7" refreshedVersion="4"/>
  <connection id="12440" xr16:uid="{00000000-0015-0000-FFFF-FFFF15270000}" name="接続8842" type="7" refreshedVersion="4"/>
  <connection id="12441" xr16:uid="{00000000-0015-0000-FFFF-FFFF16270000}" name="接続8843" type="7" refreshedVersion="4"/>
  <connection id="12442" xr16:uid="{00000000-0015-0000-FFFF-FFFF17270000}" name="接続8844" type="7" refreshedVersion="4"/>
  <connection id="12443" xr16:uid="{00000000-0015-0000-FFFF-FFFF18270000}" name="接続8845" type="7" refreshedVersion="4"/>
  <connection id="12444" xr16:uid="{00000000-0015-0000-FFFF-FFFF19270000}" name="接続8846" type="7" refreshedVersion="4"/>
  <connection id="12445" xr16:uid="{00000000-0015-0000-FFFF-FFFF1A270000}" name="接続8847" type="7" refreshedVersion="4"/>
  <connection id="12446" xr16:uid="{00000000-0015-0000-FFFF-FFFF1B270000}" name="接続8848" type="7" refreshedVersion="4"/>
  <connection id="12447" xr16:uid="{00000000-0015-0000-FFFF-FFFF1C270000}" name="接続8849" type="7" refreshedVersion="4"/>
  <connection id="12448" xr16:uid="{00000000-0015-0000-FFFF-FFFF1D270000}" name="接続885" type="7" refreshedVersion="4"/>
  <connection id="12449" xr16:uid="{00000000-0015-0000-FFFF-FFFF1E270000}" name="接続8850" type="7" refreshedVersion="4"/>
  <connection id="12450" xr16:uid="{00000000-0015-0000-FFFF-FFFF1F270000}" name="接続8851" type="7" refreshedVersion="4"/>
  <connection id="12451" xr16:uid="{00000000-0015-0000-FFFF-FFFF20270000}" name="接続8852" type="7" refreshedVersion="4"/>
  <connection id="12452" xr16:uid="{00000000-0015-0000-FFFF-FFFF21270000}" name="接続8853" type="7" refreshedVersion="4"/>
  <connection id="12453" xr16:uid="{00000000-0015-0000-FFFF-FFFF22270000}" name="接続8854" type="7" refreshedVersion="4"/>
  <connection id="12454" xr16:uid="{00000000-0015-0000-FFFF-FFFF23270000}" name="接続8855" type="7" refreshedVersion="4"/>
  <connection id="12455" xr16:uid="{00000000-0015-0000-FFFF-FFFF24270000}" name="接続8856" type="7" refreshedVersion="4"/>
  <connection id="12456" xr16:uid="{00000000-0015-0000-FFFF-FFFF25270000}" name="接続8857" type="7" refreshedVersion="4"/>
  <connection id="12457" xr16:uid="{00000000-0015-0000-FFFF-FFFF26270000}" name="接続8858" type="7" refreshedVersion="4"/>
  <connection id="12458" xr16:uid="{00000000-0015-0000-FFFF-FFFF27270000}" name="接続8859" type="7" refreshedVersion="4"/>
  <connection id="12459" xr16:uid="{00000000-0015-0000-FFFF-FFFF28270000}" name="接続886" type="7" refreshedVersion="4"/>
  <connection id="12460" xr16:uid="{00000000-0015-0000-FFFF-FFFF29270000}" name="接続8860" type="7" refreshedVersion="4"/>
  <connection id="12461" xr16:uid="{00000000-0015-0000-FFFF-FFFF2A270000}" name="接続8861" type="7" refreshedVersion="4"/>
  <connection id="12462" xr16:uid="{00000000-0015-0000-FFFF-FFFF2B270000}" name="接続8862" type="7" refreshedVersion="4"/>
  <connection id="12463" xr16:uid="{00000000-0015-0000-FFFF-FFFF2C270000}" name="接続8863" type="7" refreshedVersion="4"/>
  <connection id="12464" xr16:uid="{00000000-0015-0000-FFFF-FFFF2D270000}" name="接続8864" type="7" refreshedVersion="4"/>
  <connection id="12465" xr16:uid="{00000000-0015-0000-FFFF-FFFF2E270000}" name="接続8865" type="7" refreshedVersion="4"/>
  <connection id="12466" xr16:uid="{00000000-0015-0000-FFFF-FFFF2F270000}" name="接続8866" type="7" refreshedVersion="4"/>
  <connection id="12467" xr16:uid="{00000000-0015-0000-FFFF-FFFF30270000}" name="接続8867" type="7" refreshedVersion="4"/>
  <connection id="12468" xr16:uid="{00000000-0015-0000-FFFF-FFFF31270000}" name="接続8868" type="7" refreshedVersion="4"/>
  <connection id="12469" xr16:uid="{00000000-0015-0000-FFFF-FFFF32270000}" name="接続8869" type="7" refreshedVersion="4"/>
  <connection id="12470" xr16:uid="{00000000-0015-0000-FFFF-FFFF33270000}" name="接続887" type="7" refreshedVersion="4"/>
  <connection id="12471" xr16:uid="{00000000-0015-0000-FFFF-FFFF34270000}" name="接続8870" type="7" refreshedVersion="4"/>
  <connection id="12472" xr16:uid="{00000000-0015-0000-FFFF-FFFF35270000}" name="接続8871" type="7" refreshedVersion="4"/>
  <connection id="12473" xr16:uid="{00000000-0015-0000-FFFF-FFFF36270000}" name="接続8872" type="7" refreshedVersion="4"/>
  <connection id="12474" xr16:uid="{00000000-0015-0000-FFFF-FFFF37270000}" name="接続8873" type="7" refreshedVersion="4"/>
  <connection id="12475" xr16:uid="{00000000-0015-0000-FFFF-FFFF38270000}" name="接続8874" type="7" refreshedVersion="4"/>
  <connection id="12476" xr16:uid="{00000000-0015-0000-FFFF-FFFF39270000}" name="接続8875" type="7" refreshedVersion="4"/>
  <connection id="12477" xr16:uid="{00000000-0015-0000-FFFF-FFFF3A270000}" name="接続8876" type="7" refreshedVersion="4"/>
  <connection id="12478" xr16:uid="{00000000-0015-0000-FFFF-FFFF3B270000}" name="接続8877" type="7" refreshedVersion="4"/>
  <connection id="12479" xr16:uid="{00000000-0015-0000-FFFF-FFFF3C270000}" name="接続8878" type="7" refreshedVersion="4"/>
  <connection id="12480" xr16:uid="{00000000-0015-0000-FFFF-FFFF3D270000}" name="接続8879" type="7" refreshedVersion="4"/>
  <connection id="12481" xr16:uid="{00000000-0015-0000-FFFF-FFFF3E270000}" name="接続888" type="7" refreshedVersion="4"/>
  <connection id="12482" xr16:uid="{00000000-0015-0000-FFFF-FFFF3F270000}" name="接続8880" type="7" refreshedVersion="4"/>
  <connection id="12483" xr16:uid="{00000000-0015-0000-FFFF-FFFF40270000}" name="接続8881" type="7" refreshedVersion="4"/>
  <connection id="12484" xr16:uid="{00000000-0015-0000-FFFF-FFFF41270000}" name="接続8882" type="7" refreshedVersion="4"/>
  <connection id="12485" xr16:uid="{00000000-0015-0000-FFFF-FFFF42270000}" name="接続8883" type="7" refreshedVersion="4"/>
  <connection id="12486" xr16:uid="{00000000-0015-0000-FFFF-FFFF43270000}" name="接続8884" type="7" refreshedVersion="4"/>
  <connection id="12487" xr16:uid="{00000000-0015-0000-FFFF-FFFF44270000}" name="接続8885" type="7" refreshedVersion="4"/>
  <connection id="12488" xr16:uid="{00000000-0015-0000-FFFF-FFFF45270000}" name="接続8886" type="7" refreshedVersion="4"/>
  <connection id="12489" xr16:uid="{00000000-0015-0000-FFFF-FFFF46270000}" name="接続8887" type="7" refreshedVersion="4"/>
  <connection id="12490" xr16:uid="{00000000-0015-0000-FFFF-FFFF47270000}" name="接続8888" type="7" refreshedVersion="4"/>
  <connection id="12491" xr16:uid="{00000000-0015-0000-FFFF-FFFF48270000}" name="接続8889" type="7" refreshedVersion="4"/>
  <connection id="12492" xr16:uid="{00000000-0015-0000-FFFF-FFFF49270000}" name="接続889" type="7" refreshedVersion="4"/>
  <connection id="12493" xr16:uid="{00000000-0015-0000-FFFF-FFFF4A270000}" name="接続8890" type="7" refreshedVersion="4"/>
  <connection id="12494" xr16:uid="{00000000-0015-0000-FFFF-FFFF4B270000}" name="接続8891" type="7" refreshedVersion="4"/>
  <connection id="12495" xr16:uid="{00000000-0015-0000-FFFF-FFFF4C270000}" name="接続8892" type="7" refreshedVersion="4"/>
  <connection id="12496" xr16:uid="{00000000-0015-0000-FFFF-FFFF4D270000}" name="接続8893" type="7" refreshedVersion="4"/>
  <connection id="12497" xr16:uid="{00000000-0015-0000-FFFF-FFFF4E270000}" name="接続8894" type="7" refreshedVersion="4"/>
  <connection id="12498" xr16:uid="{00000000-0015-0000-FFFF-FFFF4F270000}" name="接続8895" type="7" refreshedVersion="4"/>
  <connection id="12499" xr16:uid="{00000000-0015-0000-FFFF-FFFF50270000}" name="接続8896" type="7" refreshedVersion="4"/>
  <connection id="12500" xr16:uid="{00000000-0015-0000-FFFF-FFFF51270000}" name="接続8897" type="7" refreshedVersion="4"/>
  <connection id="12501" xr16:uid="{00000000-0015-0000-FFFF-FFFF52270000}" name="接続8898" type="7" refreshedVersion="4"/>
  <connection id="12502" xr16:uid="{00000000-0015-0000-FFFF-FFFF53270000}" name="接続8899" type="7" refreshedVersion="4"/>
  <connection id="12503" xr16:uid="{00000000-0015-0000-FFFF-FFFF54270000}" name="接続89" type="7" refreshedVersion="4"/>
  <connection id="12504" xr16:uid="{00000000-0015-0000-FFFF-FFFF55270000}" name="接続890" type="7" refreshedVersion="4"/>
  <connection id="12505" xr16:uid="{00000000-0015-0000-FFFF-FFFF56270000}" name="接続8900" type="7" refreshedVersion="4"/>
  <connection id="12506" xr16:uid="{00000000-0015-0000-FFFF-FFFF57270000}" name="接続8901" type="7" refreshedVersion="4"/>
  <connection id="12507" xr16:uid="{00000000-0015-0000-FFFF-FFFF58270000}" name="接続8902" type="7" refreshedVersion="4"/>
  <connection id="12508" xr16:uid="{00000000-0015-0000-FFFF-FFFF59270000}" name="接続8903" type="7" refreshedVersion="4"/>
  <connection id="12509" xr16:uid="{00000000-0015-0000-FFFF-FFFF5A270000}" name="接続8904" type="7" refreshedVersion="4"/>
  <connection id="12510" xr16:uid="{00000000-0015-0000-FFFF-FFFF5B270000}" name="接続8905" type="7" refreshedVersion="4"/>
  <connection id="12511" xr16:uid="{00000000-0015-0000-FFFF-FFFF5C270000}" name="接続8906" type="7" refreshedVersion="4"/>
  <connection id="12512" xr16:uid="{00000000-0015-0000-FFFF-FFFF5D270000}" name="接続8907" type="7" refreshedVersion="4"/>
  <connection id="12513" xr16:uid="{00000000-0015-0000-FFFF-FFFF5E270000}" name="接続8908" type="7" refreshedVersion="4"/>
  <connection id="12514" xr16:uid="{00000000-0015-0000-FFFF-FFFF5F270000}" name="接続8909" type="7" refreshedVersion="4"/>
  <connection id="12515" xr16:uid="{00000000-0015-0000-FFFF-FFFF60270000}" name="接続891" type="7" refreshedVersion="4"/>
  <connection id="12516" xr16:uid="{00000000-0015-0000-FFFF-FFFF61270000}" name="接続8910" type="7" refreshedVersion="4"/>
  <connection id="12517" xr16:uid="{00000000-0015-0000-FFFF-FFFF62270000}" name="接続8911" type="7" refreshedVersion="4"/>
  <connection id="12518" xr16:uid="{00000000-0015-0000-FFFF-FFFF63270000}" name="接続8912" type="7" refreshedVersion="4"/>
  <connection id="12519" xr16:uid="{00000000-0015-0000-FFFF-FFFF64270000}" name="接続8913" type="7" refreshedVersion="4"/>
  <connection id="12520" xr16:uid="{00000000-0015-0000-FFFF-FFFF65270000}" name="接続8914" type="7" refreshedVersion="4"/>
  <connection id="12521" xr16:uid="{00000000-0015-0000-FFFF-FFFF66270000}" name="接続8915" type="7" refreshedVersion="4"/>
  <connection id="12522" xr16:uid="{00000000-0015-0000-FFFF-FFFF67270000}" name="接続8916" type="7" refreshedVersion="4"/>
  <connection id="12523" xr16:uid="{00000000-0015-0000-FFFF-FFFF68270000}" name="接続8917" type="7" refreshedVersion="4"/>
  <connection id="12524" xr16:uid="{00000000-0015-0000-FFFF-FFFF69270000}" name="接続8918" type="7" refreshedVersion="4"/>
  <connection id="12525" xr16:uid="{00000000-0015-0000-FFFF-FFFF6A270000}" name="接続8919" type="7" refreshedVersion="4"/>
  <connection id="12526" xr16:uid="{00000000-0015-0000-FFFF-FFFF6B270000}" name="接続892" type="7" refreshedVersion="4"/>
  <connection id="12527" xr16:uid="{00000000-0015-0000-FFFF-FFFF6C270000}" name="接続8920" type="7" refreshedVersion="4"/>
  <connection id="12528" xr16:uid="{00000000-0015-0000-FFFF-FFFF6D270000}" name="接続8921" type="7" refreshedVersion="4"/>
  <connection id="12529" xr16:uid="{00000000-0015-0000-FFFF-FFFF6E270000}" name="接続8922" type="7" refreshedVersion="4"/>
  <connection id="12530" xr16:uid="{00000000-0015-0000-FFFF-FFFF6F270000}" name="接続8923" type="7" refreshedVersion="4"/>
  <connection id="12531" xr16:uid="{00000000-0015-0000-FFFF-FFFF70270000}" name="接続8924" type="7" refreshedVersion="4"/>
  <connection id="12532" xr16:uid="{00000000-0015-0000-FFFF-FFFF71270000}" name="接続8925" type="7" refreshedVersion="4"/>
  <connection id="12533" xr16:uid="{00000000-0015-0000-FFFF-FFFF72270000}" name="接続8926" type="7" refreshedVersion="4"/>
  <connection id="12534" xr16:uid="{00000000-0015-0000-FFFF-FFFF73270000}" name="接続8927" type="7" refreshedVersion="4"/>
  <connection id="12535" xr16:uid="{00000000-0015-0000-FFFF-FFFF74270000}" name="接続8928" type="7" refreshedVersion="4"/>
  <connection id="12536" xr16:uid="{00000000-0015-0000-FFFF-FFFF75270000}" name="接続8929" type="7" refreshedVersion="4"/>
  <connection id="12537" xr16:uid="{00000000-0015-0000-FFFF-FFFF76270000}" name="接続893" type="7" refreshedVersion="4"/>
  <connection id="12538" xr16:uid="{00000000-0015-0000-FFFF-FFFF77270000}" name="接続8930" type="7" refreshedVersion="4"/>
  <connection id="12539" xr16:uid="{00000000-0015-0000-FFFF-FFFF78270000}" name="接続8931" type="7" refreshedVersion="4"/>
  <connection id="12540" xr16:uid="{00000000-0015-0000-FFFF-FFFF79270000}" name="接続8932" type="7" refreshedVersion="4"/>
  <connection id="12541" xr16:uid="{00000000-0015-0000-FFFF-FFFF7A270000}" name="接続8933" type="7" refreshedVersion="4"/>
  <connection id="12542" xr16:uid="{00000000-0015-0000-FFFF-FFFF7B270000}" name="接続8934" type="7" refreshedVersion="4"/>
  <connection id="12543" xr16:uid="{00000000-0015-0000-FFFF-FFFF7C270000}" name="接続8935" type="7" refreshedVersion="4"/>
  <connection id="12544" xr16:uid="{00000000-0015-0000-FFFF-FFFF7D270000}" name="接続8936" type="7" refreshedVersion="4"/>
  <connection id="12545" xr16:uid="{00000000-0015-0000-FFFF-FFFF7E270000}" name="接続8937" type="7" refreshedVersion="4"/>
  <connection id="12546" xr16:uid="{00000000-0015-0000-FFFF-FFFF7F270000}" name="接続8938" type="7" refreshedVersion="4"/>
  <connection id="12547" xr16:uid="{00000000-0015-0000-FFFF-FFFF80270000}" name="接続8939" type="7" refreshedVersion="4"/>
  <connection id="12548" xr16:uid="{00000000-0015-0000-FFFF-FFFF81270000}" name="接続894" type="7" refreshedVersion="4"/>
  <connection id="12549" xr16:uid="{00000000-0015-0000-FFFF-FFFF82270000}" name="接続8940" type="7" refreshedVersion="4"/>
  <connection id="12550" xr16:uid="{00000000-0015-0000-FFFF-FFFF83270000}" name="接続8941" type="7" refreshedVersion="4"/>
  <connection id="12551" xr16:uid="{00000000-0015-0000-FFFF-FFFF84270000}" name="接続8942" type="7" refreshedVersion="4"/>
  <connection id="12552" xr16:uid="{00000000-0015-0000-FFFF-FFFF85270000}" name="接続8943" type="7" refreshedVersion="4"/>
  <connection id="12553" xr16:uid="{00000000-0015-0000-FFFF-FFFF86270000}" name="接続8944" type="7" refreshedVersion="4"/>
  <connection id="12554" xr16:uid="{00000000-0015-0000-FFFF-FFFF87270000}" name="接続8945" type="7" refreshedVersion="4"/>
  <connection id="12555" xr16:uid="{00000000-0015-0000-FFFF-FFFF88270000}" name="接続8946" type="7" refreshedVersion="4"/>
  <connection id="12556" xr16:uid="{00000000-0015-0000-FFFF-FFFF89270000}" name="接続8947" type="7" refreshedVersion="4"/>
  <connection id="12557" xr16:uid="{00000000-0015-0000-FFFF-FFFF8A270000}" name="接続8948" type="7" refreshedVersion="4"/>
  <connection id="12558" xr16:uid="{00000000-0015-0000-FFFF-FFFF8B270000}" name="接続8949" type="7" refreshedVersion="4"/>
  <connection id="12559" xr16:uid="{00000000-0015-0000-FFFF-FFFF8C270000}" name="接続895" type="7" refreshedVersion="4"/>
  <connection id="12560" xr16:uid="{00000000-0015-0000-FFFF-FFFF8D270000}" name="接続8950" type="7" refreshedVersion="4"/>
  <connection id="12561" xr16:uid="{00000000-0015-0000-FFFF-FFFF8E270000}" name="接続8951" type="7" refreshedVersion="4"/>
  <connection id="12562" xr16:uid="{00000000-0015-0000-FFFF-FFFF8F270000}" name="接続8952" type="7" refreshedVersion="4"/>
  <connection id="12563" xr16:uid="{00000000-0015-0000-FFFF-FFFF90270000}" name="接続8953" type="7" refreshedVersion="4"/>
  <connection id="12564" xr16:uid="{00000000-0015-0000-FFFF-FFFF91270000}" name="接続8954" type="7" refreshedVersion="4"/>
  <connection id="12565" xr16:uid="{00000000-0015-0000-FFFF-FFFF92270000}" name="接続8955" type="7" refreshedVersion="4"/>
  <connection id="12566" xr16:uid="{00000000-0015-0000-FFFF-FFFF93270000}" name="接続8956" type="7" refreshedVersion="4"/>
  <connection id="12567" xr16:uid="{00000000-0015-0000-FFFF-FFFF94270000}" name="接続8957" type="7" refreshedVersion="4"/>
  <connection id="12568" xr16:uid="{00000000-0015-0000-FFFF-FFFF95270000}" name="接続8958" type="7" refreshedVersion="4"/>
  <connection id="12569" xr16:uid="{00000000-0015-0000-FFFF-FFFF96270000}" name="接続8959" type="7" refreshedVersion="4"/>
  <connection id="12570" xr16:uid="{00000000-0015-0000-FFFF-FFFF97270000}" name="接続896" type="7" refreshedVersion="4"/>
  <connection id="12571" xr16:uid="{00000000-0015-0000-FFFF-FFFF98270000}" name="接続8960" type="7" refreshedVersion="4"/>
  <connection id="12572" xr16:uid="{00000000-0015-0000-FFFF-FFFF99270000}" name="接続8961" type="7" refreshedVersion="4"/>
  <connection id="12573" xr16:uid="{00000000-0015-0000-FFFF-FFFF9A270000}" name="接続8962" type="7" refreshedVersion="4"/>
  <connection id="12574" xr16:uid="{00000000-0015-0000-FFFF-FFFF9B270000}" name="接続8963" type="7" refreshedVersion="4"/>
  <connection id="12575" xr16:uid="{00000000-0015-0000-FFFF-FFFF9C270000}" name="接続8964" type="7" refreshedVersion="4"/>
  <connection id="12576" xr16:uid="{00000000-0015-0000-FFFF-FFFF9D270000}" name="接続8965" type="7" refreshedVersion="4"/>
  <connection id="12577" xr16:uid="{00000000-0015-0000-FFFF-FFFF9E270000}" name="接続8966" type="7" refreshedVersion="4"/>
  <connection id="12578" xr16:uid="{00000000-0015-0000-FFFF-FFFF9F270000}" name="接続8967" type="7" refreshedVersion="4"/>
  <connection id="12579" xr16:uid="{00000000-0015-0000-FFFF-FFFFA0270000}" name="接続8968" type="7" refreshedVersion="4"/>
  <connection id="12580" xr16:uid="{00000000-0015-0000-FFFF-FFFFA1270000}" name="接続8969" type="7" refreshedVersion="4"/>
  <connection id="12581" xr16:uid="{00000000-0015-0000-FFFF-FFFFA2270000}" name="接続897" type="7" refreshedVersion="4"/>
  <connection id="12582" xr16:uid="{00000000-0015-0000-FFFF-FFFFA3270000}" name="接続8970" type="7" refreshedVersion="4"/>
  <connection id="12583" xr16:uid="{00000000-0015-0000-FFFF-FFFFA4270000}" name="接続8971" type="7" refreshedVersion="4"/>
  <connection id="12584" xr16:uid="{00000000-0015-0000-FFFF-FFFFA5270000}" name="接続8972" type="7" refreshedVersion="4"/>
  <connection id="12585" xr16:uid="{00000000-0015-0000-FFFF-FFFFA6270000}" name="接続8973" type="7" refreshedVersion="4"/>
  <connection id="12586" xr16:uid="{00000000-0015-0000-FFFF-FFFFA7270000}" name="接続8974" type="7" refreshedVersion="4"/>
  <connection id="12587" xr16:uid="{00000000-0015-0000-FFFF-FFFFA8270000}" name="接続8975" type="7" refreshedVersion="4"/>
  <connection id="12588" xr16:uid="{00000000-0015-0000-FFFF-FFFFA9270000}" name="接続8976" type="7" refreshedVersion="4"/>
  <connection id="12589" xr16:uid="{00000000-0015-0000-FFFF-FFFFAA270000}" name="接続8977" type="7" refreshedVersion="4"/>
  <connection id="12590" xr16:uid="{00000000-0015-0000-FFFF-FFFFAB270000}" name="接続8978" type="7" refreshedVersion="4"/>
  <connection id="12591" xr16:uid="{00000000-0015-0000-FFFF-FFFFAC270000}" name="接続8979" type="7" refreshedVersion="4"/>
  <connection id="12592" xr16:uid="{00000000-0015-0000-FFFF-FFFFAD270000}" name="接続898" type="7" refreshedVersion="4"/>
  <connection id="12593" xr16:uid="{00000000-0015-0000-FFFF-FFFFAE270000}" name="接続8980" type="7" refreshedVersion="4"/>
  <connection id="12594" xr16:uid="{00000000-0015-0000-FFFF-FFFFAF270000}" name="接続8981" type="7" refreshedVersion="4"/>
  <connection id="12595" xr16:uid="{00000000-0015-0000-FFFF-FFFFB0270000}" name="接続8982" type="7" refreshedVersion="4"/>
  <connection id="12596" xr16:uid="{00000000-0015-0000-FFFF-FFFFB1270000}" name="接続8983" type="7" refreshedVersion="4"/>
  <connection id="12597" xr16:uid="{00000000-0015-0000-FFFF-FFFFB2270000}" name="接続8984" type="7" refreshedVersion="4"/>
  <connection id="12598" xr16:uid="{00000000-0015-0000-FFFF-FFFFB3270000}" name="接続8985" type="7" refreshedVersion="4"/>
  <connection id="12599" xr16:uid="{00000000-0015-0000-FFFF-FFFFB4270000}" name="接続8986" type="7" refreshedVersion="4"/>
  <connection id="12600" xr16:uid="{00000000-0015-0000-FFFF-FFFFB5270000}" name="接続8987" type="7" refreshedVersion="4"/>
  <connection id="12601" xr16:uid="{00000000-0015-0000-FFFF-FFFFB6270000}" name="接続8988" type="7" refreshedVersion="4"/>
  <connection id="12602" xr16:uid="{00000000-0015-0000-FFFF-FFFFB7270000}" name="接続8989" type="7" refreshedVersion="4"/>
  <connection id="12603" xr16:uid="{00000000-0015-0000-FFFF-FFFFB8270000}" name="接続899" type="7" refreshedVersion="4"/>
  <connection id="12604" xr16:uid="{00000000-0015-0000-FFFF-FFFFB9270000}" name="接続8990" type="7" refreshedVersion="4"/>
  <connection id="12605" xr16:uid="{00000000-0015-0000-FFFF-FFFFBA270000}" name="接続8991" type="7" refreshedVersion="4"/>
  <connection id="12606" xr16:uid="{00000000-0015-0000-FFFF-FFFFBB270000}" name="接続8992" type="7" refreshedVersion="4"/>
  <connection id="12607" xr16:uid="{00000000-0015-0000-FFFF-FFFFBC270000}" name="接続8993" type="7" refreshedVersion="4"/>
  <connection id="12608" xr16:uid="{00000000-0015-0000-FFFF-FFFFBD270000}" name="接続8994" type="7" refreshedVersion="4"/>
  <connection id="12609" xr16:uid="{00000000-0015-0000-FFFF-FFFFBE270000}" name="接続8995" type="7" refreshedVersion="4"/>
  <connection id="12610" xr16:uid="{00000000-0015-0000-FFFF-FFFFBF270000}" name="接続8996" type="7" refreshedVersion="4"/>
  <connection id="12611" xr16:uid="{00000000-0015-0000-FFFF-FFFFC0270000}" name="接続8997" type="7" refreshedVersion="4"/>
  <connection id="12612" xr16:uid="{00000000-0015-0000-FFFF-FFFFC1270000}" name="接続8998" type="7" refreshedVersion="4"/>
  <connection id="12613" xr16:uid="{00000000-0015-0000-FFFF-FFFFC2270000}" name="接続8999" type="7" refreshedVersion="4"/>
  <connection id="12614" xr16:uid="{00000000-0015-0000-FFFF-FFFFC3270000}" name="接続9" type="7" refreshedVersion="3"/>
  <connection id="12615" xr16:uid="{00000000-0015-0000-FFFF-FFFFC4270000}" name="接続90" type="7" refreshedVersion="4"/>
  <connection id="12616" xr16:uid="{00000000-0015-0000-FFFF-FFFFC5270000}" name="接続900" type="7" refreshedVersion="4"/>
  <connection id="12617" xr16:uid="{00000000-0015-0000-FFFF-FFFFC6270000}" name="接続9000" type="7" refreshedVersion="4"/>
  <connection id="12618" xr16:uid="{00000000-0015-0000-FFFF-FFFFC7270000}" name="接続9001" type="7" refreshedVersion="4"/>
  <connection id="12619" xr16:uid="{00000000-0015-0000-FFFF-FFFFC8270000}" name="接続9002" type="7" refreshedVersion="4"/>
  <connection id="12620" xr16:uid="{00000000-0015-0000-FFFF-FFFFC9270000}" name="接続9003" type="7" refreshedVersion="4"/>
  <connection id="12621" xr16:uid="{00000000-0015-0000-FFFF-FFFFCA270000}" name="接続9004" type="7" refreshedVersion="4"/>
  <connection id="12622" xr16:uid="{00000000-0015-0000-FFFF-FFFFCB270000}" name="接続9005" type="7" refreshedVersion="4"/>
  <connection id="12623" xr16:uid="{00000000-0015-0000-FFFF-FFFFCC270000}" name="接続9006" type="7" refreshedVersion="4"/>
  <connection id="12624" xr16:uid="{00000000-0015-0000-FFFF-FFFFCD270000}" name="接続9007" type="7" refreshedVersion="4"/>
  <connection id="12625" xr16:uid="{00000000-0015-0000-FFFF-FFFFCE270000}" name="接続9008" type="7" refreshedVersion="4"/>
  <connection id="12626" xr16:uid="{00000000-0015-0000-FFFF-FFFFCF270000}" name="接続9009" type="7" refreshedVersion="4"/>
  <connection id="12627" xr16:uid="{00000000-0015-0000-FFFF-FFFFD0270000}" name="接続901" type="7" refreshedVersion="4"/>
  <connection id="12628" xr16:uid="{00000000-0015-0000-FFFF-FFFFD1270000}" name="接続9010" type="7" refreshedVersion="4"/>
  <connection id="12629" xr16:uid="{00000000-0015-0000-FFFF-FFFFD2270000}" name="接続9011" type="7" refreshedVersion="4"/>
  <connection id="12630" xr16:uid="{00000000-0015-0000-FFFF-FFFFD3270000}" name="接続9012" type="7" refreshedVersion="4"/>
  <connection id="12631" xr16:uid="{00000000-0015-0000-FFFF-FFFFD4270000}" name="接続9013" type="7" refreshedVersion="4"/>
  <connection id="12632" xr16:uid="{00000000-0015-0000-FFFF-FFFFD5270000}" name="接続9014" type="7" refreshedVersion="4"/>
  <connection id="12633" xr16:uid="{00000000-0015-0000-FFFF-FFFFD6270000}" name="接続9015" type="7" refreshedVersion="4"/>
  <connection id="12634" xr16:uid="{00000000-0015-0000-FFFF-FFFFD7270000}" name="接続9016" type="7" refreshedVersion="4"/>
  <connection id="12635" xr16:uid="{00000000-0015-0000-FFFF-FFFFD8270000}" name="接続9017" type="7" refreshedVersion="4"/>
  <connection id="12636" xr16:uid="{00000000-0015-0000-FFFF-FFFFD9270000}" name="接続9018" type="7" refreshedVersion="4"/>
  <connection id="12637" xr16:uid="{00000000-0015-0000-FFFF-FFFFDA270000}" name="接続9019" type="7" refreshedVersion="4"/>
  <connection id="12638" xr16:uid="{00000000-0015-0000-FFFF-FFFFDB270000}" name="接続902" type="7" refreshedVersion="4"/>
  <connection id="12639" xr16:uid="{00000000-0015-0000-FFFF-FFFFDC270000}" name="接続9020" type="7" refreshedVersion="4"/>
  <connection id="12640" xr16:uid="{00000000-0015-0000-FFFF-FFFFDD270000}" name="接続9021" type="7" refreshedVersion="4"/>
  <connection id="12641" xr16:uid="{00000000-0015-0000-FFFF-FFFFDE270000}" name="接続9022" type="7" refreshedVersion="4"/>
  <connection id="12642" xr16:uid="{00000000-0015-0000-FFFF-FFFFDF270000}" name="接続9023" type="7" refreshedVersion="4"/>
  <connection id="12643" xr16:uid="{00000000-0015-0000-FFFF-FFFFE0270000}" name="接続9024" type="7" refreshedVersion="4"/>
  <connection id="12644" xr16:uid="{00000000-0015-0000-FFFF-FFFFE1270000}" name="接続9025" type="7" refreshedVersion="4"/>
  <connection id="12645" xr16:uid="{00000000-0015-0000-FFFF-FFFFE2270000}" name="接続9026" type="7" refreshedVersion="4"/>
  <connection id="12646" xr16:uid="{00000000-0015-0000-FFFF-FFFFE3270000}" name="接続9027" type="7" refreshedVersion="4"/>
  <connection id="12647" xr16:uid="{00000000-0015-0000-FFFF-FFFFE4270000}" name="接続9028" type="7" refreshedVersion="4"/>
  <connection id="12648" xr16:uid="{00000000-0015-0000-FFFF-FFFFE5270000}" name="接続9029" type="7" refreshedVersion="4"/>
  <connection id="12649" xr16:uid="{00000000-0015-0000-FFFF-FFFFE6270000}" name="接続903" type="7" refreshedVersion="4"/>
  <connection id="12650" xr16:uid="{00000000-0015-0000-FFFF-FFFFE7270000}" name="接続9030" type="7" refreshedVersion="4"/>
  <connection id="12651" xr16:uid="{00000000-0015-0000-FFFF-FFFFE8270000}" name="接続9031" type="7" refreshedVersion="4"/>
  <connection id="12652" xr16:uid="{00000000-0015-0000-FFFF-FFFFE9270000}" name="接続9032" type="7" refreshedVersion="4"/>
  <connection id="12653" xr16:uid="{00000000-0015-0000-FFFF-FFFFEA270000}" name="接続9033" type="7" refreshedVersion="4"/>
  <connection id="12654" xr16:uid="{00000000-0015-0000-FFFF-FFFFEB270000}" name="接続9034" type="7" refreshedVersion="4"/>
  <connection id="12655" xr16:uid="{00000000-0015-0000-FFFF-FFFFEC270000}" name="接続9035" type="7" refreshedVersion="4"/>
  <connection id="12656" xr16:uid="{00000000-0015-0000-FFFF-FFFFED270000}" name="接続9036" type="7" refreshedVersion="4"/>
  <connection id="12657" xr16:uid="{00000000-0015-0000-FFFF-FFFFEE270000}" name="接続9037" type="7" refreshedVersion="4"/>
  <connection id="12658" xr16:uid="{00000000-0015-0000-FFFF-FFFFEF270000}" name="接続9038" type="7" refreshedVersion="4"/>
  <connection id="12659" xr16:uid="{00000000-0015-0000-FFFF-FFFFF0270000}" name="接続9039" type="7" refreshedVersion="4"/>
  <connection id="12660" xr16:uid="{00000000-0015-0000-FFFF-FFFFF1270000}" name="接続904" type="7" refreshedVersion="4"/>
  <connection id="12661" xr16:uid="{00000000-0015-0000-FFFF-FFFFF2270000}" name="接続9040" type="7" refreshedVersion="4"/>
  <connection id="12662" xr16:uid="{00000000-0015-0000-FFFF-FFFFF3270000}" name="接続9041" type="7" refreshedVersion="4"/>
  <connection id="12663" xr16:uid="{00000000-0015-0000-FFFF-FFFFF4270000}" name="接続9042" type="7" refreshedVersion="4"/>
  <connection id="12664" xr16:uid="{00000000-0015-0000-FFFF-FFFFF5270000}" name="接続9043" type="7" refreshedVersion="4"/>
  <connection id="12665" xr16:uid="{00000000-0015-0000-FFFF-FFFFF6270000}" name="接続9044" type="7" refreshedVersion="4"/>
  <connection id="12666" xr16:uid="{00000000-0015-0000-FFFF-FFFFF7270000}" name="接続9045" type="7" refreshedVersion="4"/>
  <connection id="12667" xr16:uid="{00000000-0015-0000-FFFF-FFFFF8270000}" name="接続9046" type="7" refreshedVersion="4"/>
  <connection id="12668" xr16:uid="{00000000-0015-0000-FFFF-FFFFF9270000}" name="接続9047" type="7" refreshedVersion="4"/>
  <connection id="12669" xr16:uid="{00000000-0015-0000-FFFF-FFFFFA270000}" name="接続9048" type="7" refreshedVersion="4"/>
  <connection id="12670" xr16:uid="{00000000-0015-0000-FFFF-FFFFFB270000}" name="接続9049" type="7" refreshedVersion="4"/>
  <connection id="12671" xr16:uid="{00000000-0015-0000-FFFF-FFFFFC270000}" name="接続905" type="7" refreshedVersion="4"/>
  <connection id="12672" xr16:uid="{00000000-0015-0000-FFFF-FFFFFD270000}" name="接続9050" type="7" refreshedVersion="4"/>
  <connection id="12673" xr16:uid="{00000000-0015-0000-FFFF-FFFFFE270000}" name="接続9051" type="7" refreshedVersion="4"/>
  <connection id="12674" xr16:uid="{00000000-0015-0000-FFFF-FFFFFF270000}" name="接続9052" type="7" refreshedVersion="4"/>
  <connection id="12675" xr16:uid="{00000000-0015-0000-FFFF-FFFF00280000}" name="接続9053" type="7" refreshedVersion="4"/>
  <connection id="12676" xr16:uid="{00000000-0015-0000-FFFF-FFFF01280000}" name="接続9054" type="7" refreshedVersion="4"/>
  <connection id="12677" xr16:uid="{00000000-0015-0000-FFFF-FFFF02280000}" name="接続9055" type="7" refreshedVersion="4"/>
  <connection id="12678" xr16:uid="{00000000-0015-0000-FFFF-FFFF03280000}" name="接続9056" type="7" refreshedVersion="4"/>
  <connection id="12679" xr16:uid="{00000000-0015-0000-FFFF-FFFF04280000}" name="接続9057" type="7" refreshedVersion="4"/>
  <connection id="12680" xr16:uid="{00000000-0015-0000-FFFF-FFFF05280000}" name="接続9058" type="7" refreshedVersion="4"/>
  <connection id="12681" xr16:uid="{00000000-0015-0000-FFFF-FFFF06280000}" name="接続9059" type="7" refreshedVersion="4"/>
  <connection id="12682" xr16:uid="{00000000-0015-0000-FFFF-FFFF07280000}" name="接続906" type="7" refreshedVersion="4"/>
  <connection id="12683" xr16:uid="{00000000-0015-0000-FFFF-FFFF08280000}" name="接続9060" type="7" refreshedVersion="4"/>
  <connection id="12684" xr16:uid="{00000000-0015-0000-FFFF-FFFF09280000}" name="接続9061" type="7" refreshedVersion="4"/>
  <connection id="12685" xr16:uid="{00000000-0015-0000-FFFF-FFFF0A280000}" name="接続9062" type="7" refreshedVersion="4"/>
  <connection id="12686" xr16:uid="{00000000-0015-0000-FFFF-FFFF0B280000}" name="接続9063" type="7" refreshedVersion="4"/>
  <connection id="12687" xr16:uid="{00000000-0015-0000-FFFF-FFFF0C280000}" name="接続9064" type="7" refreshedVersion="4"/>
  <connection id="12688" xr16:uid="{00000000-0015-0000-FFFF-FFFF0D280000}" name="接続9065" type="7" refreshedVersion="4"/>
  <connection id="12689" xr16:uid="{00000000-0015-0000-FFFF-FFFF0E280000}" name="接続9066" type="7" refreshedVersion="4"/>
  <connection id="12690" xr16:uid="{00000000-0015-0000-FFFF-FFFF0F280000}" name="接続9067" type="7" refreshedVersion="4"/>
  <connection id="12691" xr16:uid="{00000000-0015-0000-FFFF-FFFF10280000}" name="接続9068" type="7" refreshedVersion="4"/>
  <connection id="12692" xr16:uid="{00000000-0015-0000-FFFF-FFFF11280000}" name="接続9069" type="7" refreshedVersion="4"/>
  <connection id="12693" xr16:uid="{00000000-0015-0000-FFFF-FFFF12280000}" name="接続907" type="7" refreshedVersion="4"/>
  <connection id="12694" xr16:uid="{00000000-0015-0000-FFFF-FFFF13280000}" name="接続9070" type="7" refreshedVersion="4"/>
  <connection id="12695" xr16:uid="{00000000-0015-0000-FFFF-FFFF14280000}" name="接続9071" type="7" refreshedVersion="4"/>
  <connection id="12696" xr16:uid="{00000000-0015-0000-FFFF-FFFF15280000}" name="接続9072" type="7" refreshedVersion="4"/>
  <connection id="12697" xr16:uid="{00000000-0015-0000-FFFF-FFFF16280000}" name="接続9073" type="7" refreshedVersion="4"/>
  <connection id="12698" xr16:uid="{00000000-0015-0000-FFFF-FFFF17280000}" name="接続9074" type="7" refreshedVersion="4"/>
  <connection id="12699" xr16:uid="{00000000-0015-0000-FFFF-FFFF18280000}" name="接続9075" type="7" refreshedVersion="4"/>
  <connection id="12700" xr16:uid="{00000000-0015-0000-FFFF-FFFF19280000}" name="接続9076" type="7" refreshedVersion="4"/>
  <connection id="12701" xr16:uid="{00000000-0015-0000-FFFF-FFFF1A280000}" name="接続9077" type="7" refreshedVersion="4"/>
  <connection id="12702" xr16:uid="{00000000-0015-0000-FFFF-FFFF1B280000}" name="接続9078" type="7" refreshedVersion="4"/>
  <connection id="12703" xr16:uid="{00000000-0015-0000-FFFF-FFFF1C280000}" name="接続9079" type="7" refreshedVersion="4"/>
  <connection id="12704" xr16:uid="{00000000-0015-0000-FFFF-FFFF1D280000}" name="接続908" type="7" refreshedVersion="4"/>
  <connection id="12705" xr16:uid="{00000000-0015-0000-FFFF-FFFF1E280000}" name="接続9080" type="7" refreshedVersion="4"/>
  <connection id="12706" xr16:uid="{00000000-0015-0000-FFFF-FFFF1F280000}" name="接続9081" type="7" refreshedVersion="4"/>
  <connection id="12707" xr16:uid="{00000000-0015-0000-FFFF-FFFF20280000}" name="接続9082" type="7" refreshedVersion="4"/>
  <connection id="12708" xr16:uid="{00000000-0015-0000-FFFF-FFFF21280000}" name="接続9083" type="7" refreshedVersion="4"/>
  <connection id="12709" xr16:uid="{00000000-0015-0000-FFFF-FFFF22280000}" name="接続9084" type="7" refreshedVersion="4"/>
  <connection id="12710" xr16:uid="{00000000-0015-0000-FFFF-FFFF23280000}" name="接続9085" type="7" refreshedVersion="4"/>
  <connection id="12711" xr16:uid="{00000000-0015-0000-FFFF-FFFF24280000}" name="接続9086" type="7" refreshedVersion="4"/>
  <connection id="12712" xr16:uid="{00000000-0015-0000-FFFF-FFFF25280000}" name="接続9087" type="7" refreshedVersion="4"/>
  <connection id="12713" xr16:uid="{00000000-0015-0000-FFFF-FFFF26280000}" name="接続9088" type="7" refreshedVersion="4"/>
  <connection id="12714" xr16:uid="{00000000-0015-0000-FFFF-FFFF27280000}" name="接続9089" type="7" refreshedVersion="4"/>
  <connection id="12715" xr16:uid="{00000000-0015-0000-FFFF-FFFF28280000}" name="接続909" type="7" refreshedVersion="4"/>
  <connection id="12716" xr16:uid="{00000000-0015-0000-FFFF-FFFF29280000}" name="接続9090" type="7" refreshedVersion="4"/>
  <connection id="12717" xr16:uid="{00000000-0015-0000-FFFF-FFFF2A280000}" name="接続9091" type="7" refreshedVersion="4"/>
  <connection id="12718" xr16:uid="{00000000-0015-0000-FFFF-FFFF2B280000}" name="接続9092" type="7" refreshedVersion="4"/>
  <connection id="12719" xr16:uid="{00000000-0015-0000-FFFF-FFFF2C280000}" name="接続9093" type="7" refreshedVersion="4"/>
  <connection id="12720" xr16:uid="{00000000-0015-0000-FFFF-FFFF2D280000}" name="接続9094" type="7" refreshedVersion="4"/>
  <connection id="12721" xr16:uid="{00000000-0015-0000-FFFF-FFFF2E280000}" name="接続9095" type="7" refreshedVersion="4"/>
  <connection id="12722" xr16:uid="{00000000-0015-0000-FFFF-FFFF2F280000}" name="接続9096" type="7" refreshedVersion="4"/>
  <connection id="12723" xr16:uid="{00000000-0015-0000-FFFF-FFFF30280000}" name="接続9097" type="7" refreshedVersion="4"/>
  <connection id="12724" xr16:uid="{00000000-0015-0000-FFFF-FFFF31280000}" name="接続9098" type="7" refreshedVersion="4"/>
  <connection id="12725" xr16:uid="{00000000-0015-0000-FFFF-FFFF32280000}" name="接続9099" type="7" refreshedVersion="4"/>
  <connection id="12726" xr16:uid="{00000000-0015-0000-FFFF-FFFF33280000}" name="接続91" type="7" refreshedVersion="4"/>
  <connection id="12727" xr16:uid="{00000000-0015-0000-FFFF-FFFF34280000}" name="接続910" type="7" refreshedVersion="4"/>
  <connection id="12728" xr16:uid="{00000000-0015-0000-FFFF-FFFF35280000}" name="接続9100" type="7" refreshedVersion="4"/>
  <connection id="12729" xr16:uid="{00000000-0015-0000-FFFF-FFFF36280000}" name="接続9101" type="7" refreshedVersion="4"/>
  <connection id="12730" xr16:uid="{00000000-0015-0000-FFFF-FFFF37280000}" name="接続9102" type="7" refreshedVersion="4"/>
  <connection id="12731" xr16:uid="{00000000-0015-0000-FFFF-FFFF38280000}" name="接続9103" type="7" refreshedVersion="4"/>
  <connection id="12732" xr16:uid="{00000000-0015-0000-FFFF-FFFF39280000}" name="接続9104" type="7" refreshedVersion="4"/>
  <connection id="12733" xr16:uid="{00000000-0015-0000-FFFF-FFFF3A280000}" name="接続9105" type="7" refreshedVersion="4"/>
  <connection id="12734" xr16:uid="{00000000-0015-0000-FFFF-FFFF3B280000}" name="接続9106" type="7" refreshedVersion="4"/>
  <connection id="12735" xr16:uid="{00000000-0015-0000-FFFF-FFFF3C280000}" name="接続9107" type="7" refreshedVersion="4"/>
  <connection id="12736" xr16:uid="{00000000-0015-0000-FFFF-FFFF3D280000}" name="接続9108" type="7" refreshedVersion="4"/>
  <connection id="12737" xr16:uid="{00000000-0015-0000-FFFF-FFFF3E280000}" name="接続9109" type="7" refreshedVersion="4"/>
  <connection id="12738" xr16:uid="{00000000-0015-0000-FFFF-FFFF3F280000}" name="接続911" type="7" refreshedVersion="4"/>
  <connection id="12739" xr16:uid="{00000000-0015-0000-FFFF-FFFF40280000}" name="接続9110" type="7" refreshedVersion="4"/>
  <connection id="12740" xr16:uid="{00000000-0015-0000-FFFF-FFFF41280000}" name="接続9111" type="7" refreshedVersion="4"/>
  <connection id="12741" xr16:uid="{00000000-0015-0000-FFFF-FFFF42280000}" name="接続9112" type="7" refreshedVersion="4"/>
  <connection id="12742" xr16:uid="{00000000-0015-0000-FFFF-FFFF43280000}" name="接続9113" type="7" refreshedVersion="4"/>
  <connection id="12743" xr16:uid="{00000000-0015-0000-FFFF-FFFF44280000}" name="接続9114" type="7" refreshedVersion="4"/>
  <connection id="12744" xr16:uid="{00000000-0015-0000-FFFF-FFFF45280000}" name="接続9115" type="7" refreshedVersion="4"/>
  <connection id="12745" xr16:uid="{00000000-0015-0000-FFFF-FFFF46280000}" name="接続9116" type="7" refreshedVersion="4"/>
  <connection id="12746" xr16:uid="{00000000-0015-0000-FFFF-FFFF47280000}" name="接続9117" type="7" refreshedVersion="4"/>
  <connection id="12747" xr16:uid="{00000000-0015-0000-FFFF-FFFF48280000}" name="接続9118" type="7" refreshedVersion="4"/>
  <connection id="12748" xr16:uid="{00000000-0015-0000-FFFF-FFFF49280000}" name="接続9119" type="7" refreshedVersion="4"/>
  <connection id="12749" xr16:uid="{00000000-0015-0000-FFFF-FFFF4A280000}" name="接続912" type="7" refreshedVersion="4"/>
  <connection id="12750" xr16:uid="{00000000-0015-0000-FFFF-FFFF4B280000}" name="接続9120" type="7" refreshedVersion="4"/>
  <connection id="12751" xr16:uid="{00000000-0015-0000-FFFF-FFFF4C280000}" name="接続9121" type="7" refreshedVersion="4"/>
  <connection id="12752" xr16:uid="{00000000-0015-0000-FFFF-FFFF4D280000}" name="接続9122" type="7" refreshedVersion="4"/>
  <connection id="12753" xr16:uid="{00000000-0015-0000-FFFF-FFFF4E280000}" name="接続9123" type="7" refreshedVersion="4"/>
  <connection id="12754" xr16:uid="{00000000-0015-0000-FFFF-FFFF4F280000}" name="接続9124" type="7" refreshedVersion="4"/>
  <connection id="12755" xr16:uid="{00000000-0015-0000-FFFF-FFFF50280000}" name="接続9125" type="7" refreshedVersion="4"/>
  <connection id="12756" xr16:uid="{00000000-0015-0000-FFFF-FFFF51280000}" name="接続9126" type="7" refreshedVersion="4"/>
  <connection id="12757" xr16:uid="{00000000-0015-0000-FFFF-FFFF52280000}" name="接続9127" type="7" refreshedVersion="4"/>
  <connection id="12758" xr16:uid="{00000000-0015-0000-FFFF-FFFF53280000}" name="接続9128" type="7" refreshedVersion="4"/>
  <connection id="12759" xr16:uid="{00000000-0015-0000-FFFF-FFFF54280000}" name="接続9129" type="7" refreshedVersion="4"/>
  <connection id="12760" xr16:uid="{00000000-0015-0000-FFFF-FFFF55280000}" name="接続913" type="7" refreshedVersion="4"/>
  <connection id="12761" xr16:uid="{00000000-0015-0000-FFFF-FFFF56280000}" name="接続9130" type="7" refreshedVersion="4"/>
  <connection id="12762" xr16:uid="{00000000-0015-0000-FFFF-FFFF57280000}" name="接続9131" type="7" refreshedVersion="4"/>
  <connection id="12763" xr16:uid="{00000000-0015-0000-FFFF-FFFF58280000}" name="接続9132" type="7" refreshedVersion="4"/>
  <connection id="12764" xr16:uid="{00000000-0015-0000-FFFF-FFFF59280000}" name="接続9133" type="7" refreshedVersion="4"/>
  <connection id="12765" xr16:uid="{00000000-0015-0000-FFFF-FFFF5A280000}" name="接続9134" type="7" refreshedVersion="4"/>
  <connection id="12766" xr16:uid="{00000000-0015-0000-FFFF-FFFF5B280000}" name="接続9135" type="7" refreshedVersion="4"/>
  <connection id="12767" xr16:uid="{00000000-0015-0000-FFFF-FFFF5C280000}" name="接続9136" type="7" refreshedVersion="4"/>
  <connection id="12768" xr16:uid="{00000000-0015-0000-FFFF-FFFF5D280000}" name="接続9137" type="7" refreshedVersion="4"/>
  <connection id="12769" xr16:uid="{00000000-0015-0000-FFFF-FFFF5E280000}" name="接続9138" type="7" refreshedVersion="4"/>
  <connection id="12770" xr16:uid="{00000000-0015-0000-FFFF-FFFF5F280000}" name="接続9139" type="7" refreshedVersion="4"/>
  <connection id="12771" xr16:uid="{00000000-0015-0000-FFFF-FFFF60280000}" name="接続914" type="7" refreshedVersion="4"/>
  <connection id="12772" xr16:uid="{00000000-0015-0000-FFFF-FFFF61280000}" name="接続9140" type="7" refreshedVersion="4"/>
  <connection id="12773" xr16:uid="{00000000-0015-0000-FFFF-FFFF62280000}" name="接続9141" type="7" refreshedVersion="4"/>
  <connection id="12774" xr16:uid="{00000000-0015-0000-FFFF-FFFF63280000}" name="接続9142" type="7" refreshedVersion="4"/>
  <connection id="12775" xr16:uid="{00000000-0015-0000-FFFF-FFFF64280000}" name="接続9143" type="7" refreshedVersion="4"/>
  <connection id="12776" xr16:uid="{00000000-0015-0000-FFFF-FFFF65280000}" name="接続9144" type="7" refreshedVersion="4"/>
  <connection id="12777" xr16:uid="{00000000-0015-0000-FFFF-FFFF66280000}" name="接続9145" type="7" refreshedVersion="4"/>
  <connection id="12778" xr16:uid="{00000000-0015-0000-FFFF-FFFF67280000}" name="接続9146" type="7" refreshedVersion="4"/>
  <connection id="12779" xr16:uid="{00000000-0015-0000-FFFF-FFFF68280000}" name="接続9147" type="7" refreshedVersion="4"/>
  <connection id="12780" xr16:uid="{00000000-0015-0000-FFFF-FFFF69280000}" name="接続9148" type="7" refreshedVersion="4"/>
  <connection id="12781" xr16:uid="{00000000-0015-0000-FFFF-FFFF6A280000}" name="接続9149" type="7" refreshedVersion="4"/>
  <connection id="12782" xr16:uid="{00000000-0015-0000-FFFF-FFFF6B280000}" name="接続915" type="7" refreshedVersion="4"/>
  <connection id="12783" xr16:uid="{00000000-0015-0000-FFFF-FFFF6C280000}" name="接続9150" type="7" refreshedVersion="4"/>
  <connection id="12784" xr16:uid="{00000000-0015-0000-FFFF-FFFF6D280000}" name="接続9151" type="7" refreshedVersion="4"/>
  <connection id="12785" xr16:uid="{00000000-0015-0000-FFFF-FFFF6E280000}" name="接続9152" type="7" refreshedVersion="4"/>
  <connection id="12786" xr16:uid="{00000000-0015-0000-FFFF-FFFF6F280000}" name="接続9153" type="7" refreshedVersion="4"/>
  <connection id="12787" xr16:uid="{00000000-0015-0000-FFFF-FFFF70280000}" name="接続9154" type="7" refreshedVersion="4"/>
  <connection id="12788" xr16:uid="{00000000-0015-0000-FFFF-FFFF71280000}" name="接続9155" type="7" refreshedVersion="4"/>
  <connection id="12789" xr16:uid="{00000000-0015-0000-FFFF-FFFF72280000}" name="接続9156" type="7" refreshedVersion="4"/>
  <connection id="12790" xr16:uid="{00000000-0015-0000-FFFF-FFFF73280000}" name="接続9157" type="7" refreshedVersion="4"/>
  <connection id="12791" xr16:uid="{00000000-0015-0000-FFFF-FFFF74280000}" name="接続9158" type="7" refreshedVersion="4"/>
  <connection id="12792" xr16:uid="{00000000-0015-0000-FFFF-FFFF75280000}" name="接続9159" type="7" refreshedVersion="4"/>
  <connection id="12793" xr16:uid="{00000000-0015-0000-FFFF-FFFF76280000}" name="接続916" type="7" refreshedVersion="4"/>
  <connection id="12794" xr16:uid="{00000000-0015-0000-FFFF-FFFF77280000}" name="接続9160" type="7" refreshedVersion="4"/>
  <connection id="12795" xr16:uid="{00000000-0015-0000-FFFF-FFFF78280000}" name="接続9161" type="7" refreshedVersion="4"/>
  <connection id="12796" xr16:uid="{00000000-0015-0000-FFFF-FFFF79280000}" name="接続9162" type="7" refreshedVersion="4"/>
  <connection id="12797" xr16:uid="{00000000-0015-0000-FFFF-FFFF7A280000}" name="接続9163" type="7" refreshedVersion="4"/>
  <connection id="12798" xr16:uid="{00000000-0015-0000-FFFF-FFFF7B280000}" name="接続9164" type="7" refreshedVersion="4"/>
  <connection id="12799" xr16:uid="{00000000-0015-0000-FFFF-FFFF7C280000}" name="接続9165" type="7" refreshedVersion="4"/>
  <connection id="12800" xr16:uid="{00000000-0015-0000-FFFF-FFFF7D280000}" name="接続9166" type="7" refreshedVersion="4"/>
  <connection id="12801" xr16:uid="{00000000-0015-0000-FFFF-FFFF7E280000}" name="接続9167" type="7" refreshedVersion="4"/>
  <connection id="12802" xr16:uid="{00000000-0015-0000-FFFF-FFFF7F280000}" name="接続9168" type="7" refreshedVersion="4"/>
  <connection id="12803" xr16:uid="{00000000-0015-0000-FFFF-FFFF80280000}" name="接続9169" type="7" refreshedVersion="4"/>
  <connection id="12804" xr16:uid="{00000000-0015-0000-FFFF-FFFF81280000}" name="接続917" type="7" refreshedVersion="4"/>
  <connection id="12805" xr16:uid="{00000000-0015-0000-FFFF-FFFF82280000}" name="接続9170" type="7" refreshedVersion="4"/>
  <connection id="12806" xr16:uid="{00000000-0015-0000-FFFF-FFFF83280000}" name="接続9171" type="7" refreshedVersion="4"/>
  <connection id="12807" xr16:uid="{00000000-0015-0000-FFFF-FFFF84280000}" name="接続9172" type="7" refreshedVersion="4"/>
  <connection id="12808" xr16:uid="{00000000-0015-0000-FFFF-FFFF85280000}" name="接続9173" type="7" refreshedVersion="4"/>
  <connection id="12809" xr16:uid="{00000000-0015-0000-FFFF-FFFF86280000}" name="接続9174" type="7" refreshedVersion="4"/>
  <connection id="12810" xr16:uid="{00000000-0015-0000-FFFF-FFFF87280000}" name="接続9175" type="7" refreshedVersion="4"/>
  <connection id="12811" xr16:uid="{00000000-0015-0000-FFFF-FFFF88280000}" name="接続9176" type="7" refreshedVersion="4"/>
  <connection id="12812" xr16:uid="{00000000-0015-0000-FFFF-FFFF89280000}" name="接続9177" type="7" refreshedVersion="4"/>
  <connection id="12813" xr16:uid="{00000000-0015-0000-FFFF-FFFF8A280000}" name="接続9178" type="7" refreshedVersion="4"/>
  <connection id="12814" xr16:uid="{00000000-0015-0000-FFFF-FFFF8B280000}" name="接続9179" type="7" refreshedVersion="4"/>
  <connection id="12815" xr16:uid="{00000000-0015-0000-FFFF-FFFF8C280000}" name="接続918" type="7" refreshedVersion="4"/>
  <connection id="12816" xr16:uid="{00000000-0015-0000-FFFF-FFFF8D280000}" name="接続9180" type="7" refreshedVersion="4"/>
  <connection id="12817" xr16:uid="{00000000-0015-0000-FFFF-FFFF8E280000}" name="接続9181" type="7" refreshedVersion="4"/>
  <connection id="12818" xr16:uid="{00000000-0015-0000-FFFF-FFFF8F280000}" name="接続9182" type="7" refreshedVersion="4"/>
  <connection id="12819" xr16:uid="{00000000-0015-0000-FFFF-FFFF90280000}" name="接続9183" type="7" refreshedVersion="4"/>
  <connection id="12820" xr16:uid="{00000000-0015-0000-FFFF-FFFF91280000}" name="接続9184" type="7" refreshedVersion="4"/>
  <connection id="12821" xr16:uid="{00000000-0015-0000-FFFF-FFFF92280000}" name="接続9185" type="7" refreshedVersion="4"/>
  <connection id="12822" xr16:uid="{00000000-0015-0000-FFFF-FFFF93280000}" name="接続9186" type="7" refreshedVersion="4"/>
  <connection id="12823" xr16:uid="{00000000-0015-0000-FFFF-FFFF94280000}" name="接続9187" type="7" refreshedVersion="4"/>
  <connection id="12824" xr16:uid="{00000000-0015-0000-FFFF-FFFF95280000}" name="接続9188" type="7" refreshedVersion="4"/>
  <connection id="12825" xr16:uid="{00000000-0015-0000-FFFF-FFFF96280000}" name="接続9189" type="7" refreshedVersion="4"/>
  <connection id="12826" xr16:uid="{00000000-0015-0000-FFFF-FFFF97280000}" name="接続919" type="7" refreshedVersion="4"/>
  <connection id="12827" xr16:uid="{00000000-0015-0000-FFFF-FFFF98280000}" name="接続9190" type="7" refreshedVersion="4"/>
  <connection id="12828" xr16:uid="{00000000-0015-0000-FFFF-FFFF99280000}" name="接続9191" type="7" refreshedVersion="4"/>
  <connection id="12829" xr16:uid="{00000000-0015-0000-FFFF-FFFF9A280000}" name="接続9192" type="7" refreshedVersion="4"/>
  <connection id="12830" xr16:uid="{00000000-0015-0000-FFFF-FFFF9B280000}" name="接続9193" type="7" refreshedVersion="4"/>
  <connection id="12831" xr16:uid="{00000000-0015-0000-FFFF-FFFF9C280000}" name="接続9194" type="7" refreshedVersion="4"/>
  <connection id="12832" xr16:uid="{00000000-0015-0000-FFFF-FFFF9D280000}" name="接続9195" type="7" refreshedVersion="4"/>
  <connection id="12833" xr16:uid="{00000000-0015-0000-FFFF-FFFF9E280000}" name="接続9196" type="7" refreshedVersion="4"/>
  <connection id="12834" xr16:uid="{00000000-0015-0000-FFFF-FFFF9F280000}" name="接続9197" type="7" refreshedVersion="4"/>
  <connection id="12835" xr16:uid="{00000000-0015-0000-FFFF-FFFFA0280000}" name="接続9198" type="7" refreshedVersion="4"/>
  <connection id="12836" xr16:uid="{00000000-0015-0000-FFFF-FFFFA1280000}" name="接続9199" type="7" refreshedVersion="4"/>
  <connection id="12837" xr16:uid="{00000000-0015-0000-FFFF-FFFFA2280000}" name="接続92" type="7" refreshedVersion="4"/>
  <connection id="12838" xr16:uid="{00000000-0015-0000-FFFF-FFFFA3280000}" name="接続920" type="7" refreshedVersion="4"/>
  <connection id="12839" xr16:uid="{00000000-0015-0000-FFFF-FFFFA4280000}" name="接続9200" type="7" refreshedVersion="4"/>
  <connection id="12840" xr16:uid="{00000000-0015-0000-FFFF-FFFFA5280000}" name="接続9201" type="7" refreshedVersion="4"/>
  <connection id="12841" xr16:uid="{00000000-0015-0000-FFFF-FFFFA6280000}" name="接続9202" type="7" refreshedVersion="4"/>
  <connection id="12842" xr16:uid="{00000000-0015-0000-FFFF-FFFFA7280000}" name="接続9203" type="7" refreshedVersion="4"/>
  <connection id="12843" xr16:uid="{00000000-0015-0000-FFFF-FFFFA8280000}" name="接続9204" type="7" refreshedVersion="4"/>
  <connection id="12844" xr16:uid="{00000000-0015-0000-FFFF-FFFFA9280000}" name="接続9205" type="7" refreshedVersion="4"/>
  <connection id="12845" xr16:uid="{00000000-0015-0000-FFFF-FFFFAA280000}" name="接続9206" type="7" refreshedVersion="4"/>
  <connection id="12846" xr16:uid="{00000000-0015-0000-FFFF-FFFFAB280000}" name="接続9207" type="7" refreshedVersion="4"/>
  <connection id="12847" xr16:uid="{00000000-0015-0000-FFFF-FFFFAC280000}" name="接続9208" type="7" refreshedVersion="4"/>
  <connection id="12848" xr16:uid="{00000000-0015-0000-FFFF-FFFFAD280000}" name="接続9209" type="7" refreshedVersion="4"/>
  <connection id="12849" xr16:uid="{00000000-0015-0000-FFFF-FFFFAE280000}" name="接続921" type="7" refreshedVersion="4"/>
  <connection id="12850" xr16:uid="{00000000-0015-0000-FFFF-FFFFAF280000}" name="接続9210" type="7" refreshedVersion="4"/>
  <connection id="12851" xr16:uid="{00000000-0015-0000-FFFF-FFFFB0280000}" name="接続9211" type="7" refreshedVersion="4"/>
  <connection id="12852" xr16:uid="{00000000-0015-0000-FFFF-FFFFB1280000}" name="接続9212" type="7" refreshedVersion="4"/>
  <connection id="12853" xr16:uid="{00000000-0015-0000-FFFF-FFFFB2280000}" name="接続9213" type="7" refreshedVersion="4"/>
  <connection id="12854" xr16:uid="{00000000-0015-0000-FFFF-FFFFB3280000}" name="接続9214" type="7" refreshedVersion="4"/>
  <connection id="12855" xr16:uid="{00000000-0015-0000-FFFF-FFFFB4280000}" name="接続9215" type="7" refreshedVersion="4"/>
  <connection id="12856" xr16:uid="{00000000-0015-0000-FFFF-FFFFB5280000}" name="接続9216" type="7" refreshedVersion="4"/>
  <connection id="12857" xr16:uid="{00000000-0015-0000-FFFF-FFFFB6280000}" name="接続9217" type="7" refreshedVersion="4"/>
  <connection id="12858" xr16:uid="{00000000-0015-0000-FFFF-FFFFB7280000}" name="接続9218" type="7" refreshedVersion="4"/>
  <connection id="12859" xr16:uid="{00000000-0015-0000-FFFF-FFFFB8280000}" name="接続9219" type="7" refreshedVersion="4"/>
  <connection id="12860" xr16:uid="{00000000-0015-0000-FFFF-FFFFB9280000}" name="接続922" type="7" refreshedVersion="4"/>
  <connection id="12861" xr16:uid="{00000000-0015-0000-FFFF-FFFFBA280000}" name="接続9220" type="7" refreshedVersion="4"/>
  <connection id="12862" xr16:uid="{00000000-0015-0000-FFFF-FFFFBB280000}" name="接続9221" type="7" refreshedVersion="4"/>
  <connection id="12863" xr16:uid="{00000000-0015-0000-FFFF-FFFFBC280000}" name="接続9222" type="7" refreshedVersion="4"/>
  <connection id="12864" xr16:uid="{00000000-0015-0000-FFFF-FFFFBD280000}" name="接続9223" type="7" refreshedVersion="4"/>
  <connection id="12865" xr16:uid="{00000000-0015-0000-FFFF-FFFFBE280000}" name="接続9224" type="7" refreshedVersion="4"/>
  <connection id="12866" xr16:uid="{00000000-0015-0000-FFFF-FFFFBF280000}" name="接続9225" type="7" refreshedVersion="4"/>
  <connection id="12867" xr16:uid="{00000000-0015-0000-FFFF-FFFFC0280000}" name="接続9226" type="7" refreshedVersion="4"/>
  <connection id="12868" xr16:uid="{00000000-0015-0000-FFFF-FFFFC1280000}" name="接続9227" type="7" refreshedVersion="4"/>
  <connection id="12869" xr16:uid="{00000000-0015-0000-FFFF-FFFFC2280000}" name="接続9228" type="7" refreshedVersion="4"/>
  <connection id="12870" xr16:uid="{00000000-0015-0000-FFFF-FFFFC3280000}" name="接続9229" type="7" refreshedVersion="4"/>
  <connection id="12871" xr16:uid="{00000000-0015-0000-FFFF-FFFFC4280000}" name="接続923" type="7" refreshedVersion="4"/>
  <connection id="12872" xr16:uid="{00000000-0015-0000-FFFF-FFFFC5280000}" name="接続9230" type="7" refreshedVersion="4"/>
  <connection id="12873" xr16:uid="{00000000-0015-0000-FFFF-FFFFC6280000}" name="接続9231" type="7" refreshedVersion="4"/>
  <connection id="12874" xr16:uid="{00000000-0015-0000-FFFF-FFFFC7280000}" name="接続9232" type="7" refreshedVersion="4"/>
  <connection id="12875" xr16:uid="{00000000-0015-0000-FFFF-FFFFC8280000}" name="接続9233" type="7" refreshedVersion="4"/>
  <connection id="12876" xr16:uid="{00000000-0015-0000-FFFF-FFFFC9280000}" name="接続9234" type="7" refreshedVersion="4"/>
  <connection id="12877" xr16:uid="{00000000-0015-0000-FFFF-FFFFCA280000}" name="接続9235" type="7" refreshedVersion="4"/>
  <connection id="12878" xr16:uid="{00000000-0015-0000-FFFF-FFFFCB280000}" name="接続9236" type="7" refreshedVersion="4"/>
  <connection id="12879" xr16:uid="{00000000-0015-0000-FFFF-FFFFCC280000}" name="接続9237" type="7" refreshedVersion="4"/>
  <connection id="12880" xr16:uid="{00000000-0015-0000-FFFF-FFFFCD280000}" name="接続9238" type="7" refreshedVersion="4"/>
  <connection id="12881" xr16:uid="{00000000-0015-0000-FFFF-FFFFCE280000}" name="接続9239" type="7" refreshedVersion="4"/>
  <connection id="12882" xr16:uid="{00000000-0015-0000-FFFF-FFFFCF280000}" name="接続924" type="7" refreshedVersion="4"/>
  <connection id="12883" xr16:uid="{00000000-0015-0000-FFFF-FFFFD0280000}" name="接続9240" type="7" refreshedVersion="4"/>
  <connection id="12884" xr16:uid="{00000000-0015-0000-FFFF-FFFFD1280000}" name="接続9241" type="7" refreshedVersion="4"/>
  <connection id="12885" xr16:uid="{00000000-0015-0000-FFFF-FFFFD2280000}" name="接続9242" type="7" refreshedVersion="4"/>
  <connection id="12886" xr16:uid="{00000000-0015-0000-FFFF-FFFFD3280000}" name="接続9243" type="7" refreshedVersion="4"/>
  <connection id="12887" xr16:uid="{00000000-0015-0000-FFFF-FFFFD4280000}" name="接続9244" type="7" refreshedVersion="4"/>
  <connection id="12888" xr16:uid="{00000000-0015-0000-FFFF-FFFFD5280000}" name="接続9245" type="7" refreshedVersion="4"/>
  <connection id="12889" xr16:uid="{00000000-0015-0000-FFFF-FFFFD6280000}" name="接続9246" type="7" refreshedVersion="4"/>
  <connection id="12890" xr16:uid="{00000000-0015-0000-FFFF-FFFFD7280000}" name="接続9247" type="7" refreshedVersion="4"/>
  <connection id="12891" xr16:uid="{00000000-0015-0000-FFFF-FFFFD8280000}" name="接続9248" type="7" refreshedVersion="4"/>
  <connection id="12892" xr16:uid="{00000000-0015-0000-FFFF-FFFFD9280000}" name="接続9249" type="7" refreshedVersion="4"/>
  <connection id="12893" xr16:uid="{00000000-0015-0000-FFFF-FFFFDA280000}" name="接続925" type="7" refreshedVersion="4"/>
  <connection id="12894" xr16:uid="{00000000-0015-0000-FFFF-FFFFDB280000}" name="接続9250" type="7" refreshedVersion="4"/>
  <connection id="12895" xr16:uid="{00000000-0015-0000-FFFF-FFFFDC280000}" name="接続9251" type="7" refreshedVersion="4"/>
  <connection id="12896" xr16:uid="{00000000-0015-0000-FFFF-FFFFDD280000}" name="接続9252" type="7" refreshedVersion="4"/>
  <connection id="12897" xr16:uid="{00000000-0015-0000-FFFF-FFFFDE280000}" name="接続9253" type="7" refreshedVersion="4"/>
  <connection id="12898" xr16:uid="{00000000-0015-0000-FFFF-FFFFDF280000}" name="接続9254" type="7" refreshedVersion="4"/>
  <connection id="12899" xr16:uid="{00000000-0015-0000-FFFF-FFFFE0280000}" name="接続9255" type="7" refreshedVersion="4"/>
  <connection id="12900" xr16:uid="{00000000-0015-0000-FFFF-FFFFE1280000}" name="接続9256" type="7" refreshedVersion="4"/>
  <connection id="12901" xr16:uid="{00000000-0015-0000-FFFF-FFFFE2280000}" name="接続9257" type="7" refreshedVersion="4"/>
  <connection id="12902" xr16:uid="{00000000-0015-0000-FFFF-FFFFE3280000}" name="接続9258" type="7" refreshedVersion="4"/>
  <connection id="12903" xr16:uid="{00000000-0015-0000-FFFF-FFFFE4280000}" name="接続9259" type="7" refreshedVersion="4"/>
  <connection id="12904" xr16:uid="{00000000-0015-0000-FFFF-FFFFE5280000}" name="接続926" type="7" refreshedVersion="4"/>
  <connection id="12905" xr16:uid="{00000000-0015-0000-FFFF-FFFFE6280000}" name="接続9260" type="7" refreshedVersion="4"/>
  <connection id="12906" xr16:uid="{00000000-0015-0000-FFFF-FFFFE7280000}" name="接続9261" type="7" refreshedVersion="4"/>
  <connection id="12907" xr16:uid="{00000000-0015-0000-FFFF-FFFFE8280000}" name="接続9262" type="7" refreshedVersion="4"/>
  <connection id="12908" xr16:uid="{00000000-0015-0000-FFFF-FFFFE9280000}" name="接続9263" type="7" refreshedVersion="4"/>
  <connection id="12909" xr16:uid="{00000000-0015-0000-FFFF-FFFFEA280000}" name="接続9264" type="7" refreshedVersion="4"/>
  <connection id="12910" xr16:uid="{00000000-0015-0000-FFFF-FFFFEB280000}" name="接続9265" type="7" refreshedVersion="4"/>
  <connection id="12911" xr16:uid="{00000000-0015-0000-FFFF-FFFFEC280000}" name="接続9266" type="7" refreshedVersion="4"/>
  <connection id="12912" xr16:uid="{00000000-0015-0000-FFFF-FFFFED280000}" name="接続9267" type="7" refreshedVersion="4"/>
  <connection id="12913" xr16:uid="{00000000-0015-0000-FFFF-FFFFEE280000}" name="接続9268" type="7" refreshedVersion="4"/>
  <connection id="12914" xr16:uid="{00000000-0015-0000-FFFF-FFFFEF280000}" name="接続9269" type="7" refreshedVersion="4"/>
  <connection id="12915" xr16:uid="{00000000-0015-0000-FFFF-FFFFF0280000}" name="接続927" type="7" refreshedVersion="4"/>
  <connection id="12916" xr16:uid="{00000000-0015-0000-FFFF-FFFFF1280000}" name="接続9270" type="7" refreshedVersion="4"/>
  <connection id="12917" xr16:uid="{00000000-0015-0000-FFFF-FFFFF2280000}" name="接続9271" type="7" refreshedVersion="4"/>
  <connection id="12918" xr16:uid="{00000000-0015-0000-FFFF-FFFFF3280000}" name="接続9272" type="7" refreshedVersion="4"/>
  <connection id="12919" xr16:uid="{00000000-0015-0000-FFFF-FFFFF4280000}" name="接続9273" type="7" refreshedVersion="4"/>
  <connection id="12920" xr16:uid="{00000000-0015-0000-FFFF-FFFFF5280000}" name="接続9274" type="7" refreshedVersion="4"/>
  <connection id="12921" xr16:uid="{00000000-0015-0000-FFFF-FFFFF6280000}" name="接続9275" type="7" refreshedVersion="4"/>
  <connection id="12922" xr16:uid="{00000000-0015-0000-FFFF-FFFFF7280000}" name="接続9276" type="7" refreshedVersion="4"/>
  <connection id="12923" xr16:uid="{00000000-0015-0000-FFFF-FFFFF8280000}" name="接続9277" type="7" refreshedVersion="4"/>
  <connection id="12924" xr16:uid="{00000000-0015-0000-FFFF-FFFFF9280000}" name="接続9278" type="7" refreshedVersion="4"/>
  <connection id="12925" xr16:uid="{00000000-0015-0000-FFFF-FFFFFA280000}" name="接続9279" type="7" refreshedVersion="4"/>
  <connection id="12926" xr16:uid="{00000000-0015-0000-FFFF-FFFFFB280000}" name="接続928" type="7" refreshedVersion="4"/>
  <connection id="12927" xr16:uid="{00000000-0015-0000-FFFF-FFFFFC280000}" name="接続9280" type="7" refreshedVersion="4"/>
  <connection id="12928" xr16:uid="{00000000-0015-0000-FFFF-FFFFFD280000}" name="接続9281" type="7" refreshedVersion="4"/>
  <connection id="12929" xr16:uid="{00000000-0015-0000-FFFF-FFFFFE280000}" name="接続9282" type="7" refreshedVersion="4"/>
  <connection id="12930" xr16:uid="{00000000-0015-0000-FFFF-FFFFFF280000}" name="接続9283" type="7" refreshedVersion="4"/>
  <connection id="12931" xr16:uid="{00000000-0015-0000-FFFF-FFFF00290000}" name="接続9284" type="7" refreshedVersion="4"/>
  <connection id="12932" xr16:uid="{00000000-0015-0000-FFFF-FFFF01290000}" name="接続9285" type="7" refreshedVersion="4"/>
  <connection id="12933" xr16:uid="{00000000-0015-0000-FFFF-FFFF02290000}" name="接続9286" type="7" refreshedVersion="4"/>
  <connection id="12934" xr16:uid="{00000000-0015-0000-FFFF-FFFF03290000}" name="接続9287" type="7" refreshedVersion="4"/>
  <connection id="12935" xr16:uid="{00000000-0015-0000-FFFF-FFFF04290000}" name="接続9288" type="7" refreshedVersion="4"/>
  <connection id="12936" xr16:uid="{00000000-0015-0000-FFFF-FFFF05290000}" name="接続9289" type="7" refreshedVersion="4"/>
  <connection id="12937" xr16:uid="{00000000-0015-0000-FFFF-FFFF06290000}" name="接続929" type="7" refreshedVersion="4"/>
  <connection id="12938" xr16:uid="{00000000-0015-0000-FFFF-FFFF07290000}" name="接続9290" type="7" refreshedVersion="4"/>
  <connection id="12939" xr16:uid="{00000000-0015-0000-FFFF-FFFF08290000}" name="接続9291" type="7" refreshedVersion="4"/>
  <connection id="12940" xr16:uid="{00000000-0015-0000-FFFF-FFFF09290000}" name="接続9292" type="7" refreshedVersion="4"/>
  <connection id="12941" xr16:uid="{00000000-0015-0000-FFFF-FFFF0A290000}" name="接続9293" type="7" refreshedVersion="4"/>
  <connection id="12942" xr16:uid="{00000000-0015-0000-FFFF-FFFF0B290000}" name="接続9294" type="7" refreshedVersion="4"/>
  <connection id="12943" xr16:uid="{00000000-0015-0000-FFFF-FFFF0C290000}" name="接続9295" type="7" refreshedVersion="4"/>
  <connection id="12944" xr16:uid="{00000000-0015-0000-FFFF-FFFF0D290000}" name="接続9296" type="7" refreshedVersion="4"/>
  <connection id="12945" xr16:uid="{00000000-0015-0000-FFFF-FFFF0E290000}" name="接続9297" type="7" refreshedVersion="4"/>
  <connection id="12946" xr16:uid="{00000000-0015-0000-FFFF-FFFF0F290000}" name="接続9298" type="7" refreshedVersion="4"/>
  <connection id="12947" xr16:uid="{00000000-0015-0000-FFFF-FFFF10290000}" name="接続9299" type="7" refreshedVersion="4"/>
  <connection id="12948" xr16:uid="{00000000-0015-0000-FFFF-FFFF11290000}" name="接続93" type="7" refreshedVersion="4"/>
  <connection id="12949" xr16:uid="{00000000-0015-0000-FFFF-FFFF12290000}" name="接続930" type="7" refreshedVersion="4"/>
  <connection id="12950" xr16:uid="{00000000-0015-0000-FFFF-FFFF13290000}" name="接続9300" type="7" refreshedVersion="4"/>
  <connection id="12951" xr16:uid="{00000000-0015-0000-FFFF-FFFF14290000}" name="接続9301" type="7" refreshedVersion="4"/>
  <connection id="12952" xr16:uid="{00000000-0015-0000-FFFF-FFFF15290000}" name="接続9302" type="7" refreshedVersion="4"/>
  <connection id="12953" xr16:uid="{00000000-0015-0000-FFFF-FFFF16290000}" name="接続9303" type="7" refreshedVersion="4"/>
  <connection id="12954" xr16:uid="{00000000-0015-0000-FFFF-FFFF17290000}" name="接続9304" type="7" refreshedVersion="4"/>
  <connection id="12955" xr16:uid="{00000000-0015-0000-FFFF-FFFF18290000}" name="接続9305" type="7" refreshedVersion="4"/>
  <connection id="12956" xr16:uid="{00000000-0015-0000-FFFF-FFFF19290000}" name="接続9306" type="7" refreshedVersion="4"/>
  <connection id="12957" xr16:uid="{00000000-0015-0000-FFFF-FFFF1A290000}" name="接続9307" type="7" refreshedVersion="4"/>
  <connection id="12958" xr16:uid="{00000000-0015-0000-FFFF-FFFF1B290000}" name="接続9308" type="7" refreshedVersion="4"/>
  <connection id="12959" xr16:uid="{00000000-0015-0000-FFFF-FFFF1C290000}" name="接続9309" type="7" refreshedVersion="4"/>
  <connection id="12960" xr16:uid="{00000000-0015-0000-FFFF-FFFF1D290000}" name="接続931" type="7" refreshedVersion="4"/>
  <connection id="12961" xr16:uid="{00000000-0015-0000-FFFF-FFFF1E290000}" name="接続9310" type="7" refreshedVersion="4"/>
  <connection id="12962" xr16:uid="{00000000-0015-0000-FFFF-FFFF1F290000}" name="接続9311" type="7" refreshedVersion="4"/>
  <connection id="12963" xr16:uid="{00000000-0015-0000-FFFF-FFFF20290000}" name="接続9312" type="7" refreshedVersion="4"/>
  <connection id="12964" xr16:uid="{00000000-0015-0000-FFFF-FFFF21290000}" name="接続9313" type="7" refreshedVersion="4"/>
  <connection id="12965" xr16:uid="{00000000-0015-0000-FFFF-FFFF22290000}" name="接続9314" type="7" refreshedVersion="4"/>
  <connection id="12966" xr16:uid="{00000000-0015-0000-FFFF-FFFF23290000}" name="接続9315" type="7" refreshedVersion="4"/>
  <connection id="12967" xr16:uid="{00000000-0015-0000-FFFF-FFFF24290000}" name="接続9316" type="7" refreshedVersion="4"/>
  <connection id="12968" xr16:uid="{00000000-0015-0000-FFFF-FFFF25290000}" name="接続9317" type="7" refreshedVersion="4"/>
  <connection id="12969" xr16:uid="{00000000-0015-0000-FFFF-FFFF26290000}" name="接続9318" type="7" refreshedVersion="4"/>
  <connection id="12970" xr16:uid="{00000000-0015-0000-FFFF-FFFF27290000}" name="接続9319" type="7" refreshedVersion="4"/>
  <connection id="12971" xr16:uid="{00000000-0015-0000-FFFF-FFFF28290000}" name="接続932" type="7" refreshedVersion="4"/>
  <connection id="12972" xr16:uid="{00000000-0015-0000-FFFF-FFFF29290000}" name="接続9320" type="7" refreshedVersion="4"/>
  <connection id="12973" xr16:uid="{00000000-0015-0000-FFFF-FFFF2A290000}" name="接続9321" type="7" refreshedVersion="4"/>
  <connection id="12974" xr16:uid="{00000000-0015-0000-FFFF-FFFF2B290000}" name="接続9322" type="7" refreshedVersion="4"/>
  <connection id="12975" xr16:uid="{00000000-0015-0000-FFFF-FFFF2C290000}" name="接続9323" type="7" refreshedVersion="4"/>
  <connection id="12976" xr16:uid="{00000000-0015-0000-FFFF-FFFF2D290000}" name="接続9324" type="7" refreshedVersion="4"/>
  <connection id="12977" xr16:uid="{00000000-0015-0000-FFFF-FFFF2E290000}" name="接続9325" type="7" refreshedVersion="4"/>
  <connection id="12978" xr16:uid="{00000000-0015-0000-FFFF-FFFF2F290000}" name="接続9326" type="7" refreshedVersion="4"/>
  <connection id="12979" xr16:uid="{00000000-0015-0000-FFFF-FFFF30290000}" name="接続9327" type="7" refreshedVersion="4"/>
  <connection id="12980" xr16:uid="{00000000-0015-0000-FFFF-FFFF31290000}" name="接続9328" type="7" refreshedVersion="4"/>
  <connection id="12981" xr16:uid="{00000000-0015-0000-FFFF-FFFF32290000}" name="接続9329" type="7" refreshedVersion="4"/>
  <connection id="12982" xr16:uid="{00000000-0015-0000-FFFF-FFFF33290000}" name="接続933" type="7" refreshedVersion="4"/>
  <connection id="12983" xr16:uid="{00000000-0015-0000-FFFF-FFFF34290000}" name="接続9330" type="7" refreshedVersion="4"/>
  <connection id="12984" xr16:uid="{00000000-0015-0000-FFFF-FFFF35290000}" name="接続9331" type="7" refreshedVersion="4"/>
  <connection id="12985" xr16:uid="{00000000-0015-0000-FFFF-FFFF36290000}" name="接続9332" type="7" refreshedVersion="4"/>
  <connection id="12986" xr16:uid="{00000000-0015-0000-FFFF-FFFF37290000}" name="接続9333" type="7" refreshedVersion="4"/>
  <connection id="12987" xr16:uid="{00000000-0015-0000-FFFF-FFFF38290000}" name="接続9334" type="7" refreshedVersion="4"/>
  <connection id="12988" xr16:uid="{00000000-0015-0000-FFFF-FFFF39290000}" name="接続9335" type="7" refreshedVersion="4"/>
  <connection id="12989" xr16:uid="{00000000-0015-0000-FFFF-FFFF3A290000}" name="接続9336" type="7" refreshedVersion="4"/>
  <connection id="12990" xr16:uid="{00000000-0015-0000-FFFF-FFFF3B290000}" name="接続9337" type="7" refreshedVersion="4"/>
  <connection id="12991" xr16:uid="{00000000-0015-0000-FFFF-FFFF3C290000}" name="接続9338" type="7" refreshedVersion="4"/>
  <connection id="12992" xr16:uid="{00000000-0015-0000-FFFF-FFFF3D290000}" name="接続9339" type="7" refreshedVersion="4"/>
  <connection id="12993" xr16:uid="{00000000-0015-0000-FFFF-FFFF3E290000}" name="接続934" type="7" refreshedVersion="4"/>
  <connection id="12994" xr16:uid="{00000000-0015-0000-FFFF-FFFF3F290000}" name="接続9340" type="7" refreshedVersion="4"/>
  <connection id="12995" xr16:uid="{00000000-0015-0000-FFFF-FFFF40290000}" name="接続9341" type="7" refreshedVersion="4"/>
  <connection id="12996" xr16:uid="{00000000-0015-0000-FFFF-FFFF41290000}" name="接続9342" type="7" refreshedVersion="4"/>
  <connection id="12997" xr16:uid="{00000000-0015-0000-FFFF-FFFF42290000}" name="接続9343" type="7" refreshedVersion="4"/>
  <connection id="12998" xr16:uid="{00000000-0015-0000-FFFF-FFFF43290000}" name="接続9344" type="7" refreshedVersion="4"/>
  <connection id="12999" xr16:uid="{00000000-0015-0000-FFFF-FFFF44290000}" name="接続9345" type="7" refreshedVersion="4"/>
  <connection id="13000" xr16:uid="{00000000-0015-0000-FFFF-FFFF45290000}" name="接続9346" type="7" refreshedVersion="4"/>
  <connection id="13001" xr16:uid="{00000000-0015-0000-FFFF-FFFF46290000}" name="接続9347" type="7" refreshedVersion="4"/>
  <connection id="13002" xr16:uid="{00000000-0015-0000-FFFF-FFFF47290000}" name="接続9348" type="7" refreshedVersion="4"/>
  <connection id="13003" xr16:uid="{00000000-0015-0000-FFFF-FFFF48290000}" name="接続9349" type="7" refreshedVersion="4"/>
  <connection id="13004" xr16:uid="{00000000-0015-0000-FFFF-FFFF49290000}" name="接続935" type="7" refreshedVersion="4"/>
  <connection id="13005" xr16:uid="{00000000-0015-0000-FFFF-FFFF4A290000}" name="接続9350" type="7" refreshedVersion="4"/>
  <connection id="13006" xr16:uid="{00000000-0015-0000-FFFF-FFFF4B290000}" name="接続9351" type="7" refreshedVersion="4"/>
  <connection id="13007" xr16:uid="{00000000-0015-0000-FFFF-FFFF4C290000}" name="接続9352" type="7" refreshedVersion="4"/>
  <connection id="13008" xr16:uid="{00000000-0015-0000-FFFF-FFFF4D290000}" name="接続9353" type="7" refreshedVersion="4"/>
  <connection id="13009" xr16:uid="{00000000-0015-0000-FFFF-FFFF4E290000}" name="接続9354" type="7" refreshedVersion="4"/>
  <connection id="13010" xr16:uid="{00000000-0015-0000-FFFF-FFFF4F290000}" name="接続9355" type="7" refreshedVersion="4"/>
  <connection id="13011" xr16:uid="{00000000-0015-0000-FFFF-FFFF50290000}" name="接続9356" type="7" refreshedVersion="4"/>
  <connection id="13012" xr16:uid="{00000000-0015-0000-FFFF-FFFF51290000}" name="接続9357" type="7" refreshedVersion="4"/>
  <connection id="13013" xr16:uid="{00000000-0015-0000-FFFF-FFFF52290000}" name="接続9358" type="7" refreshedVersion="4"/>
  <connection id="13014" xr16:uid="{00000000-0015-0000-FFFF-FFFF53290000}" name="接続9359" type="7" refreshedVersion="4"/>
  <connection id="13015" xr16:uid="{00000000-0015-0000-FFFF-FFFF54290000}" name="接続936" type="7" refreshedVersion="4"/>
  <connection id="13016" xr16:uid="{00000000-0015-0000-FFFF-FFFF55290000}" name="接続9360" type="7" refreshedVersion="4"/>
  <connection id="13017" xr16:uid="{00000000-0015-0000-FFFF-FFFF56290000}" name="接続9361" type="7" refreshedVersion="4"/>
  <connection id="13018" xr16:uid="{00000000-0015-0000-FFFF-FFFF57290000}" name="接続9362" type="7" refreshedVersion="4"/>
  <connection id="13019" xr16:uid="{00000000-0015-0000-FFFF-FFFF58290000}" name="接続9363" type="7" refreshedVersion="4"/>
  <connection id="13020" xr16:uid="{00000000-0015-0000-FFFF-FFFF59290000}" name="接続9364" type="7" refreshedVersion="4"/>
  <connection id="13021" xr16:uid="{00000000-0015-0000-FFFF-FFFF5A290000}" name="接続9365" type="7" refreshedVersion="4"/>
  <connection id="13022" xr16:uid="{00000000-0015-0000-FFFF-FFFF5B290000}" name="接続9366" type="7" refreshedVersion="4"/>
  <connection id="13023" xr16:uid="{00000000-0015-0000-FFFF-FFFF5C290000}" name="接続9367" type="7" refreshedVersion="4"/>
  <connection id="13024" xr16:uid="{00000000-0015-0000-FFFF-FFFF5D290000}" name="接続9368" type="7" refreshedVersion="4"/>
  <connection id="13025" xr16:uid="{00000000-0015-0000-FFFF-FFFF5E290000}" name="接続9369" type="7" refreshedVersion="4"/>
  <connection id="13026" xr16:uid="{00000000-0015-0000-FFFF-FFFF5F290000}" name="接続937" type="7" refreshedVersion="4"/>
  <connection id="13027" xr16:uid="{00000000-0015-0000-FFFF-FFFF60290000}" name="接続9370" type="7" refreshedVersion="4"/>
  <connection id="13028" xr16:uid="{00000000-0015-0000-FFFF-FFFF61290000}" name="接続9371" type="7" refreshedVersion="4"/>
  <connection id="13029" xr16:uid="{00000000-0015-0000-FFFF-FFFF62290000}" name="接続9372" type="7" refreshedVersion="4"/>
  <connection id="13030" xr16:uid="{00000000-0015-0000-FFFF-FFFF63290000}" name="接続9373" type="7" refreshedVersion="4"/>
  <connection id="13031" xr16:uid="{00000000-0015-0000-FFFF-FFFF64290000}" name="接続9374" type="7" refreshedVersion="4"/>
  <connection id="13032" xr16:uid="{00000000-0015-0000-FFFF-FFFF65290000}" name="接続9375" type="7" refreshedVersion="4"/>
  <connection id="13033" xr16:uid="{00000000-0015-0000-FFFF-FFFF66290000}" name="接続9376" type="7" refreshedVersion="4"/>
  <connection id="13034" xr16:uid="{00000000-0015-0000-FFFF-FFFF67290000}" name="接続9377" type="7" refreshedVersion="4"/>
  <connection id="13035" xr16:uid="{00000000-0015-0000-FFFF-FFFF68290000}" name="接続9378" type="7" refreshedVersion="4"/>
  <connection id="13036" xr16:uid="{00000000-0015-0000-FFFF-FFFF69290000}" name="接続9379" type="7" refreshedVersion="4"/>
  <connection id="13037" xr16:uid="{00000000-0015-0000-FFFF-FFFF6A290000}" name="接続938" type="7" refreshedVersion="4"/>
  <connection id="13038" xr16:uid="{00000000-0015-0000-FFFF-FFFF6B290000}" name="接続9380" type="7" refreshedVersion="4"/>
  <connection id="13039" xr16:uid="{00000000-0015-0000-FFFF-FFFF6C290000}" name="接続9381" type="7" refreshedVersion="4"/>
  <connection id="13040" xr16:uid="{00000000-0015-0000-FFFF-FFFF6D290000}" name="接続9382" type="7" refreshedVersion="4"/>
  <connection id="13041" xr16:uid="{00000000-0015-0000-FFFF-FFFF6E290000}" name="接続9383" type="7" refreshedVersion="4"/>
  <connection id="13042" xr16:uid="{00000000-0015-0000-FFFF-FFFF6F290000}" name="接続9384" type="7" refreshedVersion="4"/>
  <connection id="13043" xr16:uid="{00000000-0015-0000-FFFF-FFFF70290000}" name="接続9385" type="7" refreshedVersion="4"/>
  <connection id="13044" xr16:uid="{00000000-0015-0000-FFFF-FFFF71290000}" name="接続9386" type="7" refreshedVersion="4"/>
  <connection id="13045" xr16:uid="{00000000-0015-0000-FFFF-FFFF72290000}" name="接続9387" type="7" refreshedVersion="4"/>
  <connection id="13046" xr16:uid="{00000000-0015-0000-FFFF-FFFF73290000}" name="接続9388" type="7" refreshedVersion="4"/>
  <connection id="13047" xr16:uid="{00000000-0015-0000-FFFF-FFFF74290000}" name="接続9389" type="7" refreshedVersion="4"/>
  <connection id="13048" xr16:uid="{00000000-0015-0000-FFFF-FFFF75290000}" name="接続939" type="7" refreshedVersion="4"/>
  <connection id="13049" xr16:uid="{00000000-0015-0000-FFFF-FFFF76290000}" name="接続9390" type="7" refreshedVersion="4"/>
  <connection id="13050" xr16:uid="{00000000-0015-0000-FFFF-FFFF77290000}" name="接続9391" type="7" refreshedVersion="4"/>
  <connection id="13051" xr16:uid="{00000000-0015-0000-FFFF-FFFF78290000}" name="接続9392" type="7" refreshedVersion="4"/>
  <connection id="13052" xr16:uid="{00000000-0015-0000-FFFF-FFFF79290000}" name="接続9393" type="7" refreshedVersion="4"/>
  <connection id="13053" xr16:uid="{00000000-0015-0000-FFFF-FFFF7A290000}" name="接続9394" type="7" refreshedVersion="4"/>
  <connection id="13054" xr16:uid="{00000000-0015-0000-FFFF-FFFF7B290000}" name="接続9395" type="7" refreshedVersion="4"/>
  <connection id="13055" xr16:uid="{00000000-0015-0000-FFFF-FFFF7C290000}" name="接続9396" type="7" refreshedVersion="4"/>
  <connection id="13056" xr16:uid="{00000000-0015-0000-FFFF-FFFF7D290000}" name="接続9397" type="7" refreshedVersion="4"/>
  <connection id="13057" xr16:uid="{00000000-0015-0000-FFFF-FFFF7E290000}" name="接続9398" type="7" refreshedVersion="4"/>
  <connection id="13058" xr16:uid="{00000000-0015-0000-FFFF-FFFF7F290000}" name="接続9399" type="7" refreshedVersion="4"/>
  <connection id="13059" xr16:uid="{00000000-0015-0000-FFFF-FFFF80290000}" name="接続94" type="7" refreshedVersion="4"/>
  <connection id="13060" xr16:uid="{00000000-0015-0000-FFFF-FFFF81290000}" name="接続940" type="7" refreshedVersion="4"/>
  <connection id="13061" xr16:uid="{00000000-0015-0000-FFFF-FFFF82290000}" name="接続9400" type="7" refreshedVersion="4"/>
  <connection id="13062" xr16:uid="{00000000-0015-0000-FFFF-FFFF83290000}" name="接続9401" type="7" refreshedVersion="4"/>
  <connection id="13063" xr16:uid="{00000000-0015-0000-FFFF-FFFF84290000}" name="接続9402" type="7" refreshedVersion="4"/>
  <connection id="13064" xr16:uid="{00000000-0015-0000-FFFF-FFFF85290000}" name="接続9403" type="7" refreshedVersion="4"/>
  <connection id="13065" xr16:uid="{00000000-0015-0000-FFFF-FFFF86290000}" name="接続9404" type="7" refreshedVersion="4"/>
  <connection id="13066" xr16:uid="{00000000-0015-0000-FFFF-FFFF87290000}" name="接続9405" type="7" refreshedVersion="4"/>
  <connection id="13067" xr16:uid="{00000000-0015-0000-FFFF-FFFF88290000}" name="接続9406" type="7" refreshedVersion="4"/>
  <connection id="13068" xr16:uid="{00000000-0015-0000-FFFF-FFFF89290000}" name="接続9407" type="7" refreshedVersion="4"/>
  <connection id="13069" xr16:uid="{00000000-0015-0000-FFFF-FFFF8A290000}" name="接続9408" type="7" refreshedVersion="4"/>
  <connection id="13070" xr16:uid="{00000000-0015-0000-FFFF-FFFF8B290000}" name="接続9409" type="7" refreshedVersion="4"/>
  <connection id="13071" xr16:uid="{00000000-0015-0000-FFFF-FFFF8C290000}" name="接続941" type="7" refreshedVersion="4"/>
  <connection id="13072" xr16:uid="{00000000-0015-0000-FFFF-FFFF8D290000}" name="接続9410" type="7" refreshedVersion="4"/>
  <connection id="13073" xr16:uid="{00000000-0015-0000-FFFF-FFFF8E290000}" name="接続9411" type="7" refreshedVersion="4"/>
  <connection id="13074" xr16:uid="{00000000-0015-0000-FFFF-FFFF8F290000}" name="接続9412" type="7" refreshedVersion="4"/>
  <connection id="13075" xr16:uid="{00000000-0015-0000-FFFF-FFFF90290000}" name="接続9413" type="7" refreshedVersion="4"/>
  <connection id="13076" xr16:uid="{00000000-0015-0000-FFFF-FFFF91290000}" name="接続9414" type="7" refreshedVersion="4"/>
  <connection id="13077" xr16:uid="{00000000-0015-0000-FFFF-FFFF92290000}" name="接続9415" type="7" refreshedVersion="4"/>
  <connection id="13078" xr16:uid="{00000000-0015-0000-FFFF-FFFF93290000}" name="接続9416" type="7" refreshedVersion="4"/>
  <connection id="13079" xr16:uid="{00000000-0015-0000-FFFF-FFFF94290000}" name="接続9417" type="7" refreshedVersion="4"/>
  <connection id="13080" xr16:uid="{00000000-0015-0000-FFFF-FFFF95290000}" name="接続9418" type="7" refreshedVersion="4"/>
  <connection id="13081" xr16:uid="{00000000-0015-0000-FFFF-FFFF96290000}" name="接続9419" type="7" refreshedVersion="4"/>
  <connection id="13082" xr16:uid="{00000000-0015-0000-FFFF-FFFF97290000}" name="接続942" type="7" refreshedVersion="4"/>
  <connection id="13083" xr16:uid="{00000000-0015-0000-FFFF-FFFF98290000}" name="接続9420" type="7" refreshedVersion="4"/>
  <connection id="13084" xr16:uid="{00000000-0015-0000-FFFF-FFFF99290000}" name="接続9421" type="7" refreshedVersion="4"/>
  <connection id="13085" xr16:uid="{00000000-0015-0000-FFFF-FFFF9A290000}" name="接続9422" type="7" refreshedVersion="4"/>
  <connection id="13086" xr16:uid="{00000000-0015-0000-FFFF-FFFF9B290000}" name="接続9423" type="7" refreshedVersion="4"/>
  <connection id="13087" xr16:uid="{00000000-0015-0000-FFFF-FFFF9C290000}" name="接続9424" type="7" refreshedVersion="4"/>
  <connection id="13088" xr16:uid="{00000000-0015-0000-FFFF-FFFF9D290000}" name="接続9425" type="7" refreshedVersion="4"/>
  <connection id="13089" xr16:uid="{00000000-0015-0000-FFFF-FFFF9E290000}" name="接続9426" type="7" refreshedVersion="4"/>
  <connection id="13090" xr16:uid="{00000000-0015-0000-FFFF-FFFF9F290000}" name="接続9427" type="7" refreshedVersion="4"/>
  <connection id="13091" xr16:uid="{00000000-0015-0000-FFFF-FFFFA0290000}" name="接続9428" type="7" refreshedVersion="4"/>
  <connection id="13092" xr16:uid="{00000000-0015-0000-FFFF-FFFFA1290000}" name="接続9429" type="7" refreshedVersion="4"/>
  <connection id="13093" xr16:uid="{00000000-0015-0000-FFFF-FFFFA2290000}" name="接続943" type="7" refreshedVersion="4"/>
  <connection id="13094" xr16:uid="{00000000-0015-0000-FFFF-FFFFA3290000}" name="接続9430" type="7" refreshedVersion="4"/>
  <connection id="13095" xr16:uid="{00000000-0015-0000-FFFF-FFFFA4290000}" name="接続9431" type="7" refreshedVersion="4"/>
  <connection id="13096" xr16:uid="{00000000-0015-0000-FFFF-FFFFA5290000}" name="接続9432" type="7" refreshedVersion="4"/>
  <connection id="13097" xr16:uid="{00000000-0015-0000-FFFF-FFFFA6290000}" name="接続9433" type="7" refreshedVersion="4"/>
  <connection id="13098" xr16:uid="{00000000-0015-0000-FFFF-FFFFA7290000}" name="接続9434" type="7" refreshedVersion="4"/>
  <connection id="13099" xr16:uid="{00000000-0015-0000-FFFF-FFFFA8290000}" name="接続9435" type="7" refreshedVersion="4"/>
  <connection id="13100" xr16:uid="{00000000-0015-0000-FFFF-FFFFA9290000}" name="接続9436" type="7" refreshedVersion="4"/>
  <connection id="13101" xr16:uid="{00000000-0015-0000-FFFF-FFFFAA290000}" name="接続9437" type="7" refreshedVersion="4"/>
  <connection id="13102" xr16:uid="{00000000-0015-0000-FFFF-FFFFAB290000}" name="接続9438" type="7" refreshedVersion="4"/>
  <connection id="13103" xr16:uid="{00000000-0015-0000-FFFF-FFFFAC290000}" name="接続9439" type="7" refreshedVersion="4"/>
  <connection id="13104" xr16:uid="{00000000-0015-0000-FFFF-FFFFAD290000}" name="接続944" type="7" refreshedVersion="4"/>
  <connection id="13105" xr16:uid="{00000000-0015-0000-FFFF-FFFFAE290000}" name="接続9440" type="7" refreshedVersion="4"/>
  <connection id="13106" xr16:uid="{00000000-0015-0000-FFFF-FFFFAF290000}" name="接続9441" type="7" refreshedVersion="4"/>
  <connection id="13107" xr16:uid="{00000000-0015-0000-FFFF-FFFFB0290000}" name="接続9442" type="7" refreshedVersion="4"/>
  <connection id="13108" xr16:uid="{00000000-0015-0000-FFFF-FFFFB1290000}" name="接続9443" type="7" refreshedVersion="4"/>
  <connection id="13109" xr16:uid="{00000000-0015-0000-FFFF-FFFFB2290000}" name="接続9444" type="7" refreshedVersion="4"/>
  <connection id="13110" xr16:uid="{00000000-0015-0000-FFFF-FFFFB3290000}" name="接続9445" type="7" refreshedVersion="4"/>
  <connection id="13111" xr16:uid="{00000000-0015-0000-FFFF-FFFFB4290000}" name="接続9446" type="7" refreshedVersion="4"/>
  <connection id="13112" xr16:uid="{00000000-0015-0000-FFFF-FFFFB5290000}" name="接続9447" type="7" refreshedVersion="4"/>
  <connection id="13113" xr16:uid="{00000000-0015-0000-FFFF-FFFFB6290000}" name="接続9448" type="7" refreshedVersion="4"/>
  <connection id="13114" xr16:uid="{00000000-0015-0000-FFFF-FFFFB7290000}" name="接続9449" type="7" refreshedVersion="4"/>
  <connection id="13115" xr16:uid="{00000000-0015-0000-FFFF-FFFFB8290000}" name="接続945" type="7" refreshedVersion="4"/>
  <connection id="13116" xr16:uid="{00000000-0015-0000-FFFF-FFFFB9290000}" name="接続9450" type="7" refreshedVersion="4"/>
  <connection id="13117" xr16:uid="{00000000-0015-0000-FFFF-FFFFBA290000}" name="接続9451" type="7" refreshedVersion="4"/>
  <connection id="13118" xr16:uid="{00000000-0015-0000-FFFF-FFFFBB290000}" name="接続9452" type="7" refreshedVersion="4"/>
  <connection id="13119" xr16:uid="{00000000-0015-0000-FFFF-FFFFBC290000}" name="接続9453" type="7" refreshedVersion="4"/>
  <connection id="13120" xr16:uid="{00000000-0015-0000-FFFF-FFFFBD290000}" name="接続9454" type="7" refreshedVersion="4"/>
  <connection id="13121" xr16:uid="{00000000-0015-0000-FFFF-FFFFBE290000}" name="接続9455" type="7" refreshedVersion="4"/>
  <connection id="13122" xr16:uid="{00000000-0015-0000-FFFF-FFFFBF290000}" name="接続9456" type="7" refreshedVersion="4"/>
  <connection id="13123" xr16:uid="{00000000-0015-0000-FFFF-FFFFC0290000}" name="接続9457" type="7" refreshedVersion="4"/>
  <connection id="13124" xr16:uid="{00000000-0015-0000-FFFF-FFFFC1290000}" name="接続9458" type="7" refreshedVersion="4"/>
  <connection id="13125" xr16:uid="{00000000-0015-0000-FFFF-FFFFC2290000}" name="接続9459" type="7" refreshedVersion="4"/>
  <connection id="13126" xr16:uid="{00000000-0015-0000-FFFF-FFFFC3290000}" name="接続946" type="7" refreshedVersion="4"/>
  <connection id="13127" xr16:uid="{00000000-0015-0000-FFFF-FFFFC4290000}" name="接続9460" type="7" refreshedVersion="4"/>
  <connection id="13128" xr16:uid="{00000000-0015-0000-FFFF-FFFFC5290000}" name="接続9461" type="7" refreshedVersion="4"/>
  <connection id="13129" xr16:uid="{00000000-0015-0000-FFFF-FFFFC6290000}" name="接続9462" type="7" refreshedVersion="4"/>
  <connection id="13130" xr16:uid="{00000000-0015-0000-FFFF-FFFFC7290000}" name="接続9463" type="7" refreshedVersion="4"/>
  <connection id="13131" xr16:uid="{00000000-0015-0000-FFFF-FFFFC8290000}" name="接続9464" type="7" refreshedVersion="4"/>
  <connection id="13132" xr16:uid="{00000000-0015-0000-FFFF-FFFFC9290000}" name="接続9465" type="7" refreshedVersion="4"/>
  <connection id="13133" xr16:uid="{00000000-0015-0000-FFFF-FFFFCA290000}" name="接続9466" type="7" refreshedVersion="4"/>
  <connection id="13134" xr16:uid="{00000000-0015-0000-FFFF-FFFFCB290000}" name="接続9467" type="7" refreshedVersion="4"/>
  <connection id="13135" xr16:uid="{00000000-0015-0000-FFFF-FFFFCC290000}" name="接続9468" type="7" refreshedVersion="4"/>
  <connection id="13136" xr16:uid="{00000000-0015-0000-FFFF-FFFFCD290000}" name="接続9469" type="7" refreshedVersion="4"/>
  <connection id="13137" xr16:uid="{00000000-0015-0000-FFFF-FFFFCE290000}" name="接続947" type="7" refreshedVersion="4"/>
  <connection id="13138" xr16:uid="{00000000-0015-0000-FFFF-FFFFCF290000}" name="接続9470" type="7" refreshedVersion="4"/>
  <connection id="13139" xr16:uid="{00000000-0015-0000-FFFF-FFFFD0290000}" name="接続9471" type="7" refreshedVersion="4"/>
  <connection id="13140" xr16:uid="{00000000-0015-0000-FFFF-FFFFD1290000}" name="接続9472" type="7" refreshedVersion="4"/>
  <connection id="13141" xr16:uid="{00000000-0015-0000-FFFF-FFFFD2290000}" name="接続9473" type="7" refreshedVersion="4"/>
  <connection id="13142" xr16:uid="{00000000-0015-0000-FFFF-FFFFD3290000}" name="接続9474" type="7" refreshedVersion="4"/>
  <connection id="13143" xr16:uid="{00000000-0015-0000-FFFF-FFFFD4290000}" name="接続9475" type="7" refreshedVersion="4"/>
  <connection id="13144" xr16:uid="{00000000-0015-0000-FFFF-FFFFD5290000}" name="接続9476" type="7" refreshedVersion="4"/>
  <connection id="13145" xr16:uid="{00000000-0015-0000-FFFF-FFFFD6290000}" name="接続9477" type="7" refreshedVersion="4"/>
  <connection id="13146" xr16:uid="{00000000-0015-0000-FFFF-FFFFD7290000}" name="接続9478" type="7" refreshedVersion="4"/>
  <connection id="13147" xr16:uid="{00000000-0015-0000-FFFF-FFFFD8290000}" name="接続9479" type="7" refreshedVersion="4"/>
  <connection id="13148" xr16:uid="{00000000-0015-0000-FFFF-FFFFD9290000}" name="接続948" type="7" refreshedVersion="4"/>
  <connection id="13149" xr16:uid="{00000000-0015-0000-FFFF-FFFFDA290000}" name="接続9480" type="7" refreshedVersion="4"/>
  <connection id="13150" xr16:uid="{00000000-0015-0000-FFFF-FFFFDB290000}" name="接続9481" type="7" refreshedVersion="4"/>
  <connection id="13151" xr16:uid="{00000000-0015-0000-FFFF-FFFFDC290000}" name="接続9482" type="7" refreshedVersion="4"/>
  <connection id="13152" xr16:uid="{00000000-0015-0000-FFFF-FFFFDD290000}" name="接続9483" type="7" refreshedVersion="4"/>
  <connection id="13153" xr16:uid="{00000000-0015-0000-FFFF-FFFFDE290000}" name="接続9484" type="7" refreshedVersion="4"/>
  <connection id="13154" xr16:uid="{00000000-0015-0000-FFFF-FFFFDF290000}" name="接続9485" type="7" refreshedVersion="4"/>
  <connection id="13155" xr16:uid="{00000000-0015-0000-FFFF-FFFFE0290000}" name="接続9486" type="7" refreshedVersion="4"/>
  <connection id="13156" xr16:uid="{00000000-0015-0000-FFFF-FFFFE1290000}" name="接続9487" type="7" refreshedVersion="4"/>
  <connection id="13157" xr16:uid="{00000000-0015-0000-FFFF-FFFFE2290000}" name="接続9488" type="7" refreshedVersion="4"/>
  <connection id="13158" xr16:uid="{00000000-0015-0000-FFFF-FFFFE3290000}" name="接続9489" type="7" refreshedVersion="4"/>
  <connection id="13159" xr16:uid="{00000000-0015-0000-FFFF-FFFFE4290000}" name="接続949" type="7" refreshedVersion="4"/>
  <connection id="13160" xr16:uid="{00000000-0015-0000-FFFF-FFFFE5290000}" name="接続9490" type="7" refreshedVersion="4"/>
  <connection id="13161" xr16:uid="{00000000-0015-0000-FFFF-FFFFE6290000}" name="接続9491" type="7" refreshedVersion="4"/>
  <connection id="13162" xr16:uid="{00000000-0015-0000-FFFF-FFFFE7290000}" name="接続9492" type="7" refreshedVersion="4"/>
  <connection id="13163" xr16:uid="{00000000-0015-0000-FFFF-FFFFE8290000}" name="接続9493" type="7" refreshedVersion="4"/>
  <connection id="13164" xr16:uid="{00000000-0015-0000-FFFF-FFFFE9290000}" name="接続9494" type="7" refreshedVersion="4"/>
  <connection id="13165" xr16:uid="{00000000-0015-0000-FFFF-FFFFEA290000}" name="接続9495" type="7" refreshedVersion="4"/>
  <connection id="13166" xr16:uid="{00000000-0015-0000-FFFF-FFFFEB290000}" name="接続9496" type="7" refreshedVersion="4"/>
  <connection id="13167" xr16:uid="{00000000-0015-0000-FFFF-FFFFEC290000}" name="接続9497" type="7" refreshedVersion="4"/>
  <connection id="13168" xr16:uid="{00000000-0015-0000-FFFF-FFFFED290000}" name="接続9498" type="7" refreshedVersion="4"/>
  <connection id="13169" xr16:uid="{00000000-0015-0000-FFFF-FFFFEE290000}" name="接続9499" type="7" refreshedVersion="4"/>
  <connection id="13170" xr16:uid="{00000000-0015-0000-FFFF-FFFFEF290000}" name="接続95" type="7" refreshedVersion="4"/>
  <connection id="13171" xr16:uid="{00000000-0015-0000-FFFF-FFFFF0290000}" name="接続950" type="7" refreshedVersion="4"/>
  <connection id="13172" xr16:uid="{00000000-0015-0000-FFFF-FFFFF1290000}" name="接続9500" type="7" refreshedVersion="4"/>
  <connection id="13173" xr16:uid="{00000000-0015-0000-FFFF-FFFFF2290000}" name="接続9501" type="7" refreshedVersion="4"/>
  <connection id="13174" xr16:uid="{00000000-0015-0000-FFFF-FFFFF3290000}" name="接続9502" type="7" refreshedVersion="4"/>
  <connection id="13175" xr16:uid="{00000000-0015-0000-FFFF-FFFFF4290000}" name="接続9503" type="7" refreshedVersion="4"/>
  <connection id="13176" xr16:uid="{00000000-0015-0000-FFFF-FFFFF5290000}" name="接続9504" type="7" refreshedVersion="4"/>
  <connection id="13177" xr16:uid="{00000000-0015-0000-FFFF-FFFFF6290000}" name="接続9505" type="7" refreshedVersion="4"/>
  <connection id="13178" xr16:uid="{00000000-0015-0000-FFFF-FFFFF7290000}" name="接続9506" type="7" refreshedVersion="4"/>
  <connection id="13179" xr16:uid="{00000000-0015-0000-FFFF-FFFFF8290000}" name="接続9507" type="7" refreshedVersion="4"/>
  <connection id="13180" xr16:uid="{00000000-0015-0000-FFFF-FFFFF9290000}" name="接続9508" type="7" refreshedVersion="4"/>
  <connection id="13181" xr16:uid="{00000000-0015-0000-FFFF-FFFFFA290000}" name="接続9509" type="7" refreshedVersion="4"/>
  <connection id="13182" xr16:uid="{00000000-0015-0000-FFFF-FFFFFB290000}" name="接続951" type="7" refreshedVersion="4"/>
  <connection id="13183" xr16:uid="{00000000-0015-0000-FFFF-FFFFFC290000}" name="接続9510" type="7" refreshedVersion="4"/>
  <connection id="13184" xr16:uid="{00000000-0015-0000-FFFF-FFFFFD290000}" name="接続9511" type="7" refreshedVersion="4"/>
  <connection id="13185" xr16:uid="{00000000-0015-0000-FFFF-FFFFFE290000}" name="接続9512" type="7" refreshedVersion="4"/>
  <connection id="13186" xr16:uid="{00000000-0015-0000-FFFF-FFFFFF290000}" name="接続9513" type="7" refreshedVersion="4"/>
  <connection id="13187" xr16:uid="{00000000-0015-0000-FFFF-FFFF002A0000}" name="接続9514" type="7" refreshedVersion="4"/>
  <connection id="13188" xr16:uid="{00000000-0015-0000-FFFF-FFFF012A0000}" name="接続9515" type="7" refreshedVersion="4"/>
  <connection id="13189" xr16:uid="{00000000-0015-0000-FFFF-FFFF022A0000}" name="接続9516" type="7" refreshedVersion="4"/>
  <connection id="13190" xr16:uid="{00000000-0015-0000-FFFF-FFFF032A0000}" name="接続9517" type="7" refreshedVersion="4"/>
  <connection id="13191" xr16:uid="{00000000-0015-0000-FFFF-FFFF042A0000}" name="接続9518" type="7" refreshedVersion="4"/>
  <connection id="13192" xr16:uid="{00000000-0015-0000-FFFF-FFFF052A0000}" name="接続9519" type="7" refreshedVersion="4"/>
  <connection id="13193" xr16:uid="{00000000-0015-0000-FFFF-FFFF062A0000}" name="接続952" type="7" refreshedVersion="4"/>
  <connection id="13194" xr16:uid="{00000000-0015-0000-FFFF-FFFF072A0000}" name="接続9520" type="7" refreshedVersion="4"/>
  <connection id="13195" xr16:uid="{00000000-0015-0000-FFFF-FFFF082A0000}" name="接続9521" type="7" refreshedVersion="4"/>
  <connection id="13196" xr16:uid="{00000000-0015-0000-FFFF-FFFF092A0000}" name="接続9522" type="7" refreshedVersion="4"/>
  <connection id="13197" xr16:uid="{00000000-0015-0000-FFFF-FFFF0A2A0000}" name="接続9523" type="7" refreshedVersion="4"/>
  <connection id="13198" xr16:uid="{00000000-0015-0000-FFFF-FFFF0B2A0000}" name="接続9524" type="7" refreshedVersion="4"/>
  <connection id="13199" xr16:uid="{00000000-0015-0000-FFFF-FFFF0C2A0000}" name="接続9525" type="7" refreshedVersion="4"/>
  <connection id="13200" xr16:uid="{00000000-0015-0000-FFFF-FFFF0D2A0000}" name="接続9526" type="7" refreshedVersion="4"/>
  <connection id="13201" xr16:uid="{00000000-0015-0000-FFFF-FFFF0E2A0000}" name="接続9527" type="7" refreshedVersion="4"/>
  <connection id="13202" xr16:uid="{00000000-0015-0000-FFFF-FFFF0F2A0000}" name="接続9528" type="7" refreshedVersion="4"/>
  <connection id="13203" xr16:uid="{00000000-0015-0000-FFFF-FFFF102A0000}" name="接続9529" type="7" refreshedVersion="4"/>
  <connection id="13204" xr16:uid="{00000000-0015-0000-FFFF-FFFF112A0000}" name="接続953" type="7" refreshedVersion="4"/>
  <connection id="13205" xr16:uid="{00000000-0015-0000-FFFF-FFFF122A0000}" name="接続9530" type="7" refreshedVersion="4"/>
  <connection id="13206" xr16:uid="{00000000-0015-0000-FFFF-FFFF132A0000}" name="接続9531" type="7" refreshedVersion="4"/>
  <connection id="13207" xr16:uid="{00000000-0015-0000-FFFF-FFFF142A0000}" name="接続9532" type="7" refreshedVersion="4"/>
  <connection id="13208" xr16:uid="{00000000-0015-0000-FFFF-FFFF152A0000}" name="接続9533" type="7" refreshedVersion="4"/>
  <connection id="13209" xr16:uid="{00000000-0015-0000-FFFF-FFFF162A0000}" name="接続9534" type="7" refreshedVersion="4"/>
  <connection id="13210" xr16:uid="{00000000-0015-0000-FFFF-FFFF172A0000}" name="接続9535" type="7" refreshedVersion="4"/>
  <connection id="13211" xr16:uid="{00000000-0015-0000-FFFF-FFFF182A0000}" name="接続9536" type="7" refreshedVersion="4"/>
  <connection id="13212" xr16:uid="{00000000-0015-0000-FFFF-FFFF192A0000}" name="接続9537" type="7" refreshedVersion="4"/>
  <connection id="13213" xr16:uid="{00000000-0015-0000-FFFF-FFFF1A2A0000}" name="接続9538" type="7" refreshedVersion="4"/>
  <connection id="13214" xr16:uid="{00000000-0015-0000-FFFF-FFFF1B2A0000}" name="接続9539" type="7" refreshedVersion="4"/>
  <connection id="13215" xr16:uid="{00000000-0015-0000-FFFF-FFFF1C2A0000}" name="接続954" type="7" refreshedVersion="4"/>
  <connection id="13216" xr16:uid="{00000000-0015-0000-FFFF-FFFF1D2A0000}" name="接続9540" type="7" refreshedVersion="4"/>
  <connection id="13217" xr16:uid="{00000000-0015-0000-FFFF-FFFF1E2A0000}" name="接続9541" type="7" refreshedVersion="4"/>
  <connection id="13218" xr16:uid="{00000000-0015-0000-FFFF-FFFF1F2A0000}" name="接続9542" type="7" refreshedVersion="4"/>
  <connection id="13219" xr16:uid="{00000000-0015-0000-FFFF-FFFF202A0000}" name="接続9543" type="7" refreshedVersion="4"/>
  <connection id="13220" xr16:uid="{00000000-0015-0000-FFFF-FFFF212A0000}" name="接続9544" type="7" refreshedVersion="4"/>
  <connection id="13221" xr16:uid="{00000000-0015-0000-FFFF-FFFF222A0000}" name="接続9545" type="7" refreshedVersion="4"/>
  <connection id="13222" xr16:uid="{00000000-0015-0000-FFFF-FFFF232A0000}" name="接続9546" type="7" refreshedVersion="4"/>
  <connection id="13223" xr16:uid="{00000000-0015-0000-FFFF-FFFF242A0000}" name="接続9547" type="7" refreshedVersion="4"/>
  <connection id="13224" xr16:uid="{00000000-0015-0000-FFFF-FFFF252A0000}" name="接続9548" type="7" refreshedVersion="4"/>
  <connection id="13225" xr16:uid="{00000000-0015-0000-FFFF-FFFF262A0000}" name="接続9549" type="7" refreshedVersion="4"/>
  <connection id="13226" xr16:uid="{00000000-0015-0000-FFFF-FFFF272A0000}" name="接続955" type="7" refreshedVersion="4"/>
  <connection id="13227" xr16:uid="{00000000-0015-0000-FFFF-FFFF282A0000}" name="接続9550" type="7" refreshedVersion="4"/>
  <connection id="13228" xr16:uid="{00000000-0015-0000-FFFF-FFFF292A0000}" name="接続9551" type="7" refreshedVersion="4"/>
  <connection id="13229" xr16:uid="{00000000-0015-0000-FFFF-FFFF2A2A0000}" name="接続9552" type="7" refreshedVersion="4"/>
  <connection id="13230" xr16:uid="{00000000-0015-0000-FFFF-FFFF2B2A0000}" name="接続9553" type="7" refreshedVersion="4"/>
  <connection id="13231" xr16:uid="{00000000-0015-0000-FFFF-FFFF2C2A0000}" name="接続9554" type="7" refreshedVersion="4"/>
  <connection id="13232" xr16:uid="{00000000-0015-0000-FFFF-FFFF2D2A0000}" name="接続9555" type="7" refreshedVersion="4"/>
  <connection id="13233" xr16:uid="{00000000-0015-0000-FFFF-FFFF2E2A0000}" name="接続9556" type="7" refreshedVersion="4"/>
  <connection id="13234" xr16:uid="{00000000-0015-0000-FFFF-FFFF2F2A0000}" name="接続9557" type="7" refreshedVersion="4"/>
  <connection id="13235" xr16:uid="{00000000-0015-0000-FFFF-FFFF302A0000}" name="接続9558" type="7" refreshedVersion="4"/>
  <connection id="13236" xr16:uid="{00000000-0015-0000-FFFF-FFFF312A0000}" name="接続9559" type="7" refreshedVersion="4"/>
  <connection id="13237" xr16:uid="{00000000-0015-0000-FFFF-FFFF322A0000}" name="接続956" type="7" refreshedVersion="4"/>
  <connection id="13238" xr16:uid="{00000000-0015-0000-FFFF-FFFF332A0000}" name="接続9560" type="7" refreshedVersion="4"/>
  <connection id="13239" xr16:uid="{00000000-0015-0000-FFFF-FFFF342A0000}" name="接続9561" type="7" refreshedVersion="4"/>
  <connection id="13240" xr16:uid="{00000000-0015-0000-FFFF-FFFF352A0000}" name="接続9562" type="7" refreshedVersion="4"/>
  <connection id="13241" xr16:uid="{00000000-0015-0000-FFFF-FFFF362A0000}" name="接続9563" type="7" refreshedVersion="4"/>
  <connection id="13242" xr16:uid="{00000000-0015-0000-FFFF-FFFF372A0000}" name="接続9564" type="7" refreshedVersion="4"/>
  <connection id="13243" xr16:uid="{00000000-0015-0000-FFFF-FFFF382A0000}" name="接続9565" type="7" refreshedVersion="4"/>
  <connection id="13244" xr16:uid="{00000000-0015-0000-FFFF-FFFF392A0000}" name="接続9566" type="7" refreshedVersion="4"/>
  <connection id="13245" xr16:uid="{00000000-0015-0000-FFFF-FFFF3A2A0000}" name="接続9567" type="7" refreshedVersion="4"/>
  <connection id="13246" xr16:uid="{00000000-0015-0000-FFFF-FFFF3B2A0000}" name="接続9568" type="7" refreshedVersion="4"/>
  <connection id="13247" xr16:uid="{00000000-0015-0000-FFFF-FFFF3C2A0000}" name="接続9569" type="7" refreshedVersion="4"/>
  <connection id="13248" xr16:uid="{00000000-0015-0000-FFFF-FFFF3D2A0000}" name="接続957" type="7" refreshedVersion="4"/>
  <connection id="13249" xr16:uid="{00000000-0015-0000-FFFF-FFFF3E2A0000}" name="接続9570" type="7" refreshedVersion="4"/>
  <connection id="13250" xr16:uid="{00000000-0015-0000-FFFF-FFFF3F2A0000}" name="接続9571" type="7" refreshedVersion="4"/>
  <connection id="13251" xr16:uid="{00000000-0015-0000-FFFF-FFFF402A0000}" name="接続9572" type="7" refreshedVersion="4"/>
  <connection id="13252" xr16:uid="{00000000-0015-0000-FFFF-FFFF412A0000}" name="接続9573" type="7" refreshedVersion="4"/>
  <connection id="13253" xr16:uid="{00000000-0015-0000-FFFF-FFFF422A0000}" name="接続9574" type="7" refreshedVersion="4"/>
  <connection id="13254" xr16:uid="{00000000-0015-0000-FFFF-FFFF432A0000}" name="接続9575" type="7" refreshedVersion="4"/>
  <connection id="13255" xr16:uid="{00000000-0015-0000-FFFF-FFFF442A0000}" name="接続9576" type="7" refreshedVersion="4"/>
  <connection id="13256" xr16:uid="{00000000-0015-0000-FFFF-FFFF452A0000}" name="接続9577" type="7" refreshedVersion="4"/>
  <connection id="13257" xr16:uid="{00000000-0015-0000-FFFF-FFFF462A0000}" name="接続9578" type="7" refreshedVersion="4"/>
  <connection id="13258" xr16:uid="{00000000-0015-0000-FFFF-FFFF472A0000}" name="接続9579" type="7" refreshedVersion="4"/>
  <connection id="13259" xr16:uid="{00000000-0015-0000-FFFF-FFFF482A0000}" name="接続958" type="7" refreshedVersion="4"/>
  <connection id="13260" xr16:uid="{00000000-0015-0000-FFFF-FFFF492A0000}" name="接続9580" type="7" refreshedVersion="4"/>
  <connection id="13261" xr16:uid="{00000000-0015-0000-FFFF-FFFF4A2A0000}" name="接続9581" type="7" refreshedVersion="4"/>
  <connection id="13262" xr16:uid="{00000000-0015-0000-FFFF-FFFF4B2A0000}" name="接続9582" type="7" refreshedVersion="4"/>
  <connection id="13263" xr16:uid="{00000000-0015-0000-FFFF-FFFF4C2A0000}" name="接続9583" type="7" refreshedVersion="4"/>
  <connection id="13264" xr16:uid="{00000000-0015-0000-FFFF-FFFF4D2A0000}" name="接続9584" type="7" refreshedVersion="4"/>
  <connection id="13265" xr16:uid="{00000000-0015-0000-FFFF-FFFF4E2A0000}" name="接続9585" type="7" refreshedVersion="4"/>
  <connection id="13266" xr16:uid="{00000000-0015-0000-FFFF-FFFF4F2A0000}" name="接続9586" type="7" refreshedVersion="4"/>
  <connection id="13267" xr16:uid="{00000000-0015-0000-FFFF-FFFF502A0000}" name="接続9587" type="7" refreshedVersion="4"/>
  <connection id="13268" xr16:uid="{00000000-0015-0000-FFFF-FFFF512A0000}" name="接続9588" type="7" refreshedVersion="4"/>
  <connection id="13269" xr16:uid="{00000000-0015-0000-FFFF-FFFF522A0000}" name="接続9589" type="7" refreshedVersion="4"/>
  <connection id="13270" xr16:uid="{00000000-0015-0000-FFFF-FFFF532A0000}" name="接続959" type="7" refreshedVersion="4"/>
  <connection id="13271" xr16:uid="{00000000-0015-0000-FFFF-FFFF542A0000}" name="接続9590" type="7" refreshedVersion="4"/>
  <connection id="13272" xr16:uid="{00000000-0015-0000-FFFF-FFFF552A0000}" name="接続9591" type="7" refreshedVersion="4"/>
  <connection id="13273" xr16:uid="{00000000-0015-0000-FFFF-FFFF562A0000}" name="接続9592" type="7" refreshedVersion="4"/>
  <connection id="13274" xr16:uid="{00000000-0015-0000-FFFF-FFFF572A0000}" name="接続9593" type="7" refreshedVersion="4"/>
  <connection id="13275" xr16:uid="{00000000-0015-0000-FFFF-FFFF582A0000}" name="接続9594" type="7" refreshedVersion="4"/>
  <connection id="13276" xr16:uid="{00000000-0015-0000-FFFF-FFFF592A0000}" name="接続9595" type="7" refreshedVersion="4"/>
  <connection id="13277" xr16:uid="{00000000-0015-0000-FFFF-FFFF5A2A0000}" name="接続9596" type="7" refreshedVersion="4"/>
  <connection id="13278" xr16:uid="{00000000-0015-0000-FFFF-FFFF5B2A0000}" name="接続9597" type="7" refreshedVersion="4"/>
  <connection id="13279" xr16:uid="{00000000-0015-0000-FFFF-FFFF5C2A0000}" name="接続9598" type="7" refreshedVersion="4"/>
  <connection id="13280" xr16:uid="{00000000-0015-0000-FFFF-FFFF5D2A0000}" name="接続9599" type="7" refreshedVersion="4"/>
  <connection id="13281" xr16:uid="{00000000-0015-0000-FFFF-FFFF5E2A0000}" name="接続96" type="7" refreshedVersion="4"/>
  <connection id="13282" xr16:uid="{00000000-0015-0000-FFFF-FFFF5F2A0000}" name="接続960" type="7" refreshedVersion="4"/>
  <connection id="13283" xr16:uid="{00000000-0015-0000-FFFF-FFFF602A0000}" name="接続9600" type="7" refreshedVersion="4"/>
  <connection id="13284" xr16:uid="{00000000-0015-0000-FFFF-FFFF612A0000}" name="接続9601" type="7" refreshedVersion="4"/>
  <connection id="13285" xr16:uid="{00000000-0015-0000-FFFF-FFFF622A0000}" name="接続9602" type="7" refreshedVersion="4"/>
  <connection id="13286" xr16:uid="{00000000-0015-0000-FFFF-FFFF632A0000}" name="接続9603" type="7" refreshedVersion="4"/>
  <connection id="13287" xr16:uid="{00000000-0015-0000-FFFF-FFFF642A0000}" name="接続9604" type="7" refreshedVersion="4"/>
  <connection id="13288" xr16:uid="{00000000-0015-0000-FFFF-FFFF652A0000}" name="接続9605" type="7" refreshedVersion="4"/>
  <connection id="13289" xr16:uid="{00000000-0015-0000-FFFF-FFFF662A0000}" name="接続9606" type="7" refreshedVersion="4"/>
  <connection id="13290" xr16:uid="{00000000-0015-0000-FFFF-FFFF672A0000}" name="接続9607" type="7" refreshedVersion="4"/>
  <connection id="13291" xr16:uid="{00000000-0015-0000-FFFF-FFFF682A0000}" name="接続9608" type="7" refreshedVersion="4"/>
  <connection id="13292" xr16:uid="{00000000-0015-0000-FFFF-FFFF692A0000}" name="接続9609" type="7" refreshedVersion="4"/>
  <connection id="13293" xr16:uid="{00000000-0015-0000-FFFF-FFFF6A2A0000}" name="接続961" type="7" refreshedVersion="4"/>
  <connection id="13294" xr16:uid="{00000000-0015-0000-FFFF-FFFF6B2A0000}" name="接続9610" type="7" refreshedVersion="4"/>
  <connection id="13295" xr16:uid="{00000000-0015-0000-FFFF-FFFF6C2A0000}" name="接続9611" type="7" refreshedVersion="4"/>
  <connection id="13296" xr16:uid="{00000000-0015-0000-FFFF-FFFF6D2A0000}" name="接続9612" type="7" refreshedVersion="4"/>
  <connection id="13297" xr16:uid="{00000000-0015-0000-FFFF-FFFF6E2A0000}" name="接続9613" type="7" refreshedVersion="4"/>
  <connection id="13298" xr16:uid="{00000000-0015-0000-FFFF-FFFF6F2A0000}" name="接続9614" type="7" refreshedVersion="4"/>
  <connection id="13299" xr16:uid="{00000000-0015-0000-FFFF-FFFF702A0000}" name="接続9615" type="7" refreshedVersion="4"/>
  <connection id="13300" xr16:uid="{00000000-0015-0000-FFFF-FFFF712A0000}" name="接続9616" type="7" refreshedVersion="4"/>
  <connection id="13301" xr16:uid="{00000000-0015-0000-FFFF-FFFF722A0000}" name="接続9617" type="7" refreshedVersion="4"/>
  <connection id="13302" xr16:uid="{00000000-0015-0000-FFFF-FFFF732A0000}" name="接続9618" type="7" refreshedVersion="4"/>
  <connection id="13303" xr16:uid="{00000000-0015-0000-FFFF-FFFF742A0000}" name="接続9619" type="7" refreshedVersion="4"/>
  <connection id="13304" xr16:uid="{00000000-0015-0000-FFFF-FFFF752A0000}" name="接続962" type="7" refreshedVersion="4"/>
  <connection id="13305" xr16:uid="{00000000-0015-0000-FFFF-FFFF762A0000}" name="接続9620" type="7" refreshedVersion="4"/>
  <connection id="13306" xr16:uid="{00000000-0015-0000-FFFF-FFFF772A0000}" name="接続9621" type="7" refreshedVersion="4"/>
  <connection id="13307" xr16:uid="{00000000-0015-0000-FFFF-FFFF782A0000}" name="接続9622" type="7" refreshedVersion="4"/>
  <connection id="13308" xr16:uid="{00000000-0015-0000-FFFF-FFFF792A0000}" name="接続9623" type="7" refreshedVersion="4"/>
  <connection id="13309" xr16:uid="{00000000-0015-0000-FFFF-FFFF7A2A0000}" name="接続9624" type="7" refreshedVersion="4"/>
  <connection id="13310" xr16:uid="{00000000-0015-0000-FFFF-FFFF7B2A0000}" name="接続9625" type="7" refreshedVersion="4"/>
  <connection id="13311" xr16:uid="{00000000-0015-0000-FFFF-FFFF7C2A0000}" name="接続9626" type="7" refreshedVersion="4"/>
  <connection id="13312" xr16:uid="{00000000-0015-0000-FFFF-FFFF7D2A0000}" name="接続9627" type="7" refreshedVersion="4"/>
  <connection id="13313" xr16:uid="{00000000-0015-0000-FFFF-FFFF7E2A0000}" name="接続9628" type="7" refreshedVersion="4"/>
  <connection id="13314" xr16:uid="{00000000-0015-0000-FFFF-FFFF7F2A0000}" name="接続9629" type="7" refreshedVersion="4"/>
  <connection id="13315" xr16:uid="{00000000-0015-0000-FFFF-FFFF802A0000}" name="接続963" type="7" refreshedVersion="4"/>
  <connection id="13316" xr16:uid="{00000000-0015-0000-FFFF-FFFF812A0000}" name="接続9630" type="7" refreshedVersion="4"/>
  <connection id="13317" xr16:uid="{00000000-0015-0000-FFFF-FFFF822A0000}" name="接続9631" type="7" refreshedVersion="4"/>
  <connection id="13318" xr16:uid="{00000000-0015-0000-FFFF-FFFF832A0000}" name="接続9632" type="7" refreshedVersion="4"/>
  <connection id="13319" xr16:uid="{00000000-0015-0000-FFFF-FFFF842A0000}" name="接続9633" type="7" refreshedVersion="4"/>
  <connection id="13320" xr16:uid="{00000000-0015-0000-FFFF-FFFF852A0000}" name="接続9634" type="7" refreshedVersion="4"/>
  <connection id="13321" xr16:uid="{00000000-0015-0000-FFFF-FFFF862A0000}" name="接続9635" type="7" refreshedVersion="4"/>
  <connection id="13322" xr16:uid="{00000000-0015-0000-FFFF-FFFF872A0000}" name="接続9636" type="7" refreshedVersion="4"/>
  <connection id="13323" xr16:uid="{00000000-0015-0000-FFFF-FFFF882A0000}" name="接続9637" type="7" refreshedVersion="4"/>
  <connection id="13324" xr16:uid="{00000000-0015-0000-FFFF-FFFF892A0000}" name="接続9638" type="7" refreshedVersion="4"/>
  <connection id="13325" xr16:uid="{00000000-0015-0000-FFFF-FFFF8A2A0000}" name="接続9639" type="7" refreshedVersion="4"/>
  <connection id="13326" xr16:uid="{00000000-0015-0000-FFFF-FFFF8B2A0000}" name="接続964" type="7" refreshedVersion="4"/>
  <connection id="13327" xr16:uid="{00000000-0015-0000-FFFF-FFFF8C2A0000}" name="接続9640" type="7" refreshedVersion="4"/>
  <connection id="13328" xr16:uid="{00000000-0015-0000-FFFF-FFFF8D2A0000}" name="接続9641" type="7" refreshedVersion="4"/>
  <connection id="13329" xr16:uid="{00000000-0015-0000-FFFF-FFFF8E2A0000}" name="接続9642" type="7" refreshedVersion="4"/>
  <connection id="13330" xr16:uid="{00000000-0015-0000-FFFF-FFFF8F2A0000}" name="接続9643" type="7" refreshedVersion="4"/>
  <connection id="13331" xr16:uid="{00000000-0015-0000-FFFF-FFFF902A0000}" name="接続9644" type="7" refreshedVersion="4"/>
  <connection id="13332" xr16:uid="{00000000-0015-0000-FFFF-FFFF912A0000}" name="接続9645" type="7" refreshedVersion="4"/>
  <connection id="13333" xr16:uid="{00000000-0015-0000-FFFF-FFFF922A0000}" name="接続9646" type="7" refreshedVersion="4"/>
  <connection id="13334" xr16:uid="{00000000-0015-0000-FFFF-FFFF932A0000}" name="接続9647" type="7" refreshedVersion="4"/>
  <connection id="13335" xr16:uid="{00000000-0015-0000-FFFF-FFFF942A0000}" name="接続9648" type="7" refreshedVersion="4"/>
  <connection id="13336" xr16:uid="{00000000-0015-0000-FFFF-FFFF952A0000}" name="接続9649" type="7" refreshedVersion="4"/>
  <connection id="13337" xr16:uid="{00000000-0015-0000-FFFF-FFFF962A0000}" name="接続965" type="7" refreshedVersion="4"/>
  <connection id="13338" xr16:uid="{00000000-0015-0000-FFFF-FFFF972A0000}" name="接続9650" type="7" refreshedVersion="4"/>
  <connection id="13339" xr16:uid="{00000000-0015-0000-FFFF-FFFF982A0000}" name="接続9651" type="7" refreshedVersion="4"/>
  <connection id="13340" xr16:uid="{00000000-0015-0000-FFFF-FFFF992A0000}" name="接続9652" type="7" refreshedVersion="4"/>
  <connection id="13341" xr16:uid="{00000000-0015-0000-FFFF-FFFF9A2A0000}" name="接続9653" type="7" refreshedVersion="4"/>
  <connection id="13342" xr16:uid="{00000000-0015-0000-FFFF-FFFF9B2A0000}" name="接続9654" type="7" refreshedVersion="4"/>
  <connection id="13343" xr16:uid="{00000000-0015-0000-FFFF-FFFF9C2A0000}" name="接続9655" type="7" refreshedVersion="4"/>
  <connection id="13344" xr16:uid="{00000000-0015-0000-FFFF-FFFF9D2A0000}" name="接続9656" type="7" refreshedVersion="4"/>
  <connection id="13345" xr16:uid="{00000000-0015-0000-FFFF-FFFF9E2A0000}" name="接続9657" type="7" refreshedVersion="4"/>
  <connection id="13346" xr16:uid="{00000000-0015-0000-FFFF-FFFF9F2A0000}" name="接続9658" type="7" refreshedVersion="4"/>
  <connection id="13347" xr16:uid="{00000000-0015-0000-FFFF-FFFFA02A0000}" name="接続9659" type="7" refreshedVersion="4"/>
  <connection id="13348" xr16:uid="{00000000-0015-0000-FFFF-FFFFA12A0000}" name="接続966" type="7" refreshedVersion="4"/>
  <connection id="13349" xr16:uid="{00000000-0015-0000-FFFF-FFFFA22A0000}" name="接続9660" type="7" refreshedVersion="4"/>
  <connection id="13350" xr16:uid="{00000000-0015-0000-FFFF-FFFFA32A0000}" name="接続9661" type="7" refreshedVersion="4"/>
  <connection id="13351" xr16:uid="{00000000-0015-0000-FFFF-FFFFA42A0000}" name="接続9662" type="7" refreshedVersion="4"/>
  <connection id="13352" xr16:uid="{00000000-0015-0000-FFFF-FFFFA52A0000}" name="接続9663" type="7" refreshedVersion="4"/>
  <connection id="13353" xr16:uid="{00000000-0015-0000-FFFF-FFFFA62A0000}" name="接続9664" type="7" refreshedVersion="4"/>
  <connection id="13354" xr16:uid="{00000000-0015-0000-FFFF-FFFFA72A0000}" name="接続9665" type="7" refreshedVersion="4"/>
  <connection id="13355" xr16:uid="{00000000-0015-0000-FFFF-FFFFA82A0000}" name="接続9666" type="7" refreshedVersion="4"/>
  <connection id="13356" xr16:uid="{00000000-0015-0000-FFFF-FFFFA92A0000}" name="接続9667" type="7" refreshedVersion="4"/>
  <connection id="13357" xr16:uid="{00000000-0015-0000-FFFF-FFFFAA2A0000}" name="接続9668" type="7" refreshedVersion="4"/>
  <connection id="13358" xr16:uid="{00000000-0015-0000-FFFF-FFFFAB2A0000}" name="接続9669" type="7" refreshedVersion="4"/>
  <connection id="13359" xr16:uid="{00000000-0015-0000-FFFF-FFFFAC2A0000}" name="接続967" type="7" refreshedVersion="4"/>
  <connection id="13360" xr16:uid="{00000000-0015-0000-FFFF-FFFFAD2A0000}" name="接続9670" type="7" refreshedVersion="4"/>
  <connection id="13361" xr16:uid="{00000000-0015-0000-FFFF-FFFFAE2A0000}" name="接続9671" type="7" refreshedVersion="4"/>
  <connection id="13362" xr16:uid="{00000000-0015-0000-FFFF-FFFFAF2A0000}" name="接続9672" type="7" refreshedVersion="4"/>
  <connection id="13363" xr16:uid="{00000000-0015-0000-FFFF-FFFFB02A0000}" name="接続9673" type="7" refreshedVersion="4"/>
  <connection id="13364" xr16:uid="{00000000-0015-0000-FFFF-FFFFB12A0000}" name="接続9674" type="7" refreshedVersion="4"/>
  <connection id="13365" xr16:uid="{00000000-0015-0000-FFFF-FFFFB22A0000}" name="接続9675" type="7" refreshedVersion="4"/>
  <connection id="13366" xr16:uid="{00000000-0015-0000-FFFF-FFFFB32A0000}" name="接続9676" type="7" refreshedVersion="4"/>
  <connection id="13367" xr16:uid="{00000000-0015-0000-FFFF-FFFFB42A0000}" name="接続9677" type="7" refreshedVersion="4"/>
  <connection id="13368" xr16:uid="{00000000-0015-0000-FFFF-FFFFB52A0000}" name="接続9678" type="7" refreshedVersion="4"/>
  <connection id="13369" xr16:uid="{00000000-0015-0000-FFFF-FFFFB62A0000}" name="接続9679" type="7" refreshedVersion="4"/>
  <connection id="13370" xr16:uid="{00000000-0015-0000-FFFF-FFFFB72A0000}" name="接続968" type="7" refreshedVersion="4"/>
  <connection id="13371" xr16:uid="{00000000-0015-0000-FFFF-FFFFB82A0000}" name="接続9680" type="7" refreshedVersion="4"/>
  <connection id="13372" xr16:uid="{00000000-0015-0000-FFFF-FFFFB92A0000}" name="接続9681" type="7" refreshedVersion="4"/>
  <connection id="13373" xr16:uid="{00000000-0015-0000-FFFF-FFFFBA2A0000}" name="接続9682" type="7" refreshedVersion="4"/>
  <connection id="13374" xr16:uid="{00000000-0015-0000-FFFF-FFFFBB2A0000}" name="接続9683" type="7" refreshedVersion="4"/>
  <connection id="13375" xr16:uid="{00000000-0015-0000-FFFF-FFFFBC2A0000}" name="接続9684" type="7" refreshedVersion="4"/>
  <connection id="13376" xr16:uid="{00000000-0015-0000-FFFF-FFFFBD2A0000}" name="接続9685" type="7" refreshedVersion="4"/>
  <connection id="13377" xr16:uid="{00000000-0015-0000-FFFF-FFFFBE2A0000}" name="接続9686" type="7" refreshedVersion="4"/>
  <connection id="13378" xr16:uid="{00000000-0015-0000-FFFF-FFFFBF2A0000}" name="接続9687" type="7" refreshedVersion="4"/>
  <connection id="13379" xr16:uid="{00000000-0015-0000-FFFF-FFFFC02A0000}" name="接続9688" type="7" refreshedVersion="4"/>
  <connection id="13380" xr16:uid="{00000000-0015-0000-FFFF-FFFFC12A0000}" name="接続9689" type="7" refreshedVersion="4"/>
  <connection id="13381" xr16:uid="{00000000-0015-0000-FFFF-FFFFC22A0000}" name="接続969" type="7" refreshedVersion="4"/>
  <connection id="13382" xr16:uid="{00000000-0015-0000-FFFF-FFFFC32A0000}" name="接続9690" type="7" refreshedVersion="4"/>
  <connection id="13383" xr16:uid="{00000000-0015-0000-FFFF-FFFFC42A0000}" name="接続9691" type="7" refreshedVersion="4"/>
  <connection id="13384" xr16:uid="{00000000-0015-0000-FFFF-FFFFC52A0000}" name="接続9692" type="7" refreshedVersion="4"/>
  <connection id="13385" xr16:uid="{00000000-0015-0000-FFFF-FFFFC62A0000}" name="接続9693" type="7" refreshedVersion="4"/>
  <connection id="13386" xr16:uid="{00000000-0015-0000-FFFF-FFFFC72A0000}" name="接続9694" type="7" refreshedVersion="4"/>
  <connection id="13387" xr16:uid="{00000000-0015-0000-FFFF-FFFFC82A0000}" name="接続9695" type="7" refreshedVersion="4"/>
  <connection id="13388" xr16:uid="{00000000-0015-0000-FFFF-FFFFC92A0000}" name="接続9696" type="7" refreshedVersion="4"/>
  <connection id="13389" xr16:uid="{00000000-0015-0000-FFFF-FFFFCA2A0000}" name="接続9697" type="7" refreshedVersion="4"/>
  <connection id="13390" xr16:uid="{00000000-0015-0000-FFFF-FFFFCB2A0000}" name="接続9698" type="7" refreshedVersion="4"/>
  <connection id="13391" xr16:uid="{00000000-0015-0000-FFFF-FFFFCC2A0000}" name="接続9699" type="7" refreshedVersion="4"/>
  <connection id="13392" xr16:uid="{00000000-0015-0000-FFFF-FFFFCD2A0000}" name="接続97" type="7" refreshedVersion="4"/>
  <connection id="13393" xr16:uid="{00000000-0015-0000-FFFF-FFFFCE2A0000}" name="接続970" type="7" refreshedVersion="4"/>
  <connection id="13394" xr16:uid="{00000000-0015-0000-FFFF-FFFFCF2A0000}" name="接続9700" type="7" refreshedVersion="4"/>
  <connection id="13395" xr16:uid="{00000000-0015-0000-FFFF-FFFFD02A0000}" name="接続9701" type="7" refreshedVersion="4"/>
  <connection id="13396" xr16:uid="{00000000-0015-0000-FFFF-FFFFD12A0000}" name="接続9702" type="7" refreshedVersion="4"/>
  <connection id="13397" xr16:uid="{00000000-0015-0000-FFFF-FFFFD22A0000}" name="接続9703" type="7" refreshedVersion="4"/>
  <connection id="13398" xr16:uid="{00000000-0015-0000-FFFF-FFFFD32A0000}" name="接続9704" type="7" refreshedVersion="4"/>
  <connection id="13399" xr16:uid="{00000000-0015-0000-FFFF-FFFFD42A0000}" name="接続9705" type="7" refreshedVersion="4"/>
  <connection id="13400" xr16:uid="{00000000-0015-0000-FFFF-FFFFD52A0000}" name="接続9706" type="7" refreshedVersion="4"/>
  <connection id="13401" xr16:uid="{00000000-0015-0000-FFFF-FFFFD62A0000}" name="接続9707" type="7" refreshedVersion="4"/>
  <connection id="13402" xr16:uid="{00000000-0015-0000-FFFF-FFFFD72A0000}" name="接続9708" type="7" refreshedVersion="4"/>
  <connection id="13403" xr16:uid="{00000000-0015-0000-FFFF-FFFFD82A0000}" name="接続9709" type="7" refreshedVersion="4"/>
  <connection id="13404" xr16:uid="{00000000-0015-0000-FFFF-FFFFD92A0000}" name="接続971" type="7" refreshedVersion="4"/>
  <connection id="13405" xr16:uid="{00000000-0015-0000-FFFF-FFFFDA2A0000}" name="接続9710" type="7" refreshedVersion="4"/>
  <connection id="13406" xr16:uid="{00000000-0015-0000-FFFF-FFFFDB2A0000}" name="接続9711" type="7" refreshedVersion="4"/>
  <connection id="13407" xr16:uid="{00000000-0015-0000-FFFF-FFFFDC2A0000}" name="接続9712" type="7" refreshedVersion="4"/>
  <connection id="13408" xr16:uid="{00000000-0015-0000-FFFF-FFFFDD2A0000}" name="接続9713" type="7" refreshedVersion="4"/>
  <connection id="13409" xr16:uid="{00000000-0015-0000-FFFF-FFFFDE2A0000}" name="接続9714" type="7" refreshedVersion="4"/>
  <connection id="13410" xr16:uid="{00000000-0015-0000-FFFF-FFFFDF2A0000}" name="接続9715" type="7" refreshedVersion="4"/>
  <connection id="13411" xr16:uid="{00000000-0015-0000-FFFF-FFFFE02A0000}" name="接続9716" type="7" refreshedVersion="4"/>
  <connection id="13412" xr16:uid="{00000000-0015-0000-FFFF-FFFFE12A0000}" name="接続9717" type="7" refreshedVersion="4"/>
  <connection id="13413" xr16:uid="{00000000-0015-0000-FFFF-FFFFE22A0000}" name="接続9718" type="7" refreshedVersion="4"/>
  <connection id="13414" xr16:uid="{00000000-0015-0000-FFFF-FFFFE32A0000}" name="接続9719" type="7" refreshedVersion="4"/>
  <connection id="13415" xr16:uid="{00000000-0015-0000-FFFF-FFFFE42A0000}" name="接続972" type="7" refreshedVersion="4"/>
  <connection id="13416" xr16:uid="{00000000-0015-0000-FFFF-FFFFE52A0000}" name="接続9720" type="7" refreshedVersion="4"/>
  <connection id="13417" xr16:uid="{00000000-0015-0000-FFFF-FFFFE62A0000}" name="接続9721" type="7" refreshedVersion="4"/>
  <connection id="13418" xr16:uid="{00000000-0015-0000-FFFF-FFFFE72A0000}" name="接続9722" type="7" refreshedVersion="4"/>
  <connection id="13419" xr16:uid="{00000000-0015-0000-FFFF-FFFFE82A0000}" name="接続9723" type="7" refreshedVersion="4"/>
  <connection id="13420" xr16:uid="{00000000-0015-0000-FFFF-FFFFE92A0000}" name="接続9724" type="7" refreshedVersion="4"/>
  <connection id="13421" xr16:uid="{00000000-0015-0000-FFFF-FFFFEA2A0000}" name="接続9725" type="7" refreshedVersion="4"/>
  <connection id="13422" xr16:uid="{00000000-0015-0000-FFFF-FFFFEB2A0000}" name="接続9726" type="7" refreshedVersion="4"/>
  <connection id="13423" xr16:uid="{00000000-0015-0000-FFFF-FFFFEC2A0000}" name="接続9727" type="7" refreshedVersion="4"/>
  <connection id="13424" xr16:uid="{00000000-0015-0000-FFFF-FFFFED2A0000}" name="接続9728" type="7" refreshedVersion="4"/>
  <connection id="13425" xr16:uid="{00000000-0015-0000-FFFF-FFFFEE2A0000}" name="接続9729" type="7" refreshedVersion="4"/>
  <connection id="13426" xr16:uid="{00000000-0015-0000-FFFF-FFFFEF2A0000}" name="接続973" type="7" refreshedVersion="4"/>
  <connection id="13427" xr16:uid="{00000000-0015-0000-FFFF-FFFFF02A0000}" name="接続9730" type="7" refreshedVersion="4"/>
  <connection id="13428" xr16:uid="{00000000-0015-0000-FFFF-FFFFF12A0000}" name="接続9731" type="7" refreshedVersion="4"/>
  <connection id="13429" xr16:uid="{00000000-0015-0000-FFFF-FFFFF22A0000}" name="接続9732" type="7" refreshedVersion="4"/>
  <connection id="13430" xr16:uid="{00000000-0015-0000-FFFF-FFFFF32A0000}" name="接続9733" type="7" refreshedVersion="4"/>
  <connection id="13431" xr16:uid="{00000000-0015-0000-FFFF-FFFFF42A0000}" name="接続9734" type="7" refreshedVersion="4"/>
  <connection id="13432" xr16:uid="{00000000-0015-0000-FFFF-FFFFF52A0000}" name="接続9735" type="7" refreshedVersion="4"/>
  <connection id="13433" xr16:uid="{00000000-0015-0000-FFFF-FFFFF62A0000}" name="接続9736" type="7" refreshedVersion="4"/>
  <connection id="13434" xr16:uid="{00000000-0015-0000-FFFF-FFFFF72A0000}" name="接続9737" type="7" refreshedVersion="4"/>
  <connection id="13435" xr16:uid="{00000000-0015-0000-FFFF-FFFFF82A0000}" name="接続9738" type="7" refreshedVersion="4"/>
  <connection id="13436" xr16:uid="{00000000-0015-0000-FFFF-FFFFF92A0000}" name="接続9739" type="7" refreshedVersion="4"/>
  <connection id="13437" xr16:uid="{00000000-0015-0000-FFFF-FFFFFA2A0000}" name="接続974" type="7" refreshedVersion="4"/>
  <connection id="13438" xr16:uid="{00000000-0015-0000-FFFF-FFFFFB2A0000}" name="接続9740" type="7" refreshedVersion="4"/>
  <connection id="13439" xr16:uid="{00000000-0015-0000-FFFF-FFFFFC2A0000}" name="接続9741" type="7" refreshedVersion="4"/>
  <connection id="13440" xr16:uid="{00000000-0015-0000-FFFF-FFFFFD2A0000}" name="接続9742" type="7" refreshedVersion="4"/>
  <connection id="13441" xr16:uid="{00000000-0015-0000-FFFF-FFFFFE2A0000}" name="接続9743" type="7" refreshedVersion="4"/>
  <connection id="13442" xr16:uid="{00000000-0015-0000-FFFF-FFFFFF2A0000}" name="接続9744" type="7" refreshedVersion="4"/>
  <connection id="13443" xr16:uid="{00000000-0015-0000-FFFF-FFFF002B0000}" name="接続9745" type="7" refreshedVersion="4"/>
  <connection id="13444" xr16:uid="{00000000-0015-0000-FFFF-FFFF012B0000}" name="接続9746" type="7" refreshedVersion="4"/>
  <connection id="13445" xr16:uid="{00000000-0015-0000-FFFF-FFFF022B0000}" name="接続9747" type="7" refreshedVersion="4"/>
  <connection id="13446" xr16:uid="{00000000-0015-0000-FFFF-FFFF032B0000}" name="接続9748" type="7" refreshedVersion="4"/>
  <connection id="13447" xr16:uid="{00000000-0015-0000-FFFF-FFFF042B0000}" name="接続9749" type="7" refreshedVersion="4"/>
  <connection id="13448" xr16:uid="{00000000-0015-0000-FFFF-FFFF052B0000}" name="接続975" type="7" refreshedVersion="4"/>
  <connection id="13449" xr16:uid="{00000000-0015-0000-FFFF-FFFF062B0000}" name="接続9750" type="7" refreshedVersion="4"/>
  <connection id="13450" xr16:uid="{00000000-0015-0000-FFFF-FFFF072B0000}" name="接続9751" type="7" refreshedVersion="4"/>
  <connection id="13451" xr16:uid="{00000000-0015-0000-FFFF-FFFF082B0000}" name="接続9752" type="7" refreshedVersion="4"/>
  <connection id="13452" xr16:uid="{00000000-0015-0000-FFFF-FFFF092B0000}" name="接続9753" type="7" refreshedVersion="4"/>
  <connection id="13453" xr16:uid="{00000000-0015-0000-FFFF-FFFF0A2B0000}" name="接続9754" type="7" refreshedVersion="4"/>
  <connection id="13454" xr16:uid="{00000000-0015-0000-FFFF-FFFF0B2B0000}" name="接続9755" type="7" refreshedVersion="4"/>
  <connection id="13455" xr16:uid="{00000000-0015-0000-FFFF-FFFF0C2B0000}" name="接続9756" type="7" refreshedVersion="4"/>
  <connection id="13456" xr16:uid="{00000000-0015-0000-FFFF-FFFF0D2B0000}" name="接続9757" type="7" refreshedVersion="4"/>
  <connection id="13457" xr16:uid="{00000000-0015-0000-FFFF-FFFF0E2B0000}" name="接続9758" type="7" refreshedVersion="4"/>
  <connection id="13458" xr16:uid="{00000000-0015-0000-FFFF-FFFF0F2B0000}" name="接続9759" type="7" refreshedVersion="4"/>
  <connection id="13459" xr16:uid="{00000000-0015-0000-FFFF-FFFF102B0000}" name="接続976" type="7" refreshedVersion="4"/>
  <connection id="13460" xr16:uid="{00000000-0015-0000-FFFF-FFFF112B0000}" name="接続9760" type="7" refreshedVersion="4"/>
  <connection id="13461" xr16:uid="{00000000-0015-0000-FFFF-FFFF122B0000}" name="接続9761" type="7" refreshedVersion="4"/>
  <connection id="13462" xr16:uid="{00000000-0015-0000-FFFF-FFFF132B0000}" name="接続9762" type="7" refreshedVersion="4"/>
  <connection id="13463" xr16:uid="{00000000-0015-0000-FFFF-FFFF142B0000}" name="接続9763" type="7" refreshedVersion="4"/>
  <connection id="13464" xr16:uid="{00000000-0015-0000-FFFF-FFFF152B0000}" name="接続9764" type="7" refreshedVersion="4"/>
  <connection id="13465" xr16:uid="{00000000-0015-0000-FFFF-FFFF162B0000}" name="接続9765" type="7" refreshedVersion="4"/>
  <connection id="13466" xr16:uid="{00000000-0015-0000-FFFF-FFFF172B0000}" name="接続9766" type="7" refreshedVersion="4"/>
  <connection id="13467" xr16:uid="{00000000-0015-0000-FFFF-FFFF182B0000}" name="接続9767" type="7" refreshedVersion="4"/>
  <connection id="13468" xr16:uid="{00000000-0015-0000-FFFF-FFFF192B0000}" name="接続9768" type="7" refreshedVersion="4"/>
  <connection id="13469" xr16:uid="{00000000-0015-0000-FFFF-FFFF1A2B0000}" name="接続9769" type="7" refreshedVersion="4"/>
  <connection id="13470" xr16:uid="{00000000-0015-0000-FFFF-FFFF1B2B0000}" name="接続977" type="7" refreshedVersion="4"/>
  <connection id="13471" xr16:uid="{00000000-0015-0000-FFFF-FFFF1C2B0000}" name="接続9770" type="7" refreshedVersion="4"/>
  <connection id="13472" xr16:uid="{00000000-0015-0000-FFFF-FFFF1D2B0000}" name="接続9771" type="7" refreshedVersion="4"/>
  <connection id="13473" xr16:uid="{00000000-0015-0000-FFFF-FFFF1E2B0000}" name="接続9772" type="7" refreshedVersion="4"/>
  <connection id="13474" xr16:uid="{00000000-0015-0000-FFFF-FFFF1F2B0000}" name="接続9773" type="7" refreshedVersion="4"/>
  <connection id="13475" xr16:uid="{00000000-0015-0000-FFFF-FFFF202B0000}" name="接続9774" type="7" refreshedVersion="4"/>
  <connection id="13476" xr16:uid="{00000000-0015-0000-FFFF-FFFF212B0000}" name="接続9775" type="7" refreshedVersion="4"/>
  <connection id="13477" xr16:uid="{00000000-0015-0000-FFFF-FFFF222B0000}" name="接続9776" type="7" refreshedVersion="4"/>
  <connection id="13478" xr16:uid="{00000000-0015-0000-FFFF-FFFF232B0000}" name="接続9777" type="7" refreshedVersion="4"/>
  <connection id="13479" xr16:uid="{00000000-0015-0000-FFFF-FFFF242B0000}" name="接続9778" type="7" refreshedVersion="4"/>
  <connection id="13480" xr16:uid="{00000000-0015-0000-FFFF-FFFF252B0000}" name="接続9779" type="7" refreshedVersion="4"/>
  <connection id="13481" xr16:uid="{00000000-0015-0000-FFFF-FFFF262B0000}" name="接続978" type="7" refreshedVersion="4"/>
  <connection id="13482" xr16:uid="{00000000-0015-0000-FFFF-FFFF272B0000}" name="接続9780" type="7" refreshedVersion="4"/>
  <connection id="13483" xr16:uid="{00000000-0015-0000-FFFF-FFFF282B0000}" name="接続9781" type="7" refreshedVersion="4"/>
  <connection id="13484" xr16:uid="{00000000-0015-0000-FFFF-FFFF292B0000}" name="接続9782" type="7" refreshedVersion="4"/>
  <connection id="13485" xr16:uid="{00000000-0015-0000-FFFF-FFFF2A2B0000}" name="接続9783" type="7" refreshedVersion="4"/>
  <connection id="13486" xr16:uid="{00000000-0015-0000-FFFF-FFFF2B2B0000}" name="接続9784" type="7" refreshedVersion="4"/>
  <connection id="13487" xr16:uid="{00000000-0015-0000-FFFF-FFFF2C2B0000}" name="接続9785" type="7" refreshedVersion="4"/>
  <connection id="13488" xr16:uid="{00000000-0015-0000-FFFF-FFFF2D2B0000}" name="接続9786" type="7" refreshedVersion="4"/>
  <connection id="13489" xr16:uid="{00000000-0015-0000-FFFF-FFFF2E2B0000}" name="接続9787" type="7" refreshedVersion="4"/>
  <connection id="13490" xr16:uid="{00000000-0015-0000-FFFF-FFFF2F2B0000}" name="接続9788" type="7" refreshedVersion="4"/>
  <connection id="13491" xr16:uid="{00000000-0015-0000-FFFF-FFFF302B0000}" name="接続9789" type="7" refreshedVersion="4"/>
  <connection id="13492" xr16:uid="{00000000-0015-0000-FFFF-FFFF312B0000}" name="接続979" type="7" refreshedVersion="4"/>
  <connection id="13493" xr16:uid="{00000000-0015-0000-FFFF-FFFF322B0000}" name="接続9790" type="7" refreshedVersion="4"/>
  <connection id="13494" xr16:uid="{00000000-0015-0000-FFFF-FFFF332B0000}" name="接続9791" type="7" refreshedVersion="4"/>
  <connection id="13495" xr16:uid="{00000000-0015-0000-FFFF-FFFF342B0000}" name="接続9792" type="7" refreshedVersion="4"/>
  <connection id="13496" xr16:uid="{00000000-0015-0000-FFFF-FFFF352B0000}" name="接続9793" type="7" refreshedVersion="4"/>
  <connection id="13497" xr16:uid="{00000000-0015-0000-FFFF-FFFF362B0000}" name="接続9794" type="7" refreshedVersion="4"/>
  <connection id="13498" xr16:uid="{00000000-0015-0000-FFFF-FFFF372B0000}" name="接続9795" type="7" refreshedVersion="4"/>
  <connection id="13499" xr16:uid="{00000000-0015-0000-FFFF-FFFF382B0000}" name="接続9796" type="7" refreshedVersion="4"/>
  <connection id="13500" xr16:uid="{00000000-0015-0000-FFFF-FFFF392B0000}" name="接続9797" type="7" refreshedVersion="4"/>
  <connection id="13501" xr16:uid="{00000000-0015-0000-FFFF-FFFF3A2B0000}" name="接続9798" type="7" refreshedVersion="4"/>
  <connection id="13502" xr16:uid="{00000000-0015-0000-FFFF-FFFF3B2B0000}" name="接続9799" type="7" refreshedVersion="4"/>
  <connection id="13503" xr16:uid="{00000000-0015-0000-FFFF-FFFF3C2B0000}" name="接続98" type="7" refreshedVersion="4"/>
  <connection id="13504" xr16:uid="{00000000-0015-0000-FFFF-FFFF3D2B0000}" name="接続980" type="7" refreshedVersion="4"/>
  <connection id="13505" xr16:uid="{00000000-0015-0000-FFFF-FFFF3E2B0000}" name="接続9800" type="7" refreshedVersion="4"/>
  <connection id="13506" xr16:uid="{00000000-0015-0000-FFFF-FFFF3F2B0000}" name="接続9801" type="7" refreshedVersion="4"/>
  <connection id="13507" xr16:uid="{00000000-0015-0000-FFFF-FFFF402B0000}" name="接続9802" type="7" refreshedVersion="4"/>
  <connection id="13508" xr16:uid="{00000000-0015-0000-FFFF-FFFF412B0000}" name="接続9803" type="7" refreshedVersion="4"/>
  <connection id="13509" xr16:uid="{00000000-0015-0000-FFFF-FFFF422B0000}" name="接続9804" type="7" refreshedVersion="4"/>
  <connection id="13510" xr16:uid="{00000000-0015-0000-FFFF-FFFF432B0000}" name="接続9805" type="7" refreshedVersion="4"/>
  <connection id="13511" xr16:uid="{00000000-0015-0000-FFFF-FFFF442B0000}" name="接続9806" type="7" refreshedVersion="4"/>
  <connection id="13512" xr16:uid="{00000000-0015-0000-FFFF-FFFF452B0000}" name="接続9807" type="7" refreshedVersion="4"/>
  <connection id="13513" xr16:uid="{00000000-0015-0000-FFFF-FFFF462B0000}" name="接続9808" type="7" refreshedVersion="4"/>
  <connection id="13514" xr16:uid="{00000000-0015-0000-FFFF-FFFF472B0000}" name="接続9809" type="7" refreshedVersion="4"/>
  <connection id="13515" xr16:uid="{00000000-0015-0000-FFFF-FFFF482B0000}" name="接続981" type="7" refreshedVersion="4"/>
  <connection id="13516" xr16:uid="{00000000-0015-0000-FFFF-FFFF492B0000}" name="接続9810" type="7" refreshedVersion="4"/>
  <connection id="13517" xr16:uid="{00000000-0015-0000-FFFF-FFFF4A2B0000}" name="接続9811" type="7" refreshedVersion="4"/>
  <connection id="13518" xr16:uid="{00000000-0015-0000-FFFF-FFFF4B2B0000}" name="接続9812" type="7" refreshedVersion="4"/>
  <connection id="13519" xr16:uid="{00000000-0015-0000-FFFF-FFFF4C2B0000}" name="接続9813" type="7" refreshedVersion="4"/>
  <connection id="13520" xr16:uid="{00000000-0015-0000-FFFF-FFFF4D2B0000}" name="接続9814" type="7" refreshedVersion="4"/>
  <connection id="13521" xr16:uid="{00000000-0015-0000-FFFF-FFFF4E2B0000}" name="接続9815" type="7" refreshedVersion="4"/>
  <connection id="13522" xr16:uid="{00000000-0015-0000-FFFF-FFFF4F2B0000}" name="接続9816" type="7" refreshedVersion="4"/>
  <connection id="13523" xr16:uid="{00000000-0015-0000-FFFF-FFFF502B0000}" name="接続9817" type="7" refreshedVersion="4"/>
  <connection id="13524" xr16:uid="{00000000-0015-0000-FFFF-FFFF512B0000}" name="接続9818" type="7" refreshedVersion="4"/>
  <connection id="13525" xr16:uid="{00000000-0015-0000-FFFF-FFFF522B0000}" name="接続9819" type="7" refreshedVersion="4"/>
  <connection id="13526" xr16:uid="{00000000-0015-0000-FFFF-FFFF532B0000}" name="接続982" type="7" refreshedVersion="4"/>
  <connection id="13527" xr16:uid="{00000000-0015-0000-FFFF-FFFF542B0000}" name="接続9820" type="7" refreshedVersion="4"/>
  <connection id="13528" xr16:uid="{00000000-0015-0000-FFFF-FFFF552B0000}" name="接続9821" type="7" refreshedVersion="4"/>
  <connection id="13529" xr16:uid="{00000000-0015-0000-FFFF-FFFF562B0000}" name="接続9822" type="7" refreshedVersion="4"/>
  <connection id="13530" xr16:uid="{00000000-0015-0000-FFFF-FFFF572B0000}" name="接続9823" type="7" refreshedVersion="4"/>
  <connection id="13531" xr16:uid="{00000000-0015-0000-FFFF-FFFF582B0000}" name="接続9824" type="7" refreshedVersion="4"/>
  <connection id="13532" xr16:uid="{00000000-0015-0000-FFFF-FFFF592B0000}" name="接続9825" type="7" refreshedVersion="4"/>
  <connection id="13533" xr16:uid="{00000000-0015-0000-FFFF-FFFF5A2B0000}" name="接続9826" type="7" refreshedVersion="4"/>
  <connection id="13534" xr16:uid="{00000000-0015-0000-FFFF-FFFF5B2B0000}" name="接続9827" type="7" refreshedVersion="4"/>
  <connection id="13535" xr16:uid="{00000000-0015-0000-FFFF-FFFF5C2B0000}" name="接続9828" type="7" refreshedVersion="4"/>
  <connection id="13536" xr16:uid="{00000000-0015-0000-FFFF-FFFF5D2B0000}" name="接続9829" type="7" refreshedVersion="4"/>
  <connection id="13537" xr16:uid="{00000000-0015-0000-FFFF-FFFF5E2B0000}" name="接続983" type="7" refreshedVersion="4"/>
  <connection id="13538" xr16:uid="{00000000-0015-0000-FFFF-FFFF5F2B0000}" name="接続9830" type="7" refreshedVersion="4"/>
  <connection id="13539" xr16:uid="{00000000-0015-0000-FFFF-FFFF602B0000}" name="接続9831" type="7" refreshedVersion="4"/>
  <connection id="13540" xr16:uid="{00000000-0015-0000-FFFF-FFFF612B0000}" name="接続9832" type="7" refreshedVersion="4"/>
  <connection id="13541" xr16:uid="{00000000-0015-0000-FFFF-FFFF622B0000}" name="接続9833" type="7" refreshedVersion="4"/>
  <connection id="13542" xr16:uid="{00000000-0015-0000-FFFF-FFFF632B0000}" name="接続9834" type="7" refreshedVersion="4"/>
  <connection id="13543" xr16:uid="{00000000-0015-0000-FFFF-FFFF642B0000}" name="接続9835" type="7" refreshedVersion="4"/>
  <connection id="13544" xr16:uid="{00000000-0015-0000-FFFF-FFFF652B0000}" name="接続9836" type="7" refreshedVersion="4"/>
  <connection id="13545" xr16:uid="{00000000-0015-0000-FFFF-FFFF662B0000}" name="接続9837" type="7" refreshedVersion="4"/>
  <connection id="13546" xr16:uid="{00000000-0015-0000-FFFF-FFFF672B0000}" name="接続9838" type="7" refreshedVersion="4"/>
  <connection id="13547" xr16:uid="{00000000-0015-0000-FFFF-FFFF682B0000}" name="接続9839" type="7" refreshedVersion="4"/>
  <connection id="13548" xr16:uid="{00000000-0015-0000-FFFF-FFFF692B0000}" name="接続984" type="7" refreshedVersion="4"/>
  <connection id="13549" xr16:uid="{00000000-0015-0000-FFFF-FFFF6A2B0000}" name="接続9840" type="7" refreshedVersion="4"/>
  <connection id="13550" xr16:uid="{00000000-0015-0000-FFFF-FFFF6B2B0000}" name="接続9841" type="7" refreshedVersion="4"/>
  <connection id="13551" xr16:uid="{00000000-0015-0000-FFFF-FFFF6C2B0000}" name="接続9842" type="7" refreshedVersion="4"/>
  <connection id="13552" xr16:uid="{00000000-0015-0000-FFFF-FFFF6D2B0000}" name="接続9843" type="7" refreshedVersion="4"/>
  <connection id="13553" xr16:uid="{00000000-0015-0000-FFFF-FFFF6E2B0000}" name="接続9844" type="7" refreshedVersion="4"/>
  <connection id="13554" xr16:uid="{00000000-0015-0000-FFFF-FFFF6F2B0000}" name="接続9845" type="7" refreshedVersion="4"/>
  <connection id="13555" xr16:uid="{00000000-0015-0000-FFFF-FFFF702B0000}" name="接続9846" type="7" refreshedVersion="4"/>
  <connection id="13556" xr16:uid="{00000000-0015-0000-FFFF-FFFF712B0000}" name="接続9847" type="7" refreshedVersion="4"/>
  <connection id="13557" xr16:uid="{00000000-0015-0000-FFFF-FFFF722B0000}" name="接続9848" type="7" refreshedVersion="4"/>
  <connection id="13558" xr16:uid="{00000000-0015-0000-FFFF-FFFF732B0000}" name="接続9849" type="7" refreshedVersion="4"/>
  <connection id="13559" xr16:uid="{00000000-0015-0000-FFFF-FFFF742B0000}" name="接続985" type="7" refreshedVersion="4"/>
  <connection id="13560" xr16:uid="{00000000-0015-0000-FFFF-FFFF752B0000}" name="接続9850" type="7" refreshedVersion="4"/>
  <connection id="13561" xr16:uid="{00000000-0015-0000-FFFF-FFFF762B0000}" name="接続9851" type="7" refreshedVersion="4"/>
  <connection id="13562" xr16:uid="{00000000-0015-0000-FFFF-FFFF772B0000}" name="接続9852" type="7" refreshedVersion="4"/>
  <connection id="13563" xr16:uid="{00000000-0015-0000-FFFF-FFFF782B0000}" name="接続9853" type="7" refreshedVersion="4"/>
  <connection id="13564" xr16:uid="{00000000-0015-0000-FFFF-FFFF792B0000}" name="接続9854" type="7" refreshedVersion="4"/>
  <connection id="13565" xr16:uid="{00000000-0015-0000-FFFF-FFFF7A2B0000}" name="接続9855" type="7" refreshedVersion="4"/>
  <connection id="13566" xr16:uid="{00000000-0015-0000-FFFF-FFFF7B2B0000}" name="接続9856" type="7" refreshedVersion="4"/>
  <connection id="13567" xr16:uid="{00000000-0015-0000-FFFF-FFFF7C2B0000}" name="接続9857" type="7" refreshedVersion="4"/>
  <connection id="13568" xr16:uid="{00000000-0015-0000-FFFF-FFFF7D2B0000}" name="接続9858" type="7" refreshedVersion="4"/>
  <connection id="13569" xr16:uid="{00000000-0015-0000-FFFF-FFFF7E2B0000}" name="接続9859" type="7" refreshedVersion="4"/>
  <connection id="13570" xr16:uid="{00000000-0015-0000-FFFF-FFFF7F2B0000}" name="接続986" type="7" refreshedVersion="4"/>
  <connection id="13571" xr16:uid="{00000000-0015-0000-FFFF-FFFF802B0000}" name="接続9860" type="7" refreshedVersion="4"/>
  <connection id="13572" xr16:uid="{00000000-0015-0000-FFFF-FFFF812B0000}" name="接続9861" type="7" refreshedVersion="4"/>
  <connection id="13573" xr16:uid="{00000000-0015-0000-FFFF-FFFF822B0000}" name="接続9862" type="7" refreshedVersion="4"/>
  <connection id="13574" xr16:uid="{00000000-0015-0000-FFFF-FFFF832B0000}" name="接続9863" type="7" refreshedVersion="4"/>
  <connection id="13575" xr16:uid="{00000000-0015-0000-FFFF-FFFF842B0000}" name="接続9864" type="7" refreshedVersion="4"/>
  <connection id="13576" xr16:uid="{00000000-0015-0000-FFFF-FFFF852B0000}" name="接続9865" type="7" refreshedVersion="4"/>
  <connection id="13577" xr16:uid="{00000000-0015-0000-FFFF-FFFF862B0000}" name="接続9866" type="7" refreshedVersion="4"/>
  <connection id="13578" xr16:uid="{00000000-0015-0000-FFFF-FFFF872B0000}" name="接続9867" type="7" refreshedVersion="4"/>
  <connection id="13579" xr16:uid="{00000000-0015-0000-FFFF-FFFF882B0000}" name="接続9868" type="7" refreshedVersion="4"/>
  <connection id="13580" xr16:uid="{00000000-0015-0000-FFFF-FFFF892B0000}" name="接続9869" type="7" refreshedVersion="4"/>
  <connection id="13581" xr16:uid="{00000000-0015-0000-FFFF-FFFF8A2B0000}" name="接続987" type="7" refreshedVersion="4"/>
  <connection id="13582" xr16:uid="{00000000-0015-0000-FFFF-FFFF8B2B0000}" name="接続9870" type="7" refreshedVersion="4"/>
  <connection id="13583" xr16:uid="{00000000-0015-0000-FFFF-FFFF8C2B0000}" name="接続9871" type="7" refreshedVersion="4"/>
  <connection id="13584" xr16:uid="{00000000-0015-0000-FFFF-FFFF8D2B0000}" name="接続9872" type="7" refreshedVersion="4"/>
  <connection id="13585" xr16:uid="{00000000-0015-0000-FFFF-FFFF8E2B0000}" name="接続9873" type="7" refreshedVersion="4"/>
  <connection id="13586" xr16:uid="{00000000-0015-0000-FFFF-FFFF8F2B0000}" name="接続9874" type="7" refreshedVersion="4"/>
  <connection id="13587" xr16:uid="{00000000-0015-0000-FFFF-FFFF902B0000}" name="接続9875" type="7" refreshedVersion="4"/>
  <connection id="13588" xr16:uid="{00000000-0015-0000-FFFF-FFFF912B0000}" name="接続9876" type="7" refreshedVersion="4"/>
  <connection id="13589" xr16:uid="{00000000-0015-0000-FFFF-FFFF922B0000}" name="接続9877" type="7" refreshedVersion="4"/>
  <connection id="13590" xr16:uid="{00000000-0015-0000-FFFF-FFFF932B0000}" name="接続9878" type="7" refreshedVersion="4"/>
  <connection id="13591" xr16:uid="{00000000-0015-0000-FFFF-FFFF942B0000}" name="接続9879" type="7" refreshedVersion="4"/>
  <connection id="13592" xr16:uid="{00000000-0015-0000-FFFF-FFFF952B0000}" name="接続988" type="7" refreshedVersion="4"/>
  <connection id="13593" xr16:uid="{00000000-0015-0000-FFFF-FFFF962B0000}" name="接続9880" type="7" refreshedVersion="4"/>
  <connection id="13594" xr16:uid="{00000000-0015-0000-FFFF-FFFF972B0000}" name="接続9881" type="7" refreshedVersion="4"/>
  <connection id="13595" xr16:uid="{00000000-0015-0000-FFFF-FFFF982B0000}" name="接続9882" type="7" refreshedVersion="4"/>
  <connection id="13596" xr16:uid="{00000000-0015-0000-FFFF-FFFF992B0000}" name="接続9883" type="7" refreshedVersion="4"/>
  <connection id="13597" xr16:uid="{00000000-0015-0000-FFFF-FFFF9A2B0000}" name="接続9884" type="7" refreshedVersion="4"/>
  <connection id="13598" xr16:uid="{00000000-0015-0000-FFFF-FFFF9B2B0000}" name="接続9885" type="7" refreshedVersion="4"/>
  <connection id="13599" xr16:uid="{00000000-0015-0000-FFFF-FFFF9C2B0000}" name="接続9886" type="7" refreshedVersion="4"/>
  <connection id="13600" xr16:uid="{00000000-0015-0000-FFFF-FFFF9D2B0000}" name="接続9887" type="7" refreshedVersion="4"/>
  <connection id="13601" xr16:uid="{00000000-0015-0000-FFFF-FFFF9E2B0000}" name="接続9888" type="7" refreshedVersion="4"/>
  <connection id="13602" xr16:uid="{00000000-0015-0000-FFFF-FFFF9F2B0000}" name="接続9889" type="7" refreshedVersion="4"/>
  <connection id="13603" xr16:uid="{00000000-0015-0000-FFFF-FFFFA02B0000}" name="接続989" type="7" refreshedVersion="4"/>
  <connection id="13604" xr16:uid="{00000000-0015-0000-FFFF-FFFFA12B0000}" name="接続9890" type="7" refreshedVersion="4"/>
  <connection id="13605" xr16:uid="{00000000-0015-0000-FFFF-FFFFA22B0000}" name="接続9891" type="7" refreshedVersion="4"/>
  <connection id="13606" xr16:uid="{00000000-0015-0000-FFFF-FFFFA32B0000}" name="接続9892" type="7" refreshedVersion="4"/>
  <connection id="13607" xr16:uid="{00000000-0015-0000-FFFF-FFFFA42B0000}" name="接続9893" type="7" refreshedVersion="4"/>
  <connection id="13608" xr16:uid="{00000000-0015-0000-FFFF-FFFFA52B0000}" name="接続9894" type="7" refreshedVersion="4"/>
  <connection id="13609" xr16:uid="{00000000-0015-0000-FFFF-FFFFA62B0000}" name="接続9895" type="7" refreshedVersion="4"/>
  <connection id="13610" xr16:uid="{00000000-0015-0000-FFFF-FFFFA72B0000}" name="接続9896" type="7" refreshedVersion="4"/>
  <connection id="13611" xr16:uid="{00000000-0015-0000-FFFF-FFFFA82B0000}" name="接続9897" type="7" refreshedVersion="4"/>
  <connection id="13612" xr16:uid="{00000000-0015-0000-FFFF-FFFFA92B0000}" name="接続9898" type="7" refreshedVersion="4"/>
  <connection id="13613" xr16:uid="{00000000-0015-0000-FFFF-FFFFAA2B0000}" name="接続9899" type="7" refreshedVersion="4"/>
  <connection id="13614" xr16:uid="{00000000-0015-0000-FFFF-FFFFAB2B0000}" name="接続99" type="7" refreshedVersion="4"/>
  <connection id="13615" xr16:uid="{00000000-0015-0000-FFFF-FFFFAC2B0000}" name="接続990" type="7" refreshedVersion="4"/>
  <connection id="13616" xr16:uid="{00000000-0015-0000-FFFF-FFFFAD2B0000}" name="接続9900" type="7" refreshedVersion="4"/>
  <connection id="13617" xr16:uid="{00000000-0015-0000-FFFF-FFFFAE2B0000}" name="接続9901" type="7" refreshedVersion="4"/>
  <connection id="13618" xr16:uid="{00000000-0015-0000-FFFF-FFFFAF2B0000}" name="接続9902" type="7" refreshedVersion="4"/>
  <connection id="13619" xr16:uid="{00000000-0015-0000-FFFF-FFFFB02B0000}" name="接続9903" type="7" refreshedVersion="4"/>
  <connection id="13620" xr16:uid="{00000000-0015-0000-FFFF-FFFFB12B0000}" name="接続9904" type="7" refreshedVersion="4"/>
  <connection id="13621" xr16:uid="{00000000-0015-0000-FFFF-FFFFB22B0000}" name="接続9905" type="7" refreshedVersion="4"/>
  <connection id="13622" xr16:uid="{00000000-0015-0000-FFFF-FFFFB32B0000}" name="接続9906" type="7" refreshedVersion="4"/>
  <connection id="13623" xr16:uid="{00000000-0015-0000-FFFF-FFFFB42B0000}" name="接続9907" type="7" refreshedVersion="4"/>
  <connection id="13624" xr16:uid="{00000000-0015-0000-FFFF-FFFFB52B0000}" name="接続9908" type="7" refreshedVersion="4"/>
  <connection id="13625" xr16:uid="{00000000-0015-0000-FFFF-FFFFB62B0000}" name="接続9909" type="7" refreshedVersion="4"/>
  <connection id="13626" xr16:uid="{00000000-0015-0000-FFFF-FFFFB72B0000}" name="接続991" type="7" refreshedVersion="4"/>
  <connection id="13627" xr16:uid="{00000000-0015-0000-FFFF-FFFFB82B0000}" name="接続9910" type="7" refreshedVersion="4"/>
  <connection id="13628" xr16:uid="{00000000-0015-0000-FFFF-FFFFB92B0000}" name="接続9911" type="7" refreshedVersion="4"/>
  <connection id="13629" xr16:uid="{00000000-0015-0000-FFFF-FFFFBA2B0000}" name="接続9912" type="7" refreshedVersion="4"/>
  <connection id="13630" xr16:uid="{00000000-0015-0000-FFFF-FFFFBB2B0000}" name="接続9913" type="7" refreshedVersion="4"/>
  <connection id="13631" xr16:uid="{00000000-0015-0000-FFFF-FFFFBC2B0000}" name="接続9914" type="7" refreshedVersion="4"/>
  <connection id="13632" xr16:uid="{00000000-0015-0000-FFFF-FFFFBD2B0000}" name="接続9915" type="7" refreshedVersion="4"/>
  <connection id="13633" xr16:uid="{00000000-0015-0000-FFFF-FFFFBE2B0000}" name="接続9916" type="7" refreshedVersion="4"/>
  <connection id="13634" xr16:uid="{00000000-0015-0000-FFFF-FFFFBF2B0000}" name="接続9917" type="7" refreshedVersion="4"/>
  <connection id="13635" xr16:uid="{00000000-0015-0000-FFFF-FFFFC02B0000}" name="接続9918" type="7" refreshedVersion="4"/>
  <connection id="13636" xr16:uid="{00000000-0015-0000-FFFF-FFFFC12B0000}" name="接続9919" type="7" refreshedVersion="4"/>
  <connection id="13637" xr16:uid="{00000000-0015-0000-FFFF-FFFFC22B0000}" name="接続992" type="7" refreshedVersion="4"/>
  <connection id="13638" xr16:uid="{00000000-0015-0000-FFFF-FFFFC32B0000}" name="接続9920" type="7" refreshedVersion="4"/>
  <connection id="13639" xr16:uid="{00000000-0015-0000-FFFF-FFFFC42B0000}" name="接続9921" type="7" refreshedVersion="4"/>
  <connection id="13640" xr16:uid="{00000000-0015-0000-FFFF-FFFFC52B0000}" name="接続9922" type="7" refreshedVersion="4"/>
  <connection id="13641" xr16:uid="{00000000-0015-0000-FFFF-FFFFC62B0000}" name="接続9923" type="7" refreshedVersion="4"/>
  <connection id="13642" xr16:uid="{00000000-0015-0000-FFFF-FFFFC72B0000}" name="接続9924" type="7" refreshedVersion="4"/>
  <connection id="13643" xr16:uid="{00000000-0015-0000-FFFF-FFFFC82B0000}" name="接続9925" type="7" refreshedVersion="4"/>
  <connection id="13644" xr16:uid="{00000000-0015-0000-FFFF-FFFFC92B0000}" name="接続9926" type="7" refreshedVersion="4"/>
  <connection id="13645" xr16:uid="{00000000-0015-0000-FFFF-FFFFCA2B0000}" name="接続9927" type="7" refreshedVersion="4"/>
  <connection id="13646" xr16:uid="{00000000-0015-0000-FFFF-FFFFCB2B0000}" name="接続9928" type="7" refreshedVersion="4"/>
  <connection id="13647" xr16:uid="{00000000-0015-0000-FFFF-FFFFCC2B0000}" name="接続9929" type="7" refreshedVersion="4"/>
  <connection id="13648" xr16:uid="{00000000-0015-0000-FFFF-FFFFCD2B0000}" name="接続993" type="7" refreshedVersion="4"/>
  <connection id="13649" xr16:uid="{00000000-0015-0000-FFFF-FFFFCE2B0000}" name="接続9930" type="7" refreshedVersion="4"/>
  <connection id="13650" xr16:uid="{00000000-0015-0000-FFFF-FFFFCF2B0000}" name="接続9931" type="7" refreshedVersion="4"/>
  <connection id="13651" xr16:uid="{00000000-0015-0000-FFFF-FFFFD02B0000}" name="接続9932" type="7" refreshedVersion="4"/>
  <connection id="13652" xr16:uid="{00000000-0015-0000-FFFF-FFFFD12B0000}" name="接続9933" type="7" refreshedVersion="4"/>
  <connection id="13653" xr16:uid="{00000000-0015-0000-FFFF-FFFFD22B0000}" name="接続9934" type="7" refreshedVersion="4"/>
  <connection id="13654" xr16:uid="{00000000-0015-0000-FFFF-FFFFD32B0000}" name="接続9935" type="7" refreshedVersion="4"/>
  <connection id="13655" xr16:uid="{00000000-0015-0000-FFFF-FFFFD42B0000}" name="接続9936" type="7" refreshedVersion="4"/>
  <connection id="13656" xr16:uid="{00000000-0015-0000-FFFF-FFFFD52B0000}" name="接続9937" type="7" refreshedVersion="4"/>
  <connection id="13657" xr16:uid="{00000000-0015-0000-FFFF-FFFFD62B0000}" name="接続9938" type="7" refreshedVersion="4"/>
  <connection id="13658" xr16:uid="{00000000-0015-0000-FFFF-FFFFD72B0000}" name="接続9939" type="7" refreshedVersion="4"/>
  <connection id="13659" xr16:uid="{00000000-0015-0000-FFFF-FFFFD82B0000}" name="接続994" type="7" refreshedVersion="4"/>
  <connection id="13660" xr16:uid="{00000000-0015-0000-FFFF-FFFFD92B0000}" name="接続9940" type="7" refreshedVersion="4"/>
  <connection id="13661" xr16:uid="{00000000-0015-0000-FFFF-FFFFDA2B0000}" name="接続9941" type="7" refreshedVersion="4"/>
  <connection id="13662" xr16:uid="{00000000-0015-0000-FFFF-FFFFDB2B0000}" name="接続9942" type="7" refreshedVersion="4"/>
  <connection id="13663" xr16:uid="{00000000-0015-0000-FFFF-FFFFDC2B0000}" name="接続9943" type="7" refreshedVersion="4"/>
  <connection id="13664" xr16:uid="{00000000-0015-0000-FFFF-FFFFDD2B0000}" name="接続9944" type="7" refreshedVersion="4"/>
  <connection id="13665" xr16:uid="{00000000-0015-0000-FFFF-FFFFDE2B0000}" name="接続9945" type="7" refreshedVersion="4"/>
  <connection id="13666" xr16:uid="{00000000-0015-0000-FFFF-FFFFDF2B0000}" name="接続9946" type="7" refreshedVersion="4"/>
  <connection id="13667" xr16:uid="{00000000-0015-0000-FFFF-FFFFE02B0000}" name="接続9947" type="7" refreshedVersion="4"/>
  <connection id="13668" xr16:uid="{00000000-0015-0000-FFFF-FFFFE12B0000}" name="接続9948" type="7" refreshedVersion="4"/>
  <connection id="13669" xr16:uid="{00000000-0015-0000-FFFF-FFFFE22B0000}" name="接続9949" type="7" refreshedVersion="4"/>
  <connection id="13670" xr16:uid="{00000000-0015-0000-FFFF-FFFFE32B0000}" name="接続995" type="7" refreshedVersion="4"/>
  <connection id="13671" xr16:uid="{00000000-0015-0000-FFFF-FFFFE42B0000}" name="接続9950" type="7" refreshedVersion="4"/>
  <connection id="13672" xr16:uid="{00000000-0015-0000-FFFF-FFFFE52B0000}" name="接続9951" type="7" refreshedVersion="4"/>
  <connection id="13673" xr16:uid="{00000000-0015-0000-FFFF-FFFFE62B0000}" name="接続9952" type="7" refreshedVersion="4"/>
  <connection id="13674" xr16:uid="{00000000-0015-0000-FFFF-FFFFE72B0000}" name="接続9953" type="7" refreshedVersion="4"/>
  <connection id="13675" xr16:uid="{00000000-0015-0000-FFFF-FFFFE82B0000}" name="接続9954" type="7" refreshedVersion="4"/>
  <connection id="13676" xr16:uid="{00000000-0015-0000-FFFF-FFFFE92B0000}" name="接続9955" type="7" refreshedVersion="4"/>
  <connection id="13677" xr16:uid="{00000000-0015-0000-FFFF-FFFFEA2B0000}" name="接続9956" type="7" refreshedVersion="4"/>
  <connection id="13678" xr16:uid="{00000000-0015-0000-FFFF-FFFFEB2B0000}" name="接続9957" type="7" refreshedVersion="4"/>
  <connection id="13679" xr16:uid="{00000000-0015-0000-FFFF-FFFFEC2B0000}" name="接続9958" type="7" refreshedVersion="4"/>
  <connection id="13680" xr16:uid="{00000000-0015-0000-FFFF-FFFFED2B0000}" name="接続9959" type="7" refreshedVersion="4"/>
  <connection id="13681" xr16:uid="{00000000-0015-0000-FFFF-FFFFEE2B0000}" name="接続996" type="7" refreshedVersion="4"/>
  <connection id="13682" xr16:uid="{00000000-0015-0000-FFFF-FFFFEF2B0000}" name="接続9960" type="7" refreshedVersion="4"/>
  <connection id="13683" xr16:uid="{00000000-0015-0000-FFFF-FFFFF02B0000}" name="接続9961" type="7" refreshedVersion="4"/>
  <connection id="13684" xr16:uid="{00000000-0015-0000-FFFF-FFFFF12B0000}" name="接続9962" type="7" refreshedVersion="4"/>
  <connection id="13685" xr16:uid="{00000000-0015-0000-FFFF-FFFFF22B0000}" name="接続9963" type="7" refreshedVersion="4"/>
  <connection id="13686" xr16:uid="{00000000-0015-0000-FFFF-FFFFF32B0000}" name="接続9964" type="7" refreshedVersion="4"/>
  <connection id="13687" xr16:uid="{00000000-0015-0000-FFFF-FFFFF42B0000}" name="接続9965" type="7" refreshedVersion="4"/>
  <connection id="13688" xr16:uid="{00000000-0015-0000-FFFF-FFFFF52B0000}" name="接続9966" type="7" refreshedVersion="4"/>
  <connection id="13689" xr16:uid="{00000000-0015-0000-FFFF-FFFFF62B0000}" name="接続9967" type="7" refreshedVersion="4"/>
  <connection id="13690" xr16:uid="{00000000-0015-0000-FFFF-FFFFF72B0000}" name="接続9968" type="7" refreshedVersion="4"/>
  <connection id="13691" xr16:uid="{00000000-0015-0000-FFFF-FFFFF82B0000}" name="接続9969" type="7" refreshedVersion="4"/>
  <connection id="13692" xr16:uid="{00000000-0015-0000-FFFF-FFFFF92B0000}" name="接続997" type="7" refreshedVersion="4"/>
  <connection id="13693" xr16:uid="{00000000-0015-0000-FFFF-FFFFFA2B0000}" name="接続9970" type="7" refreshedVersion="4"/>
  <connection id="13694" xr16:uid="{00000000-0015-0000-FFFF-FFFFFB2B0000}" name="接続9971" type="7" refreshedVersion="4"/>
  <connection id="13695" xr16:uid="{00000000-0015-0000-FFFF-FFFFFC2B0000}" name="接続9972" type="7" refreshedVersion="4"/>
  <connection id="13696" xr16:uid="{00000000-0015-0000-FFFF-FFFFFD2B0000}" name="接続9973" type="7" refreshedVersion="4"/>
  <connection id="13697" xr16:uid="{00000000-0015-0000-FFFF-FFFFFE2B0000}" name="接続9974" type="7" refreshedVersion="4"/>
  <connection id="13698" xr16:uid="{00000000-0015-0000-FFFF-FFFFFF2B0000}" name="接続9975" type="7" refreshedVersion="4"/>
  <connection id="13699" xr16:uid="{00000000-0015-0000-FFFF-FFFF002C0000}" name="接続9976" type="7" refreshedVersion="4"/>
  <connection id="13700" xr16:uid="{00000000-0015-0000-FFFF-FFFF012C0000}" name="接続9977" type="7" refreshedVersion="4"/>
  <connection id="13701" xr16:uid="{00000000-0015-0000-FFFF-FFFF022C0000}" name="接続9978" type="7" refreshedVersion="4"/>
  <connection id="13702" xr16:uid="{00000000-0015-0000-FFFF-FFFF032C0000}" name="接続9979" type="7" refreshedVersion="4"/>
  <connection id="13703" xr16:uid="{00000000-0015-0000-FFFF-FFFF042C0000}" name="接続998" type="7" refreshedVersion="4"/>
  <connection id="13704" xr16:uid="{00000000-0015-0000-FFFF-FFFF052C0000}" name="接続9980" type="7" refreshedVersion="4"/>
  <connection id="13705" xr16:uid="{00000000-0015-0000-FFFF-FFFF062C0000}" name="接続9981" type="7" refreshedVersion="4"/>
  <connection id="13706" xr16:uid="{00000000-0015-0000-FFFF-FFFF072C0000}" name="接続9982" type="7" refreshedVersion="4"/>
  <connection id="13707" xr16:uid="{00000000-0015-0000-FFFF-FFFF082C0000}" name="接続9983" type="7" refreshedVersion="4"/>
  <connection id="13708" xr16:uid="{00000000-0015-0000-FFFF-FFFF092C0000}" name="接続9984" type="7" refreshedVersion="4"/>
  <connection id="13709" xr16:uid="{00000000-0015-0000-FFFF-FFFF0A2C0000}" name="接続9985" type="7" refreshedVersion="4"/>
  <connection id="13710" xr16:uid="{00000000-0015-0000-FFFF-FFFF0B2C0000}" name="接続9986" type="7" refreshedVersion="4"/>
  <connection id="13711" xr16:uid="{00000000-0015-0000-FFFF-FFFF0C2C0000}" name="接続9987" type="7" refreshedVersion="4"/>
  <connection id="13712" xr16:uid="{00000000-0015-0000-FFFF-FFFF0D2C0000}" name="接続9988" type="7" refreshedVersion="4"/>
  <connection id="13713" xr16:uid="{00000000-0015-0000-FFFF-FFFF0E2C0000}" name="接続9989" type="7" refreshedVersion="4"/>
  <connection id="13714" xr16:uid="{00000000-0015-0000-FFFF-FFFF0F2C0000}" name="接続999" type="7" refreshedVersion="4"/>
  <connection id="13715" xr16:uid="{00000000-0015-0000-FFFF-FFFF102C0000}" name="接続9990" type="7" refreshedVersion="4"/>
  <connection id="13716" xr16:uid="{00000000-0015-0000-FFFF-FFFF112C0000}" name="接続9991" type="7" refreshedVersion="4"/>
  <connection id="13717" xr16:uid="{00000000-0015-0000-FFFF-FFFF122C0000}" name="接続9992" type="7" refreshedVersion="4"/>
  <connection id="13718" xr16:uid="{00000000-0015-0000-FFFF-FFFF132C0000}" name="接続9993" type="7" refreshedVersion="4"/>
  <connection id="13719" xr16:uid="{00000000-0015-0000-FFFF-FFFF142C0000}" name="接続9994" type="7" refreshedVersion="4"/>
  <connection id="13720" xr16:uid="{00000000-0015-0000-FFFF-FFFF152C0000}" name="接続9995" type="7" refreshedVersion="4"/>
  <connection id="13721" xr16:uid="{00000000-0015-0000-FFFF-FFFF162C0000}" name="接続9996" type="7" refreshedVersion="4"/>
  <connection id="13722" xr16:uid="{00000000-0015-0000-FFFF-FFFF172C0000}" name="接続9997" type="7" refreshedVersion="4"/>
  <connection id="13723" xr16:uid="{00000000-0015-0000-FFFF-FFFF182C0000}" name="接続9998" type="7" refreshedVersion="4"/>
  <connection id="13724" xr16:uid="{00000000-0015-0000-FFFF-FFFF192C0000}" name="接続9999" type="7" refreshedVersion="4"/>
</connections>
</file>

<file path=xl/sharedStrings.xml><?xml version="1.0" encoding="utf-8"?>
<sst xmlns="http://schemas.openxmlformats.org/spreadsheetml/2006/main" count="4149" uniqueCount="1064">
  <si>
    <t>売上伝票１（日付固定による得意先別売上数量）
Param1:発送予定日</t>
    <rPh sb="0" eb="2">
      <t>ウリアゲ</t>
    </rPh>
    <rPh sb="2" eb="4">
      <t>デンピョウ</t>
    </rPh>
    <rPh sb="6" eb="8">
      <t>ヒヅケ</t>
    </rPh>
    <rPh sb="8" eb="10">
      <t>コテイ</t>
    </rPh>
    <rPh sb="13" eb="16">
      <t>トクイサキ</t>
    </rPh>
    <rPh sb="16" eb="17">
      <t>ベツ</t>
    </rPh>
    <rPh sb="17" eb="19">
      <t>ウリア</t>
    </rPh>
    <rPh sb="19" eb="21">
      <t>スウリョウ</t>
    </rPh>
    <rPh sb="31" eb="33">
      <t>ハッソウ</t>
    </rPh>
    <rPh sb="33" eb="36">
      <t>ヨテイビ</t>
    </rPh>
    <phoneticPr fontId="2"/>
  </si>
  <si>
    <t>売上伝票２（日別の商品売上数量）
Param1:発送予定日From
Param2:発送予定日To</t>
    <rPh sb="6" eb="7">
      <t>ヒ</t>
    </rPh>
    <rPh sb="7" eb="8">
      <t>ベツ</t>
    </rPh>
    <rPh sb="9" eb="11">
      <t>ショウヒン</t>
    </rPh>
    <rPh sb="11" eb="13">
      <t>ウリア</t>
    </rPh>
    <rPh sb="13" eb="15">
      <t>スウリョウ</t>
    </rPh>
    <phoneticPr fontId="2"/>
  </si>
  <si>
    <t>売上伝票３（在庫集計表用の商品一覧取得）
Param1:発送予定日From
Param2:発送予定日To</t>
    <rPh sb="0" eb="2">
      <t>ウリア</t>
    </rPh>
    <rPh sb="6" eb="8">
      <t>ザイコ</t>
    </rPh>
    <rPh sb="8" eb="10">
      <t>シュウケイ</t>
    </rPh>
    <rPh sb="10" eb="11">
      <t>ヒョウ</t>
    </rPh>
    <rPh sb="11" eb="12">
      <t>ヨウ</t>
    </rPh>
    <rPh sb="13" eb="15">
      <t>ショウヒン</t>
    </rPh>
    <rPh sb="15" eb="17">
      <t>イチラン</t>
    </rPh>
    <rPh sb="17" eb="19">
      <t>シュトク</t>
    </rPh>
    <phoneticPr fontId="2"/>
  </si>
  <si>
    <t>集計開始：</t>
    <rPh sb="0" eb="2">
      <t>シュウケイ</t>
    </rPh>
    <rPh sb="2" eb="4">
      <t>カイシ</t>
    </rPh>
    <phoneticPr fontId="2"/>
  </si>
  <si>
    <t>集計終了：</t>
    <rPh sb="0" eb="2">
      <t>シュウケイ</t>
    </rPh>
    <rPh sb="2" eb="4">
      <t>シュウリョウ</t>
    </rPh>
    <phoneticPr fontId="2"/>
  </si>
  <si>
    <t>集計日：</t>
    <rPh sb="0" eb="2">
      <t>シュウケイ</t>
    </rPh>
    <rPh sb="2" eb="3">
      <t>ヒ</t>
    </rPh>
    <phoneticPr fontId="2"/>
  </si>
  <si>
    <t>SQLサーバー名:</t>
    <rPh sb="7" eb="8">
      <t>メイ</t>
    </rPh>
    <phoneticPr fontId="2"/>
  </si>
  <si>
    <t>データベース名:</t>
    <rPh sb="6" eb="7">
      <t>メイ</t>
    </rPh>
    <phoneticPr fontId="2"/>
  </si>
  <si>
    <t>接続ユーザー名:</t>
    <rPh sb="0" eb="2">
      <t>セツゾク</t>
    </rPh>
    <rPh sb="6" eb="7">
      <t>メイ</t>
    </rPh>
    <phoneticPr fontId="2"/>
  </si>
  <si>
    <t>接続パスワード:</t>
    <rPh sb="0" eb="2">
      <t>セツゾク</t>
    </rPh>
    <phoneticPr fontId="2"/>
  </si>
  <si>
    <t>SQLNO</t>
    <phoneticPr fontId="2"/>
  </si>
  <si>
    <t>COMMENT</t>
    <phoneticPr fontId="2"/>
  </si>
  <si>
    <t>SQLTEXT</t>
    <phoneticPr fontId="2"/>
  </si>
  <si>
    <t>ﾃｽﾄ接続用SQL</t>
    <rPh sb="3" eb="6">
      <t>セツゾクヨウ</t>
    </rPh>
    <phoneticPr fontId="2"/>
  </si>
  <si>
    <t>SELECT 'TEST'</t>
    <phoneticPr fontId="2"/>
  </si>
  <si>
    <t>SELECT
 A.iHssYoteiDay as 発送予定日,
 Sh.iShhnEDPNo as 商品EDPNo,
 LTRIM(Sh.cShhnCd) as 商品コード,
 Sh.cShhnNm as 商品名,
 SUM(B.mSry) as 数量
FROM  UrgDnpy A, UrgDnpyMs B, Shhn Sh 
WHERE A.iUrgEDPNo = B.iUrgEDPNo
AND   B.iShhnEDPNo = Sh.iShhnEDPNo
AND   (A.iHssYoteiDay BETWEEN ? AND ?)
AND   (A.iFsn1 = '0' OR A.iFsn1 = '3')
GROUP BY  
 A.iHssYoteiDay,
 Sh.iShhnEDPNo,
 LTRIM(Sh.cShhnCd),
 Sh.cShhnNm</t>
    <phoneticPr fontId="2"/>
  </si>
  <si>
    <t>商品コード</t>
  </si>
  <si>
    <t>商品名</t>
  </si>
  <si>
    <t>2206</t>
  </si>
  <si>
    <t>月</t>
  </si>
  <si>
    <t>日</t>
    <rPh sb="0" eb="1">
      <t>ニチ</t>
    </rPh>
    <phoneticPr fontId="2"/>
  </si>
  <si>
    <t>火</t>
  </si>
  <si>
    <t>水</t>
  </si>
  <si>
    <t>木</t>
  </si>
  <si>
    <t>金</t>
  </si>
  <si>
    <t>納品数</t>
  </si>
  <si>
    <t>前夜本残</t>
  </si>
  <si>
    <t>土</t>
  </si>
  <si>
    <t>1812</t>
  </si>
  <si>
    <t>　　</t>
    <phoneticPr fontId="2"/>
  </si>
  <si>
    <t>.</t>
    <phoneticPr fontId="2"/>
  </si>
  <si>
    <t>noss</t>
    <phoneticPr fontId="2"/>
  </si>
  <si>
    <t>SELECT DISTINCT
 Ssk.cShirskCd as 仕入先コード,
 Ssk.cShirskNm as 仕入先名
FROM  Shirsk Ssk
WHERE Ssk.iShirskEDPNo = ?</t>
    <rPh sb="34" eb="36">
      <t>シイ</t>
    </rPh>
    <rPh sb="36" eb="37">
      <t>サキ</t>
    </rPh>
    <rPh sb="63" eb="64">
      <t>メイ</t>
    </rPh>
    <phoneticPr fontId="2"/>
  </si>
  <si>
    <t>売上伝票４（仕入れ先情報取得）
Param1:仕入れ先EDP番号</t>
    <rPh sb="0" eb="2">
      <t>ウリア</t>
    </rPh>
    <rPh sb="6" eb="8">
      <t>シイ</t>
    </rPh>
    <rPh sb="9" eb="10">
      <t>サキ</t>
    </rPh>
    <rPh sb="10" eb="12">
      <t>ジョウホウ</t>
    </rPh>
    <rPh sb="12" eb="14">
      <t>シュトク</t>
    </rPh>
    <rPh sb="24" eb="26">
      <t>シイ</t>
    </rPh>
    <rPh sb="27" eb="28">
      <t>サキ</t>
    </rPh>
    <rPh sb="31" eb="33">
      <t>バンゴウ</t>
    </rPh>
    <phoneticPr fontId="2"/>
  </si>
  <si>
    <t>SELECT
 Tk.iTkskEDPNo as 得意先EDPNo,
 LTRIM(Tk.cTkskCd) as 得意先コード,
 Tk.cDkjKmkNaiyou2 as 配送,
 Tk.cDkjKmkNaiyou1 as 得意先名,
 Sh.iShhnEDPNo as 商品EDPNo,
 LTRIM(Sh.cShhnCd) as 商品コード,
 Sh.cShhnNm as 商品名,
 B.mSry as 数量,
 CASE Sh.iShhnKb2
   when 39 then '箱'
   when 59 then 'こもの'
   when 58 then '不規則'
   else ''
 END as '箱/こ/不'
FROM  UrgDnpy A, UrgDnpyMs B, Tksk Tk, Shhn Sh 
WHERE A.iUrgEDPNo = B.iUrgEDPNo
AND   A.iTkskEDPNo = Tk.iTkskEDPNo
AND   B.iShhnEDPNo = Sh.iShhnEDPNo
AND   (A.iHssYoteiDay = ?)
AND   (A.iFsn1 = '0' OR A.iFsn1 = '3')</t>
    <rPh sb="87" eb="89">
      <t>ハイソウ</t>
    </rPh>
    <rPh sb="287" eb="290">
      <t>フキソク</t>
    </rPh>
    <rPh sb="312" eb="313">
      <t>ハコ</t>
    </rPh>
    <rPh sb="316" eb="317">
      <t>フ</t>
    </rPh>
    <phoneticPr fontId="2"/>
  </si>
  <si>
    <t xml:space="preserve">SELECT DISTINCT
 Sh.iShhnEDPNo as 商品EDPNo,
 LTRIM(Sh.cShhnCd) as 商品コード,
 Sh.cShhnNm as 商品名,
 Sh.mHyjnUrn as 標準売値,
 Sh.cKkchShhnCd as 拡張商品コード,
 Sh.iWrmnInsts as ワレモノ,
 Sh.iShhnKb2 as 商品区分2,
 Sh.mUrn1 as 売値1,
 Sh.iNmmnInsts as ナマモノ,
 Sh.iKikkKtbnShyKb as 規格型番,
 Sh.cKikkKtbn as 規格型番内容,
 Sh.iMainShirskEDPNo1 as 仕入れ先No
FROM  UrgDnpy A, UrgDnpyMs B, Shhn Sh 
WHERE A.iUrgEDPNo = B.iUrgEDPNo
AND   B.iShhnEDPNo = Sh.iShhnEDPNo
AND   (A.iHssYoteiDay BETWEEN ? AND ?)
AND   (A.iFsn1 = '0' OR A.iFsn1 = '3')
ORDER BY LTRIM(Sh.cShhnCd) </t>
    <rPh sb="133" eb="135">
      <t>カクチョウ</t>
    </rPh>
    <rPh sb="135" eb="137">
      <t>ショウヒン</t>
    </rPh>
    <rPh sb="182" eb="184">
      <t>ショウヒン</t>
    </rPh>
    <rPh sb="184" eb="186">
      <t>クブン</t>
    </rPh>
    <rPh sb="253" eb="255">
      <t>キカク</t>
    </rPh>
    <rPh sb="255" eb="257">
      <t>カタバン</t>
    </rPh>
    <rPh sb="280" eb="282">
      <t>ナイヨウ</t>
    </rPh>
    <phoneticPr fontId="2"/>
  </si>
  <si>
    <t>週末残</t>
  </si>
  <si>
    <t>調整</t>
  </si>
  <si>
    <t>日・入荷</t>
  </si>
  <si>
    <t>日・仮残</t>
  </si>
  <si>
    <t>日・本残</t>
  </si>
  <si>
    <t>月曜日</t>
  </si>
  <si>
    <t>月・入荷</t>
  </si>
  <si>
    <t>月・仮残</t>
  </si>
  <si>
    <t>月・本残</t>
  </si>
  <si>
    <t>火曜日</t>
  </si>
  <si>
    <t>火・入荷</t>
  </si>
  <si>
    <t>火・仮残</t>
  </si>
  <si>
    <t>火・本残</t>
  </si>
  <si>
    <t>水曜日</t>
  </si>
  <si>
    <t>水・入荷</t>
  </si>
  <si>
    <t>水・仮残</t>
  </si>
  <si>
    <t>水・本残</t>
  </si>
  <si>
    <t>木曜日</t>
  </si>
  <si>
    <t>木・入荷</t>
  </si>
  <si>
    <t>木・仮残</t>
  </si>
  <si>
    <t>木・本残</t>
  </si>
  <si>
    <t>金曜日</t>
  </si>
  <si>
    <t>産地</t>
  </si>
  <si>
    <t>箱/こ/不</t>
  </si>
  <si>
    <t>標準</t>
  </si>
  <si>
    <t>NH</t>
  </si>
  <si>
    <t>荷受</t>
  </si>
  <si>
    <t>東一専用</t>
  </si>
  <si>
    <t>JAN</t>
  </si>
  <si>
    <t>仕入先コード</t>
  </si>
  <si>
    <t>仕入先名</t>
  </si>
  <si>
    <t>○</t>
  </si>
  <si>
    <t>こもの</t>
  </si>
  <si>
    <t>箱</t>
  </si>
  <si>
    <t>得意先コード</t>
  </si>
  <si>
    <t>配送</t>
  </si>
  <si>
    <t>得意先名</t>
  </si>
  <si>
    <t>合計 / 数量</t>
  </si>
  <si>
    <t>総計</t>
  </si>
  <si>
    <t>えのき茸 １００ｇ(ﾐｽｽﾞ)</t>
  </si>
  <si>
    <t>箱/こもの</t>
  </si>
  <si>
    <t>昨日残</t>
    <rPh sb="0" eb="2">
      <t>キノウ</t>
    </rPh>
    <rPh sb="2" eb="3">
      <t>ザン</t>
    </rPh>
    <phoneticPr fontId="2"/>
  </si>
  <si>
    <t>本日仕分後残</t>
    <rPh sb="0" eb="2">
      <t>ホンジツ</t>
    </rPh>
    <rPh sb="2" eb="4">
      <t>シワ</t>
    </rPh>
    <rPh sb="4" eb="5">
      <t>ゴ</t>
    </rPh>
    <rPh sb="5" eb="6">
      <t>ザン</t>
    </rPh>
    <phoneticPr fontId="2"/>
  </si>
  <si>
    <t>1857-5</t>
  </si>
  <si>
    <t>有機しょうが 洗 100g (大地・産ﾊﾟ)</t>
  </si>
  <si>
    <t>1889-3</t>
  </si>
  <si>
    <t>有機大葉 １０枚ﾊﾟｯｸ (生々農園・産ﾊﾟ)</t>
  </si>
  <si>
    <t>■浅間とり牧場の自然卵　１０ｋｇ　Ｌ</t>
  </si>
  <si>
    <t>1883-15</t>
  </si>
  <si>
    <t>有機ｻﾗﾀﾞﾍﾞﾋﾞｰﾐｯｸｽ 40gﾊﾟｯｸ (わ～ふぁ)</t>
  </si>
  <si>
    <t>こだ横浜</t>
  </si>
  <si>
    <t>こだ大宮</t>
  </si>
  <si>
    <t>ﾗﾐ</t>
  </si>
  <si>
    <t>1821-2</t>
  </si>
  <si>
    <t>エリンギ 100g (ミスズ)</t>
  </si>
  <si>
    <t>金・入荷</t>
  </si>
  <si>
    <t>金・仮残</t>
  </si>
  <si>
    <t>金・本残</t>
  </si>
  <si>
    <t>土曜日</t>
  </si>
  <si>
    <t>調整（小分け使用等）</t>
    <rPh sb="0" eb="2">
      <t>チョウセイ</t>
    </rPh>
    <rPh sb="3" eb="5">
      <t>コワ</t>
    </rPh>
    <rPh sb="6" eb="8">
      <t>シヨウ</t>
    </rPh>
    <rPh sb="8" eb="9">
      <t>トウ</t>
    </rPh>
    <phoneticPr fontId="2"/>
  </si>
  <si>
    <t>今日入荷（作成）</t>
    <rPh sb="0" eb="2">
      <t>キョウ</t>
    </rPh>
    <rPh sb="2" eb="4">
      <t>ニュウカ</t>
    </rPh>
    <rPh sb="5" eb="7">
      <t>サクセイ</t>
    </rPh>
    <phoneticPr fontId="2"/>
  </si>
  <si>
    <t>集荷便から降ろす数/小分けしないと足りない数</t>
    <rPh sb="0" eb="2">
      <t>シュウカ</t>
    </rPh>
    <rPh sb="2" eb="3">
      <t>ビン</t>
    </rPh>
    <rPh sb="5" eb="6">
      <t>オ</t>
    </rPh>
    <rPh sb="8" eb="9">
      <t>カズ</t>
    </rPh>
    <rPh sb="10" eb="12">
      <t>コワ</t>
    </rPh>
    <rPh sb="17" eb="18">
      <t>タ</t>
    </rPh>
    <rPh sb="21" eb="22">
      <t>カズ</t>
    </rPh>
    <phoneticPr fontId="2"/>
  </si>
  <si>
    <t>○■◇区分</t>
    <rPh sb="3" eb="5">
      <t>クブン</t>
    </rPh>
    <phoneticPr fontId="2"/>
  </si>
  <si>
    <t>こだISP</t>
  </si>
  <si>
    <t>仕分けで使うもの</t>
    <rPh sb="0" eb="2">
      <t>シワ</t>
    </rPh>
    <rPh sb="4" eb="5">
      <t>ツカ</t>
    </rPh>
    <phoneticPr fontId="2"/>
  </si>
  <si>
    <t>事務所チェック済み印→</t>
    <rPh sb="0" eb="2">
      <t>ジム</t>
    </rPh>
    <rPh sb="2" eb="3">
      <t>ショ</t>
    </rPh>
    <rPh sb="7" eb="8">
      <t>ズ</t>
    </rPh>
    <rPh sb="9" eb="10">
      <t>イン</t>
    </rPh>
    <phoneticPr fontId="2"/>
  </si>
  <si>
    <t>土・入荷</t>
  </si>
  <si>
    <t>土・仮残</t>
  </si>
  <si>
    <t>土・本残</t>
  </si>
  <si>
    <t>日曜日</t>
  </si>
  <si>
    <t>あしたば</t>
  </si>
  <si>
    <t>貼</t>
    <rPh sb="0" eb="1">
      <t>ハ</t>
    </rPh>
    <phoneticPr fontId="2"/>
  </si>
  <si>
    <t>自動表示</t>
    <rPh sb="0" eb="2">
      <t>ジドウ</t>
    </rPh>
    <rPh sb="2" eb="4">
      <t>ヒョウジ</t>
    </rPh>
    <phoneticPr fontId="2"/>
  </si>
  <si>
    <t>こだ辻堂</t>
  </si>
  <si>
    <t>こだ所沢</t>
  </si>
  <si>
    <t>こだ東戸塚</t>
  </si>
  <si>
    <t>こだ川崎</t>
  </si>
  <si>
    <t>1898-3</t>
  </si>
  <si>
    <t>有機ホワイトマッシュルーム 70g(舟形)</t>
  </si>
  <si>
    <t>こだ永福町</t>
  </si>
  <si>
    <t>1393-40</t>
  </si>
  <si>
    <t>1806-2</t>
  </si>
  <si>
    <t>ぶなクイーン　１００ｇ(ﾐｽｽﾞ)</t>
  </si>
  <si>
    <t>1820</t>
  </si>
  <si>
    <t>一株なめこ １７０ｇ(ﾐｽｽﾞ)</t>
  </si>
  <si>
    <t>こだ田無</t>
  </si>
  <si>
    <t>こだ港南台</t>
  </si>
  <si>
    <t>こだ調布</t>
  </si>
  <si>
    <t>1468-3</t>
  </si>
  <si>
    <t>有機山東菜　150ｇ（わ～ふぁ）</t>
  </si>
  <si>
    <t>こだｾﾝﾀｰ北</t>
  </si>
  <si>
    <t>1898-5</t>
  </si>
  <si>
    <t>有機ブラウンマッシュルーム 70g(舟形)</t>
  </si>
  <si>
    <t>こだ海老名</t>
  </si>
  <si>
    <t>ｷﾃﾚﾂﾌｧｰﾑの野菜ｾｯﾄ</t>
  </si>
  <si>
    <t>箱もの計</t>
    <rPh sb="0" eb="4">
      <t>ハ</t>
    </rPh>
    <phoneticPr fontId="2"/>
  </si>
  <si>
    <t>合計</t>
    <rPh sb="0" eb="2">
      <t>ゴウケイ</t>
    </rPh>
    <phoneticPr fontId="2"/>
  </si>
  <si>
    <t>1804-5</t>
  </si>
  <si>
    <t>ｶｯﾄぶなしめじ 90ｇ(ﾐｽｽﾞ)</t>
  </si>
  <si>
    <t>福・本店</t>
  </si>
  <si>
    <t>こだ自由が丘</t>
  </si>
  <si>
    <t>こだ新宿</t>
  </si>
  <si>
    <t>こだ吉祥寺</t>
  </si>
  <si>
    <t>こだ千葉</t>
  </si>
  <si>
    <t>nksv01\SORIMACHI</t>
    <phoneticPr fontId="2"/>
  </si>
  <si>
    <t>!Nukumori1</t>
    <phoneticPr fontId="2"/>
  </si>
  <si>
    <t>こだ大野</t>
  </si>
  <si>
    <t>1881-8</t>
  </si>
  <si>
    <t>有機たかのつめ(唐辛子) 8g袋 (吉水)</t>
  </si>
  <si>
    <t>2392-15</t>
  </si>
  <si>
    <t>ひきわりカップ　30ｇ×２ｐ</t>
  </si>
  <si>
    <t>プロ</t>
  </si>
  <si>
    <t>こだ溝口</t>
  </si>
  <si>
    <t>こだ戸塚</t>
  </si>
  <si>
    <t>SPR22DB01</t>
    <phoneticPr fontId="2"/>
  </si>
  <si>
    <t>こだ池袋</t>
  </si>
  <si>
    <t>1004-14</t>
  </si>
  <si>
    <t>有機みかん 600g (和歌山)◇</t>
  </si>
  <si>
    <t>こだ三鷹</t>
  </si>
  <si>
    <t>こだ国分寺</t>
  </si>
  <si>
    <t>1835-4</t>
  </si>
  <si>
    <t>□小ねぎ 100ｇ×20入(伊藤昇)7割減・5割減</t>
  </si>
  <si>
    <t>こだ昭島</t>
  </si>
  <si>
    <t>こだｴﾐｵ所沢</t>
  </si>
  <si>
    <t>1883-55</t>
  </si>
  <si>
    <t>有機ﾍﾞﾋﾞｰﾘｰﾌ 30gﾊﾟｯｸ (HATAKE)</t>
  </si>
  <si>
    <t>1883-56</t>
  </si>
  <si>
    <t>有機ベビーリーフ　大袋　500ｇ(HATAKE)</t>
  </si>
  <si>
    <t>社内便1</t>
  </si>
  <si>
    <t>社内便3</t>
  </si>
  <si>
    <t>こだ市川</t>
  </si>
  <si>
    <t>こだ金町</t>
  </si>
  <si>
    <t>こだ藤沢</t>
  </si>
  <si>
    <t>こだ浦和</t>
  </si>
  <si>
    <t>こだ新百合</t>
  </si>
  <si>
    <t>ﾗﾐ(ｻﾈｯﾄ行)</t>
  </si>
  <si>
    <t>こだ上野</t>
  </si>
  <si>
    <t>こだ三軒茶屋</t>
  </si>
  <si>
    <t>こだ中野</t>
  </si>
  <si>
    <t>1804-1</t>
  </si>
  <si>
    <t>2210-3</t>
  </si>
  <si>
    <t>■卵「もみじ」Ｓ 10㎏(大松)</t>
  </si>
  <si>
    <t>福本店(加工)</t>
  </si>
  <si>
    <t>こだ狛江</t>
  </si>
  <si>
    <t>虎ノ門</t>
  </si>
  <si>
    <t>1869-1</t>
  </si>
  <si>
    <t>有機パクチー　30ｇ（わ～ふぁ）</t>
  </si>
  <si>
    <t>1883-58</t>
  </si>
  <si>
    <t>□有機ﾍﾞﾋﾞｰﾘｰﾌ 30gﾊﾟｯｸ×10入 (HATAKE)</t>
  </si>
  <si>
    <t>こだ平塚</t>
  </si>
  <si>
    <t>こだ草加</t>
  </si>
  <si>
    <t>1353-5</t>
  </si>
  <si>
    <t>1856-12</t>
  </si>
  <si>
    <t>1564-100</t>
  </si>
  <si>
    <t>長ねぎ　ﾑｷ ２本袋(ﾊｲﾊｰﾊﾞｰ)◇</t>
  </si>
  <si>
    <t>こもの計</t>
    <phoneticPr fontId="2"/>
  </si>
  <si>
    <t>こだ大船</t>
  </si>
  <si>
    <t>こだ八王子</t>
  </si>
  <si>
    <t>こだ本厚</t>
  </si>
  <si>
    <t>6206-2</t>
  </si>
  <si>
    <t>米粉カステラ　１切</t>
  </si>
  <si>
    <t>長野</t>
  </si>
  <si>
    <t>こだ錦糸町</t>
  </si>
  <si>
    <t>こだ船橋</t>
  </si>
  <si>
    <t>1216-183</t>
  </si>
  <si>
    <t>有機ｼﾞｬｶﾞｲﾓ｢ｷﾀｱｶﾘ｣ 500g(佐藤)◇</t>
  </si>
  <si>
    <t>1878-10</t>
  </si>
  <si>
    <t>□有機緑豆もやし　200g×10 (ｻﾗﾀﾞｺｽﾓ)</t>
  </si>
  <si>
    <t>1878-21</t>
  </si>
  <si>
    <t>□有機アルファルファ 60ｇ×6 (ｻﾗﾀﾞｺｽﾓ)</t>
  </si>
  <si>
    <t>六本木</t>
  </si>
  <si>
    <t>1281-24</t>
  </si>
  <si>
    <t>■れんこん　４kg(松信昌栄)</t>
  </si>
  <si>
    <t>1443-28</t>
  </si>
  <si>
    <t>有機ちんげん菜　２株(わ～ふぁ)</t>
  </si>
  <si>
    <t>1232-306</t>
  </si>
  <si>
    <t>■有機じゃがいも｢男爵｣ 混 10kg (坂本）</t>
  </si>
  <si>
    <t>こだ稲毛</t>
  </si>
  <si>
    <t>1232-308</t>
  </si>
  <si>
    <t>有機じゃがいも｢男爵｣ 500g(坂本)◇</t>
  </si>
  <si>
    <t>有機長いも　200ｇ（みちのく）</t>
  </si>
  <si>
    <t>有機にんにく　Ｍ１玉（みちのく)</t>
  </si>
  <si>
    <t>1419-1</t>
  </si>
  <si>
    <t>有機フリルケール　３枚入（わ～ふぁ）</t>
  </si>
  <si>
    <t>1261-369</t>
  </si>
  <si>
    <t>1261-370</t>
  </si>
  <si>
    <t>1290-39</t>
  </si>
  <si>
    <t>有機ごぼう 300g(栗又)◇</t>
  </si>
  <si>
    <t>1303-173</t>
  </si>
  <si>
    <t>有機里いも　500ｇ (田島穣)◇</t>
  </si>
  <si>
    <t>1407-14</t>
  </si>
  <si>
    <t>有機ルッコラ 50g袋 (わ～ふぁ)</t>
  </si>
  <si>
    <t>1448-36</t>
  </si>
  <si>
    <t>有機春菊　100ｇ(わ～ふぁ)</t>
  </si>
  <si>
    <t>こだ丸広川越</t>
  </si>
  <si>
    <t>こだｵﾀﾞｻｶﾞ</t>
  </si>
  <si>
    <t>虎ノ門惣菜</t>
  </si>
  <si>
    <t>代官山</t>
  </si>
  <si>
    <t>1232-310</t>
  </si>
  <si>
    <t>■有機じゃが芋｢男爵｣ Ｂ 10kg (坂本）</t>
  </si>
  <si>
    <t>1316-287</t>
  </si>
  <si>
    <t>■ｻﾂﾏ芋「紅はるか」ML10kg(工藤)草1・不</t>
  </si>
  <si>
    <t>1316-288</t>
  </si>
  <si>
    <t>さつまいも「紅はるか」600g(工藤)◇</t>
  </si>
  <si>
    <t>1404-26</t>
  </si>
  <si>
    <t>ほうれん草 150g袋 (松信昌栄)不不　茨城産</t>
  </si>
  <si>
    <t>1820-5</t>
  </si>
  <si>
    <t>小粒なめこ 100ｇ(熊谷)</t>
  </si>
  <si>
    <t>1215-8</t>
  </si>
  <si>
    <t>1502-2</t>
  </si>
  <si>
    <t>1665-32</t>
  </si>
  <si>
    <t>■有機かぼちゃ｢ほっこり」10kg(石田)</t>
  </si>
  <si>
    <t>■じゃがいも「男爵」10kg（剣淵)不・5割減</t>
  </si>
  <si>
    <t>1601-79</t>
  </si>
  <si>
    <t>トマト　１袋（220ｇ以上）（石毛）◇</t>
  </si>
  <si>
    <t>1241-500</t>
  </si>
  <si>
    <t>■有機人参 洗Ｃ(わけあり) 10kg(加瀬)</t>
  </si>
  <si>
    <t>1063-36</t>
  </si>
  <si>
    <t>1072-1</t>
  </si>
  <si>
    <t>■りんご「サンふじ」10ｋｇ（津軽）</t>
  </si>
  <si>
    <t>1665-44</t>
  </si>
  <si>
    <t>■有機かぼちゃ｢ほっこり」○ 10kg(石田)</t>
  </si>
  <si>
    <t>1148-104</t>
  </si>
  <si>
    <t>有機ｷｳｲﾌﾙｰﾂ「ﾍｲﾜｰﾄﾞ」300g(甘楽町)◇</t>
  </si>
  <si>
    <t>1241-560</t>
  </si>
  <si>
    <t>カラー人参 400ｇ(せっせと畑)</t>
  </si>
  <si>
    <t>1654-75</t>
  </si>
  <si>
    <t>有機ピーマン　150g（SOHﾌｧｰﾑ）◇</t>
  </si>
  <si>
    <t>303</t>
  </si>
  <si>
    <t>328</t>
  </si>
  <si>
    <t>335</t>
  </si>
  <si>
    <t>360</t>
  </si>
  <si>
    <t>361</t>
  </si>
  <si>
    <t>365</t>
  </si>
  <si>
    <t>570</t>
  </si>
  <si>
    <t>576</t>
  </si>
  <si>
    <t>ﾗﾐ(こだ)</t>
  </si>
  <si>
    <t>1316-289</t>
  </si>
  <si>
    <t>■ｻﾂﾏ芋「紅はるか」Ｂ10kg(工藤)草1・不</t>
  </si>
  <si>
    <t>ﾌｧﾝﾀｽ</t>
  </si>
  <si>
    <t>福・本店惣菜</t>
  </si>
  <si>
    <t>六本木惣菜</t>
  </si>
  <si>
    <t>1621-67</t>
  </si>
  <si>
    <t>きゅうり　２本袋(旭愛農)◇</t>
  </si>
  <si>
    <t>1824-2</t>
  </si>
  <si>
    <t>有機パセリ 30g袋 (大地と自然)</t>
  </si>
  <si>
    <t>1072-2</t>
  </si>
  <si>
    <t>1838-12</t>
  </si>
  <si>
    <t>有機青ねぎ 100ｇ (大地と自然)</t>
  </si>
  <si>
    <t>250</t>
  </si>
  <si>
    <t>303-12</t>
  </si>
  <si>
    <t>303-20</t>
  </si>
  <si>
    <t>303-4</t>
  </si>
  <si>
    <t>303-7</t>
  </si>
  <si>
    <t>346</t>
  </si>
  <si>
    <t>604-01</t>
  </si>
  <si>
    <t>604-04</t>
  </si>
  <si>
    <t>604-06</t>
  </si>
  <si>
    <t>901-2</t>
  </si>
  <si>
    <t>902</t>
  </si>
  <si>
    <t>902-14</t>
  </si>
  <si>
    <t>その他</t>
  </si>
  <si>
    <t>直売所</t>
  </si>
  <si>
    <t>直売秋葉原</t>
  </si>
  <si>
    <t>大根　 1本袋(多田孝一)虫2・不　千葉</t>
  </si>
  <si>
    <t>■大根　裸10本(多田孝一)虫2・不　千葉</t>
  </si>
  <si>
    <t>604-11</t>
  </si>
  <si>
    <t>604-08</t>
  </si>
  <si>
    <t>2209-22</t>
  </si>
  <si>
    <t>■平飼いたまご10個ﾓｳﾙﾄﾞﾊﾟｯｸ×24（会田）</t>
  </si>
  <si>
    <t>1049-84</t>
  </si>
  <si>
    <t>■有機レモン B 10kg (中川栄)</t>
  </si>
  <si>
    <t>1241-671</t>
  </si>
  <si>
    <t>■有機人参　洗い　大 10㎏(まるた)</t>
  </si>
  <si>
    <t>1408-72</t>
  </si>
  <si>
    <t>有機ほうれん草　150g袋 (わ～ふぁ)</t>
  </si>
  <si>
    <t>1543-128</t>
  </si>
  <si>
    <t>有機ブロッコリー１個袋(雲仙)</t>
  </si>
  <si>
    <t>1241-673</t>
  </si>
  <si>
    <t>有機人参　洗い　400g袋(まるた)</t>
  </si>
  <si>
    <t>1170-25</t>
  </si>
  <si>
    <t>1175-15</t>
  </si>
  <si>
    <t>■アボカド 裸バラ30玉 １箱</t>
  </si>
  <si>
    <t>■有機インカバナナ 600g袋×１６入</t>
  </si>
  <si>
    <t>こだ中村橋</t>
  </si>
  <si>
    <t>こだおおたか</t>
  </si>
  <si>
    <t>1226-152</t>
  </si>
  <si>
    <t>有機玉ねぎ　600ｇ(渡辺)◇</t>
  </si>
  <si>
    <t>1261-323</t>
  </si>
  <si>
    <t>カラー大根　２色セット袋(せっせと畑)</t>
  </si>
  <si>
    <t>1290-45</t>
  </si>
  <si>
    <t>■有機ごぼう２L　バラ10㎏箱 (栗又）</t>
  </si>
  <si>
    <t>1413-31</t>
  </si>
  <si>
    <t>ちぢみほうれん草　200ｇ（松信)不不</t>
  </si>
  <si>
    <t>1582-67</t>
  </si>
  <si>
    <t>有機サニーレタス　ﾗｯﾌﾟ １個(松井ｸﾞﾙｰﾌﾟ)</t>
  </si>
  <si>
    <t>1589-137</t>
  </si>
  <si>
    <t>有機リーフレタス　ﾗｯﾌﾟ １個(松井ｸﾞﾙｰﾌﾟ)</t>
  </si>
  <si>
    <t>1593-58</t>
  </si>
  <si>
    <t>有機ミニ白菜 １個袋 (内山)◇</t>
  </si>
  <si>
    <t>1614-251</t>
  </si>
  <si>
    <t>有機ミニトマト　150g（吉水)◇</t>
  </si>
  <si>
    <t>1807-55</t>
  </si>
  <si>
    <t>有機生しいたけ(菌床)100gﾄﾚｰ(太洋社)</t>
  </si>
  <si>
    <t>1807-56</t>
  </si>
  <si>
    <t>有機生しいたけ(菌床)不揃200g袋(太洋社)</t>
  </si>
  <si>
    <t>1241-39</t>
  </si>
  <si>
    <t>■有機人参 洗い 10kg（さんぶ・産ﾊﾟ）</t>
  </si>
  <si>
    <t>1409-195</t>
  </si>
  <si>
    <t>有機(転換中)小松菜　200g(キテレツ)</t>
  </si>
  <si>
    <t>アキバ惣菜</t>
  </si>
  <si>
    <t>1593-50</t>
  </si>
  <si>
    <t>得意先EDPNo</t>
  </si>
  <si>
    <t>数量</t>
  </si>
  <si>
    <t>901</t>
  </si>
  <si>
    <t/>
  </si>
  <si>
    <t>諸口</t>
  </si>
  <si>
    <t>本体価格</t>
    <rPh sb="0" eb="2">
      <t>ホンタイ</t>
    </rPh>
    <rPh sb="2" eb="4">
      <t>カカク</t>
    </rPh>
    <phoneticPr fontId="2"/>
  </si>
  <si>
    <t>商品コード2</t>
  </si>
  <si>
    <r>
      <t xml:space="preserve">■キャベツ 8～13個ｺﾝﾃﾅ（中澤良一)不不
</t>
    </r>
    <r>
      <rPr>
        <b/>
        <sz val="11"/>
        <color rgb="FFFF0000"/>
        <rFont val="ＭＳ Ｐゴシック"/>
        <family val="3"/>
        <charset val="128"/>
      </rPr>
      <t>※</t>
    </r>
    <r>
      <rPr>
        <b/>
        <sz val="11"/>
        <color rgb="FFFF0000"/>
        <rFont val="ＭＳ Ｐゴシック"/>
        <family val="3"/>
        <charset val="128"/>
        <scheme val="minor"/>
      </rPr>
      <t>1玉ずつポリ袋ガッチャンしてシール貼る</t>
    </r>
    <rPh sb="26" eb="27">
      <t>タマ</t>
    </rPh>
    <rPh sb="31" eb="32">
      <t>ブクロ</t>
    </rPh>
    <rPh sb="42" eb="43">
      <t>ハ</t>
    </rPh>
    <phoneticPr fontId="1"/>
  </si>
  <si>
    <r>
      <t xml:space="preserve">■りんご「蜜入サンふじ」10ｋｇ(津軽)
</t>
    </r>
    <r>
      <rPr>
        <b/>
        <sz val="11"/>
        <color rgb="FFFF0000"/>
        <rFont val="ＭＳ Ｐゴシック"/>
        <family val="3"/>
        <charset val="128"/>
      </rPr>
      <t>※2玉ずつボードンガッチャンしてシール貼る</t>
    </r>
    <phoneticPr fontId="2"/>
  </si>
  <si>
    <r>
      <t xml:space="preserve">りんご「王林」　10ｋｇ箱
</t>
    </r>
    <r>
      <rPr>
        <b/>
        <sz val="11"/>
        <color rgb="FFFF0000"/>
        <rFont val="ＭＳ Ｐ明朝"/>
        <family val="1"/>
        <charset val="128"/>
      </rPr>
      <t>※2玉ずつボードンガッチャンしてシール貼る</t>
    </r>
    <rPh sb="4" eb="6">
      <t>オウリン</t>
    </rPh>
    <rPh sb="12" eb="13">
      <t>ハコ</t>
    </rPh>
    <phoneticPr fontId="2"/>
  </si>
  <si>
    <t>箱もの　2025（R7）</t>
    <rPh sb="0" eb="1">
      <t>ハコ</t>
    </rPh>
    <phoneticPr fontId="2"/>
  </si>
  <si>
    <t>桜花便</t>
  </si>
  <si>
    <t>ﾋﾞｰﾝｽﾞ</t>
  </si>
  <si>
    <t>ﾅﾓ商会</t>
  </si>
  <si>
    <t>松戸</t>
  </si>
  <si>
    <t>ひばりが丘</t>
  </si>
  <si>
    <t>ｱﾝﾄﾞ大泉</t>
  </si>
  <si>
    <t>ﾎﾞﾝ永山</t>
  </si>
  <si>
    <t>ﾎﾞﾝ横浜</t>
  </si>
  <si>
    <t>ﾌｰﾄﾞ学芸大</t>
  </si>
  <si>
    <t>長岡</t>
  </si>
  <si>
    <t>1470-55</t>
  </si>
  <si>
    <t>有機水菜 200g袋 (わ～ふぁ・産ﾊﾟ)</t>
  </si>
  <si>
    <t>1621-64</t>
  </si>
  <si>
    <t>□きゅうり 5kg箱(太一興陽石毛)菌5虫8・不</t>
  </si>
  <si>
    <t>1621-65</t>
  </si>
  <si>
    <t>きゅうり　２本袋(石毛)◇</t>
  </si>
  <si>
    <t>1589-157</t>
  </si>
  <si>
    <t>■リーフレタス　裸　15個(松信昌栄)</t>
  </si>
  <si>
    <t>1621-73</t>
  </si>
  <si>
    <t>きゅうり　３本袋(石毛)◇</t>
  </si>
  <si>
    <t>こもの　2025（R7）</t>
    <phoneticPr fontId="2"/>
  </si>
  <si>
    <t>1261-55</t>
  </si>
  <si>
    <t>■大根 洗い 10本　ｺﾝﾃﾅ(萩原)不・不</t>
  </si>
  <si>
    <t>1878-19</t>
  </si>
  <si>
    <t>□有機豆苗　２束×6 (ｻﾗﾀﾞｺｽﾓ)</t>
  </si>
  <si>
    <t>1049-32</t>
  </si>
  <si>
    <t>■有機レモン 格外 10kg (和歌山)</t>
  </si>
  <si>
    <t>1408-198</t>
  </si>
  <si>
    <t>■ほうれん草 5kg (さんぶ)不不</t>
  </si>
  <si>
    <t>1261-59</t>
  </si>
  <si>
    <t>■大根 Ｂ 10kg（萩原）</t>
  </si>
  <si>
    <t>1041-39</t>
  </si>
  <si>
    <t>1898-12</t>
  </si>
  <si>
    <t>有機ブラウンﾏｯｼｭﾙｰﾑ 150ｇﾍﾞﾋﾞｰﾍﾞﾗ(舟形)</t>
  </si>
  <si>
    <t>1408-166</t>
  </si>
  <si>
    <t>有機ほうれん草　150ｇ(北総)</t>
  </si>
  <si>
    <t>356</t>
  </si>
  <si>
    <t>■はるか 10kg箱（白石）菌４・不</t>
  </si>
  <si>
    <t>1408-179</t>
  </si>
  <si>
    <t>■有機ほうれん草　150ｇ×25入(北総)</t>
  </si>
  <si>
    <t>1409-160</t>
  </si>
  <si>
    <t>有機小松菜　200g(北総)</t>
  </si>
  <si>
    <t>1502-78</t>
  </si>
  <si>
    <t>■ｷｬﾍﾞﾂ 裸10k(長有研)虫6菌2(＝5割減)・不</t>
  </si>
  <si>
    <t>1612-10</t>
  </si>
  <si>
    <t>□有機ミニトマト 3kg箱（吉水）</t>
  </si>
  <si>
    <t>1821-3</t>
  </si>
  <si>
    <t>■エリンギ 100g ×20入(ミスズ)</t>
  </si>
  <si>
    <t>1241-86</t>
  </si>
  <si>
    <t>■有機人参 洗い 10kg（吉水農園）</t>
  </si>
  <si>
    <t>1049-148</t>
  </si>
  <si>
    <t>■有機レモンＢ 13kg (中川栄・産ﾊﾟ)</t>
  </si>
  <si>
    <t>348</t>
  </si>
  <si>
    <t>366</t>
  </si>
  <si>
    <t>2210-1</t>
  </si>
  <si>
    <t>■卵「もみじ」Ｌ 10㎏(大松)</t>
  </si>
  <si>
    <t>1225-429</t>
  </si>
  <si>
    <t>■有機玉ねぎ　M・L 20kg(宇野聡一)</t>
  </si>
  <si>
    <t>303-22</t>
  </si>
  <si>
    <t>1216-346</t>
  </si>
  <si>
    <t>■有機じゃが芋｢ﾚｯﾄﾞﾑｰﾝ｣　10kg(坂本)</t>
  </si>
  <si>
    <t>社内便2</t>
  </si>
  <si>
    <t>1538-43</t>
  </si>
  <si>
    <t>■レタス１個袋×１０入（沃土会）</t>
  </si>
  <si>
    <t>東一</t>
  </si>
  <si>
    <t>四季菜</t>
  </si>
  <si>
    <t>ﾌｰﾄﾞ湘南</t>
  </si>
  <si>
    <t>えころじあ</t>
  </si>
  <si>
    <t>六本木(日配)</t>
  </si>
  <si>
    <t>1225-434</t>
  </si>
  <si>
    <t>■有機玉ねぎ　10kg(宇野聡一)◇</t>
  </si>
  <si>
    <t>1026-13</t>
  </si>
  <si>
    <t>■有機ポンカン 9kg（和歌山）</t>
  </si>
  <si>
    <t>1031</t>
  </si>
  <si>
    <t>■有機パール柑　10kg(高岡)</t>
  </si>
  <si>
    <t>1225-398</t>
  </si>
  <si>
    <t>■新 玉ねぎ 混 10kg(ｾｲｼﾝﾌｧｰﾑ)5割・5割</t>
  </si>
  <si>
    <t>■白菜15㎏箱(長有)菌3虫3(＝5割減)・不</t>
  </si>
  <si>
    <t>2392-20</t>
  </si>
  <si>
    <t>十勝の息吹　小粒　40ｇ×２ｐ</t>
  </si>
  <si>
    <t>2392-21</t>
  </si>
  <si>
    <t>十勝の息吹　大粒　40ｇ×２ｐ</t>
  </si>
  <si>
    <t>2392-22</t>
  </si>
  <si>
    <t>十勝の息吹　ひきわり　40ｇ×２ｐ</t>
  </si>
  <si>
    <t>2392-29</t>
  </si>
  <si>
    <t>有機納豆　日本の農　40ｇ×2</t>
  </si>
  <si>
    <t>2392-31</t>
  </si>
  <si>
    <t>有機ひきわりカップ２　みのり　20ｇ×2</t>
  </si>
  <si>
    <t>虎ノ門(日配)</t>
  </si>
  <si>
    <t>おちかわ屋</t>
  </si>
  <si>
    <t>2/17（月）店着　ラミ便（こだ）</t>
    <rPh sb="5" eb="6">
      <t>ゲツ</t>
    </rPh>
    <rPh sb="7" eb="9">
      <t>テンチャク</t>
    </rPh>
    <rPh sb="12" eb="13">
      <t>ビン</t>
    </rPh>
    <phoneticPr fontId="2"/>
  </si>
  <si>
    <t>こもの計</t>
    <rPh sb="3" eb="4">
      <t>ケイ</t>
    </rPh>
    <phoneticPr fontId="2"/>
  </si>
  <si>
    <t>2/17（月）店着　ラミ便・その他</t>
    <rPh sb="5" eb="6">
      <t>ゲツ</t>
    </rPh>
    <rPh sb="7" eb="9">
      <t>テンチャク</t>
    </rPh>
    <rPh sb="12" eb="13">
      <t>ビン</t>
    </rPh>
    <rPh sb="16" eb="17">
      <t>タ</t>
    </rPh>
    <phoneticPr fontId="2"/>
  </si>
  <si>
    <t>303-5</t>
  </si>
  <si>
    <t>6206-1</t>
  </si>
  <si>
    <t>米粉カステラ　１斤（1本）</t>
  </si>
  <si>
    <t>1654-74</t>
  </si>
  <si>
    <t>■有機ピーマン ５㎏箱（SOHﾌｧｰﾑ）</t>
  </si>
  <si>
    <t>303-13</t>
  </si>
  <si>
    <t>303-15</t>
  </si>
  <si>
    <t>303-19</t>
  </si>
  <si>
    <t>334</t>
  </si>
  <si>
    <t>303-18</t>
  </si>
  <si>
    <t>349</t>
  </si>
  <si>
    <t>1409-81</t>
  </si>
  <si>
    <t>有機小松菜　200g袋 (わ～ふぁ)</t>
  </si>
  <si>
    <t>303-17</t>
  </si>
  <si>
    <t>303-1</t>
  </si>
  <si>
    <t>303-6</t>
  </si>
  <si>
    <t>305</t>
  </si>
  <si>
    <t>福・本店(加工)</t>
  </si>
  <si>
    <t>303-24</t>
  </si>
  <si>
    <t>1868-21</t>
  </si>
  <si>
    <t>有機生きくらげ(菌床) 50ｇ(太洋社)</t>
  </si>
  <si>
    <t>684</t>
  </si>
  <si>
    <t>1225-7</t>
  </si>
  <si>
    <t>1316-306</t>
  </si>
  <si>
    <t>■ｻﾂﾏ芋「すずほっくり」ML10kg(斉藤光政)</t>
  </si>
  <si>
    <t>1316-307</t>
  </si>
  <si>
    <t>ｻﾂﾏ芋「すずほっくり」700g(斉藤光正)◇</t>
  </si>
  <si>
    <t>303-9</t>
  </si>
  <si>
    <t>1614-3</t>
  </si>
  <si>
    <t>ミニトマト　150ｇ（沃土会）</t>
  </si>
  <si>
    <t>1619-68</t>
  </si>
  <si>
    <t>きゅうり　２本袋（沃土会）</t>
  </si>
  <si>
    <t>303-2</t>
  </si>
  <si>
    <t>1226-200</t>
  </si>
  <si>
    <t>1408-172</t>
  </si>
  <si>
    <t>有機ほうれん草　150g袋×４(北総)東一</t>
  </si>
  <si>
    <t>1409-166</t>
  </si>
  <si>
    <t>有機小松菜　200g袋×４(北総)東一</t>
  </si>
  <si>
    <t>1889-6</t>
  </si>
  <si>
    <t>有機大葉 １ﾊﾟｯｸ×10入(生々農園)東一</t>
  </si>
  <si>
    <t>1225-9</t>
  </si>
  <si>
    <t>303-3</t>
  </si>
  <si>
    <t>1063-6</t>
  </si>
  <si>
    <t>□りんご「ｼﾅﾉｺﾞｰﾙﾄﾞ」5kg(片桐)</t>
  </si>
  <si>
    <t>1654-98</t>
  </si>
  <si>
    <t>有機ピーマン　150g◇×５(SOHﾌｧｰﾑ）東一</t>
  </si>
  <si>
    <t>2392-32</t>
  </si>
  <si>
    <t>丸大豆てんぺ(Sﾊﾟｯｸ１個組)　100ｇ</t>
  </si>
  <si>
    <t>1353-18</t>
  </si>
  <si>
    <t>有機長いも　200gﾊﾟｯｸ×５(みちのく)東一</t>
  </si>
  <si>
    <t>303-11</t>
  </si>
  <si>
    <t>1840-14</t>
  </si>
  <si>
    <t>有機にら 100ｇ (北総)</t>
  </si>
  <si>
    <t>1277-130</t>
  </si>
  <si>
    <t>有機かぶ白　２～３玉袋（飯田）</t>
  </si>
  <si>
    <t>1593-22</t>
  </si>
  <si>
    <t>有機ベビー白菜 １個袋 (さんぶ)</t>
  </si>
  <si>
    <t>1250-91</t>
  </si>
  <si>
    <t>ごぼう 泥  200ｇ(津軽産直組合)不不</t>
  </si>
  <si>
    <t>1261-404</t>
  </si>
  <si>
    <t>■むらさき大根　加工用10kg(加瀬)不不</t>
  </si>
  <si>
    <t>1040-1</t>
  </si>
  <si>
    <t>■わけ有ｼﾞｭｰｼｰﾌﾙｰﾂ10kg(無茶々園)7割・不</t>
  </si>
  <si>
    <t>303-14</t>
  </si>
  <si>
    <t>1409-172</t>
  </si>
  <si>
    <t>■有機小松菜　200ｇ×25入(北総)</t>
  </si>
  <si>
    <t>しめじほぐし(ｶｯﾄぶなしめじ)　500ｇ(ﾐｽｽﾞ)</t>
  </si>
  <si>
    <t>1050-25</t>
  </si>
  <si>
    <t>■河内晩柑　９kg箱(大矢野)8割減・不</t>
  </si>
  <si>
    <t>1241-321</t>
  </si>
  <si>
    <t>有機人参 洗い 400g(吉水)◇</t>
  </si>
  <si>
    <t>1250-35</t>
  </si>
  <si>
    <t>有機ごぼう 泥  200ｇ（みちのく）</t>
  </si>
  <si>
    <t>1614-279</t>
  </si>
  <si>
    <t>有機ﾐﾆﾄﾏﾄ「アイコ」150ｇ(肥後あゆみ)◇</t>
  </si>
  <si>
    <t>1614-280</t>
  </si>
  <si>
    <t>1878-17</t>
  </si>
  <si>
    <t>□有機かいわれ大根　１束×12 (ｻﾗﾀﾞｺｽﾓ)</t>
  </si>
  <si>
    <t>1878-18</t>
  </si>
  <si>
    <t>□有機ﾌﾞﾛｯｺﾘｰの新芽　１束×12 (ｻﾗﾀﾞｺｽﾓ)</t>
  </si>
  <si>
    <t>1878-20</t>
  </si>
  <si>
    <t>□有機赤ﾗﾃﾞｨｯｼｭの新芽 １束×9 (ｻﾗﾀﾞｺｽﾓ)</t>
  </si>
  <si>
    <t>4011</t>
  </si>
  <si>
    <t>運賃(税抜)</t>
  </si>
  <si>
    <t>574</t>
  </si>
  <si>
    <t>54</t>
  </si>
  <si>
    <t>■かぼちゃ　10ｋｇ</t>
  </si>
  <si>
    <t>1241-99</t>
  </si>
  <si>
    <t>■人参　洗い 混 10ｋｇ（長有研)</t>
  </si>
  <si>
    <t>1241-692</t>
  </si>
  <si>
    <t>■有機人参 洗い　S 10kg（吉水農園）</t>
  </si>
  <si>
    <t>■有機人参 洗い　M/L 10kg（吉水農園）</t>
  </si>
  <si>
    <t>1239-233</t>
  </si>
  <si>
    <t>人参　洗い  400g(長有研)◇</t>
  </si>
  <si>
    <t>1823-2</t>
  </si>
  <si>
    <t>有機おかひじき 70gﾊﾟｯｸ (寺島)</t>
  </si>
  <si>
    <t>1707-127</t>
  </si>
  <si>
    <t>ズッキーニ １本袋（沃土会)不不</t>
  </si>
  <si>
    <t>1148-150</t>
  </si>
  <si>
    <t>■有機ｻﾝｺﾞｰﾙﾄﾞｷｳｲﾌﾙｰﾂ48玉箱(ゼスプリ)</t>
  </si>
  <si>
    <t>1638-110</t>
  </si>
  <si>
    <t>有機なす１袋 (浦部)</t>
  </si>
  <si>
    <t>347</t>
  </si>
  <si>
    <t>こだ新横</t>
  </si>
  <si>
    <t>1857-29</t>
  </si>
  <si>
    <t>有機しょうが　100g袋 (夢有民・産ﾊﾟ)</t>
  </si>
  <si>
    <t>1009-2</t>
  </si>
  <si>
    <t>■有機ﾆｭｰｻﾏｰｵﾚﾝｼﾞ(日向夏) 10kgｺﾝﾃﾅ(早藤)</t>
  </si>
  <si>
    <t>1017-15</t>
  </si>
  <si>
    <t>■有機あまなつ 10ｋｇ(早藤）</t>
  </si>
  <si>
    <t>1148-149</t>
  </si>
  <si>
    <t>有機ｻﾝｺﾞｰﾙﾄﾞｷｳｲﾌﾙｰﾂ ３玉(ゼスプリ)◇</t>
  </si>
  <si>
    <t>1171-3</t>
  </si>
  <si>
    <t>ピーチパイン　1個（アララガマ）</t>
  </si>
  <si>
    <t>1171-4</t>
  </si>
  <si>
    <t>■ピーチパイン　1個×16入(アララガマ）</t>
  </si>
  <si>
    <t>1277-179</t>
  </si>
  <si>
    <t>有機ビーツ 300g袋(かごしま)◇</t>
  </si>
  <si>
    <t>1875-15</t>
  </si>
  <si>
    <t>有機ラディッシュ　4～6玉袋(やさと)</t>
  </si>
  <si>
    <t>1032-33</t>
  </si>
  <si>
    <t>有機清見オレンジ 500g(早藤)◇</t>
  </si>
  <si>
    <t>千葉</t>
  </si>
  <si>
    <t>1516-38</t>
  </si>
  <si>
    <t>有機サニーﾚﾀｽ　ﾗｯﾌﾟ 1個(ﾌｧｰﾏｰｽﾞ)◇</t>
  </si>
  <si>
    <t>1589-57</t>
  </si>
  <si>
    <t>有機リーフレタス　ﾗｯﾌﾟ 1個(ﾌｧｰﾏｰｽﾞ)◇</t>
  </si>
  <si>
    <t>1606-96</t>
  </si>
  <si>
    <t>有機トマト１袋（220ｇ～)(澤村)◇</t>
  </si>
  <si>
    <t>㈱矢野育雛場</t>
  </si>
  <si>
    <t>1584-39</t>
  </si>
  <si>
    <t>有機ロメインﾚﾀｽ ﾗｯﾌﾟ 1個(ﾌｧｰﾏｰｽﾞ)◇</t>
  </si>
  <si>
    <t>1250-70</t>
  </si>
  <si>
    <t>有機ごぼう 泥200g×５(みちのく)東一</t>
  </si>
  <si>
    <t>1606-42</t>
  </si>
  <si>
    <t>□有機トマト４kg箱 (澤村)</t>
  </si>
  <si>
    <t>1856-76</t>
  </si>
  <si>
    <t>有機黒（くろ）にんにく　80ｇ（ｼｪｱｶﾞｰﾃﾞﾝ)</t>
  </si>
  <si>
    <t>2212-1</t>
  </si>
  <si>
    <t>■卵ﾊﾟｯｸ10個用OSK １包(200枚)</t>
  </si>
  <si>
    <t>2216-1</t>
  </si>
  <si>
    <t>■卵ﾊﾟｯｸ６個用 1包　2ﾊﾟｯｸ1組×200(400ｐ)</t>
  </si>
  <si>
    <t>1564-101</t>
  </si>
  <si>
    <t>■長ねぎ　ﾑｷ ５ｋｇ(ﾊｲﾊｰﾊﾞｰ)</t>
  </si>
  <si>
    <t>1661-15</t>
  </si>
  <si>
    <t>パプリカ　１個袋200ｇ(高生連)</t>
  </si>
  <si>
    <t>1021-6</t>
  </si>
  <si>
    <t>■有機五香文旦 10kg （早藤）</t>
  </si>
  <si>
    <t>1049-25</t>
  </si>
  <si>
    <t>■有機レモン 10ｋｇ(早藤）</t>
  </si>
  <si>
    <t>1584-36</t>
  </si>
  <si>
    <t>■有機ロメインﾚﾀｽ　裸 10個ｺﾝﾃﾅ(ﾌｧｰﾏｰｽﾞ)</t>
  </si>
  <si>
    <t>1516-39</t>
  </si>
  <si>
    <t>■有機サニーレタス裸　10個ｺﾝﾃﾅ(ﾌｧｰﾏｰｽﾞ)</t>
  </si>
  <si>
    <t>303-23</t>
  </si>
  <si>
    <t>604-21</t>
  </si>
  <si>
    <t>虎ノ門ＷＡＴ</t>
  </si>
  <si>
    <t>1250-92</t>
  </si>
  <si>
    <t>■ごぼう 泥  太　10kg(津軽産直組合)不不</t>
  </si>
  <si>
    <t>1589-58</t>
  </si>
  <si>
    <t>■有機リーフレタス　裸 10個ｺﾝﾃﾅ(ﾌｧｰﾏｰｽﾞ)</t>
  </si>
  <si>
    <t>1857-56</t>
  </si>
  <si>
    <t>1509-88</t>
  </si>
  <si>
    <t>■有機キャベツ 8玉段ボール(加瀬）</t>
  </si>
  <si>
    <t>1241-644</t>
  </si>
  <si>
    <t>有機人参 洗い 400ｇ◇×10(吉水)東一</t>
  </si>
  <si>
    <t>1723-10</t>
  </si>
  <si>
    <t>■そら豆　1ｋｇ（萩原）</t>
  </si>
  <si>
    <t>1723-11</t>
  </si>
  <si>
    <t>そら豆　300ｇ袋(萩原)◇</t>
  </si>
  <si>
    <t>1516-106</t>
  </si>
  <si>
    <t>サニーレタス ﾗｯﾌﾟ1個(せっせと畑)◇</t>
  </si>
  <si>
    <t>1593-113</t>
  </si>
  <si>
    <t>ミニ白菜　1個袋(せっせと畑)◇不不</t>
  </si>
  <si>
    <t>■有機 玉ねぎ 混 10kg(雲仙)</t>
  </si>
  <si>
    <t>1226-436</t>
  </si>
  <si>
    <t>1593-114</t>
  </si>
  <si>
    <t>■ミニ白菜　裸　1個(せっせと畑)無無</t>
  </si>
  <si>
    <t>1393-3</t>
  </si>
  <si>
    <t>瀬戸さん（野菜の里）の有機野菜セット</t>
  </si>
  <si>
    <t>1049-113</t>
  </si>
  <si>
    <t>■有機レモン 12kg (中川栄・産ﾊﾟ)</t>
  </si>
  <si>
    <t>1049-114</t>
  </si>
  <si>
    <t>■有機レモン　B 12kg (中川栄・産ﾊﾟ)</t>
  </si>
  <si>
    <t>1049-152</t>
  </si>
  <si>
    <t>■有機レモン　B ６kg (中川栄・産ﾊﾟ)</t>
  </si>
  <si>
    <t>1049-47</t>
  </si>
  <si>
    <t>■有機レモン 5kg（中川栄）</t>
  </si>
  <si>
    <t>1232-13</t>
  </si>
  <si>
    <t>■じゃが芋｢ﾆｼﾕﾀｶ｣10kg(長有研）無無</t>
  </si>
  <si>
    <t>1408-189</t>
  </si>
  <si>
    <t>1707-101</t>
  </si>
  <si>
    <t>■有機ズッキーニ緑　裸１本(キテレツ）</t>
  </si>
  <si>
    <t>1707-102</t>
  </si>
  <si>
    <t>■有機ズッキーニ黄色　裸１本(キテレツ）</t>
  </si>
  <si>
    <t>1707-103</t>
  </si>
  <si>
    <t>有機ズッキーニ緑 １本袋(キテレツ)◇</t>
  </si>
  <si>
    <t>有機しょうが100ｇ×５(夢有民)東一</t>
  </si>
  <si>
    <t>1009-11</t>
  </si>
  <si>
    <t>有機ニューサマーｵﾚﾝｼﾞ 600g(早藤)◇</t>
  </si>
  <si>
    <t>1638-112</t>
  </si>
  <si>
    <t>なす　400ｇ(石毛)菌2虫1(=9割減)・不</t>
  </si>
  <si>
    <t>547</t>
  </si>
  <si>
    <t>1072-3</t>
  </si>
  <si>
    <t>■りんご「ふじ」10ｋｇ（津軽）</t>
  </si>
  <si>
    <t>1521-15</t>
  </si>
  <si>
    <t>358</t>
  </si>
  <si>
    <t>こだ橋本</t>
  </si>
  <si>
    <t>1533-150</t>
  </si>
  <si>
    <t>有機 玉レタス ﾗｯﾌﾟ 1個(ﾌｧｰﾏｰｽﾞ)◇</t>
  </si>
  <si>
    <t>1419-35</t>
  </si>
  <si>
    <t>有機ケール　80ｇ(まるた)</t>
  </si>
  <si>
    <t>(農)会田共同養鶏組合</t>
  </si>
  <si>
    <t>1261-239</t>
  </si>
  <si>
    <t>有機短大根（葉切り洗い）1本袋(加瀬)</t>
  </si>
  <si>
    <t>1419-15</t>
  </si>
  <si>
    <t>有機ケール　緑 80ｇ(富岡)</t>
  </si>
  <si>
    <t>1647-2</t>
  </si>
  <si>
    <t>中玉とまと 200g (さんぶ)</t>
  </si>
  <si>
    <t>1854-27</t>
  </si>
  <si>
    <t>1226-437</t>
  </si>
  <si>
    <t>1226-438</t>
  </si>
  <si>
    <t>1407-20</t>
  </si>
  <si>
    <t>有機ルッコラ 50g袋×５(わ～ふぁ)東一</t>
  </si>
  <si>
    <t>1823-7</t>
  </si>
  <si>
    <t>有機おかひじき 70gﾊﾟｯｸ×５(寺島)　東一</t>
  </si>
  <si>
    <t>1869-9</t>
  </si>
  <si>
    <t>有機パクチー　30ｇ×５(わ～ふぁ)東一</t>
  </si>
  <si>
    <t>1878-15</t>
  </si>
  <si>
    <t>□有機緑豆根取りもやし 200g×10(ｻﾗﾀﾞｺｽﾓ)</t>
  </si>
  <si>
    <t>1881-9</t>
  </si>
  <si>
    <t>有機たかのつめ(唐辛子)8g袋×10(吉水)東一</t>
  </si>
  <si>
    <t>1883-17</t>
  </si>
  <si>
    <t>有機ｻﾗﾀﾞﾍﾞﾋﾞｰﾐｯｸｽ 40g×５(わ～ふぁ)東一</t>
  </si>
  <si>
    <t>4002</t>
  </si>
  <si>
    <t>配達料　1500円(税抜）</t>
  </si>
  <si>
    <t>4003</t>
  </si>
  <si>
    <t>配達料　2000円(税抜）</t>
  </si>
  <si>
    <t>1533-249</t>
  </si>
  <si>
    <t>■有機レタス 裸 10個ｺﾝﾃﾅ(ﾌｧｰﾏｰｽﾞ)</t>
  </si>
  <si>
    <t>2209-15</t>
  </si>
  <si>
    <t>平飼い 10個入ﾊﾟｯｸ（会田）</t>
  </si>
  <si>
    <t>2209-16</t>
  </si>
  <si>
    <t>米たまご 10個入ﾊﾟｯｸ（会田）</t>
  </si>
  <si>
    <t>2209-17</t>
  </si>
  <si>
    <t>平飼い Ｓ10個入ﾊﾟｯｸ（会田）</t>
  </si>
  <si>
    <t>5130-33</t>
  </si>
  <si>
    <t>木綿豆腐　１丁（名水会）</t>
  </si>
  <si>
    <t>5130-34</t>
  </si>
  <si>
    <t>くみだし豆腐　１丁（名水会）</t>
  </si>
  <si>
    <t>グリーンボール　1個袋(キテレツ)不不</t>
  </si>
  <si>
    <t>1601-37</t>
  </si>
  <si>
    <t>1854-28</t>
  </si>
  <si>
    <t>有機にんにくの芽 100ｇ(シェアガーデン)</t>
  </si>
  <si>
    <t>1261-147</t>
  </si>
  <si>
    <t>■有機大根 洗い 裸 10本(丸和)</t>
  </si>
  <si>
    <t>にんにくの芽 100ｇ(ハレノヒ)不不</t>
  </si>
  <si>
    <t>318</t>
  </si>
  <si>
    <t>1072-4</t>
  </si>
  <si>
    <t>■りんご「ふじ」10ｋｇの半分（津軽）</t>
  </si>
  <si>
    <t>1543-134</t>
  </si>
  <si>
    <t>1277-228</t>
  </si>
  <si>
    <t>有機ビーツ 300g袋(椎屋農園)◇</t>
  </si>
  <si>
    <t>1248-35</t>
  </si>
  <si>
    <t>有機葉付人参 300ｇ(ｷﾃﾚﾂ)</t>
  </si>
  <si>
    <t>1266-272</t>
  </si>
  <si>
    <t>有機ミニ大根　洗い　1本袋(キテレツ)</t>
  </si>
  <si>
    <t>1225-399</t>
  </si>
  <si>
    <t>■玉ねぎ Ｍ　20kg(マルハ)5割減・5割減</t>
  </si>
  <si>
    <t>1225-454</t>
  </si>
  <si>
    <t>■玉ねぎ Ｌ　20kg(マルハ)5割減・5割減</t>
  </si>
  <si>
    <t>1225-455</t>
  </si>
  <si>
    <t>■玉ねぎ ２Ｌ 20kg(マルハ)5割減・5割減</t>
  </si>
  <si>
    <t>1261-148</t>
  </si>
  <si>
    <t>有機大根 洗い 1本袋 (丸和)◇</t>
  </si>
  <si>
    <t>□トマト ４ｋｇ箱（沃土会）８割減・不</t>
  </si>
  <si>
    <t>1601-46</t>
  </si>
  <si>
    <t>トマト 約350g～(沃土会)◇</t>
  </si>
  <si>
    <t>1170-29</t>
  </si>
  <si>
    <t>■エクアドルバナナ 600g袋×16入　非有機</t>
  </si>
  <si>
    <t>1170-30</t>
  </si>
  <si>
    <t>■エクアドルバナナ １本×10入　非有機</t>
  </si>
  <si>
    <t>1049-67</t>
  </si>
  <si>
    <t>有機レモン 1kg袋 (中川栄)◇</t>
  </si>
  <si>
    <t>1148-152</t>
  </si>
  <si>
    <t>有機グリーンｷｳｲﾌﾙｰﾂ ３玉(ゼスプリ)◇</t>
  </si>
  <si>
    <t>1232-3</t>
  </si>
  <si>
    <t>1238-20</t>
  </si>
  <si>
    <t>1248-25</t>
  </si>
  <si>
    <t>有機葉付人参 2～4本入 (加瀬)</t>
  </si>
  <si>
    <t>1502-79</t>
  </si>
  <si>
    <t>■有機キャベツ ８玉ｺﾝﾃﾅ(ﾔﾅｶﾞﾜ）</t>
  </si>
  <si>
    <t>1509-108</t>
  </si>
  <si>
    <t>有機グリーンボール　1玉(ﾌｧｰﾏｰｽﾞ)◇</t>
  </si>
  <si>
    <t>1561-54</t>
  </si>
  <si>
    <t>長ねぎ ムキ 300g (さんぶ)不不</t>
  </si>
  <si>
    <t>1569-23</t>
  </si>
  <si>
    <t>有機長ねぎ　ムキ　300ｇ(よしだ農園)</t>
  </si>
  <si>
    <t>1588-15</t>
  </si>
  <si>
    <t>有機フリルレタス ﾗｯﾌﾟ １個(ﾌｧｰﾏｰｽﾞ)◇</t>
  </si>
  <si>
    <t>1588-25</t>
  </si>
  <si>
    <t>有機レッドフリルﾚﾀｽ ﾗｯﾌﾟ １個(ﾌｧｰﾏｰｽﾞ)◇</t>
  </si>
  <si>
    <t>1707-9</t>
  </si>
  <si>
    <t>有機ズッキーニ　１本袋（さんぶ・産ﾊﾟ）</t>
  </si>
  <si>
    <t>1856-85</t>
  </si>
  <si>
    <t>にんにく　1玉(せっせと畑)◇</t>
  </si>
  <si>
    <t>1647-50</t>
  </si>
  <si>
    <t>中玉トマト 250g (沃土会)</t>
  </si>
  <si>
    <t>1684-94</t>
  </si>
  <si>
    <t>スイートコーン　１本袋(高生連)</t>
  </si>
  <si>
    <t>1509-82</t>
  </si>
  <si>
    <t>■有機キャベツ ８玉箱（丸和）</t>
  </si>
  <si>
    <t>1365-21</t>
  </si>
  <si>
    <t>■有機らっきょう 10kg (かごしま)</t>
  </si>
  <si>
    <t>1277-184</t>
  </si>
  <si>
    <t>■有機ビーツ 20ｋｇ(かごしま)</t>
  </si>
  <si>
    <t>1032-30</t>
  </si>
  <si>
    <t>■有機清見オレンジ小玉　10kg（早藤）</t>
  </si>
  <si>
    <t>1148-151</t>
  </si>
  <si>
    <t>■有機ｷｳｲﾌﾙｰﾂグリーン 30玉箱(ゼスプリ)</t>
  </si>
  <si>
    <t>1170-27</t>
  </si>
  <si>
    <t>■インカバナナ 600g袋×１６入　非有機</t>
  </si>
  <si>
    <t>1509-133</t>
  </si>
  <si>
    <t>1588-21</t>
  </si>
  <si>
    <t>■有機フリルレタス　裸 １０個 (ﾌｧｰﾏｰｽﾞ)</t>
  </si>
  <si>
    <t>1588-28</t>
  </si>
  <si>
    <t>■有機レッドﾌﾘﾙﾚﾀｽ　裸 10個 (ﾌｧｰﾏｰｽﾞ)</t>
  </si>
  <si>
    <t>1856-86</t>
  </si>
  <si>
    <t>■にんにく　裸１玉(せっせと畑)</t>
  </si>
  <si>
    <t>337</t>
  </si>
  <si>
    <t>ブロッコリー1個袋(那須・益子美好)6割・不</t>
  </si>
  <si>
    <t>1358-80</t>
  </si>
  <si>
    <t>■赤　玉ねぎ 10㎏ (長有研）不不</t>
  </si>
  <si>
    <t>1037-10</t>
  </si>
  <si>
    <t>■ﾋﾟﾝｸｸﾞﾚｰﾌﾟﾌﾙｰﾂ 10kg箱(大矢野)9割減・不</t>
  </si>
  <si>
    <t>1277-227</t>
  </si>
  <si>
    <t>■有機ビーツ 20ｋｇ(椎屋農園)</t>
  </si>
  <si>
    <t>1707-104</t>
  </si>
  <si>
    <t>有機ズッキーニ黄色 １本袋(キテレツ)◇</t>
  </si>
  <si>
    <t>1016-25</t>
  </si>
  <si>
    <t>有機あまなつ　600ｇ (早藤)◇</t>
  </si>
  <si>
    <t>1050-26</t>
  </si>
  <si>
    <t>河内晩柑　600ｇ（大矢野有機）◇</t>
  </si>
  <si>
    <t>有機玉ねぎ　500ｇ×10(雲仙)◇東一</t>
  </si>
  <si>
    <t>1316-312</t>
  </si>
  <si>
    <t>1117-12</t>
  </si>
  <si>
    <t>□タカミレッドメロン 4kg箱 (長有研）</t>
  </si>
  <si>
    <t>1720-22</t>
  </si>
  <si>
    <t>枝豆　200g袋（さんぶ）</t>
  </si>
  <si>
    <t>1503</t>
  </si>
  <si>
    <t>キャベツ　１個　（加工使用分）</t>
  </si>
  <si>
    <t>1365-14</t>
  </si>
  <si>
    <t>有機らっきょう 1kg袋 (かごしま)◇</t>
  </si>
  <si>
    <t>604-02</t>
  </si>
  <si>
    <t>1509-118</t>
  </si>
  <si>
    <t>1261-405</t>
  </si>
  <si>
    <t>むらさき大根加工用 裸　1本(加瀬)不不</t>
  </si>
  <si>
    <t>□有機ﾐﾆﾄﾏﾄ「ｱｲｺ」３kg(肥後あゆみ)</t>
  </si>
  <si>
    <t>有機キャベツ １玉包（丸和）◇</t>
  </si>
  <si>
    <t>1316-313</t>
  </si>
  <si>
    <t>ｻﾂﾏ芋「シルクスイート」700g(齊藤光正)◇</t>
  </si>
  <si>
    <t>1049-153</t>
  </si>
  <si>
    <t>■有機レモン 12kg (中川栄)◇</t>
  </si>
  <si>
    <t>1889-15</t>
  </si>
  <si>
    <t>1049-99</t>
  </si>
  <si>
    <t>有機レモン １個袋(中川栄)◇</t>
  </si>
  <si>
    <t>1521-17</t>
  </si>
  <si>
    <t>グリーンボール　１個袋(せっせと畑)◇</t>
  </si>
  <si>
    <t>1225-373</t>
  </si>
  <si>
    <t>1707-129</t>
  </si>
  <si>
    <t>ズッキーニ緑 １本袋(せっせと)◇</t>
  </si>
  <si>
    <t>■有機ｸﾞﾘｰﾝﾎﾞｰﾙ(ｷｬﾍﾞﾂみさき)裸10玉(富岡)</t>
  </si>
  <si>
    <t>■ほうれん草　５ｋｇ(北総)◇</t>
  </si>
  <si>
    <t>5301-7</t>
  </si>
  <si>
    <t>もみしそ 300g(ﾊﾟﾝﾄﾞﾗ)</t>
  </si>
  <si>
    <t>1109-9</t>
  </si>
  <si>
    <t>□タカミメロン ４kg箱 (長有研）</t>
  </si>
  <si>
    <t>1216-361</t>
  </si>
  <si>
    <t>1216-362</t>
  </si>
  <si>
    <t>1261-149</t>
  </si>
  <si>
    <t>有機カット大根 洗い 1/2本袋×4 (丸和)◇</t>
  </si>
  <si>
    <t>1358-50</t>
  </si>
  <si>
    <t>有機 赤玉ねぎ 混 400g(雲仙)◇</t>
  </si>
  <si>
    <t>1448-17</t>
  </si>
  <si>
    <t>春菊　150g(さんぶ)</t>
  </si>
  <si>
    <t>玉ねぎ　500ｇ(せっせと畑)</t>
  </si>
  <si>
    <t>1238-190</t>
  </si>
  <si>
    <t>有機「ﾆｼﾕﾀｶ」500g(長有研)◇×10 東一</t>
  </si>
  <si>
    <t>■ｻﾂﾏ芋「ｼﾙｸｽｲｰﾄ」10kg(齊藤光正)6割・5割</t>
  </si>
  <si>
    <t>1521-18</t>
  </si>
  <si>
    <t>■ｸﾞﾘｰﾝﾎﾞｰﾙ(ﾐﾆｷｬﾍﾞﾂ)裸１個(せっせと畑)</t>
  </si>
  <si>
    <t>1707-130</t>
  </si>
  <si>
    <t>■ズッキーニ緑 １本袋(せっせと)</t>
  </si>
  <si>
    <t>1120-10</t>
  </si>
  <si>
    <t>1358-49</t>
  </si>
  <si>
    <t>■有機 赤玉ねぎ 混 10kg(雲仙)</t>
  </si>
  <si>
    <t>1241-519</t>
  </si>
  <si>
    <t>有機人参 洗い 400ｇ(キテレツ・産ﾊﾟ)</t>
  </si>
  <si>
    <t>1502-148</t>
  </si>
  <si>
    <t>キャベツ　1個袋(キテレツ)不不</t>
  </si>
  <si>
    <t>1151-24</t>
  </si>
  <si>
    <t>青梅 1kg袋 (高生連)</t>
  </si>
  <si>
    <t>■じゃが芋「ﾒｰｸｲﾝ」10kg(長有研)8割減・不</t>
  </si>
  <si>
    <t>じゃが芋「ﾒｰｸｲﾝ」500g(長有研)◇</t>
  </si>
  <si>
    <t>1241-520</t>
  </si>
  <si>
    <t>■有機人参 洗い　10ｋｇ(キテレツ)</t>
  </si>
  <si>
    <t>有機大葉 １０枚ﾊﾟｯｸ (矢澤園芸)</t>
  </si>
  <si>
    <t>有機玉ねぎ　500ｇ(長有研)◇</t>
  </si>
  <si>
    <t>8003</t>
  </si>
  <si>
    <t>604-12</t>
  </si>
  <si>
    <t>虎ノ門(ｎｏｙａ)</t>
  </si>
  <si>
    <t>1241-655</t>
  </si>
  <si>
    <t>■人参　洗い 混 10ｋｇ（長有研)◇</t>
  </si>
  <si>
    <t>1589-138</t>
  </si>
  <si>
    <t>有機リーフﾚﾀｽ ﾗｯﾌﾟ1個(やさと・産ﾊﾟ)</t>
  </si>
  <si>
    <t>2210-2</t>
  </si>
  <si>
    <t>■卵「もみじ」Ｍ 10㎏(大松)</t>
  </si>
  <si>
    <t>■有機 玉ねぎ 混 10kg(長有研)</t>
  </si>
  <si>
    <t>■玉ねぎ 混 10kg(長有研）不不</t>
  </si>
  <si>
    <t>有機玉ねぎ　500ｇ(雲仙)◇</t>
  </si>
  <si>
    <t>■有機じゃが芋｢ﾆｼﾕﾀｶ｣ 10kg(長有研)</t>
  </si>
  <si>
    <t>有機じゃがいも「ﾆｼﾕﾀｶ」500g(長有研)◇</t>
  </si>
  <si>
    <t>■小玉ｽｲｶ「姫甘泉」約10kg(さんぶ)9割・不</t>
  </si>
  <si>
    <t>1170-31</t>
  </si>
  <si>
    <t>■有機インカバナナ 600g袋×８入</t>
  </si>
  <si>
    <t>1232-114</t>
  </si>
  <si>
    <t>じゃが芋｢ﾆｼﾕﾀｶ｣ 500g(長有研)◇不不</t>
  </si>
  <si>
    <t>1225-456</t>
  </si>
  <si>
    <t>■新玉葱 10kgｺﾝﾃﾅ(マルハ)根残しムキ済◇</t>
  </si>
  <si>
    <t>451</t>
  </si>
  <si>
    <t>491-1</t>
  </si>
  <si>
    <t>1404-28</t>
  </si>
  <si>
    <t>■ほうれん草 5kg (八ヶ岳グリーン)不不</t>
  </si>
  <si>
    <t>神奈川</t>
  </si>
  <si>
    <t>早藤果樹園芸</t>
  </si>
  <si>
    <t>愛媛</t>
  </si>
  <si>
    <t>中川有機農園　中川栄</t>
  </si>
  <si>
    <t>1049-17</t>
  </si>
  <si>
    <t>■有機レモン 10kg箱(和歌山)</t>
  </si>
  <si>
    <t>和歌山</t>
  </si>
  <si>
    <t>和歌山有機の会</t>
  </si>
  <si>
    <t>㈱自然農法販売協同機構</t>
  </si>
  <si>
    <t>1049-85</t>
  </si>
  <si>
    <t>■有機レモン 10kg (中川栄)◇</t>
  </si>
  <si>
    <t>熊本</t>
  </si>
  <si>
    <t>山形</t>
  </si>
  <si>
    <t>片桐農園　●</t>
  </si>
  <si>
    <t>青森</t>
  </si>
  <si>
    <t>東京新宿ベジフル㈱</t>
  </si>
  <si>
    <t>長崎</t>
  </si>
  <si>
    <t>㈱長有研</t>
  </si>
  <si>
    <t>農事組合法人 さんぶ野菜ネットワーク</t>
  </si>
  <si>
    <t>ﾆｭｰｼﾞｰﾗﾝﾄﾞ</t>
  </si>
  <si>
    <t>㈱オーガニックパートナーズ</t>
  </si>
  <si>
    <t>高知</t>
  </si>
  <si>
    <t>（有）高生連</t>
  </si>
  <si>
    <t>ペルー</t>
  </si>
  <si>
    <t>エクアドル</t>
  </si>
  <si>
    <t>1170-32</t>
  </si>
  <si>
    <t>■インカバナナ 600g袋×８入　非有機</t>
  </si>
  <si>
    <t>沖縄</t>
  </si>
  <si>
    <t>埼玉</t>
  </si>
  <si>
    <t>せっせと畑　野村翔平</t>
  </si>
  <si>
    <t>佐賀</t>
  </si>
  <si>
    <t>なし</t>
  </si>
  <si>
    <t>雲仙農園　本多繁喜</t>
  </si>
  <si>
    <t>1241-194</t>
  </si>
  <si>
    <t>■有機人参 洗い LM 10kg箱（加瀬）</t>
  </si>
  <si>
    <t>加瀬農園</t>
  </si>
  <si>
    <t>1241-197</t>
  </si>
  <si>
    <t>有機人参 洗い　400g(加瀬)◇</t>
  </si>
  <si>
    <t>東京</t>
  </si>
  <si>
    <t>キテレツファーム</t>
  </si>
  <si>
    <t>佐・4580445523853</t>
  </si>
  <si>
    <t>青森/岩手</t>
  </si>
  <si>
    <t>㈱共同商事</t>
  </si>
  <si>
    <t>㈱ちばとみさと</t>
  </si>
  <si>
    <t>モアーク食材開発㈱　東京事務所</t>
  </si>
  <si>
    <t>飯田　幹雄</t>
  </si>
  <si>
    <t>宮崎/鹿児島</t>
  </si>
  <si>
    <t>1277-180</t>
  </si>
  <si>
    <t>■有機ビーツ 10ｋｇ(かごしま)</t>
  </si>
  <si>
    <t>鹿児島</t>
  </si>
  <si>
    <t>茨城</t>
  </si>
  <si>
    <t>岩手</t>
  </si>
  <si>
    <t>1365-17</t>
  </si>
  <si>
    <t>らっきょう　泥　1kg袋 (まるよし)◇</t>
  </si>
  <si>
    <t>(有)ﾋﾞｰ･ｴｽ･ｼﾞｰ（まるよし出荷組合）</t>
  </si>
  <si>
    <t>1404-24</t>
  </si>
  <si>
    <t>ほうれん草 150g(八ヶ岳ｸﾞﾘｰﾝ井出)不不</t>
  </si>
  <si>
    <t>㈱すいてん</t>
  </si>
  <si>
    <t>(有）わ～ふぁ道本</t>
  </si>
  <si>
    <t>1409-136</t>
  </si>
  <si>
    <t>有機小松菜 200g(丸和)</t>
  </si>
  <si>
    <t>(有)かごしま有機生産組合</t>
  </si>
  <si>
    <t>1409-197</t>
  </si>
  <si>
    <t>有機小松菜 150g(丸和)</t>
  </si>
  <si>
    <t>山梨</t>
  </si>
  <si>
    <t>富岡農園　●</t>
  </si>
  <si>
    <t>1419-2</t>
  </si>
  <si>
    <t>有機ﾌﾘﾙｹｰﾙ　3枚入×５(わ～ふぁ)東一</t>
  </si>
  <si>
    <t>増子　太　●（八ヶ岳まるた農場）</t>
  </si>
  <si>
    <t>1502-149</t>
  </si>
  <si>
    <t>■キャベツ　８玉ｺﾝﾃﾅ(キテレツ)不不</t>
  </si>
  <si>
    <t>栃木</t>
  </si>
  <si>
    <t>群馬</t>
  </si>
  <si>
    <t>JAやさと有機部会</t>
  </si>
  <si>
    <t>(有)沃土会</t>
  </si>
  <si>
    <t>1601-82</t>
  </si>
  <si>
    <t>トマト ｽﾀﾝﾄﾞﾊﾞｯｸﾞ約500g(沃土会)◇</t>
  </si>
  <si>
    <t>(有)肥後あゆみの会　澤村輝彦</t>
  </si>
  <si>
    <t>1612-24</t>
  </si>
  <si>
    <t>□ミニトマト　３kg箱(ｼｪｱｶﾞｰﾃﾞﾝ)</t>
  </si>
  <si>
    <t>1612-25</t>
  </si>
  <si>
    <t>ミニトマト　150ｇ(ｼｪｱｶﾞｰﾃﾞﾝ)◇</t>
  </si>
  <si>
    <t>（有）吉水農園</t>
  </si>
  <si>
    <t>㈱ｱｸﾞﾘｲﾉﾍﾞｰｼｮﾝｽﾞｶﾝﾊﾟﾆｰ（旧：旭愛農）</t>
  </si>
  <si>
    <t>(有)オーガニックプロデュース</t>
  </si>
  <si>
    <t>1660-5</t>
  </si>
  <si>
    <t>イエローミニトマト　150ｇ(沃土会)</t>
  </si>
  <si>
    <t>小林　力　●</t>
  </si>
  <si>
    <t>㈱ミスズライフ</t>
  </si>
  <si>
    <t>岐阜/三重</t>
  </si>
  <si>
    <t>㈱太洋社　アグリ事業部</t>
  </si>
  <si>
    <t>1807-57</t>
  </si>
  <si>
    <t>有機生ｼｲﾀｹ(菌床)100gﾄﾚｰ×5(太洋社)東一</t>
  </si>
  <si>
    <t>岐阜</t>
  </si>
  <si>
    <t>㈱風水プロジェクト（ゆうき市場）</t>
  </si>
  <si>
    <t>シェアガーデン八街農場</t>
  </si>
  <si>
    <t>1868-22</t>
  </si>
  <si>
    <t>有機生きくらげ(菌床) 50ｇ×5(太洋社)東一</t>
  </si>
  <si>
    <t>㈱サラダコスモ</t>
  </si>
  <si>
    <t>1882-10</t>
  </si>
  <si>
    <t>煎落花生 200g袋 (さんぶ)</t>
  </si>
  <si>
    <t>1883-61</t>
  </si>
  <si>
    <t>有機ｻﾗﾀﾞﾍﾞﾋﾞｰﾐｯｸｽ 大袋250g(わ～ふぁ)</t>
  </si>
  <si>
    <t>1889-16</t>
  </si>
  <si>
    <t>有機大葉 １ﾊﾟｯｸ×10入(矢澤園芸)東一</t>
  </si>
  <si>
    <t>（社）八ヶ岳名水会</t>
  </si>
  <si>
    <t>㈱パンドラファーム</t>
  </si>
  <si>
    <t>(有)北総ベジタブル</t>
  </si>
  <si>
    <t>1261-410</t>
  </si>
  <si>
    <t>■有機大根 洗い 裸 10本(やさと)</t>
  </si>
  <si>
    <t>1697-3</t>
  </si>
  <si>
    <t>■いんげん　２ｋｇ (長有研)</t>
  </si>
  <si>
    <t>1365-18</t>
  </si>
  <si>
    <t>■らっきょう　泥 ﾊﾞﾗ 10kg箱 (まるよし)</t>
  </si>
  <si>
    <t>254-4</t>
  </si>
  <si>
    <t>303-10</t>
  </si>
  <si>
    <t>303-25</t>
  </si>
  <si>
    <t>612</t>
  </si>
  <si>
    <t>612-1</t>
  </si>
  <si>
    <t>612-2</t>
  </si>
  <si>
    <t>こだ川口</t>
  </si>
  <si>
    <t>1241-640</t>
  </si>
  <si>
    <t>有機人参 洗い 400g（ｷﾃﾚﾂﾌｧｰﾑ)◇</t>
  </si>
  <si>
    <t>1509-161</t>
  </si>
  <si>
    <t>■有機キャベツ ８玉ｺﾝﾃﾅ(飯田）</t>
  </si>
  <si>
    <t>1840-4</t>
  </si>
  <si>
    <t>有機にら 100ｇ (大地と自然)</t>
  </si>
  <si>
    <t>1151-20</t>
  </si>
  <si>
    <t>■有機青梅(梅酒用) 1kg袋×14入 (ﾊﾟﾝﾄﾞﾗ)</t>
  </si>
  <si>
    <t>1151-16</t>
  </si>
  <si>
    <t>有機青梅(梅酒用) 1kg袋 (ﾊﾟﾝﾄﾞﾗ)</t>
  </si>
  <si>
    <t>奈良・三重</t>
  </si>
  <si>
    <t>㈱登喜和食品</t>
  </si>
  <si>
    <t>254-2</t>
  </si>
  <si>
    <t>303-21</t>
  </si>
  <si>
    <t>604-10</t>
  </si>
  <si>
    <t>1516-104</t>
  </si>
  <si>
    <t>有機サニーﾚﾀｽ　1個袋　(富岡・産ﾊﾟ)</t>
  </si>
  <si>
    <t>1533-160</t>
  </si>
  <si>
    <t>有機レタス ラップ 1個(富岡・産ﾊﾟ)</t>
  </si>
  <si>
    <t>八ケ岳オーガニック野菜の里</t>
  </si>
  <si>
    <t>1898-8</t>
  </si>
  <si>
    <t>1277-229</t>
  </si>
  <si>
    <t>■有機ビーツ　10ｋｇ（沖縄）</t>
  </si>
  <si>
    <t>沖縄ｵｰｶﾞﾆｯｸｸﾘｴｲﾄ㈱</t>
  </si>
  <si>
    <t>244</t>
  </si>
  <si>
    <t>251</t>
  </si>
  <si>
    <t>258</t>
  </si>
  <si>
    <t>342</t>
  </si>
  <si>
    <t>396</t>
  </si>
  <si>
    <t>604-09</t>
  </si>
  <si>
    <t>ペペ</t>
  </si>
  <si>
    <t>商品EDPNo</t>
  </si>
  <si>
    <t>254-3</t>
  </si>
  <si>
    <t>417</t>
  </si>
  <si>
    <t>604-22</t>
  </si>
  <si>
    <t>604-23</t>
  </si>
  <si>
    <t>604-24</t>
  </si>
  <si>
    <t>604-26</t>
  </si>
  <si>
    <t>696-4</t>
  </si>
  <si>
    <t>902-12</t>
  </si>
  <si>
    <t>福・本店(日配)</t>
  </si>
  <si>
    <t>合計 / 数量 の詳細 - 得意先名: 諸口、配送: 、得意先コード: 901</t>
  </si>
  <si>
    <t>■玉葱 10kgｺﾝﾃﾅ(マルハ)根残しムキ済◇</t>
  </si>
  <si>
    <t>合計 / 数量 の詳細 - 得意先名: 直売秋葉原、配送: その他、得意先コード: 902-14</t>
  </si>
  <si>
    <t>店着日0609</t>
    <rPh sb="0" eb="2">
      <t>テンチャク</t>
    </rPh>
    <rPh sb="2" eb="3">
      <t>ビ</t>
    </rPh>
    <phoneticPr fontId="2"/>
  </si>
  <si>
    <t>置き場</t>
    <rPh sb="0" eb="1">
      <t>オ</t>
    </rPh>
    <rPh sb="2" eb="3">
      <t>バ</t>
    </rPh>
    <phoneticPr fontId="2"/>
  </si>
  <si>
    <t>シール</t>
    <phoneticPr fontId="2"/>
  </si>
  <si>
    <r>
      <t xml:space="preserve">タカミレッドメロン　4kg箱(長有研）
</t>
    </r>
    <r>
      <rPr>
        <b/>
        <sz val="11"/>
        <color rgb="FFFF0000"/>
        <rFont val="ＭＳ Ｐゴシック"/>
        <family val="3"/>
        <charset val="128"/>
      </rPr>
      <t>※とれないように一周セロテで値付けシール貼る</t>
    </r>
    <rPh sb="13" eb="14">
      <t>ハコ</t>
    </rPh>
    <rPh sb="15" eb="16">
      <t>チョウ</t>
    </rPh>
    <rPh sb="16" eb="17">
      <t>ユウ</t>
    </rPh>
    <rPh sb="17" eb="18">
      <t>ケン</t>
    </rPh>
    <phoneticPr fontId="2"/>
  </si>
  <si>
    <r>
      <t xml:space="preserve">□りんご「シナノゴールド」　５ｋｇ箱(片桐）
</t>
    </r>
    <r>
      <rPr>
        <b/>
        <sz val="11"/>
        <color rgb="FFFF0000"/>
        <rFont val="ＭＳ Ｐゴシック"/>
        <family val="3"/>
        <charset val="128"/>
      </rPr>
      <t>※2玉ずつボードンガッチャン</t>
    </r>
    <r>
      <rPr>
        <sz val="11"/>
        <rFont val="ＭＳ Ｐゴシック"/>
        <family val="3"/>
        <charset val="128"/>
      </rPr>
      <t>　</t>
    </r>
    <r>
      <rPr>
        <b/>
        <sz val="11"/>
        <color rgb="FFFF0000"/>
        <rFont val="ＭＳ Ｐゴシック"/>
        <family val="3"/>
        <charset val="128"/>
      </rPr>
      <t>20玉→23玉→18玉　を優先使用</t>
    </r>
    <rPh sb="17" eb="18">
      <t>ハコ</t>
    </rPh>
    <rPh sb="19" eb="21">
      <t>カタギリ</t>
    </rPh>
    <rPh sb="40" eb="41">
      <t>タマ</t>
    </rPh>
    <rPh sb="44" eb="45">
      <t>タマ</t>
    </rPh>
    <rPh sb="48" eb="49">
      <t>タマ</t>
    </rPh>
    <rPh sb="51" eb="53">
      <t>ユウセン</t>
    </rPh>
    <rPh sb="53" eb="55">
      <t>シヨウ</t>
    </rPh>
    <phoneticPr fontId="2"/>
  </si>
  <si>
    <r>
      <t>■りんご「ふじ」10ｋｇ（津軽）</t>
    </r>
    <r>
      <rPr>
        <b/>
        <sz val="11"/>
        <color rgb="FFFF0000"/>
        <rFont val="ＭＳ Ｐゴシック"/>
        <family val="3"/>
        <charset val="128"/>
      </rPr>
      <t>の半分　※2玉ずつボードンガッチャン</t>
    </r>
    <phoneticPr fontId="2"/>
  </si>
  <si>
    <t>1玉　1080</t>
  </si>
  <si>
    <t>〇</t>
  </si>
  <si>
    <t>2玉　580</t>
  </si>
  <si>
    <t>店頭ざる</t>
  </si>
  <si>
    <t>店頭コンテナ</t>
  </si>
  <si>
    <t>不要</t>
  </si>
  <si>
    <t>2玉　680</t>
  </si>
  <si>
    <t>□有機ﾌﾞﾗｳﾝﾏｯｼｭﾙｰﾑ 70g×12入段ﾎﾞｰﾙ(舟形)</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</si>
</sst>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_(* #,##0_);_(* \(#,##0\);_(* &quot;-&quot;_);_(@_)"/>
    <numFmt numFmtId="177" formatCode="0;[Red]\-0"/>
    <numFmt numFmtId="178" formatCode="m/d;@"/>
    <numFmt numFmtId="179" formatCode="0_ ;[Red]\-0\ "/>
    <numFmt numFmtId="180" formatCode="m/d\(aaa\)"/>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9"/>
      <color indexed="8"/>
      <name val="ＭＳ Ｐゴシック"/>
      <family val="3"/>
      <charset val="128"/>
    </font>
    <font>
      <sz val="11"/>
      <color indexed="8"/>
      <name val="ＭＳ Ｐゴシック"/>
      <family val="3"/>
      <charset val="128"/>
    </font>
    <font>
      <sz val="9"/>
      <color indexed="8"/>
      <name val="ＭＳ ゴシック"/>
      <family val="3"/>
      <charset val="128"/>
    </font>
    <font>
      <sz val="12"/>
      <name val="ＭＳ Ｐゴシック"/>
      <family val="3"/>
      <charset val="128"/>
    </font>
    <font>
      <sz val="26"/>
      <name val="ＭＳ Ｐゴシック"/>
      <family val="3"/>
      <charset val="128"/>
    </font>
    <font>
      <sz val="11"/>
      <color indexed="10"/>
      <name val="ＭＳ Ｐゴシック"/>
      <family val="3"/>
      <charset val="128"/>
    </font>
    <font>
      <sz val="20"/>
      <name val="ＭＳ Ｐゴシック"/>
      <family val="3"/>
      <charset val="128"/>
    </font>
    <font>
      <b/>
      <sz val="9"/>
      <color rgb="FF000000"/>
      <name val="ＭＳ Ｐゴシック"/>
      <family val="3"/>
      <charset val="128"/>
    </font>
    <font>
      <b/>
      <sz val="9"/>
      <color rgb="FFFF0000"/>
      <name val="ＭＳ Ｐゴシック"/>
      <family val="3"/>
      <charset val="128"/>
    </font>
    <font>
      <sz val="11"/>
      <color rgb="FF000000"/>
      <name val="ＭＳ Ｐゴシック"/>
      <family val="3"/>
      <charset val="128"/>
    </font>
    <font>
      <sz val="6"/>
      <color theme="1"/>
      <name val="ＭＳ Ｐゴシック"/>
      <family val="3"/>
      <charset val="128"/>
    </font>
    <font>
      <sz val="11"/>
      <color theme="1"/>
      <name val="ＭＳ Ｐゴシック"/>
      <family val="3"/>
      <charset val="128"/>
    </font>
    <font>
      <sz val="26"/>
      <color indexed="10"/>
      <name val="ＭＳ Ｐゴシック"/>
      <family val="3"/>
      <charset val="128"/>
    </font>
    <font>
      <sz val="20"/>
      <color indexed="10"/>
      <name val="ＭＳ Ｐゴシック"/>
      <family val="3"/>
      <charset val="128"/>
    </font>
    <font>
      <sz val="22"/>
      <name val="ＭＳ Ｐゴシック"/>
      <family val="3"/>
      <charset val="128"/>
    </font>
    <font>
      <sz val="6"/>
      <color theme="0"/>
      <name val="ＭＳ Ｐゴシック"/>
      <family val="3"/>
      <charset val="128"/>
    </font>
    <font>
      <sz val="6"/>
      <color indexed="10"/>
      <name val="ＭＳ Ｐゴシック"/>
      <family val="3"/>
      <charset val="128"/>
    </font>
    <font>
      <sz val="14"/>
      <name val="ＭＳ Ｐゴシック"/>
      <family val="3"/>
      <charset val="128"/>
    </font>
    <font>
      <sz val="9"/>
      <name val="ＭＳ Ｐゴシック"/>
      <family val="3"/>
      <charset val="128"/>
    </font>
    <font>
      <sz val="11"/>
      <color rgb="FFFF0000"/>
      <name val="ＭＳ Ｐゴシック"/>
      <family val="3"/>
      <charset val="128"/>
    </font>
    <font>
      <sz val="36"/>
      <name val="ＭＳ Ｐゴシック"/>
      <family val="3"/>
      <charset val="128"/>
    </font>
    <font>
      <sz val="36"/>
      <color indexed="10"/>
      <name val="ＭＳ Ｐゴシック"/>
      <family val="3"/>
      <charset val="128"/>
    </font>
    <font>
      <b/>
      <sz val="9"/>
      <color indexed="81"/>
      <name val="ＭＳ Ｐゴシック"/>
      <family val="3"/>
      <charset val="128"/>
    </font>
    <font>
      <b/>
      <sz val="11"/>
      <color rgb="FFFF0000"/>
      <name val="ＭＳ Ｐゴシック"/>
      <family val="3"/>
      <charset val="128"/>
    </font>
    <font>
      <b/>
      <sz val="11"/>
      <color rgb="FFFF0000"/>
      <name val="ＭＳ Ｐゴシック"/>
      <family val="3"/>
      <charset val="128"/>
      <scheme val="minor"/>
    </font>
    <font>
      <b/>
      <sz val="11"/>
      <color rgb="FFFF0000"/>
      <name val="ＭＳ Ｐ明朝"/>
      <family val="1"/>
      <charset val="128"/>
    </font>
    <font>
      <b/>
      <sz val="11"/>
      <name val="ＭＳ Ｐゴシック"/>
      <family val="3"/>
      <charset val="128"/>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indexed="46"/>
        <bgColor indexed="64"/>
      </patternFill>
    </fill>
    <fill>
      <patternFill patternType="solid">
        <fgColor indexed="10"/>
        <bgColor indexed="64"/>
      </patternFill>
    </fill>
    <fill>
      <patternFill patternType="solid">
        <fgColor indexed="8"/>
        <bgColor indexed="64"/>
      </patternFill>
    </fill>
    <fill>
      <patternFill patternType="solid">
        <fgColor indexed="15"/>
        <bgColor indexed="64"/>
      </patternFill>
    </fill>
    <fill>
      <patternFill patternType="solid">
        <fgColor indexed="45"/>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41"/>
        <bgColor indexed="64"/>
      </patternFill>
    </fill>
    <fill>
      <patternFill patternType="solid">
        <fgColor theme="1"/>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rgb="FFFFCCFF"/>
        <bgColor indexed="64"/>
      </patternFill>
    </fill>
    <fill>
      <patternFill patternType="solid">
        <fgColor rgb="FFCCFFCC"/>
        <bgColor indexed="64"/>
      </patternFill>
    </fill>
    <fill>
      <patternFill patternType="solid">
        <fgColor rgb="FFFFFFCC"/>
        <bgColor indexed="64"/>
      </patternFill>
    </fill>
    <fill>
      <patternFill patternType="solid">
        <fgColor rgb="FFFF0000"/>
        <bgColor indexed="64"/>
      </patternFill>
    </fill>
    <fill>
      <patternFill patternType="solid">
        <fgColor rgb="FFFFFF0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5"/>
      </left>
      <right/>
      <top style="thin">
        <color indexed="65"/>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double">
        <color indexed="64"/>
      </left>
      <right style="thin">
        <color indexed="64"/>
      </right>
      <top style="thin">
        <color indexed="64"/>
      </top>
      <bottom style="medium">
        <color indexed="64"/>
      </bottom>
      <diagonal/>
    </border>
    <border>
      <left style="double">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indexed="65"/>
      </left>
      <right/>
      <top style="thin">
        <color rgb="FFABABAB"/>
      </top>
      <bottom style="thin">
        <color rgb="FFABABAB"/>
      </bottom>
      <diagonal/>
    </border>
    <border>
      <left style="thin">
        <color indexed="64"/>
      </left>
      <right style="thin">
        <color indexed="64"/>
      </right>
      <top style="thin">
        <color indexed="64"/>
      </top>
      <bottom/>
      <diagonal/>
    </border>
  </borders>
  <cellStyleXfs count="4">
    <xf numFmtId="0" fontId="0" fillId="0" borderId="0"/>
    <xf numFmtId="0" fontId="4" fillId="0" borderId="0"/>
    <xf numFmtId="0" fontId="1" fillId="0" borderId="0">
      <alignment vertical="center"/>
    </xf>
    <xf numFmtId="38" fontId="1" fillId="0" borderId="0" applyFont="0" applyFill="0" applyBorder="0" applyAlignment="0" applyProtection="0">
      <alignment vertical="center"/>
    </xf>
  </cellStyleXfs>
  <cellXfs count="184">
    <xf numFmtId="0" fontId="0" fillId="0" borderId="0" xfId="0"/>
    <xf numFmtId="0" fontId="3" fillId="0" borderId="0" xfId="1" applyFont="1"/>
    <xf numFmtId="0" fontId="5" fillId="0" borderId="1" xfId="1" applyFont="1" applyBorder="1" applyAlignment="1">
      <alignment vertical="top"/>
    </xf>
    <xf numFmtId="0" fontId="5" fillId="0" borderId="1" xfId="1" applyFont="1" applyBorder="1" applyAlignment="1">
      <alignment vertical="top" wrapText="1"/>
    </xf>
    <xf numFmtId="0" fontId="5" fillId="0" borderId="0" xfId="1" applyFont="1" applyAlignment="1">
      <alignment vertical="top"/>
    </xf>
    <xf numFmtId="0" fontId="0" fillId="0" borderId="1" xfId="0" applyBorder="1" applyAlignment="1">
      <alignment shrinkToFit="1"/>
    </xf>
    <xf numFmtId="0" fontId="0" fillId="2" borderId="0" xfId="0" applyFill="1" applyAlignment="1">
      <alignment shrinkToFit="1"/>
    </xf>
    <xf numFmtId="0" fontId="4" fillId="2" borderId="0" xfId="0" applyFont="1" applyFill="1" applyAlignment="1">
      <alignment shrinkToFit="1"/>
    </xf>
    <xf numFmtId="14" fontId="0" fillId="0" borderId="0" xfId="0" applyNumberFormat="1" applyAlignment="1">
      <alignment shrinkToFit="1"/>
    </xf>
    <xf numFmtId="0" fontId="5" fillId="3" borderId="0" xfId="1" applyFont="1" applyFill="1" applyAlignment="1">
      <alignment vertical="top"/>
    </xf>
    <xf numFmtId="0" fontId="5" fillId="3" borderId="0" xfId="1" applyFont="1" applyFill="1" applyAlignment="1">
      <alignment horizontal="right" vertical="top"/>
    </xf>
    <xf numFmtId="0" fontId="5" fillId="3" borderId="1" xfId="1" applyFont="1" applyFill="1" applyBorder="1" applyAlignment="1">
      <alignment horizontal="center" vertical="top"/>
    </xf>
    <xf numFmtId="0" fontId="3" fillId="3" borderId="0" xfId="1" applyFont="1" applyFill="1"/>
    <xf numFmtId="0" fontId="5" fillId="0" borderId="1" xfId="1" applyFont="1" applyBorder="1" applyAlignment="1" applyProtection="1">
      <alignment horizontal="left" vertical="top"/>
      <protection locked="0"/>
    </xf>
    <xf numFmtId="49" fontId="0" fillId="0" borderId="1" xfId="0" applyNumberFormat="1" applyBorder="1" applyAlignment="1">
      <alignment horizontal="right"/>
    </xf>
    <xf numFmtId="0" fontId="0" fillId="5" borderId="1" xfId="0" applyFill="1" applyBorder="1" applyAlignment="1">
      <alignment shrinkToFit="1"/>
    </xf>
    <xf numFmtId="0" fontId="7" fillId="0" borderId="2" xfId="0" applyFont="1" applyBorder="1" applyAlignment="1">
      <alignment vertical="center" shrinkToFit="1"/>
    </xf>
    <xf numFmtId="0" fontId="7" fillId="0" borderId="0" xfId="0" applyFont="1" applyAlignment="1">
      <alignment shrinkToFit="1"/>
    </xf>
    <xf numFmtId="0" fontId="7" fillId="0" borderId="3" xfId="0" applyFont="1" applyBorder="1" applyAlignment="1">
      <alignment vertical="center" shrinkToFit="1"/>
    </xf>
    <xf numFmtId="176" fontId="8" fillId="0" borderId="0" xfId="0" applyNumberFormat="1" applyFont="1" applyAlignment="1">
      <alignment shrinkToFit="1"/>
    </xf>
    <xf numFmtId="176" fontId="1" fillId="0" borderId="0" xfId="0" applyNumberFormat="1" applyFont="1" applyAlignment="1">
      <alignment shrinkToFit="1"/>
    </xf>
    <xf numFmtId="0" fontId="0" fillId="2" borderId="0" xfId="0" applyFill="1" applyAlignment="1">
      <alignment horizontal="center" shrinkToFit="1"/>
    </xf>
    <xf numFmtId="0" fontId="0" fillId="0" borderId="0" xfId="0" applyAlignment="1">
      <alignment horizontal="center" shrinkToFit="1"/>
    </xf>
    <xf numFmtId="0" fontId="5" fillId="0" borderId="0" xfId="1" applyFont="1" applyAlignment="1">
      <alignment vertical="top" wrapText="1"/>
    </xf>
    <xf numFmtId="0" fontId="0" fillId="7" borderId="1" xfId="0" applyFill="1" applyBorder="1" applyAlignment="1">
      <alignment shrinkToFit="1"/>
    </xf>
    <xf numFmtId="0" fontId="0" fillId="4" borderId="1" xfId="0" applyFill="1" applyBorder="1" applyAlignment="1">
      <alignment shrinkToFit="1"/>
    </xf>
    <xf numFmtId="0" fontId="0" fillId="8" borderId="1" xfId="0" applyFill="1" applyBorder="1" applyAlignment="1">
      <alignment shrinkToFit="1"/>
    </xf>
    <xf numFmtId="178" fontId="0" fillId="8" borderId="1" xfId="0" applyNumberFormat="1" applyFill="1" applyBorder="1" applyAlignment="1">
      <alignment shrinkToFit="1"/>
    </xf>
    <xf numFmtId="0" fontId="0" fillId="9" borderId="1" xfId="0" applyFill="1" applyBorder="1" applyAlignment="1">
      <alignment shrinkToFit="1"/>
    </xf>
    <xf numFmtId="178" fontId="0" fillId="9" borderId="1" xfId="0" applyNumberFormat="1" applyFill="1" applyBorder="1" applyAlignment="1">
      <alignment shrinkToFit="1"/>
    </xf>
    <xf numFmtId="0" fontId="0" fillId="10" borderId="1" xfId="0" applyFill="1" applyBorder="1" applyAlignment="1">
      <alignment shrinkToFit="1"/>
    </xf>
    <xf numFmtId="178" fontId="0" fillId="10" borderId="1" xfId="0" applyNumberFormat="1" applyFill="1" applyBorder="1" applyAlignment="1">
      <alignment shrinkToFit="1"/>
    </xf>
    <xf numFmtId="178" fontId="0" fillId="5" borderId="1" xfId="0" applyNumberFormat="1" applyFill="1" applyBorder="1" applyAlignment="1">
      <alignment shrinkToFit="1"/>
    </xf>
    <xf numFmtId="0" fontId="0" fillId="11" borderId="1" xfId="0" applyFill="1" applyBorder="1" applyAlignment="1">
      <alignment shrinkToFit="1"/>
    </xf>
    <xf numFmtId="178" fontId="0" fillId="11" borderId="1" xfId="0" applyNumberFormat="1" applyFill="1" applyBorder="1" applyAlignment="1">
      <alignment shrinkToFit="1"/>
    </xf>
    <xf numFmtId="0" fontId="0" fillId="0" borderId="1" xfId="0" applyBorder="1" applyAlignment="1">
      <alignment horizontal="center" shrinkToFit="1"/>
    </xf>
    <xf numFmtId="0" fontId="0" fillId="12" borderId="1" xfId="0" applyFill="1" applyBorder="1" applyAlignment="1" applyProtection="1">
      <alignment shrinkToFit="1"/>
      <protection locked="0"/>
    </xf>
    <xf numFmtId="177" fontId="0" fillId="0" borderId="1" xfId="0" applyNumberFormat="1" applyBorder="1" applyAlignment="1">
      <alignment shrinkToFit="1"/>
    </xf>
    <xf numFmtId="177" fontId="0" fillId="12" borderId="1" xfId="0" applyNumberFormat="1" applyFill="1" applyBorder="1" applyAlignment="1" applyProtection="1">
      <alignment shrinkToFit="1"/>
      <protection locked="0"/>
    </xf>
    <xf numFmtId="0" fontId="9" fillId="2" borderId="0" xfId="0" applyFont="1" applyFill="1" applyAlignment="1">
      <alignment horizontal="center" shrinkToFit="1"/>
    </xf>
    <xf numFmtId="0" fontId="9" fillId="0" borderId="0" xfId="0" applyFont="1" applyAlignment="1">
      <alignment horizontal="center" shrinkToFit="1"/>
    </xf>
    <xf numFmtId="0" fontId="0" fillId="2" borderId="0" xfId="0" applyFill="1" applyAlignment="1">
      <alignment horizontal="left" shrinkToFit="1"/>
    </xf>
    <xf numFmtId="0" fontId="4" fillId="2" borderId="0" xfId="0" applyFont="1" applyFill="1" applyAlignment="1">
      <alignment horizontal="left" shrinkToFit="1"/>
    </xf>
    <xf numFmtId="0" fontId="0" fillId="0" borderId="0" xfId="0" applyAlignment="1">
      <alignment horizontal="left" shrinkToFit="1"/>
    </xf>
    <xf numFmtId="14" fontId="0" fillId="0" borderId="0" xfId="0" applyNumberFormat="1" applyAlignment="1">
      <alignment horizontal="left" shrinkToFit="1"/>
    </xf>
    <xf numFmtId="14" fontId="0" fillId="2" borderId="0" xfId="0" applyNumberFormat="1" applyFill="1" applyAlignment="1">
      <alignment horizontal="left" shrinkToFit="1"/>
    </xf>
    <xf numFmtId="0" fontId="0" fillId="0" borderId="4" xfId="0" applyBorder="1" applyAlignment="1">
      <alignment horizontal="left" shrinkToFit="1"/>
    </xf>
    <xf numFmtId="176" fontId="14" fillId="0" borderId="0" xfId="0" applyNumberFormat="1" applyFont="1" applyAlignment="1">
      <alignment shrinkToFit="1"/>
    </xf>
    <xf numFmtId="0" fontId="9" fillId="0" borderId="1" xfId="0" applyFont="1" applyBorder="1" applyAlignment="1">
      <alignment horizontal="right" vertical="center" shrinkToFit="1"/>
    </xf>
    <xf numFmtId="178" fontId="7" fillId="0" borderId="1" xfId="0" applyNumberFormat="1" applyFont="1" applyBorder="1" applyAlignment="1">
      <alignment horizontal="center" vertical="center" shrinkToFit="1"/>
    </xf>
    <xf numFmtId="0" fontId="7" fillId="0" borderId="0" xfId="0" applyFont="1" applyAlignment="1">
      <alignment horizontal="center" vertical="center" shrinkToFit="1"/>
    </xf>
    <xf numFmtId="176" fontId="15" fillId="0" borderId="0" xfId="0" applyNumberFormat="1" applyFont="1" applyAlignment="1">
      <alignment shrinkToFit="1"/>
    </xf>
    <xf numFmtId="0" fontId="9" fillId="4" borderId="1" xfId="0" applyFont="1" applyFill="1" applyBorder="1" applyAlignment="1">
      <alignment shrinkToFit="1"/>
    </xf>
    <xf numFmtId="0" fontId="7" fillId="0" borderId="1" xfId="0" applyFont="1" applyBorder="1" applyAlignment="1">
      <alignment horizontal="center" vertical="center" shrinkToFit="1"/>
    </xf>
    <xf numFmtId="0" fontId="7" fillId="6" borderId="0" xfId="0" applyFont="1" applyFill="1" applyAlignment="1">
      <alignment shrinkToFit="1"/>
    </xf>
    <xf numFmtId="0" fontId="9" fillId="0" borderId="0" xfId="0" applyFont="1" applyAlignment="1">
      <alignment horizontal="right" shrinkToFit="1"/>
    </xf>
    <xf numFmtId="176" fontId="16" fillId="0" borderId="0" xfId="0" applyNumberFormat="1" applyFont="1" applyAlignment="1">
      <alignment shrinkToFit="1"/>
    </xf>
    <xf numFmtId="0" fontId="7" fillId="0" borderId="1" xfId="0" applyFont="1" applyBorder="1" applyAlignment="1">
      <alignment horizontal="center" shrinkToFit="1"/>
    </xf>
    <xf numFmtId="176" fontId="0" fillId="0" borderId="0" xfId="0" applyNumberFormat="1" applyAlignment="1">
      <alignment shrinkToFit="1"/>
    </xf>
    <xf numFmtId="0" fontId="17" fillId="0" borderId="1" xfId="0" applyFont="1" applyBorder="1" applyAlignment="1">
      <alignment horizontal="center" shrinkToFit="1"/>
    </xf>
    <xf numFmtId="178" fontId="0" fillId="7" borderId="1" xfId="0" applyNumberFormat="1" applyFill="1" applyBorder="1" applyAlignment="1">
      <alignment shrinkToFit="1"/>
    </xf>
    <xf numFmtId="0" fontId="8" fillId="0" borderId="0" xfId="0" applyFont="1" applyAlignment="1">
      <alignment shrinkToFit="1"/>
    </xf>
    <xf numFmtId="0" fontId="0" fillId="0" borderId="0" xfId="0" applyAlignment="1">
      <alignment shrinkToFit="1"/>
    </xf>
    <xf numFmtId="179" fontId="8" fillId="0" borderId="0" xfId="0" applyNumberFormat="1" applyFont="1" applyAlignment="1">
      <alignment shrinkToFit="1"/>
    </xf>
    <xf numFmtId="0" fontId="6" fillId="0" borderId="1" xfId="0" applyFont="1" applyBorder="1" applyAlignment="1">
      <alignment horizontal="center" vertical="center" textRotation="255" shrinkToFit="1"/>
    </xf>
    <xf numFmtId="0" fontId="6" fillId="0" borderId="1" xfId="0" applyFont="1" applyBorder="1" applyAlignment="1">
      <alignment wrapText="1" shrinkToFit="1"/>
    </xf>
    <xf numFmtId="179" fontId="19" fillId="0" borderId="1" xfId="0" applyNumberFormat="1" applyFont="1" applyBorder="1" applyAlignment="1">
      <alignment vertical="center" textRotation="255" wrapText="1" shrinkToFit="1"/>
    </xf>
    <xf numFmtId="176" fontId="8" fillId="0" borderId="1" xfId="0" applyNumberFormat="1" applyFont="1" applyBorder="1" applyAlignment="1">
      <alignment shrinkToFit="1"/>
    </xf>
    <xf numFmtId="0" fontId="8" fillId="0" borderId="1" xfId="0" applyFont="1" applyBorder="1" applyAlignment="1">
      <alignment shrinkToFit="1"/>
    </xf>
    <xf numFmtId="176" fontId="20" fillId="0" borderId="0" xfId="0" applyNumberFormat="1" applyFont="1" applyAlignment="1">
      <alignment shrinkToFit="1"/>
    </xf>
    <xf numFmtId="176" fontId="22" fillId="0" borderId="0" xfId="0" applyNumberFormat="1" applyFont="1"/>
    <xf numFmtId="176" fontId="0" fillId="0" borderId="0" xfId="0" applyNumberFormat="1"/>
    <xf numFmtId="178" fontId="0" fillId="4" borderId="1" xfId="0" applyNumberFormat="1" applyFill="1" applyBorder="1" applyAlignment="1">
      <alignment shrinkToFit="1"/>
    </xf>
    <xf numFmtId="0" fontId="14" fillId="0" borderId="0" xfId="0" applyFont="1" applyAlignment="1">
      <alignment shrinkToFit="1"/>
    </xf>
    <xf numFmtId="0" fontId="2" fillId="0" borderId="1" xfId="0" applyFont="1" applyBorder="1" applyAlignment="1">
      <alignment horizontal="center" wrapText="1" shrinkToFit="1"/>
    </xf>
    <xf numFmtId="0" fontId="13" fillId="0" borderId="6" xfId="0" applyFont="1" applyBorder="1" applyAlignment="1">
      <alignment wrapText="1" shrinkToFit="1"/>
    </xf>
    <xf numFmtId="0" fontId="14" fillId="0" borderId="1" xfId="0" applyFont="1" applyBorder="1" applyAlignment="1">
      <alignment shrinkToFit="1"/>
    </xf>
    <xf numFmtId="0" fontId="14" fillId="0" borderId="0" xfId="0" applyFont="1" applyAlignment="1">
      <alignment horizontal="center" shrinkToFit="1"/>
    </xf>
    <xf numFmtId="0" fontId="8" fillId="0" borderId="0" xfId="0" applyFont="1" applyAlignment="1">
      <alignment horizontal="center" shrinkToFit="1"/>
    </xf>
    <xf numFmtId="0" fontId="13" fillId="0" borderId="1" xfId="0" applyFont="1" applyBorder="1" applyAlignment="1">
      <alignment wrapText="1" shrinkToFit="1"/>
    </xf>
    <xf numFmtId="0" fontId="14" fillId="0" borderId="0" xfId="0" applyFont="1" applyAlignment="1">
      <alignment horizontal="right" shrinkToFit="1"/>
    </xf>
    <xf numFmtId="0" fontId="6" fillId="8" borderId="1" xfId="0" applyFont="1" applyFill="1" applyBorder="1" applyAlignment="1">
      <alignment horizontal="right" wrapText="1" shrinkToFit="1"/>
    </xf>
    <xf numFmtId="0" fontId="0" fillId="0" borderId="1" xfId="0" applyBorder="1" applyAlignment="1">
      <alignment horizontal="right" shrinkToFit="1"/>
    </xf>
    <xf numFmtId="0" fontId="1" fillId="0" borderId="0" xfId="0" applyFont="1" applyAlignment="1">
      <alignment horizontal="right" shrinkToFit="1"/>
    </xf>
    <xf numFmtId="0" fontId="0" fillId="0" borderId="0" xfId="0" applyAlignment="1">
      <alignment horizontal="right" shrinkToFit="1"/>
    </xf>
    <xf numFmtId="0" fontId="18" fillId="13" borderId="0" xfId="0" applyFont="1" applyFill="1" applyAlignment="1">
      <alignment horizontal="right" wrapText="1" shrinkToFit="1"/>
    </xf>
    <xf numFmtId="0" fontId="8" fillId="0" borderId="1" xfId="0" applyFont="1" applyBorder="1" applyAlignment="1">
      <alignment horizontal="right" shrinkToFit="1"/>
    </xf>
    <xf numFmtId="0" fontId="8" fillId="0" borderId="0" xfId="0" applyFont="1" applyAlignment="1">
      <alignment horizontal="right" shrinkToFit="1"/>
    </xf>
    <xf numFmtId="180" fontId="0" fillId="0" borderId="1" xfId="0" applyNumberFormat="1" applyBorder="1" applyAlignment="1">
      <alignment horizontal="left" shrinkToFit="1"/>
    </xf>
    <xf numFmtId="0" fontId="14" fillId="14" borderId="0" xfId="0" applyFont="1" applyFill="1" applyAlignment="1">
      <alignment horizontal="right" shrinkToFit="1"/>
    </xf>
    <xf numFmtId="0" fontId="6" fillId="14" borderId="8" xfId="0" applyFont="1" applyFill="1" applyBorder="1" applyAlignment="1">
      <alignment horizontal="right" wrapText="1" shrinkToFit="1"/>
    </xf>
    <xf numFmtId="0" fontId="1" fillId="14" borderId="0" xfId="0" applyFont="1" applyFill="1" applyAlignment="1">
      <alignment horizontal="right" shrinkToFit="1"/>
    </xf>
    <xf numFmtId="0" fontId="0" fillId="15" borderId="7" xfId="0" applyFill="1" applyBorder="1" applyAlignment="1">
      <alignment horizontal="right" shrinkToFit="1"/>
    </xf>
    <xf numFmtId="0" fontId="23" fillId="0" borderId="1" xfId="0" applyFont="1" applyBorder="1" applyAlignment="1">
      <alignment horizontal="center" shrinkToFit="1"/>
    </xf>
    <xf numFmtId="176" fontId="24" fillId="0" borderId="0" xfId="0" applyNumberFormat="1" applyFont="1" applyAlignment="1">
      <alignment shrinkToFit="1"/>
    </xf>
    <xf numFmtId="0" fontId="23" fillId="0" borderId="3" xfId="0" applyFont="1" applyBorder="1" applyAlignment="1">
      <alignment vertical="center" shrinkToFit="1"/>
    </xf>
    <xf numFmtId="0" fontId="23" fillId="0" borderId="2" xfId="0" applyFont="1" applyBorder="1" applyAlignment="1">
      <alignment vertical="center" shrinkToFit="1"/>
    </xf>
    <xf numFmtId="0" fontId="23" fillId="0" borderId="1" xfId="0" applyFont="1" applyBorder="1" applyAlignment="1">
      <alignment horizontal="right" vertical="center" shrinkToFit="1"/>
    </xf>
    <xf numFmtId="178" fontId="23" fillId="0" borderId="1" xfId="0" applyNumberFormat="1" applyFont="1" applyBorder="1" applyAlignment="1">
      <alignment horizontal="center" vertical="center" shrinkToFit="1"/>
    </xf>
    <xf numFmtId="0" fontId="23" fillId="4" borderId="1" xfId="0" applyFont="1" applyFill="1" applyBorder="1" applyAlignment="1">
      <alignment shrinkToFit="1"/>
    </xf>
    <xf numFmtId="0" fontId="23" fillId="0" borderId="1" xfId="0" applyFont="1" applyBorder="1" applyAlignment="1">
      <alignment horizontal="center" vertical="center" shrinkToFit="1"/>
    </xf>
    <xf numFmtId="0" fontId="23" fillId="0" borderId="0" xfId="0" applyFont="1" applyAlignment="1">
      <alignment shrinkToFit="1"/>
    </xf>
    <xf numFmtId="0" fontId="23" fillId="0" borderId="0" xfId="0" applyFont="1" applyAlignment="1">
      <alignment horizontal="right" shrinkToFit="1"/>
    </xf>
    <xf numFmtId="0" fontId="0" fillId="0" borderId="10" xfId="0" applyBorder="1" applyAlignment="1">
      <alignment shrinkToFit="1"/>
    </xf>
    <xf numFmtId="179" fontId="0" fillId="0" borderId="10" xfId="0" applyNumberFormat="1" applyBorder="1" applyAlignment="1">
      <alignment shrinkToFit="1"/>
    </xf>
    <xf numFmtId="0" fontId="7" fillId="0" borderId="1" xfId="0" applyFont="1" applyBorder="1" applyAlignment="1">
      <alignment shrinkToFit="1"/>
    </xf>
    <xf numFmtId="177" fontId="7" fillId="0" borderId="1" xfId="0" applyNumberFormat="1" applyFont="1" applyBorder="1" applyAlignment="1">
      <alignment shrinkToFit="1"/>
    </xf>
    <xf numFmtId="0" fontId="21" fillId="0" borderId="10" xfId="0" applyFont="1" applyBorder="1" applyAlignment="1">
      <alignment horizontal="center" vertical="center" wrapText="1" shrinkToFit="1"/>
    </xf>
    <xf numFmtId="0" fontId="21" fillId="0" borderId="0" xfId="0" applyFont="1" applyAlignment="1">
      <alignment vertical="center" wrapText="1"/>
    </xf>
    <xf numFmtId="0" fontId="21" fillId="0" borderId="0" xfId="0" applyFont="1" applyAlignment="1">
      <alignment horizontal="center" vertical="center" wrapText="1" shrinkToFit="1"/>
    </xf>
    <xf numFmtId="0" fontId="21" fillId="0" borderId="10" xfId="0" applyFont="1" applyBorder="1" applyAlignment="1">
      <alignment horizontal="left" vertical="center" wrapText="1" shrinkToFit="1"/>
    </xf>
    <xf numFmtId="0" fontId="20" fillId="0" borderId="10" xfId="0" applyFont="1" applyBorder="1" applyAlignment="1">
      <alignment horizontal="center" shrinkToFit="1"/>
    </xf>
    <xf numFmtId="176" fontId="0" fillId="0" borderId="0" xfId="0" applyNumberFormat="1" applyAlignment="1">
      <alignment horizontal="left" vertical="center"/>
    </xf>
    <xf numFmtId="0" fontId="0" fillId="14" borderId="0" xfId="0" applyFill="1"/>
    <xf numFmtId="0" fontId="0" fillId="14" borderId="0" xfId="0" applyFill="1" applyAlignment="1">
      <alignment horizontal="center" shrinkToFit="1"/>
    </xf>
    <xf numFmtId="0" fontId="21" fillId="0" borderId="11" xfId="0" applyFont="1" applyBorder="1" applyAlignment="1">
      <alignment horizontal="center" vertical="center" wrapText="1" shrinkToFit="1"/>
    </xf>
    <xf numFmtId="0" fontId="21" fillId="0" borderId="9" xfId="0" applyFont="1" applyBorder="1" applyAlignment="1">
      <alignment horizontal="center" vertical="center" wrapText="1" shrinkToFit="1"/>
    </xf>
    <xf numFmtId="0" fontId="21" fillId="0" borderId="12" xfId="0" applyFont="1" applyBorder="1" applyAlignment="1">
      <alignment horizontal="center" vertical="center" wrapText="1" shrinkToFit="1"/>
    </xf>
    <xf numFmtId="180" fontId="0" fillId="0" borderId="10" xfId="0" applyNumberFormat="1" applyBorder="1" applyAlignment="1">
      <alignment horizontal="left" shrinkToFit="1"/>
    </xf>
    <xf numFmtId="0" fontId="20" fillId="14" borderId="10" xfId="0" applyFont="1" applyFill="1" applyBorder="1" applyAlignment="1">
      <alignment horizontal="center" shrinkToFit="1"/>
    </xf>
    <xf numFmtId="0" fontId="21" fillId="0" borderId="5" xfId="0" applyFont="1" applyBorder="1" applyAlignment="1">
      <alignment horizontal="center" vertical="center" wrapText="1" shrinkToFit="1"/>
    </xf>
    <xf numFmtId="177" fontId="0" fillId="0" borderId="10" xfId="0" applyNumberFormat="1" applyBorder="1" applyAlignment="1">
      <alignment horizontal="right" shrinkToFit="1"/>
    </xf>
    <xf numFmtId="1" fontId="0" fillId="0" borderId="1" xfId="0" applyNumberFormat="1" applyBorder="1" applyAlignment="1">
      <alignment horizontal="center" shrinkToFit="1"/>
    </xf>
    <xf numFmtId="0" fontId="21" fillId="0" borderId="14" xfId="0" applyFont="1" applyBorder="1" applyAlignment="1">
      <alignment horizontal="center" vertical="center" wrapText="1" shrinkToFit="1"/>
    </xf>
    <xf numFmtId="0" fontId="21" fillId="0" borderId="16" xfId="0" applyFont="1" applyBorder="1" applyAlignment="1">
      <alignment horizontal="center" vertical="center" wrapText="1" shrinkToFit="1"/>
    </xf>
    <xf numFmtId="0" fontId="21" fillId="0" borderId="18" xfId="0" applyFont="1" applyBorder="1" applyAlignment="1">
      <alignment horizontal="center" vertical="center" wrapText="1" shrinkToFit="1"/>
    </xf>
    <xf numFmtId="0" fontId="21" fillId="0" borderId="20" xfId="0" applyFont="1" applyBorder="1" applyAlignment="1">
      <alignment horizontal="center" vertical="center" wrapText="1" shrinkToFit="1"/>
    </xf>
    <xf numFmtId="0" fontId="21" fillId="0" borderId="22" xfId="0" applyFont="1" applyBorder="1" applyAlignment="1">
      <alignment horizontal="center" vertical="center" wrapText="1" shrinkToFit="1"/>
    </xf>
    <xf numFmtId="0" fontId="20" fillId="14" borderId="13" xfId="0" applyFont="1" applyFill="1" applyBorder="1" applyAlignment="1">
      <alignment horizontal="center" shrinkToFit="1"/>
    </xf>
    <xf numFmtId="0" fontId="0" fillId="0" borderId="4" xfId="0" applyBorder="1" applyAlignment="1">
      <alignment horizontal="center" shrinkToFit="1"/>
    </xf>
    <xf numFmtId="0" fontId="20" fillId="0" borderId="10" xfId="0" applyFont="1" applyBorder="1" applyAlignment="1">
      <alignment horizontal="center" vertical="center" wrapText="1" shrinkToFit="1"/>
    </xf>
    <xf numFmtId="0" fontId="20" fillId="14" borderId="10" xfId="0" applyFont="1" applyFill="1" applyBorder="1" applyAlignment="1">
      <alignment horizontal="center" vertical="center" wrapText="1" shrinkToFit="1"/>
    </xf>
    <xf numFmtId="0" fontId="20" fillId="14" borderId="13" xfId="0" applyFont="1" applyFill="1" applyBorder="1" applyAlignment="1">
      <alignment horizontal="center" vertical="center" wrapText="1" shrinkToFit="1"/>
    </xf>
    <xf numFmtId="0" fontId="0" fillId="0" borderId="10" xfId="0" applyBorder="1" applyAlignment="1">
      <alignment wrapText="1"/>
    </xf>
    <xf numFmtId="0" fontId="0" fillId="0" borderId="23" xfId="0" pivotButton="1" applyBorder="1" applyAlignment="1">
      <alignment horizontal="center" shrinkToFit="1"/>
    </xf>
    <xf numFmtId="0" fontId="0" fillId="0" borderId="27" xfId="0" applyBorder="1" applyAlignment="1">
      <alignment horizontal="center" shrinkToFit="1"/>
    </xf>
    <xf numFmtId="0" fontId="0" fillId="0" borderId="27" xfId="0" pivotButton="1" applyBorder="1" applyAlignment="1">
      <alignment horizontal="center" shrinkToFit="1"/>
    </xf>
    <xf numFmtId="0" fontId="0" fillId="0" borderId="28" xfId="0" applyBorder="1" applyAlignment="1">
      <alignment horizontal="center" shrinkToFit="1"/>
    </xf>
    <xf numFmtId="0" fontId="0" fillId="0" borderId="23" xfId="0" applyBorder="1" applyAlignment="1">
      <alignment horizontal="center" shrinkToFit="1"/>
    </xf>
    <xf numFmtId="0" fontId="0" fillId="0" borderId="24" xfId="0" applyBorder="1" applyAlignment="1">
      <alignment horizontal="center" shrinkToFit="1"/>
    </xf>
    <xf numFmtId="0" fontId="0" fillId="0" borderId="30" xfId="0" applyBorder="1" applyAlignment="1">
      <alignment horizontal="center" shrinkToFit="1"/>
    </xf>
    <xf numFmtId="0" fontId="0" fillId="0" borderId="31" xfId="0" applyBorder="1" applyAlignment="1">
      <alignment horizontal="center" shrinkToFit="1"/>
    </xf>
    <xf numFmtId="0" fontId="0" fillId="0" borderId="23" xfId="0" pivotButton="1" applyBorder="1" applyAlignment="1">
      <alignment horizontal="left" shrinkToFit="1"/>
    </xf>
    <xf numFmtId="0" fontId="0" fillId="0" borderId="29" xfId="0" applyBorder="1" applyAlignment="1">
      <alignment horizontal="left" shrinkToFit="1"/>
    </xf>
    <xf numFmtId="0" fontId="0" fillId="0" borderId="23" xfId="0" applyBorder="1" applyAlignment="1">
      <alignment horizontal="left" shrinkToFit="1"/>
    </xf>
    <xf numFmtId="0" fontId="0" fillId="0" borderId="25" xfId="0" applyBorder="1" applyAlignment="1">
      <alignment horizontal="left" shrinkToFit="1"/>
    </xf>
    <xf numFmtId="0" fontId="0" fillId="0" borderId="27" xfId="0" applyBorder="1" applyAlignment="1">
      <alignment horizontal="left" shrinkToFit="1"/>
    </xf>
    <xf numFmtId="0" fontId="0" fillId="0" borderId="31" xfId="0" applyBorder="1" applyAlignment="1">
      <alignment horizontal="left" shrinkToFit="1"/>
    </xf>
    <xf numFmtId="0" fontId="0" fillId="0" borderId="10" xfId="0" applyBorder="1" applyAlignment="1">
      <alignment horizontal="left" shrinkToFit="1"/>
    </xf>
    <xf numFmtId="0" fontId="0" fillId="14" borderId="10" xfId="0" applyFill="1" applyBorder="1" applyAlignment="1">
      <alignment horizontal="left" shrinkToFit="1"/>
    </xf>
    <xf numFmtId="0" fontId="0" fillId="14" borderId="13" xfId="0" applyFill="1" applyBorder="1" applyAlignment="1">
      <alignment horizontal="left" shrinkToFit="1"/>
    </xf>
    <xf numFmtId="0" fontId="20" fillId="0" borderId="9" xfId="0" applyFont="1" applyBorder="1" applyAlignment="1">
      <alignment horizontal="center" shrinkToFit="1"/>
    </xf>
    <xf numFmtId="0" fontId="20" fillId="14" borderId="9" xfId="0" applyFont="1" applyFill="1" applyBorder="1" applyAlignment="1">
      <alignment horizontal="center" shrinkToFit="1"/>
    </xf>
    <xf numFmtId="0" fontId="20" fillId="14" borderId="15" xfId="0" applyFont="1" applyFill="1" applyBorder="1" applyAlignment="1">
      <alignment horizontal="center" shrinkToFit="1"/>
    </xf>
    <xf numFmtId="0" fontId="20" fillId="0" borderId="5" xfId="0" applyFont="1" applyBorder="1" applyAlignment="1">
      <alignment horizontal="center" shrinkToFit="1"/>
    </xf>
    <xf numFmtId="0" fontId="20" fillId="14" borderId="5" xfId="0" applyFont="1" applyFill="1" applyBorder="1" applyAlignment="1">
      <alignment horizontal="center" shrinkToFit="1"/>
    </xf>
    <xf numFmtId="0" fontId="20" fillId="14" borderId="17" xfId="0" applyFont="1" applyFill="1" applyBorder="1" applyAlignment="1">
      <alignment horizontal="center" shrinkToFit="1"/>
    </xf>
    <xf numFmtId="0" fontId="20" fillId="0" borderId="11" xfId="0" applyFont="1" applyBorder="1" applyAlignment="1">
      <alignment horizontal="center" shrinkToFit="1"/>
    </xf>
    <xf numFmtId="0" fontId="20" fillId="14" borderId="11" xfId="0" applyFont="1" applyFill="1" applyBorder="1" applyAlignment="1">
      <alignment horizontal="center" shrinkToFit="1"/>
    </xf>
    <xf numFmtId="0" fontId="20" fillId="0" borderId="12" xfId="0" applyFont="1" applyBorder="1" applyAlignment="1">
      <alignment horizontal="center" shrinkToFit="1"/>
    </xf>
    <xf numFmtId="0" fontId="20" fillId="14" borderId="12" xfId="0" applyFont="1" applyFill="1" applyBorder="1" applyAlignment="1">
      <alignment horizontal="center" shrinkToFit="1"/>
    </xf>
    <xf numFmtId="0" fontId="20" fillId="14" borderId="21" xfId="0" applyFont="1" applyFill="1" applyBorder="1" applyAlignment="1">
      <alignment horizontal="center" shrinkToFit="1"/>
    </xf>
    <xf numFmtId="0" fontId="20" fillId="14" borderId="19" xfId="0" applyFont="1" applyFill="1" applyBorder="1" applyAlignment="1">
      <alignment horizontal="center" shrinkToFit="1"/>
    </xf>
    <xf numFmtId="3" fontId="0" fillId="0" borderId="1" xfId="0" applyNumberFormat="1" applyBorder="1" applyAlignment="1">
      <alignment shrinkToFit="1"/>
    </xf>
    <xf numFmtId="49" fontId="7" fillId="0" borderId="1" xfId="0" applyNumberFormat="1" applyFont="1" applyBorder="1" applyAlignment="1">
      <alignment horizontal="right"/>
    </xf>
    <xf numFmtId="0" fontId="29" fillId="0" borderId="0" xfId="0" applyFont="1"/>
    <xf numFmtId="0" fontId="0" fillId="0" borderId="25" xfId="0" applyBorder="1" applyAlignment="1">
      <alignment horizontal="center" shrinkToFit="1"/>
    </xf>
    <xf numFmtId="0" fontId="0" fillId="0" borderId="26" xfId="0" applyBorder="1" applyAlignment="1">
      <alignment horizontal="center" shrinkToFit="1"/>
    </xf>
    <xf numFmtId="0" fontId="0" fillId="0" borderId="10" xfId="0" applyBorder="1"/>
    <xf numFmtId="0" fontId="0" fillId="16" borderId="10" xfId="0" applyFill="1" applyBorder="1"/>
    <xf numFmtId="0" fontId="0" fillId="0" borderId="14" xfId="0" applyBorder="1"/>
    <xf numFmtId="0" fontId="0" fillId="0" borderId="32" xfId="0" applyBorder="1"/>
    <xf numFmtId="0" fontId="14" fillId="0" borderId="10" xfId="0" applyFont="1" applyBorder="1" applyAlignment="1">
      <alignment wrapText="1"/>
    </xf>
    <xf numFmtId="0" fontId="0" fillId="0" borderId="14" xfId="0" applyBorder="1" applyAlignment="1">
      <alignment shrinkToFit="1"/>
    </xf>
    <xf numFmtId="0" fontId="0" fillId="0" borderId="32" xfId="0" applyBorder="1" applyAlignment="1">
      <alignment shrinkToFit="1"/>
    </xf>
    <xf numFmtId="0" fontId="0" fillId="17" borderId="10" xfId="0" applyFill="1" applyBorder="1" applyAlignment="1">
      <alignment shrinkToFit="1"/>
    </xf>
    <xf numFmtId="0" fontId="0" fillId="18" borderId="10" xfId="0" applyFill="1" applyBorder="1" applyAlignment="1">
      <alignment shrinkToFit="1"/>
    </xf>
    <xf numFmtId="38" fontId="14" fillId="0" borderId="10" xfId="3" applyFont="1" applyFill="1" applyBorder="1" applyAlignment="1">
      <alignment horizontal="left" vertical="center" wrapText="1" shrinkToFit="1"/>
    </xf>
    <xf numFmtId="0" fontId="0" fillId="19" borderId="0" xfId="0" applyFill="1"/>
    <xf numFmtId="0" fontId="0" fillId="19" borderId="10" xfId="0" applyFill="1" applyBorder="1"/>
    <xf numFmtId="0" fontId="0" fillId="19" borderId="10" xfId="0" applyFill="1" applyBorder="1" applyAlignment="1">
      <alignment shrinkToFit="1"/>
    </xf>
    <xf numFmtId="0" fontId="0" fillId="20" borderId="10" xfId="0" applyFill="1" applyBorder="1"/>
    <xf numFmtId="0" fontId="0" fillId="20" borderId="11" xfId="0" applyFill="1" applyBorder="1"/>
    <xf numFmtId="176" fontId="20" fillId="0" borderId="0" xfId="0" applyNumberFormat="1" applyFont="1" applyAlignment="1">
      <alignment horizontal="center" shrinkToFit="1"/>
    </xf>
  </cellXfs>
  <cellStyles count="4">
    <cellStyle name="桁区切り" xfId="3" builtinId="6"/>
    <cellStyle name="標準" xfId="0" builtinId="0"/>
    <cellStyle name="標準 3" xfId="2" xr:uid="{00000000-0005-0000-0000-000001000000}"/>
    <cellStyle name="標準_SESSIONS" xfId="1" xr:uid="{00000000-0005-0000-0000-000002000000}"/>
  </cellStyles>
  <dxfs count="943">
    <dxf>
      <numFmt numFmtId="0" formatCode="General"/>
    </dxf>
    <dxf>
      <font>
        <color theme="0"/>
      </font>
    </dxf>
    <dxf>
      <font>
        <color theme="0"/>
      </font>
    </dxf>
    <dxf>
      <font>
        <color theme="0"/>
      </font>
    </dxf>
    <dxf>
      <font>
        <color theme="0"/>
      </font>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CCFF"/>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1" readingOrder="0"/>
    </dxf>
  </dxfs>
  <tableStyles count="0" defaultTableStyle="TableStyleMedium2" defaultPivotStyle="PivotStyleLight16"/>
  <colors>
    <mruColors>
      <color rgb="FFFFFFCC"/>
      <color rgb="FFCCFFCC"/>
      <color rgb="FFFFCCFF"/>
      <color rgb="FF99FF33"/>
      <color rgb="FFCCFF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771525</xdr:colOff>
          <xdr:row>4</xdr:row>
          <xdr:rowOff>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1" i="0" u="none" strike="noStrike" baseline="0">
                  <a:solidFill>
                    <a:srgbClr val="000000"/>
                  </a:solidFill>
                  <a:latin typeface="ＭＳ Ｐゴシック"/>
                  <a:ea typeface="ＭＳ Ｐゴシック"/>
                </a:rPr>
                <a:t>新規作成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3</xdr:row>
          <xdr:rowOff>0</xdr:rowOff>
        </xdr:from>
        <xdr:to>
          <xdr:col>2</xdr:col>
          <xdr:colOff>0</xdr:colOff>
          <xdr:row>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1" i="0" u="none" strike="noStrike" baseline="0">
                  <a:solidFill>
                    <a:srgbClr val="FF0000"/>
                  </a:solidFill>
                  <a:latin typeface="ＭＳ Ｐゴシック"/>
                  <a:ea typeface="ＭＳ Ｐゴシック"/>
                </a:rPr>
                <a:t>最新情報に更新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876300</xdr:colOff>
          <xdr:row>4</xdr:row>
          <xdr:rowOff>0</xdr:rowOff>
        </xdr:to>
        <xdr:sp macro="" textlink="">
          <xdr:nvSpPr>
            <xdr:cNvPr id="10055" name="Button 1863" hidden="1">
              <a:extLst>
                <a:ext uri="{63B3BB69-23CF-44E3-9099-C40C66FF867C}">
                  <a14:compatExt spid="_x0000_s10055"/>
                </a:ext>
                <a:ext uri="{FF2B5EF4-FFF2-40B4-BE49-F238E27FC236}">
                  <a16:creationId xmlns:a16="http://schemas.microsoft.com/office/drawing/2014/main" id="{00000000-0008-0000-0300-0000472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新規作成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44</xdr:col>
      <xdr:colOff>40821</xdr:colOff>
      <xdr:row>19</xdr:row>
      <xdr:rowOff>13607</xdr:rowOff>
    </xdr:from>
    <xdr:to>
      <xdr:col>48</xdr:col>
      <xdr:colOff>78202</xdr:colOff>
      <xdr:row>23</xdr:row>
      <xdr:rowOff>128787</xdr:rowOff>
    </xdr:to>
    <xdr:grpSp>
      <xdr:nvGrpSpPr>
        <xdr:cNvPr id="2" name="グループ化 1">
          <a:extLst>
            <a:ext uri="{FF2B5EF4-FFF2-40B4-BE49-F238E27FC236}">
              <a16:creationId xmlns:a16="http://schemas.microsoft.com/office/drawing/2014/main" id="{3B64D227-E6BB-4007-9B35-9A2807997FD2}"/>
            </a:ext>
          </a:extLst>
        </xdr:cNvPr>
        <xdr:cNvGrpSpPr/>
      </xdr:nvGrpSpPr>
      <xdr:grpSpPr>
        <a:xfrm>
          <a:off x="14110607" y="8069036"/>
          <a:ext cx="1234809" cy="822751"/>
          <a:chOff x="14249962" y="8031029"/>
          <a:chExt cx="1251811" cy="836276"/>
        </a:xfrm>
      </xdr:grpSpPr>
      <xdr:sp macro="" textlink="">
        <xdr:nvSpPr>
          <xdr:cNvPr id="3" name="正方形/長方形 2">
            <a:extLst>
              <a:ext uri="{FF2B5EF4-FFF2-40B4-BE49-F238E27FC236}">
                <a16:creationId xmlns:a16="http://schemas.microsoft.com/office/drawing/2014/main" id="{3E871A1F-0B61-5508-26E0-705311504B3B}"/>
              </a:ext>
            </a:extLst>
          </xdr:cNvPr>
          <xdr:cNvSpPr/>
        </xdr:nvSpPr>
        <xdr:spPr bwMode="auto">
          <a:xfrm>
            <a:off x="14249962" y="8187256"/>
            <a:ext cx="1251811" cy="680049"/>
          </a:xfrm>
          <a:prstGeom prst="rect">
            <a:avLst/>
          </a:prstGeom>
          <a:no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E1EDDF24-DE07-ADED-74ED-C3AEE07F3F8F}"/>
              </a:ext>
            </a:extLst>
          </xdr:cNvPr>
          <xdr:cNvSpPr txBox="1"/>
        </xdr:nvSpPr>
        <xdr:spPr>
          <a:xfrm>
            <a:off x="14326915" y="8031029"/>
            <a:ext cx="1044464" cy="4043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600"/>
              <a:t>最後にシールを見ながらの箱数確認しました</a:t>
            </a:r>
            <a:endParaRPr kumimoji="1" lang="en-US" altLang="ja-JP" sz="600"/>
          </a:p>
          <a:p>
            <a:pPr algn="ctr"/>
            <a:endParaRPr kumimoji="1" lang="ja-JP" alt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40821</xdr:colOff>
      <xdr:row>41</xdr:row>
      <xdr:rowOff>40823</xdr:rowOff>
    </xdr:from>
    <xdr:to>
      <xdr:col>7</xdr:col>
      <xdr:colOff>258536</xdr:colOff>
      <xdr:row>43</xdr:row>
      <xdr:rowOff>122467</xdr:rowOff>
    </xdr:to>
    <xdr:sp macro="" textlink="">
      <xdr:nvSpPr>
        <xdr:cNvPr id="2" name="右中かっこ 1">
          <a:extLst>
            <a:ext uri="{FF2B5EF4-FFF2-40B4-BE49-F238E27FC236}">
              <a16:creationId xmlns:a16="http://schemas.microsoft.com/office/drawing/2014/main" id="{BAE9868E-7625-4AA2-8315-7BDDEA8BD910}"/>
            </a:ext>
          </a:extLst>
        </xdr:cNvPr>
        <xdr:cNvSpPr/>
      </xdr:nvSpPr>
      <xdr:spPr bwMode="auto">
        <a:xfrm rot="5400000">
          <a:off x="4143374" y="9967234"/>
          <a:ext cx="435430" cy="1564822"/>
        </a:xfrm>
        <a:prstGeom prst="rightBrace">
          <a:avLst/>
        </a:prstGeom>
        <a:noFill/>
        <a:ln w="9525" cap="flat" cmpd="sng" algn="ctr">
          <a:solidFill>
            <a:schemeClr val="tx1"/>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8</xdr:col>
      <xdr:colOff>68033</xdr:colOff>
      <xdr:row>41</xdr:row>
      <xdr:rowOff>54432</xdr:rowOff>
    </xdr:from>
    <xdr:to>
      <xdr:col>17</xdr:col>
      <xdr:colOff>258537</xdr:colOff>
      <xdr:row>43</xdr:row>
      <xdr:rowOff>81646</xdr:rowOff>
    </xdr:to>
    <xdr:sp macro="" textlink="">
      <xdr:nvSpPr>
        <xdr:cNvPr id="3" name="右中かっこ 2">
          <a:extLst>
            <a:ext uri="{FF2B5EF4-FFF2-40B4-BE49-F238E27FC236}">
              <a16:creationId xmlns:a16="http://schemas.microsoft.com/office/drawing/2014/main" id="{A176740A-C6AC-D6E9-9443-11FFA4325DE9}"/>
            </a:ext>
          </a:extLst>
        </xdr:cNvPr>
        <xdr:cNvSpPr/>
      </xdr:nvSpPr>
      <xdr:spPr bwMode="auto">
        <a:xfrm rot="5400000">
          <a:off x="6728732" y="9109983"/>
          <a:ext cx="381000" cy="3252111"/>
        </a:xfrm>
        <a:prstGeom prst="rightBrace">
          <a:avLst/>
        </a:prstGeom>
        <a:noFill/>
        <a:ln w="9525" cap="flat" cmpd="sng" algn="ctr">
          <a:solidFill>
            <a:schemeClr val="tx1"/>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322168</xdr:colOff>
      <xdr:row>8</xdr:row>
      <xdr:rowOff>4484</xdr:rowOff>
    </xdr:from>
    <xdr:to>
      <xdr:col>5</xdr:col>
      <xdr:colOff>619125</xdr:colOff>
      <xdr:row>9</xdr:row>
      <xdr:rowOff>123825</xdr:rowOff>
    </xdr:to>
    <xdr:sp macro="" textlink="">
      <xdr:nvSpPr>
        <xdr:cNvPr id="3" name="右中かっこ 2">
          <a:extLst>
            <a:ext uri="{FF2B5EF4-FFF2-40B4-BE49-F238E27FC236}">
              <a16:creationId xmlns:a16="http://schemas.microsoft.com/office/drawing/2014/main" id="{00000000-0008-0000-0800-000003000000}"/>
            </a:ext>
          </a:extLst>
        </xdr:cNvPr>
        <xdr:cNvSpPr/>
      </xdr:nvSpPr>
      <xdr:spPr bwMode="auto">
        <a:xfrm rot="5400000">
          <a:off x="4401951" y="1106301"/>
          <a:ext cx="290791" cy="1020857"/>
        </a:xfrm>
        <a:prstGeom prst="rightBrace">
          <a:avLst/>
        </a:prstGeom>
        <a:noFill/>
        <a:ln w="9525" cap="flat" cmpd="sng" algn="ctr">
          <a:solidFill>
            <a:schemeClr val="tx1"/>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6</xdr:col>
      <xdr:colOff>161925</xdr:colOff>
      <xdr:row>8</xdr:row>
      <xdr:rowOff>9526</xdr:rowOff>
    </xdr:from>
    <xdr:to>
      <xdr:col>9</xdr:col>
      <xdr:colOff>38100</xdr:colOff>
      <xdr:row>9</xdr:row>
      <xdr:rowOff>95250</xdr:rowOff>
    </xdr:to>
    <xdr:sp macro="" textlink="">
      <xdr:nvSpPr>
        <xdr:cNvPr id="4" name="右中かっこ 3">
          <a:extLst>
            <a:ext uri="{FF2B5EF4-FFF2-40B4-BE49-F238E27FC236}">
              <a16:creationId xmlns:a16="http://schemas.microsoft.com/office/drawing/2014/main" id="{00000000-0008-0000-0800-000004000000}"/>
            </a:ext>
          </a:extLst>
        </xdr:cNvPr>
        <xdr:cNvSpPr/>
      </xdr:nvSpPr>
      <xdr:spPr bwMode="auto">
        <a:xfrm rot="5400000">
          <a:off x="6219826" y="581025"/>
          <a:ext cx="257174" cy="2047875"/>
        </a:xfrm>
        <a:prstGeom prst="rightBrace">
          <a:avLst/>
        </a:prstGeom>
        <a:noFill/>
        <a:ln w="9525" cap="flat" cmpd="sng" algn="ctr">
          <a:solidFill>
            <a:schemeClr val="tx1"/>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18</xdr:col>
      <xdr:colOff>257736</xdr:colOff>
      <xdr:row>3</xdr:row>
      <xdr:rowOff>1</xdr:rowOff>
    </xdr:from>
    <xdr:to>
      <xdr:col>25</xdr:col>
      <xdr:colOff>207868</xdr:colOff>
      <xdr:row>4</xdr:row>
      <xdr:rowOff>156884</xdr:rowOff>
    </xdr:to>
    <xdr:sp macro="" textlink="">
      <xdr:nvSpPr>
        <xdr:cNvPr id="5" name="右中かっこ 4">
          <a:extLst>
            <a:ext uri="{FF2B5EF4-FFF2-40B4-BE49-F238E27FC236}">
              <a16:creationId xmlns:a16="http://schemas.microsoft.com/office/drawing/2014/main" id="{00000000-0008-0000-0800-000005000000}"/>
            </a:ext>
          </a:extLst>
        </xdr:cNvPr>
        <xdr:cNvSpPr/>
      </xdr:nvSpPr>
      <xdr:spPr bwMode="auto">
        <a:xfrm rot="5400000">
          <a:off x="7735141" y="14687832"/>
          <a:ext cx="381000" cy="2314573"/>
        </a:xfrm>
        <a:prstGeom prst="rightBrace">
          <a:avLst/>
        </a:prstGeom>
        <a:noFill/>
        <a:ln w="9525" cap="flat" cmpd="sng" algn="ctr">
          <a:solidFill>
            <a:schemeClr val="tx1"/>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26</xdr:col>
      <xdr:colOff>202266</xdr:colOff>
      <xdr:row>3</xdr:row>
      <xdr:rowOff>19050</xdr:rowOff>
    </xdr:from>
    <xdr:to>
      <xdr:col>29</xdr:col>
      <xdr:colOff>213472</xdr:colOff>
      <xdr:row>4</xdr:row>
      <xdr:rowOff>175933</xdr:rowOff>
    </xdr:to>
    <xdr:sp macro="" textlink="">
      <xdr:nvSpPr>
        <xdr:cNvPr id="6" name="右中かっこ 5">
          <a:extLst>
            <a:ext uri="{FF2B5EF4-FFF2-40B4-BE49-F238E27FC236}">
              <a16:creationId xmlns:a16="http://schemas.microsoft.com/office/drawing/2014/main" id="{00000000-0008-0000-0800-000006000000}"/>
            </a:ext>
          </a:extLst>
        </xdr:cNvPr>
        <xdr:cNvSpPr/>
      </xdr:nvSpPr>
      <xdr:spPr bwMode="auto">
        <a:xfrm rot="5400000">
          <a:off x="9620811" y="15421535"/>
          <a:ext cx="381000" cy="885265"/>
        </a:xfrm>
        <a:prstGeom prst="rightBrace">
          <a:avLst/>
        </a:prstGeom>
        <a:noFill/>
        <a:ln w="9525" cap="flat" cmpd="sng" algn="ctr">
          <a:solidFill>
            <a:schemeClr val="tx1"/>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142875</xdr:colOff>
      <xdr:row>13</xdr:row>
      <xdr:rowOff>114301</xdr:rowOff>
    </xdr:from>
    <xdr:to>
      <xdr:col>3</xdr:col>
      <xdr:colOff>590550</xdr:colOff>
      <xdr:row>18</xdr:row>
      <xdr:rowOff>123825</xdr:rowOff>
    </xdr:to>
    <xdr:grpSp>
      <xdr:nvGrpSpPr>
        <xdr:cNvPr id="8" name="グループ化 7">
          <a:extLst>
            <a:ext uri="{FF2B5EF4-FFF2-40B4-BE49-F238E27FC236}">
              <a16:creationId xmlns:a16="http://schemas.microsoft.com/office/drawing/2014/main" id="{5D5DF102-E124-0738-6A49-E5BF7E9FEE97}"/>
            </a:ext>
          </a:extLst>
        </xdr:cNvPr>
        <xdr:cNvGrpSpPr/>
      </xdr:nvGrpSpPr>
      <xdr:grpSpPr>
        <a:xfrm>
          <a:off x="2286000" y="2438401"/>
          <a:ext cx="1266825" cy="866774"/>
          <a:chOff x="2286000" y="2438401"/>
          <a:chExt cx="1266825" cy="866774"/>
        </a:xfrm>
      </xdr:grpSpPr>
      <xdr:sp macro="" textlink="">
        <xdr:nvSpPr>
          <xdr:cNvPr id="2" name="正方形/長方形 1">
            <a:extLst>
              <a:ext uri="{FF2B5EF4-FFF2-40B4-BE49-F238E27FC236}">
                <a16:creationId xmlns:a16="http://schemas.microsoft.com/office/drawing/2014/main" id="{D2D1D55C-2B5B-54DF-0ED7-4DAD5768933C}"/>
              </a:ext>
            </a:extLst>
          </xdr:cNvPr>
          <xdr:cNvSpPr/>
        </xdr:nvSpPr>
        <xdr:spPr bwMode="auto">
          <a:xfrm>
            <a:off x="2286000" y="2600325"/>
            <a:ext cx="1266825" cy="704850"/>
          </a:xfrm>
          <a:prstGeom prst="rect">
            <a:avLst/>
          </a:prstGeom>
          <a:no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sp macro="" textlink="">
        <xdr:nvSpPr>
          <xdr:cNvPr id="7" name="テキスト ボックス 6">
            <a:extLst>
              <a:ext uri="{FF2B5EF4-FFF2-40B4-BE49-F238E27FC236}">
                <a16:creationId xmlns:a16="http://schemas.microsoft.com/office/drawing/2014/main" id="{ACDB7355-5AE3-BC4F-EF20-837FF1B33DAF}"/>
              </a:ext>
            </a:extLst>
          </xdr:cNvPr>
          <xdr:cNvSpPr txBox="1"/>
        </xdr:nvSpPr>
        <xdr:spPr>
          <a:xfrm>
            <a:off x="2324099" y="2438401"/>
            <a:ext cx="1228725" cy="419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700"/>
              <a:t>最後にシールを見ながらの箱数確認しました</a:t>
            </a:r>
            <a:endParaRPr kumimoji="1" lang="en-US" altLang="ja-JP" sz="700"/>
          </a:p>
          <a:p>
            <a:pPr algn="ctr"/>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904875</xdr:colOff>
          <xdr:row>2</xdr:row>
          <xdr:rowOff>0</xdr:rowOff>
        </xdr:from>
        <xdr:to>
          <xdr:col>2</xdr:col>
          <xdr:colOff>2647950</xdr:colOff>
          <xdr:row>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ﾃﾞｰﾀﾍﾞｰｽ接続確認</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kabayashi\&#20849;&#26377;&#12501;&#12457;&#12523;&#12480;&#20013;&#26519;\Future\DB&#12481;&#12517;&#12540;&#12491;&#12531;&#12464;\SESSIONS.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Nksv01\&#20849;&#26377;&#12501;&#12457;&#12523;&#12480;&#28201;&#24066;\&#31179;&#33865;&#21407;&#12288;&#29987;&#30452;&#65286;&#38738;&#26524;&#22770;&#12426;&#22580;\&#12388;&#12366;&#36275;&#12375;&#27880;&#25991;&#29992;&#32025;&#31179;&#33865;&#21407;(&#21336;&#20385;&#30906;&#35469;&#29992;&#65289;%20&#12398;&#12467;&#12500;&#12540;.xlsx" TargetMode="External"/><Relationship Id="rId1" Type="http://schemas.openxmlformats.org/officeDocument/2006/relationships/externalLinkPath" Target="file:///\\Nksv01\&#20849;&#26377;&#12501;&#12457;&#12523;&#12480;&#28201;&#24066;\&#31179;&#33865;&#21407;&#12288;&#29987;&#30452;&#65286;&#38738;&#26524;&#22770;&#12426;&#22580;\&#12388;&#12366;&#36275;&#12375;&#27880;&#25991;&#29992;&#32025;&#31179;&#33865;&#21407;(&#21336;&#20385;&#30906;&#35469;&#29992;&#65289;%20&#12398;&#12467;&#12500;&#1254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SSIONS"/>
      <sheetName val="EXP_PLAN"/>
      <sheetName val="SESINFO"/>
      <sheetName val="SQLTEXT"/>
    </sheetNames>
    <sheetDataSet>
      <sheetData sheetId="0" refreshError="1"/>
      <sheetData sheetId="1" refreshError="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出荷予定表＆ご注文用紙"/>
    </sheetNames>
    <sheetDataSet>
      <sheetData sheetId="0">
        <row r="12">
          <cell r="F12">
            <v>220</v>
          </cell>
        </row>
        <row r="13">
          <cell r="F13">
            <v>230</v>
          </cell>
        </row>
        <row r="14">
          <cell r="F14">
            <v>480</v>
          </cell>
        </row>
        <row r="15">
          <cell r="F15" t="e">
            <v>#N/A</v>
          </cell>
        </row>
        <row r="16">
          <cell r="F16" t="e">
            <v>#N/A</v>
          </cell>
        </row>
        <row r="17">
          <cell r="F17">
            <v>298</v>
          </cell>
        </row>
        <row r="18">
          <cell r="F18" t="e">
            <v>#N/A</v>
          </cell>
        </row>
        <row r="19">
          <cell r="F19">
            <v>328</v>
          </cell>
        </row>
        <row r="20">
          <cell r="F20" t="e">
            <v>#N/A</v>
          </cell>
        </row>
        <row r="21">
          <cell r="F21" t="e">
            <v>#N/A</v>
          </cell>
        </row>
        <row r="22">
          <cell r="F22">
            <v>320</v>
          </cell>
        </row>
        <row r="23">
          <cell r="F23">
            <v>428</v>
          </cell>
        </row>
        <row r="24">
          <cell r="F24" t="str">
            <v>1個　380</v>
          </cell>
        </row>
        <row r="25">
          <cell r="F25" t="str">
            <v>1個　580</v>
          </cell>
        </row>
        <row r="26">
          <cell r="F26">
            <v>398</v>
          </cell>
        </row>
        <row r="28">
          <cell r="F28">
            <v>328</v>
          </cell>
        </row>
        <row r="29">
          <cell r="F29">
            <v>328</v>
          </cell>
        </row>
        <row r="31">
          <cell r="F31" t="e">
            <v>#N/A</v>
          </cell>
        </row>
        <row r="32">
          <cell r="F32">
            <v>328</v>
          </cell>
        </row>
        <row r="33">
          <cell r="F33">
            <v>398</v>
          </cell>
        </row>
        <row r="35">
          <cell r="F35">
            <v>298</v>
          </cell>
        </row>
        <row r="36">
          <cell r="F36">
            <v>398</v>
          </cell>
        </row>
        <row r="37">
          <cell r="F37" t="e">
            <v>#N/A</v>
          </cell>
        </row>
        <row r="38">
          <cell r="F38">
            <v>258</v>
          </cell>
        </row>
        <row r="39">
          <cell r="F39">
            <v>328</v>
          </cell>
        </row>
        <row r="40">
          <cell r="F40">
            <v>228</v>
          </cell>
        </row>
        <row r="41">
          <cell r="F41" t="e">
            <v>#N/A</v>
          </cell>
        </row>
        <row r="42">
          <cell r="F42">
            <v>298</v>
          </cell>
        </row>
        <row r="43">
          <cell r="F43">
            <v>248</v>
          </cell>
        </row>
        <row r="44">
          <cell r="F44" t="e">
            <v>#N/A</v>
          </cell>
        </row>
        <row r="45">
          <cell r="F45">
            <v>248</v>
          </cell>
        </row>
        <row r="46">
          <cell r="F46">
            <v>248</v>
          </cell>
        </row>
        <row r="47">
          <cell r="F47">
            <v>298</v>
          </cell>
        </row>
        <row r="48">
          <cell r="F48">
            <v>298</v>
          </cell>
        </row>
        <row r="49">
          <cell r="F49">
            <v>298</v>
          </cell>
        </row>
        <row r="50">
          <cell r="F50">
            <v>298</v>
          </cell>
        </row>
        <row r="51">
          <cell r="F51">
            <v>298</v>
          </cell>
        </row>
        <row r="52">
          <cell r="F52">
            <v>258</v>
          </cell>
        </row>
        <row r="53">
          <cell r="F53">
            <v>298</v>
          </cell>
        </row>
        <row r="54">
          <cell r="F54">
            <v>298</v>
          </cell>
        </row>
        <row r="55">
          <cell r="F55" t="e">
            <v>#N/A</v>
          </cell>
        </row>
        <row r="56">
          <cell r="F56">
            <v>298</v>
          </cell>
        </row>
        <row r="57">
          <cell r="F57">
            <v>248</v>
          </cell>
        </row>
        <row r="58">
          <cell r="F58">
            <v>298</v>
          </cell>
        </row>
        <row r="59">
          <cell r="F59">
            <v>228</v>
          </cell>
        </row>
        <row r="60">
          <cell r="F60">
            <v>298</v>
          </cell>
        </row>
        <row r="61">
          <cell r="F61">
            <v>248</v>
          </cell>
        </row>
        <row r="62">
          <cell r="F62" t="e">
            <v>#N/A</v>
          </cell>
        </row>
        <row r="63">
          <cell r="F63">
            <v>148</v>
          </cell>
        </row>
        <row r="64">
          <cell r="F64" t="e">
            <v>#N/A</v>
          </cell>
        </row>
        <row r="65">
          <cell r="F65">
            <v>298</v>
          </cell>
        </row>
        <row r="66">
          <cell r="F66">
            <v>298</v>
          </cell>
        </row>
        <row r="67">
          <cell r="F67" t="e">
            <v>#N/A</v>
          </cell>
        </row>
        <row r="68">
          <cell r="F68" t="e">
            <v>#N/A</v>
          </cell>
        </row>
        <row r="69">
          <cell r="F69" t="e">
            <v>#N/A</v>
          </cell>
        </row>
        <row r="70">
          <cell r="F70">
            <v>248</v>
          </cell>
        </row>
        <row r="71">
          <cell r="F71">
            <v>328</v>
          </cell>
        </row>
        <row r="72">
          <cell r="F72" t="e">
            <v>#N/A</v>
          </cell>
        </row>
        <row r="73">
          <cell r="F73">
            <v>198</v>
          </cell>
        </row>
        <row r="74">
          <cell r="F74">
            <v>198</v>
          </cell>
        </row>
        <row r="75">
          <cell r="F75">
            <v>248</v>
          </cell>
        </row>
        <row r="76">
          <cell r="F76" t="str">
            <v>不要</v>
          </cell>
        </row>
        <row r="77">
          <cell r="F77" t="e">
            <v>#N/A</v>
          </cell>
        </row>
        <row r="78">
          <cell r="F78">
            <v>158</v>
          </cell>
        </row>
        <row r="79">
          <cell r="F79">
            <v>268</v>
          </cell>
        </row>
        <row r="80">
          <cell r="F80" t="e">
            <v>#N/A</v>
          </cell>
        </row>
        <row r="81">
          <cell r="F81">
            <v>158</v>
          </cell>
        </row>
        <row r="82">
          <cell r="F82" t="e">
            <v>#N/A</v>
          </cell>
        </row>
        <row r="83">
          <cell r="F83">
            <v>128</v>
          </cell>
        </row>
        <row r="84">
          <cell r="F84">
            <v>178</v>
          </cell>
        </row>
        <row r="85">
          <cell r="F85" t="e">
            <v>#N/A</v>
          </cell>
        </row>
        <row r="86">
          <cell r="F86">
            <v>158</v>
          </cell>
        </row>
        <row r="87">
          <cell r="F87">
            <v>198</v>
          </cell>
        </row>
        <row r="88">
          <cell r="F88">
            <v>198</v>
          </cell>
        </row>
        <row r="89">
          <cell r="F89">
            <v>198</v>
          </cell>
        </row>
        <row r="90">
          <cell r="F90" t="e">
            <v>#N/A</v>
          </cell>
        </row>
        <row r="91">
          <cell r="F91" t="e">
            <v>#N/A</v>
          </cell>
        </row>
        <row r="92">
          <cell r="F92">
            <v>248</v>
          </cell>
        </row>
        <row r="93">
          <cell r="F93" t="e">
            <v>#N/A</v>
          </cell>
        </row>
        <row r="94">
          <cell r="F94">
            <v>298</v>
          </cell>
        </row>
        <row r="95">
          <cell r="F95" t="e">
            <v>#N/A</v>
          </cell>
        </row>
        <row r="96">
          <cell r="F96">
            <v>258</v>
          </cell>
        </row>
        <row r="97">
          <cell r="F97" t="e">
            <v>#N/A</v>
          </cell>
        </row>
        <row r="98">
          <cell r="F98" t="e">
            <v>#N/A</v>
          </cell>
        </row>
        <row r="99">
          <cell r="F99" t="str">
            <v>不要</v>
          </cell>
        </row>
        <row r="100">
          <cell r="F100">
            <v>328</v>
          </cell>
        </row>
        <row r="101">
          <cell r="F101">
            <v>358</v>
          </cell>
        </row>
        <row r="102">
          <cell r="F102" t="e">
            <v>#N/A</v>
          </cell>
        </row>
        <row r="103">
          <cell r="F103" t="e">
            <v>#N/A</v>
          </cell>
        </row>
        <row r="104">
          <cell r="F104" t="e">
            <v>#N/A</v>
          </cell>
        </row>
        <row r="105">
          <cell r="F105">
            <v>380</v>
          </cell>
        </row>
        <row r="106">
          <cell r="F106">
            <v>380</v>
          </cell>
        </row>
        <row r="107">
          <cell r="F107" t="e">
            <v>#N/A</v>
          </cell>
        </row>
        <row r="108">
          <cell r="F108" t="e">
            <v>#N/A</v>
          </cell>
        </row>
        <row r="109">
          <cell r="F109" t="e">
            <v>#N/A</v>
          </cell>
        </row>
        <row r="110">
          <cell r="F110" t="e">
            <v>#N/A</v>
          </cell>
        </row>
        <row r="111">
          <cell r="F111">
            <v>248</v>
          </cell>
        </row>
        <row r="112">
          <cell r="F112" t="e">
            <v>#N/A</v>
          </cell>
        </row>
        <row r="113">
          <cell r="F113">
            <v>298</v>
          </cell>
        </row>
        <row r="114">
          <cell r="F114" t="e">
            <v>#N/A</v>
          </cell>
        </row>
        <row r="115">
          <cell r="F115" t="e">
            <v>#N/A</v>
          </cell>
        </row>
        <row r="116">
          <cell r="F116" t="e">
            <v>#N/A</v>
          </cell>
        </row>
        <row r="117">
          <cell r="F117" t="e">
            <v>#N/A</v>
          </cell>
        </row>
        <row r="118">
          <cell r="F118" t="e">
            <v>#N/A</v>
          </cell>
        </row>
        <row r="119">
          <cell r="F119" t="e">
            <v>#N/A</v>
          </cell>
        </row>
        <row r="120">
          <cell r="F120">
            <v>248</v>
          </cell>
        </row>
        <row r="121">
          <cell r="F121">
            <v>248</v>
          </cell>
        </row>
        <row r="122">
          <cell r="F122" t="e">
            <v>#N/A</v>
          </cell>
        </row>
        <row r="123">
          <cell r="F123">
            <v>298</v>
          </cell>
        </row>
        <row r="124">
          <cell r="F124" t="e">
            <v>#N/A</v>
          </cell>
        </row>
        <row r="125">
          <cell r="F125" t="e">
            <v>#N/A</v>
          </cell>
        </row>
        <row r="126">
          <cell r="F126">
            <v>248</v>
          </cell>
        </row>
        <row r="127">
          <cell r="F127" t="e">
            <v>#N/A</v>
          </cell>
        </row>
        <row r="128">
          <cell r="F128" t="e">
            <v>#N/A</v>
          </cell>
        </row>
        <row r="129">
          <cell r="F129">
            <v>148</v>
          </cell>
        </row>
        <row r="131">
          <cell r="F131" t="e">
            <v>#N/A</v>
          </cell>
        </row>
        <row r="132">
          <cell r="F132">
            <v>428</v>
          </cell>
        </row>
        <row r="133">
          <cell r="F133" t="str">
            <v>2玉　580</v>
          </cell>
        </row>
        <row r="134">
          <cell r="F134" t="str">
            <v>2玉　480</v>
          </cell>
        </row>
        <row r="135">
          <cell r="F135">
            <v>358</v>
          </cell>
        </row>
        <row r="136">
          <cell r="F136" t="str">
            <v>不要</v>
          </cell>
        </row>
        <row r="137">
          <cell r="F137" t="str">
            <v>不要</v>
          </cell>
        </row>
        <row r="138">
          <cell r="F138" t="str">
            <v>1個　248</v>
          </cell>
        </row>
        <row r="139">
          <cell r="F139" t="e">
            <v>#N/A</v>
          </cell>
        </row>
        <row r="140">
          <cell r="F140" t="e">
            <v>#N/A</v>
          </cell>
        </row>
        <row r="141">
          <cell r="F141" t="e">
            <v>#N/A</v>
          </cell>
        </row>
        <row r="142">
          <cell r="F142" t="e">
            <v>#N/A</v>
          </cell>
        </row>
        <row r="143">
          <cell r="F143" t="e">
            <v>#N/A</v>
          </cell>
        </row>
        <row r="144">
          <cell r="F144" t="e">
            <v>#N/A</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中林千里" refreshedDate="45816.578484259262" createdVersion="1" refreshedVersion="8" recordCount="1049" xr:uid="{BC8CB1B5-1874-4193-AB93-013D70F937A3}">
  <cacheSource type="external" connectionId="4141"/>
  <cacheFields count="9">
    <cacheField name="得意先EDPNo" numFmtId="0">
      <sharedItems containsSemiMixedTypes="0" containsString="0" containsNumber="1" containsInteger="1" minValue="164" maxValue="2568" count="80">
        <n v="205"/>
        <n v="2367"/>
        <n v="2492"/>
        <n v="1135"/>
        <n v="208"/>
        <n v="2560"/>
        <n v="2333"/>
        <n v="2475"/>
        <n v="2541"/>
        <n v="1185"/>
        <n v="592"/>
        <n v="2562"/>
        <n v="2340"/>
        <n v="2480"/>
        <n v="2549"/>
        <n v="1199"/>
        <n v="593"/>
        <n v="2530"/>
        <n v="1094"/>
        <n v="2414"/>
        <n v="2505"/>
        <n v="1138"/>
        <n v="2559"/>
        <n v="2343"/>
        <n v="1121"/>
        <n v="2568"/>
        <n v="2244"/>
        <n v="628"/>
        <n v="679"/>
        <n v="2535"/>
        <n v="2270"/>
        <n v="2463"/>
        <n v="2540"/>
        <n v="1175"/>
        <n v="506"/>
        <n v="672"/>
        <n v="681"/>
        <n v="882"/>
        <n v="2448"/>
        <n v="2498"/>
        <n v="675"/>
        <n v="687"/>
        <n v="1057"/>
        <n v="2536"/>
        <n v="243"/>
        <n v="951"/>
        <n v="2534"/>
        <n v="2556"/>
        <n v="318"/>
        <n v="673"/>
        <n v="682"/>
        <n v="924"/>
        <n v="2532"/>
        <n v="2476"/>
        <n v="816"/>
        <n v="2497"/>
        <n v="2500"/>
        <n v="2527"/>
        <n v="677"/>
        <n v="780"/>
        <n v="1069"/>
        <n v="2518"/>
        <n v="184"/>
        <n v="674"/>
        <n v="686"/>
        <n v="1048"/>
        <n v="639"/>
        <n v="210"/>
        <n v="2411"/>
        <n v="1029"/>
        <n v="724"/>
        <n v="1186"/>
        <n v="2501"/>
        <n v="185"/>
        <n v="164"/>
        <n v="2558"/>
        <n v="2555"/>
        <n v="763"/>
        <n v="2543"/>
        <n v="2515"/>
      </sharedItems>
    </cacheField>
    <cacheField name="得意先コード" numFmtId="0">
      <sharedItems count="80">
        <s v="303"/>
        <s v="303-14"/>
        <s v="303-20"/>
        <s v="303-3"/>
        <s v="305"/>
        <s v="604-24"/>
        <s v="303-11"/>
        <s v="303-18"/>
        <s v="303-23"/>
        <s v="303-6"/>
        <s v="334"/>
        <s v="604-26"/>
        <s v="303-12"/>
        <s v="303-19"/>
        <s v="303-24"/>
        <s v="303-7"/>
        <s v="335"/>
        <s v="604-08"/>
        <s v="303-1"/>
        <s v="303-15"/>
        <s v="303-21"/>
        <s v="303-4"/>
        <s v="604-23"/>
        <s v="303-13"/>
        <s v="303-2"/>
        <s v="303-25"/>
        <s v="303-9"/>
        <s v="337"/>
        <s v="358"/>
        <s v="604-11"/>
        <s v="303-10"/>
        <s v="303-17"/>
        <s v="303-22"/>
        <s v="303-5"/>
        <s v="328"/>
        <s v="346"/>
        <s v="360"/>
        <s v="547"/>
        <s v="902-12"/>
        <s v="604-02"/>
        <s v="349"/>
        <s v="366"/>
        <s v="576"/>
        <s v="604-12"/>
        <s v="258"/>
        <s v="612"/>
        <s v="604-10"/>
        <s v="902-14"/>
        <s v="318"/>
        <s v="347"/>
        <s v="361"/>
        <s v="570"/>
        <s v="604-09"/>
        <s v="612-2"/>
        <s v="451"/>
        <s v="604-01"/>
        <s v="604-04"/>
        <s v="254-4"/>
        <s v="356"/>
        <s v="417"/>
        <s v="684"/>
        <s v="604-06"/>
        <s v="250"/>
        <s v="348"/>
        <s v="365"/>
        <s v="574"/>
        <s v="342"/>
        <s v="901"/>
        <s v="254-2"/>
        <s v="491-1"/>
        <s v="902"/>
        <s v="612-1"/>
        <s v="254-3"/>
        <s v="251"/>
        <s v="244"/>
        <s v="604-22"/>
        <s v="604-21"/>
        <s v="396"/>
        <s v="901-2"/>
        <s v="696-4"/>
      </sharedItems>
    </cacheField>
    <cacheField name="配送" numFmtId="0">
      <sharedItems count="9">
        <s v="ﾗﾐ(こだ)"/>
        <s v="ﾗﾐ"/>
        <s v="社内便1"/>
        <s v="社内便3"/>
        <s v="社内便2"/>
        <s v="ﾗﾐ(ｻﾈｯﾄ行)"/>
        <s v="その他"/>
        <s v=""/>
        <s v="桜花便"/>
      </sharedItems>
    </cacheField>
    <cacheField name="得意先名" numFmtId="0">
      <sharedItems count="80">
        <s v="こだISP"/>
        <s v="こだ金町"/>
        <s v="こだ自由が丘"/>
        <s v="こだ海老名"/>
        <s v="こだ田無"/>
        <s v="六本木(日配)"/>
        <s v="こだ中村橋"/>
        <s v="こだ吉祥寺"/>
        <s v="こだ中野"/>
        <s v="こだ辻堂"/>
        <s v="こだ港南台"/>
        <s v="虎ノ門(日配)"/>
        <s v="こだ溝口"/>
        <s v="こだｾﾝﾀｰ北"/>
        <s v="こだ平塚"/>
        <s v="こだ三軒茶屋"/>
        <s v="こだ藤沢"/>
        <s v="虎ノ門惣菜"/>
        <s v="こだ丸広川越"/>
        <s v="こだ八王子"/>
        <s v="こだ上野"/>
        <s v="こだ戸塚"/>
        <s v="福・本店(日配)"/>
        <s v="こだ大船"/>
        <s v="こだおおたか"/>
        <s v="こだ川口"/>
        <s v="こだ国分寺"/>
        <s v="こだ東戸塚"/>
        <s v="こだ橋本"/>
        <s v="アキバ惣菜"/>
        <s v="こだ市川"/>
        <s v="こだ船橋"/>
        <s v="こだ新百合"/>
        <s v="こだｴﾐｵ所沢"/>
        <s v="こだ横浜"/>
        <s v="こだ大宮"/>
        <s v="こだ所沢"/>
        <s v="こだ錦糸町"/>
        <s v="おちかわ屋"/>
        <s v="六本木"/>
        <s v="こだ本厚"/>
        <s v="こだ浦和"/>
        <s v="こだ永福町"/>
        <s v="虎ノ門(ｎｏｙａ)"/>
        <s v="えころじあ"/>
        <s v="ﾌｰﾄﾞ学芸大"/>
        <s v="六本木惣菜"/>
        <s v="直売秋葉原"/>
        <s v="こだ新宿"/>
        <s v="こだ新横"/>
        <s v="こだ千葉"/>
        <s v="こだ大野"/>
        <s v="福・本店惣菜"/>
        <s v="代官山"/>
        <s v="こだ草加"/>
        <s v="福・本店"/>
        <s v="虎ノ門"/>
        <s v="ｱﾝﾄﾞ大泉"/>
        <s v="こだ調布"/>
        <s v="こだ昭島"/>
        <s v="こだｵﾀﾞｻｶﾞ"/>
        <s v="ﾌｧﾝﾀｽ"/>
        <s v="あしたば"/>
        <s v="こだ狛江"/>
        <s v="こだ川崎"/>
        <s v="こだ三鷹"/>
        <s v="ﾎﾞﾝ永山"/>
        <s v="諸口"/>
        <s v="松戸"/>
        <s v="東一"/>
        <s v="直売所"/>
        <s v="ﾌｰﾄﾞ湘南"/>
        <s v="ひばりが丘"/>
        <s v="ﾅﾓ商会"/>
        <s v="ペペ"/>
        <s v="四季菜"/>
        <s v="虎ノ門ＷＡＴ"/>
        <s v="ﾎﾞﾝ横浜"/>
        <s v="福・本店(加工)"/>
        <s v="長岡"/>
      </sharedItems>
    </cacheField>
    <cacheField name="商品EDPNo" numFmtId="0">
      <sharedItems containsSemiMixedTypes="0" containsString="0" containsNumber="1" containsInteger="1" minValue="707" maxValue="15682" count="169">
        <n v="9034"/>
        <n v="9038"/>
        <n v="4653"/>
        <n v="8562"/>
        <n v="8554"/>
        <n v="13322"/>
        <n v="14841"/>
        <n v="4941"/>
        <n v="15675"/>
        <n v="14111"/>
        <n v="12647"/>
        <n v="14983"/>
        <n v="13754"/>
        <n v="707"/>
        <n v="13403"/>
        <n v="7804"/>
        <n v="8508"/>
        <n v="15624"/>
        <n v="8713"/>
        <n v="1103"/>
        <n v="15663"/>
        <n v="7322"/>
        <n v="13269"/>
        <n v="13372"/>
        <n v="4533"/>
        <n v="8585"/>
        <n v="14863"/>
        <n v="8464"/>
        <n v="7335"/>
        <n v="7321"/>
        <n v="13270"/>
        <n v="12140"/>
        <n v="7331"/>
        <n v="15664"/>
        <n v="13863"/>
        <n v="7852"/>
        <n v="9055"/>
        <n v="9059"/>
        <n v="12119"/>
        <n v="7365"/>
        <n v="15672"/>
        <n v="15620"/>
        <n v="11083"/>
        <n v="15658"/>
        <n v="8547"/>
        <n v="7440"/>
        <n v="11794"/>
        <n v="2496"/>
        <n v="13520"/>
        <n v="15521"/>
        <n v="14985"/>
        <n v="13214"/>
        <n v="6404"/>
        <n v="13862"/>
        <n v="8334"/>
        <n v="1957"/>
        <n v="7803"/>
        <n v="15523"/>
        <n v="8810"/>
        <n v="11138"/>
        <n v="15641"/>
        <n v="10644"/>
        <n v="7329"/>
        <n v="1983"/>
        <n v="14919"/>
        <n v="2814"/>
        <n v="715"/>
        <n v="13519"/>
        <n v="4969"/>
        <n v="7799"/>
        <n v="15674"/>
        <n v="14947"/>
        <n v="12566"/>
        <n v="12248"/>
        <n v="14955"/>
        <n v="14890"/>
        <n v="15673"/>
        <n v="3601"/>
        <n v="4291"/>
        <n v="13426"/>
        <n v="4983"/>
        <n v="7323"/>
        <n v="9178"/>
        <n v="14108"/>
        <n v="12278"/>
        <n v="15657"/>
        <n v="903"/>
        <n v="14708"/>
        <n v="4013"/>
        <n v="14162"/>
        <n v="14736"/>
        <n v="15661"/>
        <n v="14203"/>
        <n v="14892"/>
        <n v="15570"/>
        <n v="15668"/>
        <n v="10685"/>
        <n v="7333"/>
        <n v="15682"/>
        <n v="15642"/>
        <n v="1760"/>
        <n v="10498"/>
        <n v="8578"/>
        <n v="14734"/>
        <n v="12277"/>
        <n v="8120"/>
        <n v="8629"/>
        <n v="15235"/>
        <n v="7880"/>
        <n v="12147"/>
        <n v="5462"/>
        <n v="9302"/>
        <n v="15563"/>
        <n v="15633"/>
        <n v="4848"/>
        <n v="15571"/>
        <n v="15606"/>
        <n v="15644"/>
        <n v="4668"/>
        <n v="15182"/>
        <n v="5408"/>
        <n v="15445"/>
        <n v="6450"/>
        <n v="15643"/>
        <n v="8656"/>
        <n v="14856"/>
        <n v="8503"/>
        <n v="5132"/>
        <n v="14722"/>
        <n v="13615"/>
        <n v="12292"/>
        <n v="8916"/>
        <n v="15671"/>
        <n v="10177"/>
        <n v="13028"/>
        <n v="14785"/>
        <n v="8469"/>
        <n v="15618"/>
        <n v="13533"/>
        <n v="13001"/>
        <n v="6242"/>
        <n v="6225"/>
        <n v="6243"/>
        <n v="7304"/>
        <n v="7847"/>
        <n v="7898"/>
        <n v="6237"/>
        <n v="15579"/>
        <n v="15576"/>
        <n v="12746"/>
        <n v="15637"/>
        <n v="15651"/>
        <n v="12867"/>
        <n v="12994"/>
        <n v="14735"/>
        <n v="8555"/>
        <n v="14946"/>
        <n v="15680"/>
        <n v="5792"/>
        <n v="14728"/>
        <n v="15676"/>
        <n v="4710"/>
        <n v="15656"/>
        <n v="13423"/>
        <n v="8559"/>
        <n v="15681"/>
        <n v="12686"/>
        <n v="15648"/>
        <n v="13778"/>
      </sharedItems>
    </cacheField>
    <cacheField name="商品コード" numFmtId="0">
      <sharedItems count="169">
        <s v="1261-147"/>
        <s v="1509-82"/>
        <s v="1593-22"/>
        <s v="1533-150"/>
        <s v="1516-38"/>
        <s v="1589-138"/>
        <s v="1564-100"/>
        <s v="1824-2"/>
        <s v="1660-5"/>
        <s v="1614-280"/>
        <s v="1707-103"/>
        <s v="1868-21"/>
        <s v="1804-5"/>
        <s v="1812"/>
        <s v="1898-5"/>
        <s v="1857-29"/>
        <s v="1049-85"/>
        <s v="1072-3"/>
        <s v="1393-3"/>
        <s v="4011"/>
        <s v="1889-15"/>
        <s v="1408-72"/>
        <s v="1409-160"/>
        <s v="1419-15"/>
        <s v="1448-17"/>
        <s v="1584-39"/>
        <s v="1593-113"/>
        <s v="1654-75"/>
        <s v="1869-1"/>
        <s v="1883-15"/>
        <s v="1408-166"/>
        <s v="1468-3"/>
        <s v="1409-81"/>
        <s v="1521-17"/>
        <s v="2210-2"/>
        <s v="1250-35"/>
        <s v="1261-148"/>
        <s v="1261-149"/>
        <s v="1404-24"/>
        <s v="1561-54"/>
        <s v="1612-24"/>
        <s v="1638-112"/>
        <s v="1821-2"/>
        <s v="1216-362"/>
        <s v="1232-114"/>
        <s v="1443-28"/>
        <s v="1261-239"/>
        <s v="1647-2"/>
        <s v="1807-56"/>
        <s v="1840-14"/>
        <s v="1050-25"/>
        <s v="1277-179"/>
        <s v="1365-17"/>
        <s v="2210-1"/>
        <s v="1248-25"/>
        <s v="1225-7"/>
        <s v="1241-197"/>
        <s v="1250-91"/>
        <s v="1419-1"/>
        <s v="1509-118"/>
        <s v="1856-85"/>
        <s v="1016-25"/>
        <s v="1407-14"/>
        <s v="1225-9"/>
        <s v="1404-28"/>
        <s v="1804-1"/>
        <s v="1820"/>
        <s v="1807-55"/>
        <s v="1353-5"/>
        <s v="1241-194"/>
        <s v="1502-149"/>
        <s v="1875-15"/>
        <s v="1898-3"/>
        <s v="1277-130"/>
        <s v="1543-134"/>
        <s v="1419-35"/>
        <s v="1612-25"/>
        <s v="1823-2"/>
        <s v="1232-13"/>
        <s v="1588-25"/>
        <s v="1838-12"/>
        <s v="1448-36"/>
        <s v="1606-96"/>
        <s v="1614-279"/>
        <s v="1621-65"/>
        <s v="1216-361"/>
        <s v="2206"/>
        <s v="1835-4"/>
        <s v="1840-4"/>
        <s v="1621-73"/>
        <s v="1883-56"/>
        <s v="1316-313"/>
        <s v="1358-50"/>
        <s v="1117-12"/>
        <s v="1148-149"/>
        <s v="1502-148"/>
        <s v="1509-108"/>
        <s v="1470-55"/>
        <s v="1601-82"/>
        <s v="1647-50"/>
        <s v="1614-3"/>
        <s v="1661-15"/>
        <s v="1588-15"/>
        <s v="1261-370"/>
        <s v="1621-64"/>
        <s v="1239-233"/>
        <s v="1017-15"/>
        <s v="1820-5"/>
        <s v="1226-200"/>
        <s v="1393-40"/>
        <s v="1720-22"/>
        <s v="1049-99"/>
        <s v="1050-26"/>
        <s v="1072-4"/>
        <s v="1063-6"/>
        <s v="1148-150"/>
        <s v="1148-151"/>
        <s v="1170-29"/>
        <s v="1606-42"/>
        <s v="1898-12"/>
        <s v="1109-9"/>
        <s v="1316-307"/>
        <s v="1049-67"/>
        <s v="1148-152"/>
        <s v="1533-160"/>
        <s v="1516-104"/>
        <s v="1619-68"/>
        <s v="5301-7"/>
        <s v="1261-369"/>
        <s v="1409-166"/>
        <s v="1407-20"/>
        <s v="1869-9"/>
        <s v="1889-16"/>
        <s v="1353-18"/>
        <s v="1250-70"/>
        <s v="1241-644"/>
        <s v="1238-190"/>
        <s v="1226-437"/>
        <s v="1807-57"/>
        <s v="1881-9"/>
        <s v="2392-20"/>
        <s v="2392-21"/>
        <s v="2392-22"/>
        <s v="2392-29"/>
        <s v="2392-31"/>
        <s v="2392-32"/>
        <s v="2392-15"/>
        <s v="1638-110"/>
        <s v="1707-127"/>
        <s v="1241-519"/>
        <s v="1266-272"/>
        <s v="1684-94"/>
        <s v="1806-2"/>
        <s v="1881-8"/>
        <s v="1883-55"/>
        <s v="1589-57"/>
        <s v="1569-23"/>
        <s v="1409-197"/>
        <s v="1601-46"/>
        <s v="1241-640"/>
        <s v="1170-31"/>
        <s v="1151-16"/>
        <s v="1316-312"/>
        <s v="1533-249"/>
        <s v="1516-39"/>
        <s v="1883-61"/>
        <s v="1509-161"/>
        <s v="1225-456"/>
        <s v="1408-179"/>
      </sharedItems>
    </cacheField>
    <cacheField name="商品名" numFmtId="0">
      <sharedItems count="169">
        <s v="■有機大根 洗い 裸 10本(丸和)"/>
        <s v="■有機キャベツ ８玉箱（丸和）"/>
        <s v="有機ベビー白菜 １個袋 (さんぶ)"/>
        <s v="有機 玉レタス ﾗｯﾌﾟ 1個(ﾌｧｰﾏｰｽﾞ)◇"/>
        <s v="有機サニーﾚﾀｽ　ﾗｯﾌﾟ 1個(ﾌｧｰﾏｰｽﾞ)◇"/>
        <s v="有機リーフﾚﾀｽ ﾗｯﾌﾟ1個(やさと・産ﾊﾟ)"/>
        <s v="長ねぎ　ﾑｷ ２本袋(ﾊｲﾊｰﾊﾞｰ)◇"/>
        <s v="有機パセリ 30g袋 (大地と自然)"/>
        <s v="イエローミニトマト　150ｇ(沃土会)"/>
        <s v="□有機ﾐﾆﾄﾏﾄ「ｱｲｺ」３kg(肥後あゆみ)"/>
        <s v="有機ズッキーニ緑 １本袋(キテレツ)◇"/>
        <s v="有機生きくらげ(菌床) 50ｇ(太洋社)"/>
        <s v="ｶｯﾄぶなしめじ 90ｇ(ﾐｽｽﾞ)"/>
        <s v="えのき茸 １００ｇ(ﾐｽｽﾞ)"/>
        <s v="有機ブラウンマッシュルーム 70g(舟形)"/>
        <s v="有機しょうが　100g袋 (夢有民・産ﾊﾟ)"/>
        <s v="■有機レモン 10kg (中川栄)◇"/>
        <s v="■りんご「ふじ」10ｋｇ（津軽）"/>
        <s v="瀬戸さん（野菜の里）の有機野菜セット"/>
        <s v="運賃(税抜)"/>
        <s v="有機大葉 １０枚ﾊﾟｯｸ (矢澤園芸)"/>
        <s v="有機ほうれん草　150g袋 (わ～ふぁ)"/>
        <s v="有機小松菜　200g(北総)"/>
        <s v="有機ケール　緑 80ｇ(富岡)"/>
        <s v="春菊　150g(さんぶ)"/>
        <s v="有機ロメインﾚﾀｽ ﾗｯﾌﾟ 1個(ﾌｧｰﾏｰｽﾞ)◇"/>
        <s v="ミニ白菜　1個袋(せっせと畑)◇不不"/>
        <s v="有機ピーマン　150g（SOHﾌｧｰﾑ）◇"/>
        <s v="有機パクチー　30ｇ（わ～ふぁ）"/>
        <s v="有機ｻﾗﾀﾞﾍﾞﾋﾞｰﾐｯｸｽ 40gﾊﾟｯｸ (わ～ふぁ)"/>
        <s v="有機ほうれん草　150ｇ(北総)"/>
        <s v="有機山東菜　150ｇ（わ～ふぁ）"/>
        <s v="有機小松菜　200g袋 (わ～ふぁ)"/>
        <s v="グリーンボール　１個袋(せっせと畑)◇"/>
        <s v="■卵「もみじ」Ｍ 10㎏(大松)"/>
        <s v="有機ごぼう 泥  200ｇ（みちのく）"/>
        <s v="有機大根 洗い 1本袋 (丸和)◇"/>
        <s v="有機カット大根 洗い 1/2本袋×4 (丸和)◇"/>
        <s v="ほうれん草 150g(八ヶ岳ｸﾞﾘｰﾝ井出)不不"/>
        <s v="長ねぎ ムキ 300g (さんぶ)不不"/>
        <s v="□ミニトマト　３kg箱(ｼｪｱｶﾞｰﾃﾞﾝ)"/>
        <s v="なす　400ｇ(石毛)菌2虫1(=9割減)・不"/>
        <s v="エリンギ 100g (ミスズ)"/>
        <s v="じゃが芋「ﾒｰｸｲﾝ」500g(長有研)◇"/>
        <s v="じゃが芋｢ﾆｼﾕﾀｶ｣ 500g(長有研)◇不不"/>
        <s v="有機ちんげん菜　２株(わ～ふぁ)"/>
        <s v="有機短大根（葉切り洗い）1本袋(加瀬)"/>
        <s v="中玉とまと 200g (さんぶ)"/>
        <s v="有機生しいたけ(菌床)不揃200g袋(太洋社)"/>
        <s v="有機にら 100ｇ (北総)"/>
        <s v="■河内晩柑　９kg箱(大矢野)8割減・不"/>
        <s v="有機ビーツ 300g袋(かごしま)◇"/>
        <s v="らっきょう　泥　1kg袋 (まるよし)◇"/>
        <s v="■卵「もみじ」Ｌ 10㎏(大松)"/>
        <s v="有機葉付人参 2～4本入 (加瀬)"/>
        <s v="■有機 玉ねぎ 混 10kg(長有研)"/>
        <s v="有機人参 洗い　400g(加瀬)◇"/>
        <s v="ごぼう 泥  200ｇ(津軽産直組合)不不"/>
        <s v="有機フリルケール　３枚入（わ～ふぁ）"/>
        <s v="有機キャベツ １玉包（丸和）◇"/>
        <s v="にんにく　1玉(せっせと畑)◇"/>
        <s v="有機あまなつ　600ｇ (早藤)◇"/>
        <s v="有機ルッコラ 50g袋 (わ～ふぁ)"/>
        <s v="■玉ねぎ 混 10kg(長有研）不不"/>
        <s v="■ほうれん草 5kg (八ヶ岳グリーン)不不"/>
        <s v="しめじほぐし(ｶｯﾄぶなしめじ)　500ｇ(ﾐｽｽﾞ)"/>
        <s v="一株なめこ １７０ｇ(ﾐｽｽﾞ)"/>
        <s v="有機生しいたけ(菌床)100gﾄﾚｰ(太洋社)"/>
        <s v="有機長いも　200ｇ（みちのく）"/>
        <s v="■有機人参 洗い LM 10kg箱（加瀬）"/>
        <s v="■キャベツ　８玉ｺﾝﾃﾅ(キテレツ)不不"/>
        <s v="有機ラディッシュ　4～6玉袋(やさと)"/>
        <s v="有機ホワイトマッシュルーム 70g(舟形)"/>
        <s v="有機かぶ白　２～３玉袋（飯田）"/>
        <s v="ブロッコリー1個袋(那須・益子美好)6割・不"/>
        <s v="有機ケール　80ｇ(まるた)"/>
        <s v="ミニトマト　150ｇ(ｼｪｱｶﾞｰﾃﾞﾝ)◇"/>
        <s v="有機おかひじき 70gﾊﾟｯｸ (寺島)"/>
        <s v="■じゃが芋｢ﾆｼﾕﾀｶ｣10kg(長有研）無無"/>
        <s v="有機レッドフリルﾚﾀｽ ﾗｯﾌﾟ １個(ﾌｧｰﾏｰｽﾞ)◇"/>
        <s v="有機青ねぎ 100ｇ (大地と自然)"/>
        <s v="有機春菊　100ｇ(わ～ふぁ)"/>
        <s v="有機トマト１袋（220ｇ～)(澤村)◇"/>
        <s v="有機ﾐﾆﾄﾏﾄ「アイコ」150ｇ(肥後あゆみ)◇"/>
        <s v="きゅうり　２本袋(石毛)◇"/>
        <s v="■じゃが芋「ﾒｰｸｲﾝ」10kg(長有研)8割減・不"/>
        <s v="■浅間とり牧場の自然卵　１０ｋｇ　Ｌ"/>
        <s v="□小ねぎ 100ｇ×20入(伊藤昇)7割減・5割減"/>
        <s v="有機にら 100ｇ (大地と自然)"/>
        <s v="きゅうり　３本袋(石毛)◇"/>
        <s v="有機ベビーリーフ　大袋　500ｇ(HATAKE)"/>
        <s v="ｻﾂﾏ芋「シルクスイート」700g(齊藤光正)◇"/>
        <s v="有機 赤玉ねぎ 混 400g(雲仙)◇"/>
        <s v="□タカミレッドメロン 4kg箱 (長有研）"/>
        <s v="有機ｻﾝｺﾞｰﾙﾄﾞｷｳｲﾌﾙｰﾂ ３玉(ゼスプリ)◇"/>
        <s v="キャベツ　1個袋(キテレツ)不不"/>
        <s v="有機グリーンボール　1玉(ﾌｧｰﾏｰｽﾞ)◇"/>
        <s v="有機水菜 200g袋 (わ～ふぁ・産ﾊﾟ)"/>
        <s v="トマト ｽﾀﾝﾄﾞﾊﾞｯｸﾞ約500g(沃土会)◇"/>
        <s v="中玉トマト 250g (沃土会)"/>
        <s v="ミニトマト　150ｇ（沃土会）"/>
        <s v="パプリカ　１個袋200ｇ(高生連)"/>
        <s v="有機フリルレタス ﾗｯﾌﾟ １個(ﾌｧｰﾏｰｽﾞ)◇"/>
        <s v="■大根　裸10本(多田孝一)虫2・不　千葉"/>
        <s v="□きゅうり 5kg箱(太一興陽石毛)菌5虫8・不"/>
        <s v="人参　洗い  400g(長有研)◇"/>
        <s v="■有機あまなつ 10ｋｇ(早藤）"/>
        <s v="小粒なめこ 100ｇ(熊谷)"/>
        <s v="有機玉ねぎ　500ｇ(長有研)◇"/>
        <s v="ｷﾃﾚﾂﾌｧｰﾑの野菜ｾｯﾄ"/>
        <s v="枝豆　200g袋（さんぶ）"/>
        <s v="有機レモン １個袋(中川栄)◇"/>
        <s v="河内晩柑　600ｇ（大矢野有機）◇"/>
        <s v="■りんご「ふじ」10ｋｇの半分（津軽）"/>
        <s v="□りんご「ｼﾅﾉｺﾞｰﾙﾄﾞ」5kg(片桐)"/>
        <s v="■有機ｻﾝｺﾞｰﾙﾄﾞｷｳｲﾌﾙｰﾂ48玉箱(ゼスプリ)"/>
        <s v="■有機ｷｳｲﾌﾙｰﾂグリーン 30玉箱(ゼスプリ)"/>
        <s v="■エクアドルバナナ 600g袋×16入　非有機"/>
        <s v="□有機トマト４kg箱 (澤村)"/>
        <s v="有機ブラウンﾏｯｼｭﾙｰﾑ 150ｇﾍﾞﾋﾞｰﾍﾞﾗ(舟形)"/>
        <s v="□タカミメロン ４kg箱 (長有研）"/>
        <s v="ｻﾂﾏ芋「すずほっくり」700g(斉藤光正)◇"/>
        <s v="有機レモン 1kg袋 (中川栄)◇"/>
        <s v="有機グリーンｷｳｲﾌﾙｰﾂ ３玉(ゼスプリ)◇"/>
        <s v="有機レタス ラップ 1個(富岡・産ﾊﾟ)"/>
        <s v="有機サニーﾚﾀｽ　1個袋　(富岡・産ﾊﾟ)"/>
        <s v="きゅうり　２本袋（沃土会）"/>
        <s v="もみしそ 300g(ﾊﾟﾝﾄﾞﾗ)"/>
        <s v="大根　 1本袋(多田孝一)虫2・不　千葉"/>
        <s v="有機小松菜　200g袋×４(北総)東一"/>
        <s v="有機ルッコラ 50g袋×５(わ～ふぁ)東一"/>
        <s v="有機パクチー　30ｇ×５(わ～ふぁ)東一"/>
        <s v="有機大葉 １ﾊﾟｯｸ×10入(矢澤園芸)東一"/>
        <s v="有機長いも　200gﾊﾟｯｸ×５(みちのく)東一"/>
        <s v="有機ごぼう 泥200g×５(みちのく)東一"/>
        <s v="有機人参 洗い 400ｇ◇×10(吉水)東一"/>
        <s v="有機「ﾆｼﾕﾀｶ」500g(長有研)◇×10 東一"/>
        <s v="有機玉ねぎ　500ｇ×10(雲仙)◇東一"/>
        <s v="有機生ｼｲﾀｹ(菌床)100gﾄﾚｰ×5(太洋社)東一"/>
        <s v="有機たかのつめ(唐辛子)8g袋×10(吉水)東一"/>
        <s v="十勝の息吹　小粒　40ｇ×２ｐ"/>
        <s v="十勝の息吹　大粒　40ｇ×２ｐ"/>
        <s v="十勝の息吹　ひきわり　40ｇ×２ｐ"/>
        <s v="有機納豆　日本の農　40ｇ×2"/>
        <s v="有機ひきわりカップ２　みのり　20ｇ×2"/>
        <s v="丸大豆てんぺ(Sﾊﾟｯｸ１個組)　100ｇ"/>
        <s v="ひきわりカップ　30ｇ×２ｐ"/>
        <s v="有機なす１袋 (浦部)"/>
        <s v="ズッキーニ １本袋（沃土会)不不"/>
        <s v="有機人参 洗い 400ｇ(キテレツ・産ﾊﾟ)"/>
        <s v="有機ミニ大根　洗い　1本袋(キテレツ)"/>
        <s v="スイートコーン　１本袋(高生連)"/>
        <s v="ぶなクイーン　１００ｇ(ﾐｽｽﾞ)"/>
        <s v="有機たかのつめ(唐辛子) 8g袋 (吉水)"/>
        <s v="有機ﾍﾞﾋﾞｰﾘｰﾌ 30gﾊﾟｯｸ (HATAKE)"/>
        <s v="有機リーフレタス　ﾗｯﾌﾟ 1個(ﾌｧｰﾏｰｽﾞ)◇"/>
        <s v="有機長ねぎ　ムキ　300ｇ(よしだ農園)"/>
        <s v="有機小松菜 150g(丸和)"/>
        <s v="トマト 約350g～(沃土会)◇"/>
        <s v="有機人参 洗い 400g（ｷﾃﾚﾂﾌｧｰﾑ)◇"/>
        <s v="■有機インカバナナ 600g袋×８入"/>
        <s v="有機青梅(梅酒用) 1kg袋 (ﾊﾟﾝﾄﾞﾗ)"/>
        <s v="■ｻﾂﾏ芋「ｼﾙｸｽｲｰﾄ」10kg(齊藤光正)6割・5割"/>
        <s v="■有機レタス 裸 10個ｺﾝﾃﾅ(ﾌｧｰﾏｰｽﾞ)"/>
        <s v="■有機サニーレタス裸　10個ｺﾝﾃﾅ(ﾌｧｰﾏｰｽﾞ)"/>
        <s v="有機ｻﾗﾀﾞﾍﾞﾋﾞｰﾐｯｸｽ 大袋250g(わ～ふぁ)"/>
        <s v="■有機キャベツ ８玉ｺﾝﾃﾅ(飯田）"/>
        <s v="■玉葱 10kgｺﾝﾃﾅ(マルハ)根残しムキ済◇"/>
        <s v="■有機ほうれん草　150ｇ×25入(北総)"/>
      </sharedItems>
    </cacheField>
    <cacheField name="数量" numFmtId="0">
      <sharedItems containsSemiMixedTypes="0" containsString="0" containsNumber="1" containsInteger="1" minValue="0" maxValue="100" count="23">
        <n v="1"/>
        <n v="2"/>
        <n v="10"/>
        <n v="5"/>
        <n v="3"/>
        <n v="4"/>
        <n v="6"/>
        <n v="8"/>
        <n v="7"/>
        <n v="15"/>
        <n v="9"/>
        <n v="12"/>
        <n v="20"/>
        <n v="50"/>
        <n v="30"/>
        <n v="0"/>
        <n v="11"/>
        <n v="18"/>
        <n v="25"/>
        <n v="40"/>
        <n v="100"/>
        <n v="28"/>
        <n v="14"/>
      </sharedItems>
    </cacheField>
    <cacheField name="箱/こ/不" numFmtId="0">
      <sharedItems count="3">
        <s v="箱"/>
        <s v="こもの"/>
        <s v=""/>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49">
  <r>
    <x v="0"/>
    <x v="0"/>
    <x v="0"/>
    <x v="0"/>
    <x v="0"/>
    <x v="0"/>
    <x v="0"/>
    <x v="0"/>
    <x v="0"/>
  </r>
  <r>
    <x v="0"/>
    <x v="0"/>
    <x v="0"/>
    <x v="0"/>
    <x v="1"/>
    <x v="1"/>
    <x v="1"/>
    <x v="1"/>
    <x v="0"/>
  </r>
  <r>
    <x v="0"/>
    <x v="0"/>
    <x v="0"/>
    <x v="0"/>
    <x v="2"/>
    <x v="2"/>
    <x v="2"/>
    <x v="2"/>
    <x v="1"/>
  </r>
  <r>
    <x v="0"/>
    <x v="0"/>
    <x v="0"/>
    <x v="0"/>
    <x v="3"/>
    <x v="3"/>
    <x v="3"/>
    <x v="3"/>
    <x v="1"/>
  </r>
  <r>
    <x v="0"/>
    <x v="0"/>
    <x v="0"/>
    <x v="0"/>
    <x v="4"/>
    <x v="4"/>
    <x v="4"/>
    <x v="3"/>
    <x v="1"/>
  </r>
  <r>
    <x v="0"/>
    <x v="0"/>
    <x v="0"/>
    <x v="0"/>
    <x v="5"/>
    <x v="5"/>
    <x v="5"/>
    <x v="3"/>
    <x v="1"/>
  </r>
  <r>
    <x v="0"/>
    <x v="0"/>
    <x v="0"/>
    <x v="0"/>
    <x v="6"/>
    <x v="6"/>
    <x v="6"/>
    <x v="2"/>
    <x v="1"/>
  </r>
  <r>
    <x v="0"/>
    <x v="0"/>
    <x v="0"/>
    <x v="0"/>
    <x v="7"/>
    <x v="7"/>
    <x v="7"/>
    <x v="1"/>
    <x v="1"/>
  </r>
  <r>
    <x v="0"/>
    <x v="0"/>
    <x v="0"/>
    <x v="0"/>
    <x v="8"/>
    <x v="8"/>
    <x v="8"/>
    <x v="2"/>
    <x v="1"/>
  </r>
  <r>
    <x v="0"/>
    <x v="0"/>
    <x v="0"/>
    <x v="0"/>
    <x v="9"/>
    <x v="9"/>
    <x v="9"/>
    <x v="0"/>
    <x v="1"/>
  </r>
  <r>
    <x v="0"/>
    <x v="0"/>
    <x v="0"/>
    <x v="0"/>
    <x v="10"/>
    <x v="10"/>
    <x v="10"/>
    <x v="2"/>
    <x v="1"/>
  </r>
  <r>
    <x v="0"/>
    <x v="0"/>
    <x v="0"/>
    <x v="0"/>
    <x v="11"/>
    <x v="11"/>
    <x v="11"/>
    <x v="3"/>
    <x v="1"/>
  </r>
  <r>
    <x v="0"/>
    <x v="0"/>
    <x v="0"/>
    <x v="0"/>
    <x v="12"/>
    <x v="12"/>
    <x v="12"/>
    <x v="3"/>
    <x v="1"/>
  </r>
  <r>
    <x v="0"/>
    <x v="0"/>
    <x v="0"/>
    <x v="0"/>
    <x v="13"/>
    <x v="13"/>
    <x v="13"/>
    <x v="3"/>
    <x v="1"/>
  </r>
  <r>
    <x v="0"/>
    <x v="0"/>
    <x v="0"/>
    <x v="0"/>
    <x v="14"/>
    <x v="14"/>
    <x v="14"/>
    <x v="1"/>
    <x v="1"/>
  </r>
  <r>
    <x v="0"/>
    <x v="0"/>
    <x v="0"/>
    <x v="0"/>
    <x v="15"/>
    <x v="15"/>
    <x v="15"/>
    <x v="2"/>
    <x v="1"/>
  </r>
  <r>
    <x v="0"/>
    <x v="0"/>
    <x v="0"/>
    <x v="0"/>
    <x v="16"/>
    <x v="16"/>
    <x v="16"/>
    <x v="0"/>
    <x v="0"/>
  </r>
  <r>
    <x v="0"/>
    <x v="0"/>
    <x v="0"/>
    <x v="0"/>
    <x v="17"/>
    <x v="17"/>
    <x v="17"/>
    <x v="0"/>
    <x v="0"/>
  </r>
  <r>
    <x v="0"/>
    <x v="0"/>
    <x v="0"/>
    <x v="0"/>
    <x v="18"/>
    <x v="18"/>
    <x v="18"/>
    <x v="0"/>
    <x v="1"/>
  </r>
  <r>
    <x v="0"/>
    <x v="0"/>
    <x v="0"/>
    <x v="0"/>
    <x v="19"/>
    <x v="19"/>
    <x v="19"/>
    <x v="0"/>
    <x v="2"/>
  </r>
  <r>
    <x v="1"/>
    <x v="1"/>
    <x v="0"/>
    <x v="1"/>
    <x v="4"/>
    <x v="4"/>
    <x v="4"/>
    <x v="1"/>
    <x v="1"/>
  </r>
  <r>
    <x v="1"/>
    <x v="1"/>
    <x v="0"/>
    <x v="1"/>
    <x v="3"/>
    <x v="3"/>
    <x v="3"/>
    <x v="1"/>
    <x v="1"/>
  </r>
  <r>
    <x v="1"/>
    <x v="1"/>
    <x v="0"/>
    <x v="1"/>
    <x v="12"/>
    <x v="12"/>
    <x v="12"/>
    <x v="3"/>
    <x v="1"/>
  </r>
  <r>
    <x v="1"/>
    <x v="1"/>
    <x v="0"/>
    <x v="1"/>
    <x v="15"/>
    <x v="15"/>
    <x v="15"/>
    <x v="3"/>
    <x v="1"/>
  </r>
  <r>
    <x v="1"/>
    <x v="1"/>
    <x v="0"/>
    <x v="1"/>
    <x v="20"/>
    <x v="20"/>
    <x v="20"/>
    <x v="1"/>
    <x v="1"/>
  </r>
  <r>
    <x v="2"/>
    <x v="2"/>
    <x v="0"/>
    <x v="2"/>
    <x v="13"/>
    <x v="13"/>
    <x v="13"/>
    <x v="1"/>
    <x v="1"/>
  </r>
  <r>
    <x v="2"/>
    <x v="2"/>
    <x v="0"/>
    <x v="2"/>
    <x v="21"/>
    <x v="21"/>
    <x v="21"/>
    <x v="3"/>
    <x v="1"/>
  </r>
  <r>
    <x v="2"/>
    <x v="2"/>
    <x v="0"/>
    <x v="2"/>
    <x v="22"/>
    <x v="22"/>
    <x v="22"/>
    <x v="3"/>
    <x v="1"/>
  </r>
  <r>
    <x v="2"/>
    <x v="2"/>
    <x v="0"/>
    <x v="2"/>
    <x v="23"/>
    <x v="23"/>
    <x v="23"/>
    <x v="4"/>
    <x v="1"/>
  </r>
  <r>
    <x v="2"/>
    <x v="2"/>
    <x v="0"/>
    <x v="2"/>
    <x v="24"/>
    <x v="24"/>
    <x v="24"/>
    <x v="4"/>
    <x v="1"/>
  </r>
  <r>
    <x v="2"/>
    <x v="2"/>
    <x v="0"/>
    <x v="2"/>
    <x v="4"/>
    <x v="4"/>
    <x v="4"/>
    <x v="1"/>
    <x v="1"/>
  </r>
  <r>
    <x v="2"/>
    <x v="2"/>
    <x v="0"/>
    <x v="2"/>
    <x v="3"/>
    <x v="3"/>
    <x v="3"/>
    <x v="1"/>
    <x v="1"/>
  </r>
  <r>
    <x v="2"/>
    <x v="2"/>
    <x v="0"/>
    <x v="2"/>
    <x v="6"/>
    <x v="6"/>
    <x v="6"/>
    <x v="5"/>
    <x v="1"/>
  </r>
  <r>
    <x v="2"/>
    <x v="2"/>
    <x v="0"/>
    <x v="2"/>
    <x v="25"/>
    <x v="25"/>
    <x v="25"/>
    <x v="1"/>
    <x v="1"/>
  </r>
  <r>
    <x v="2"/>
    <x v="2"/>
    <x v="0"/>
    <x v="2"/>
    <x v="26"/>
    <x v="26"/>
    <x v="26"/>
    <x v="5"/>
    <x v="1"/>
  </r>
  <r>
    <x v="2"/>
    <x v="2"/>
    <x v="0"/>
    <x v="2"/>
    <x v="27"/>
    <x v="27"/>
    <x v="27"/>
    <x v="6"/>
    <x v="1"/>
  </r>
  <r>
    <x v="2"/>
    <x v="2"/>
    <x v="0"/>
    <x v="2"/>
    <x v="28"/>
    <x v="28"/>
    <x v="28"/>
    <x v="4"/>
    <x v="1"/>
  </r>
  <r>
    <x v="2"/>
    <x v="2"/>
    <x v="0"/>
    <x v="2"/>
    <x v="29"/>
    <x v="29"/>
    <x v="29"/>
    <x v="1"/>
    <x v="1"/>
  </r>
  <r>
    <x v="2"/>
    <x v="2"/>
    <x v="0"/>
    <x v="2"/>
    <x v="14"/>
    <x v="14"/>
    <x v="14"/>
    <x v="1"/>
    <x v="1"/>
  </r>
  <r>
    <x v="3"/>
    <x v="3"/>
    <x v="0"/>
    <x v="3"/>
    <x v="13"/>
    <x v="13"/>
    <x v="13"/>
    <x v="5"/>
    <x v="1"/>
  </r>
  <r>
    <x v="3"/>
    <x v="3"/>
    <x v="0"/>
    <x v="3"/>
    <x v="30"/>
    <x v="30"/>
    <x v="30"/>
    <x v="5"/>
    <x v="1"/>
  </r>
  <r>
    <x v="3"/>
    <x v="3"/>
    <x v="0"/>
    <x v="3"/>
    <x v="22"/>
    <x v="22"/>
    <x v="22"/>
    <x v="3"/>
    <x v="1"/>
  </r>
  <r>
    <x v="3"/>
    <x v="3"/>
    <x v="0"/>
    <x v="3"/>
    <x v="31"/>
    <x v="31"/>
    <x v="31"/>
    <x v="1"/>
    <x v="1"/>
  </r>
  <r>
    <x v="3"/>
    <x v="3"/>
    <x v="0"/>
    <x v="3"/>
    <x v="1"/>
    <x v="1"/>
    <x v="1"/>
    <x v="0"/>
    <x v="0"/>
  </r>
  <r>
    <x v="3"/>
    <x v="3"/>
    <x v="0"/>
    <x v="3"/>
    <x v="4"/>
    <x v="4"/>
    <x v="4"/>
    <x v="4"/>
    <x v="1"/>
  </r>
  <r>
    <x v="3"/>
    <x v="3"/>
    <x v="0"/>
    <x v="3"/>
    <x v="3"/>
    <x v="3"/>
    <x v="3"/>
    <x v="5"/>
    <x v="1"/>
  </r>
  <r>
    <x v="3"/>
    <x v="3"/>
    <x v="0"/>
    <x v="3"/>
    <x v="6"/>
    <x v="6"/>
    <x v="6"/>
    <x v="3"/>
    <x v="1"/>
  </r>
  <r>
    <x v="3"/>
    <x v="3"/>
    <x v="0"/>
    <x v="3"/>
    <x v="27"/>
    <x v="27"/>
    <x v="27"/>
    <x v="3"/>
    <x v="1"/>
  </r>
  <r>
    <x v="3"/>
    <x v="3"/>
    <x v="0"/>
    <x v="3"/>
    <x v="10"/>
    <x v="10"/>
    <x v="10"/>
    <x v="3"/>
    <x v="1"/>
  </r>
  <r>
    <x v="3"/>
    <x v="3"/>
    <x v="0"/>
    <x v="3"/>
    <x v="12"/>
    <x v="12"/>
    <x v="12"/>
    <x v="3"/>
    <x v="1"/>
  </r>
  <r>
    <x v="4"/>
    <x v="4"/>
    <x v="0"/>
    <x v="4"/>
    <x v="0"/>
    <x v="0"/>
    <x v="0"/>
    <x v="0"/>
    <x v="0"/>
  </r>
  <r>
    <x v="4"/>
    <x v="4"/>
    <x v="0"/>
    <x v="4"/>
    <x v="21"/>
    <x v="21"/>
    <x v="21"/>
    <x v="4"/>
    <x v="1"/>
  </r>
  <r>
    <x v="4"/>
    <x v="4"/>
    <x v="0"/>
    <x v="4"/>
    <x v="32"/>
    <x v="32"/>
    <x v="32"/>
    <x v="4"/>
    <x v="1"/>
  </r>
  <r>
    <x v="4"/>
    <x v="4"/>
    <x v="0"/>
    <x v="4"/>
    <x v="33"/>
    <x v="33"/>
    <x v="33"/>
    <x v="0"/>
    <x v="1"/>
  </r>
  <r>
    <x v="5"/>
    <x v="5"/>
    <x v="1"/>
    <x v="5"/>
    <x v="34"/>
    <x v="34"/>
    <x v="34"/>
    <x v="0"/>
    <x v="0"/>
  </r>
  <r>
    <x v="6"/>
    <x v="6"/>
    <x v="0"/>
    <x v="6"/>
    <x v="35"/>
    <x v="35"/>
    <x v="35"/>
    <x v="4"/>
    <x v="1"/>
  </r>
  <r>
    <x v="6"/>
    <x v="6"/>
    <x v="0"/>
    <x v="6"/>
    <x v="36"/>
    <x v="36"/>
    <x v="36"/>
    <x v="1"/>
    <x v="1"/>
  </r>
  <r>
    <x v="6"/>
    <x v="6"/>
    <x v="0"/>
    <x v="6"/>
    <x v="37"/>
    <x v="37"/>
    <x v="37"/>
    <x v="0"/>
    <x v="1"/>
  </r>
  <r>
    <x v="6"/>
    <x v="6"/>
    <x v="0"/>
    <x v="6"/>
    <x v="38"/>
    <x v="38"/>
    <x v="38"/>
    <x v="3"/>
    <x v="1"/>
  </r>
  <r>
    <x v="6"/>
    <x v="6"/>
    <x v="0"/>
    <x v="6"/>
    <x v="22"/>
    <x v="22"/>
    <x v="22"/>
    <x v="3"/>
    <x v="1"/>
  </r>
  <r>
    <x v="6"/>
    <x v="6"/>
    <x v="0"/>
    <x v="6"/>
    <x v="4"/>
    <x v="4"/>
    <x v="4"/>
    <x v="4"/>
    <x v="1"/>
  </r>
  <r>
    <x v="6"/>
    <x v="6"/>
    <x v="0"/>
    <x v="6"/>
    <x v="6"/>
    <x v="6"/>
    <x v="6"/>
    <x v="4"/>
    <x v="1"/>
  </r>
  <r>
    <x v="6"/>
    <x v="6"/>
    <x v="0"/>
    <x v="6"/>
    <x v="26"/>
    <x v="26"/>
    <x v="26"/>
    <x v="4"/>
    <x v="1"/>
  </r>
  <r>
    <x v="6"/>
    <x v="6"/>
    <x v="0"/>
    <x v="6"/>
    <x v="27"/>
    <x v="27"/>
    <x v="27"/>
    <x v="5"/>
    <x v="1"/>
  </r>
  <r>
    <x v="6"/>
    <x v="6"/>
    <x v="0"/>
    <x v="6"/>
    <x v="12"/>
    <x v="12"/>
    <x v="12"/>
    <x v="4"/>
    <x v="1"/>
  </r>
  <r>
    <x v="7"/>
    <x v="7"/>
    <x v="0"/>
    <x v="7"/>
    <x v="13"/>
    <x v="13"/>
    <x v="13"/>
    <x v="4"/>
    <x v="1"/>
  </r>
  <r>
    <x v="7"/>
    <x v="7"/>
    <x v="0"/>
    <x v="7"/>
    <x v="4"/>
    <x v="4"/>
    <x v="4"/>
    <x v="1"/>
    <x v="1"/>
  </r>
  <r>
    <x v="7"/>
    <x v="7"/>
    <x v="0"/>
    <x v="7"/>
    <x v="33"/>
    <x v="33"/>
    <x v="33"/>
    <x v="6"/>
    <x v="1"/>
  </r>
  <r>
    <x v="7"/>
    <x v="7"/>
    <x v="0"/>
    <x v="7"/>
    <x v="39"/>
    <x v="39"/>
    <x v="39"/>
    <x v="1"/>
    <x v="1"/>
  </r>
  <r>
    <x v="7"/>
    <x v="7"/>
    <x v="0"/>
    <x v="7"/>
    <x v="40"/>
    <x v="40"/>
    <x v="40"/>
    <x v="0"/>
    <x v="1"/>
  </r>
  <r>
    <x v="7"/>
    <x v="7"/>
    <x v="0"/>
    <x v="7"/>
    <x v="41"/>
    <x v="41"/>
    <x v="41"/>
    <x v="1"/>
    <x v="1"/>
  </r>
  <r>
    <x v="7"/>
    <x v="7"/>
    <x v="0"/>
    <x v="7"/>
    <x v="42"/>
    <x v="42"/>
    <x v="42"/>
    <x v="1"/>
    <x v="1"/>
  </r>
  <r>
    <x v="7"/>
    <x v="7"/>
    <x v="0"/>
    <x v="7"/>
    <x v="20"/>
    <x v="20"/>
    <x v="20"/>
    <x v="1"/>
    <x v="1"/>
  </r>
  <r>
    <x v="8"/>
    <x v="8"/>
    <x v="0"/>
    <x v="8"/>
    <x v="43"/>
    <x v="43"/>
    <x v="43"/>
    <x v="5"/>
    <x v="1"/>
  </r>
  <r>
    <x v="8"/>
    <x v="8"/>
    <x v="0"/>
    <x v="8"/>
    <x v="44"/>
    <x v="44"/>
    <x v="44"/>
    <x v="5"/>
    <x v="1"/>
  </r>
  <r>
    <x v="8"/>
    <x v="8"/>
    <x v="0"/>
    <x v="8"/>
    <x v="21"/>
    <x v="21"/>
    <x v="21"/>
    <x v="5"/>
    <x v="1"/>
  </r>
  <r>
    <x v="8"/>
    <x v="8"/>
    <x v="0"/>
    <x v="8"/>
    <x v="22"/>
    <x v="22"/>
    <x v="22"/>
    <x v="5"/>
    <x v="1"/>
  </r>
  <r>
    <x v="8"/>
    <x v="8"/>
    <x v="0"/>
    <x v="8"/>
    <x v="45"/>
    <x v="45"/>
    <x v="45"/>
    <x v="1"/>
    <x v="1"/>
  </r>
  <r>
    <x v="8"/>
    <x v="8"/>
    <x v="0"/>
    <x v="8"/>
    <x v="1"/>
    <x v="1"/>
    <x v="1"/>
    <x v="0"/>
    <x v="0"/>
  </r>
  <r>
    <x v="8"/>
    <x v="8"/>
    <x v="0"/>
    <x v="8"/>
    <x v="3"/>
    <x v="3"/>
    <x v="3"/>
    <x v="1"/>
    <x v="1"/>
  </r>
  <r>
    <x v="8"/>
    <x v="8"/>
    <x v="0"/>
    <x v="8"/>
    <x v="6"/>
    <x v="6"/>
    <x v="6"/>
    <x v="4"/>
    <x v="1"/>
  </r>
  <r>
    <x v="8"/>
    <x v="8"/>
    <x v="0"/>
    <x v="8"/>
    <x v="2"/>
    <x v="2"/>
    <x v="2"/>
    <x v="4"/>
    <x v="1"/>
  </r>
  <r>
    <x v="8"/>
    <x v="8"/>
    <x v="0"/>
    <x v="8"/>
    <x v="27"/>
    <x v="27"/>
    <x v="27"/>
    <x v="6"/>
    <x v="1"/>
  </r>
  <r>
    <x v="8"/>
    <x v="8"/>
    <x v="0"/>
    <x v="8"/>
    <x v="12"/>
    <x v="12"/>
    <x v="12"/>
    <x v="5"/>
    <x v="1"/>
  </r>
  <r>
    <x v="8"/>
    <x v="8"/>
    <x v="0"/>
    <x v="8"/>
    <x v="20"/>
    <x v="20"/>
    <x v="20"/>
    <x v="3"/>
    <x v="1"/>
  </r>
  <r>
    <x v="9"/>
    <x v="9"/>
    <x v="0"/>
    <x v="9"/>
    <x v="37"/>
    <x v="37"/>
    <x v="37"/>
    <x v="4"/>
    <x v="1"/>
  </r>
  <r>
    <x v="9"/>
    <x v="9"/>
    <x v="0"/>
    <x v="9"/>
    <x v="46"/>
    <x v="46"/>
    <x v="46"/>
    <x v="5"/>
    <x v="1"/>
  </r>
  <r>
    <x v="9"/>
    <x v="9"/>
    <x v="0"/>
    <x v="9"/>
    <x v="38"/>
    <x v="38"/>
    <x v="38"/>
    <x v="7"/>
    <x v="1"/>
  </r>
  <r>
    <x v="9"/>
    <x v="9"/>
    <x v="0"/>
    <x v="9"/>
    <x v="4"/>
    <x v="4"/>
    <x v="4"/>
    <x v="8"/>
    <x v="1"/>
  </r>
  <r>
    <x v="9"/>
    <x v="9"/>
    <x v="0"/>
    <x v="9"/>
    <x v="3"/>
    <x v="3"/>
    <x v="3"/>
    <x v="5"/>
    <x v="1"/>
  </r>
  <r>
    <x v="9"/>
    <x v="9"/>
    <x v="0"/>
    <x v="9"/>
    <x v="6"/>
    <x v="6"/>
    <x v="6"/>
    <x v="7"/>
    <x v="1"/>
  </r>
  <r>
    <x v="9"/>
    <x v="9"/>
    <x v="0"/>
    <x v="9"/>
    <x v="25"/>
    <x v="25"/>
    <x v="25"/>
    <x v="1"/>
    <x v="1"/>
  </r>
  <r>
    <x v="9"/>
    <x v="9"/>
    <x v="0"/>
    <x v="9"/>
    <x v="5"/>
    <x v="5"/>
    <x v="5"/>
    <x v="4"/>
    <x v="1"/>
  </r>
  <r>
    <x v="9"/>
    <x v="9"/>
    <x v="0"/>
    <x v="9"/>
    <x v="26"/>
    <x v="26"/>
    <x v="26"/>
    <x v="4"/>
    <x v="1"/>
  </r>
  <r>
    <x v="9"/>
    <x v="9"/>
    <x v="0"/>
    <x v="9"/>
    <x v="41"/>
    <x v="41"/>
    <x v="41"/>
    <x v="7"/>
    <x v="1"/>
  </r>
  <r>
    <x v="9"/>
    <x v="9"/>
    <x v="0"/>
    <x v="9"/>
    <x v="47"/>
    <x v="47"/>
    <x v="47"/>
    <x v="4"/>
    <x v="1"/>
  </r>
  <r>
    <x v="9"/>
    <x v="9"/>
    <x v="0"/>
    <x v="9"/>
    <x v="27"/>
    <x v="27"/>
    <x v="27"/>
    <x v="2"/>
    <x v="1"/>
  </r>
  <r>
    <x v="9"/>
    <x v="9"/>
    <x v="0"/>
    <x v="9"/>
    <x v="12"/>
    <x v="12"/>
    <x v="12"/>
    <x v="5"/>
    <x v="1"/>
  </r>
  <r>
    <x v="9"/>
    <x v="9"/>
    <x v="0"/>
    <x v="9"/>
    <x v="48"/>
    <x v="48"/>
    <x v="48"/>
    <x v="1"/>
    <x v="1"/>
  </r>
  <r>
    <x v="9"/>
    <x v="9"/>
    <x v="0"/>
    <x v="9"/>
    <x v="49"/>
    <x v="49"/>
    <x v="49"/>
    <x v="2"/>
    <x v="1"/>
  </r>
  <r>
    <x v="9"/>
    <x v="9"/>
    <x v="0"/>
    <x v="9"/>
    <x v="20"/>
    <x v="20"/>
    <x v="20"/>
    <x v="5"/>
    <x v="1"/>
  </r>
  <r>
    <x v="10"/>
    <x v="10"/>
    <x v="0"/>
    <x v="10"/>
    <x v="50"/>
    <x v="50"/>
    <x v="50"/>
    <x v="0"/>
    <x v="0"/>
  </r>
  <r>
    <x v="10"/>
    <x v="10"/>
    <x v="0"/>
    <x v="10"/>
    <x v="35"/>
    <x v="35"/>
    <x v="35"/>
    <x v="7"/>
    <x v="1"/>
  </r>
  <r>
    <x v="10"/>
    <x v="10"/>
    <x v="0"/>
    <x v="10"/>
    <x v="0"/>
    <x v="0"/>
    <x v="0"/>
    <x v="0"/>
    <x v="0"/>
  </r>
  <r>
    <x v="10"/>
    <x v="10"/>
    <x v="0"/>
    <x v="10"/>
    <x v="51"/>
    <x v="51"/>
    <x v="51"/>
    <x v="4"/>
    <x v="1"/>
  </r>
  <r>
    <x v="10"/>
    <x v="10"/>
    <x v="0"/>
    <x v="10"/>
    <x v="52"/>
    <x v="52"/>
    <x v="52"/>
    <x v="5"/>
    <x v="1"/>
  </r>
  <r>
    <x v="10"/>
    <x v="10"/>
    <x v="0"/>
    <x v="10"/>
    <x v="38"/>
    <x v="38"/>
    <x v="38"/>
    <x v="7"/>
    <x v="1"/>
  </r>
  <r>
    <x v="11"/>
    <x v="11"/>
    <x v="2"/>
    <x v="11"/>
    <x v="53"/>
    <x v="53"/>
    <x v="53"/>
    <x v="0"/>
    <x v="0"/>
  </r>
  <r>
    <x v="12"/>
    <x v="12"/>
    <x v="0"/>
    <x v="12"/>
    <x v="54"/>
    <x v="54"/>
    <x v="54"/>
    <x v="4"/>
    <x v="1"/>
  </r>
  <r>
    <x v="12"/>
    <x v="12"/>
    <x v="0"/>
    <x v="12"/>
    <x v="23"/>
    <x v="23"/>
    <x v="23"/>
    <x v="4"/>
    <x v="1"/>
  </r>
  <r>
    <x v="12"/>
    <x v="12"/>
    <x v="0"/>
    <x v="12"/>
    <x v="3"/>
    <x v="3"/>
    <x v="3"/>
    <x v="4"/>
    <x v="1"/>
  </r>
  <r>
    <x v="12"/>
    <x v="12"/>
    <x v="0"/>
    <x v="12"/>
    <x v="6"/>
    <x v="6"/>
    <x v="6"/>
    <x v="7"/>
    <x v="1"/>
  </r>
  <r>
    <x v="12"/>
    <x v="12"/>
    <x v="0"/>
    <x v="12"/>
    <x v="5"/>
    <x v="5"/>
    <x v="5"/>
    <x v="4"/>
    <x v="1"/>
  </r>
  <r>
    <x v="12"/>
    <x v="12"/>
    <x v="0"/>
    <x v="12"/>
    <x v="12"/>
    <x v="12"/>
    <x v="12"/>
    <x v="4"/>
    <x v="1"/>
  </r>
  <r>
    <x v="12"/>
    <x v="12"/>
    <x v="0"/>
    <x v="12"/>
    <x v="28"/>
    <x v="28"/>
    <x v="28"/>
    <x v="1"/>
    <x v="1"/>
  </r>
  <r>
    <x v="12"/>
    <x v="12"/>
    <x v="0"/>
    <x v="12"/>
    <x v="18"/>
    <x v="18"/>
    <x v="18"/>
    <x v="0"/>
    <x v="1"/>
  </r>
  <r>
    <x v="12"/>
    <x v="12"/>
    <x v="0"/>
    <x v="12"/>
    <x v="19"/>
    <x v="19"/>
    <x v="19"/>
    <x v="0"/>
    <x v="2"/>
  </r>
  <r>
    <x v="13"/>
    <x v="13"/>
    <x v="0"/>
    <x v="13"/>
    <x v="55"/>
    <x v="55"/>
    <x v="55"/>
    <x v="0"/>
    <x v="0"/>
  </r>
  <r>
    <x v="13"/>
    <x v="13"/>
    <x v="0"/>
    <x v="13"/>
    <x v="56"/>
    <x v="56"/>
    <x v="56"/>
    <x v="3"/>
    <x v="1"/>
  </r>
  <r>
    <x v="13"/>
    <x v="13"/>
    <x v="0"/>
    <x v="13"/>
    <x v="57"/>
    <x v="57"/>
    <x v="57"/>
    <x v="5"/>
    <x v="1"/>
  </r>
  <r>
    <x v="13"/>
    <x v="13"/>
    <x v="0"/>
    <x v="13"/>
    <x v="46"/>
    <x v="46"/>
    <x v="46"/>
    <x v="1"/>
    <x v="1"/>
  </r>
  <r>
    <x v="13"/>
    <x v="13"/>
    <x v="0"/>
    <x v="13"/>
    <x v="58"/>
    <x v="58"/>
    <x v="58"/>
    <x v="1"/>
    <x v="1"/>
  </r>
  <r>
    <x v="13"/>
    <x v="13"/>
    <x v="0"/>
    <x v="13"/>
    <x v="59"/>
    <x v="59"/>
    <x v="59"/>
    <x v="6"/>
    <x v="1"/>
  </r>
  <r>
    <x v="13"/>
    <x v="13"/>
    <x v="0"/>
    <x v="13"/>
    <x v="3"/>
    <x v="3"/>
    <x v="3"/>
    <x v="1"/>
    <x v="1"/>
  </r>
  <r>
    <x v="13"/>
    <x v="13"/>
    <x v="0"/>
    <x v="13"/>
    <x v="6"/>
    <x v="6"/>
    <x v="6"/>
    <x v="5"/>
    <x v="1"/>
  </r>
  <r>
    <x v="13"/>
    <x v="13"/>
    <x v="0"/>
    <x v="13"/>
    <x v="5"/>
    <x v="5"/>
    <x v="5"/>
    <x v="1"/>
    <x v="1"/>
  </r>
  <r>
    <x v="13"/>
    <x v="13"/>
    <x v="0"/>
    <x v="13"/>
    <x v="27"/>
    <x v="27"/>
    <x v="27"/>
    <x v="5"/>
    <x v="1"/>
  </r>
  <r>
    <x v="13"/>
    <x v="13"/>
    <x v="0"/>
    <x v="13"/>
    <x v="10"/>
    <x v="10"/>
    <x v="10"/>
    <x v="5"/>
    <x v="1"/>
  </r>
  <r>
    <x v="13"/>
    <x v="13"/>
    <x v="0"/>
    <x v="13"/>
    <x v="42"/>
    <x v="42"/>
    <x v="42"/>
    <x v="1"/>
    <x v="1"/>
  </r>
  <r>
    <x v="13"/>
    <x v="13"/>
    <x v="0"/>
    <x v="13"/>
    <x v="60"/>
    <x v="60"/>
    <x v="60"/>
    <x v="3"/>
    <x v="1"/>
  </r>
  <r>
    <x v="13"/>
    <x v="13"/>
    <x v="0"/>
    <x v="13"/>
    <x v="20"/>
    <x v="20"/>
    <x v="20"/>
    <x v="5"/>
    <x v="1"/>
  </r>
  <r>
    <x v="14"/>
    <x v="14"/>
    <x v="0"/>
    <x v="14"/>
    <x v="61"/>
    <x v="61"/>
    <x v="61"/>
    <x v="1"/>
    <x v="1"/>
  </r>
  <r>
    <x v="14"/>
    <x v="14"/>
    <x v="0"/>
    <x v="14"/>
    <x v="54"/>
    <x v="54"/>
    <x v="54"/>
    <x v="4"/>
    <x v="1"/>
  </r>
  <r>
    <x v="14"/>
    <x v="14"/>
    <x v="0"/>
    <x v="14"/>
    <x v="36"/>
    <x v="36"/>
    <x v="36"/>
    <x v="4"/>
    <x v="1"/>
  </r>
  <r>
    <x v="14"/>
    <x v="14"/>
    <x v="0"/>
    <x v="14"/>
    <x v="38"/>
    <x v="38"/>
    <x v="38"/>
    <x v="3"/>
    <x v="1"/>
  </r>
  <r>
    <x v="14"/>
    <x v="14"/>
    <x v="0"/>
    <x v="14"/>
    <x v="62"/>
    <x v="62"/>
    <x v="62"/>
    <x v="4"/>
    <x v="1"/>
  </r>
  <r>
    <x v="14"/>
    <x v="14"/>
    <x v="0"/>
    <x v="14"/>
    <x v="4"/>
    <x v="4"/>
    <x v="4"/>
    <x v="4"/>
    <x v="1"/>
  </r>
  <r>
    <x v="14"/>
    <x v="14"/>
    <x v="0"/>
    <x v="14"/>
    <x v="3"/>
    <x v="3"/>
    <x v="3"/>
    <x v="4"/>
    <x v="1"/>
  </r>
  <r>
    <x v="14"/>
    <x v="14"/>
    <x v="0"/>
    <x v="14"/>
    <x v="6"/>
    <x v="6"/>
    <x v="6"/>
    <x v="6"/>
    <x v="1"/>
  </r>
  <r>
    <x v="14"/>
    <x v="14"/>
    <x v="0"/>
    <x v="14"/>
    <x v="25"/>
    <x v="25"/>
    <x v="25"/>
    <x v="4"/>
    <x v="1"/>
  </r>
  <r>
    <x v="14"/>
    <x v="14"/>
    <x v="0"/>
    <x v="14"/>
    <x v="12"/>
    <x v="12"/>
    <x v="12"/>
    <x v="1"/>
    <x v="1"/>
  </r>
  <r>
    <x v="14"/>
    <x v="14"/>
    <x v="0"/>
    <x v="14"/>
    <x v="20"/>
    <x v="20"/>
    <x v="20"/>
    <x v="4"/>
    <x v="1"/>
  </r>
  <r>
    <x v="15"/>
    <x v="15"/>
    <x v="0"/>
    <x v="15"/>
    <x v="54"/>
    <x v="54"/>
    <x v="54"/>
    <x v="4"/>
    <x v="1"/>
  </r>
  <r>
    <x v="15"/>
    <x v="15"/>
    <x v="0"/>
    <x v="15"/>
    <x v="23"/>
    <x v="23"/>
    <x v="23"/>
    <x v="6"/>
    <x v="1"/>
  </r>
  <r>
    <x v="15"/>
    <x v="15"/>
    <x v="0"/>
    <x v="15"/>
    <x v="3"/>
    <x v="3"/>
    <x v="3"/>
    <x v="4"/>
    <x v="1"/>
  </r>
  <r>
    <x v="15"/>
    <x v="15"/>
    <x v="0"/>
    <x v="15"/>
    <x v="6"/>
    <x v="6"/>
    <x v="6"/>
    <x v="7"/>
    <x v="1"/>
  </r>
  <r>
    <x v="15"/>
    <x v="15"/>
    <x v="0"/>
    <x v="15"/>
    <x v="2"/>
    <x v="2"/>
    <x v="2"/>
    <x v="4"/>
    <x v="1"/>
  </r>
  <r>
    <x v="15"/>
    <x v="15"/>
    <x v="0"/>
    <x v="15"/>
    <x v="27"/>
    <x v="27"/>
    <x v="27"/>
    <x v="3"/>
    <x v="1"/>
  </r>
  <r>
    <x v="15"/>
    <x v="15"/>
    <x v="0"/>
    <x v="15"/>
    <x v="15"/>
    <x v="15"/>
    <x v="15"/>
    <x v="6"/>
    <x v="1"/>
  </r>
  <r>
    <x v="15"/>
    <x v="15"/>
    <x v="0"/>
    <x v="15"/>
    <x v="28"/>
    <x v="28"/>
    <x v="28"/>
    <x v="3"/>
    <x v="1"/>
  </r>
  <r>
    <x v="16"/>
    <x v="16"/>
    <x v="0"/>
    <x v="16"/>
    <x v="13"/>
    <x v="13"/>
    <x v="13"/>
    <x v="5"/>
    <x v="1"/>
  </r>
  <r>
    <x v="16"/>
    <x v="16"/>
    <x v="0"/>
    <x v="16"/>
    <x v="63"/>
    <x v="63"/>
    <x v="63"/>
    <x v="0"/>
    <x v="0"/>
  </r>
  <r>
    <x v="16"/>
    <x v="16"/>
    <x v="0"/>
    <x v="16"/>
    <x v="1"/>
    <x v="1"/>
    <x v="1"/>
    <x v="0"/>
    <x v="0"/>
  </r>
  <r>
    <x v="16"/>
    <x v="16"/>
    <x v="0"/>
    <x v="16"/>
    <x v="4"/>
    <x v="4"/>
    <x v="4"/>
    <x v="1"/>
    <x v="1"/>
  </r>
  <r>
    <x v="16"/>
    <x v="16"/>
    <x v="0"/>
    <x v="16"/>
    <x v="33"/>
    <x v="33"/>
    <x v="33"/>
    <x v="1"/>
    <x v="1"/>
  </r>
  <r>
    <x v="16"/>
    <x v="16"/>
    <x v="0"/>
    <x v="16"/>
    <x v="3"/>
    <x v="3"/>
    <x v="3"/>
    <x v="1"/>
    <x v="1"/>
  </r>
  <r>
    <x v="16"/>
    <x v="16"/>
    <x v="0"/>
    <x v="16"/>
    <x v="39"/>
    <x v="39"/>
    <x v="39"/>
    <x v="3"/>
    <x v="1"/>
  </r>
  <r>
    <x v="16"/>
    <x v="16"/>
    <x v="0"/>
    <x v="16"/>
    <x v="2"/>
    <x v="2"/>
    <x v="2"/>
    <x v="1"/>
    <x v="1"/>
  </r>
  <r>
    <x v="16"/>
    <x v="16"/>
    <x v="0"/>
    <x v="16"/>
    <x v="48"/>
    <x v="48"/>
    <x v="48"/>
    <x v="0"/>
    <x v="1"/>
  </r>
  <r>
    <x v="16"/>
    <x v="16"/>
    <x v="0"/>
    <x v="16"/>
    <x v="18"/>
    <x v="18"/>
    <x v="18"/>
    <x v="0"/>
    <x v="1"/>
  </r>
  <r>
    <x v="17"/>
    <x v="17"/>
    <x v="2"/>
    <x v="17"/>
    <x v="64"/>
    <x v="64"/>
    <x v="64"/>
    <x v="0"/>
    <x v="0"/>
  </r>
  <r>
    <x v="17"/>
    <x v="17"/>
    <x v="2"/>
    <x v="17"/>
    <x v="65"/>
    <x v="65"/>
    <x v="65"/>
    <x v="1"/>
    <x v="1"/>
  </r>
  <r>
    <x v="18"/>
    <x v="18"/>
    <x v="0"/>
    <x v="18"/>
    <x v="66"/>
    <x v="66"/>
    <x v="66"/>
    <x v="4"/>
    <x v="1"/>
  </r>
  <r>
    <x v="18"/>
    <x v="18"/>
    <x v="0"/>
    <x v="18"/>
    <x v="57"/>
    <x v="57"/>
    <x v="57"/>
    <x v="2"/>
    <x v="1"/>
  </r>
  <r>
    <x v="18"/>
    <x v="18"/>
    <x v="0"/>
    <x v="18"/>
    <x v="6"/>
    <x v="6"/>
    <x v="6"/>
    <x v="3"/>
    <x v="1"/>
  </r>
  <r>
    <x v="18"/>
    <x v="18"/>
    <x v="0"/>
    <x v="18"/>
    <x v="25"/>
    <x v="25"/>
    <x v="25"/>
    <x v="4"/>
    <x v="1"/>
  </r>
  <r>
    <x v="18"/>
    <x v="18"/>
    <x v="0"/>
    <x v="18"/>
    <x v="12"/>
    <x v="12"/>
    <x v="12"/>
    <x v="3"/>
    <x v="1"/>
  </r>
  <r>
    <x v="18"/>
    <x v="18"/>
    <x v="0"/>
    <x v="18"/>
    <x v="28"/>
    <x v="28"/>
    <x v="28"/>
    <x v="3"/>
    <x v="1"/>
  </r>
  <r>
    <x v="19"/>
    <x v="19"/>
    <x v="0"/>
    <x v="19"/>
    <x v="55"/>
    <x v="55"/>
    <x v="55"/>
    <x v="0"/>
    <x v="0"/>
  </r>
  <r>
    <x v="19"/>
    <x v="19"/>
    <x v="0"/>
    <x v="19"/>
    <x v="54"/>
    <x v="54"/>
    <x v="54"/>
    <x v="4"/>
    <x v="1"/>
  </r>
  <r>
    <x v="19"/>
    <x v="19"/>
    <x v="0"/>
    <x v="19"/>
    <x v="35"/>
    <x v="35"/>
    <x v="35"/>
    <x v="5"/>
    <x v="1"/>
  </r>
  <r>
    <x v="19"/>
    <x v="19"/>
    <x v="0"/>
    <x v="19"/>
    <x v="46"/>
    <x v="46"/>
    <x v="46"/>
    <x v="4"/>
    <x v="1"/>
  </r>
  <r>
    <x v="19"/>
    <x v="19"/>
    <x v="0"/>
    <x v="19"/>
    <x v="51"/>
    <x v="51"/>
    <x v="51"/>
    <x v="1"/>
    <x v="1"/>
  </r>
  <r>
    <x v="19"/>
    <x v="19"/>
    <x v="0"/>
    <x v="19"/>
    <x v="30"/>
    <x v="30"/>
    <x v="30"/>
    <x v="3"/>
    <x v="1"/>
  </r>
  <r>
    <x v="19"/>
    <x v="19"/>
    <x v="0"/>
    <x v="19"/>
    <x v="22"/>
    <x v="22"/>
    <x v="22"/>
    <x v="8"/>
    <x v="1"/>
  </r>
  <r>
    <x v="19"/>
    <x v="19"/>
    <x v="0"/>
    <x v="19"/>
    <x v="32"/>
    <x v="32"/>
    <x v="32"/>
    <x v="3"/>
    <x v="1"/>
  </r>
  <r>
    <x v="19"/>
    <x v="19"/>
    <x v="0"/>
    <x v="19"/>
    <x v="23"/>
    <x v="23"/>
    <x v="23"/>
    <x v="3"/>
    <x v="1"/>
  </r>
  <r>
    <x v="19"/>
    <x v="19"/>
    <x v="0"/>
    <x v="19"/>
    <x v="45"/>
    <x v="45"/>
    <x v="45"/>
    <x v="1"/>
    <x v="1"/>
  </r>
  <r>
    <x v="19"/>
    <x v="19"/>
    <x v="0"/>
    <x v="19"/>
    <x v="31"/>
    <x v="31"/>
    <x v="31"/>
    <x v="4"/>
    <x v="1"/>
  </r>
  <r>
    <x v="19"/>
    <x v="19"/>
    <x v="0"/>
    <x v="19"/>
    <x v="1"/>
    <x v="1"/>
    <x v="1"/>
    <x v="0"/>
    <x v="0"/>
  </r>
  <r>
    <x v="19"/>
    <x v="19"/>
    <x v="0"/>
    <x v="19"/>
    <x v="4"/>
    <x v="4"/>
    <x v="4"/>
    <x v="4"/>
    <x v="1"/>
  </r>
  <r>
    <x v="19"/>
    <x v="19"/>
    <x v="0"/>
    <x v="19"/>
    <x v="3"/>
    <x v="3"/>
    <x v="3"/>
    <x v="4"/>
    <x v="1"/>
  </r>
  <r>
    <x v="19"/>
    <x v="19"/>
    <x v="0"/>
    <x v="19"/>
    <x v="6"/>
    <x v="6"/>
    <x v="6"/>
    <x v="6"/>
    <x v="1"/>
  </r>
  <r>
    <x v="19"/>
    <x v="19"/>
    <x v="0"/>
    <x v="19"/>
    <x v="2"/>
    <x v="2"/>
    <x v="2"/>
    <x v="4"/>
    <x v="1"/>
  </r>
  <r>
    <x v="19"/>
    <x v="19"/>
    <x v="0"/>
    <x v="19"/>
    <x v="27"/>
    <x v="27"/>
    <x v="27"/>
    <x v="2"/>
    <x v="1"/>
  </r>
  <r>
    <x v="19"/>
    <x v="19"/>
    <x v="0"/>
    <x v="19"/>
    <x v="12"/>
    <x v="12"/>
    <x v="12"/>
    <x v="3"/>
    <x v="1"/>
  </r>
  <r>
    <x v="19"/>
    <x v="19"/>
    <x v="0"/>
    <x v="19"/>
    <x v="67"/>
    <x v="67"/>
    <x v="67"/>
    <x v="4"/>
    <x v="1"/>
  </r>
  <r>
    <x v="19"/>
    <x v="19"/>
    <x v="0"/>
    <x v="19"/>
    <x v="42"/>
    <x v="42"/>
    <x v="42"/>
    <x v="1"/>
    <x v="1"/>
  </r>
  <r>
    <x v="19"/>
    <x v="19"/>
    <x v="0"/>
    <x v="19"/>
    <x v="15"/>
    <x v="15"/>
    <x v="15"/>
    <x v="7"/>
    <x v="1"/>
  </r>
  <r>
    <x v="19"/>
    <x v="19"/>
    <x v="0"/>
    <x v="19"/>
    <x v="14"/>
    <x v="14"/>
    <x v="14"/>
    <x v="4"/>
    <x v="1"/>
  </r>
  <r>
    <x v="20"/>
    <x v="20"/>
    <x v="0"/>
    <x v="20"/>
    <x v="54"/>
    <x v="54"/>
    <x v="54"/>
    <x v="4"/>
    <x v="1"/>
  </r>
  <r>
    <x v="20"/>
    <x v="20"/>
    <x v="0"/>
    <x v="20"/>
    <x v="35"/>
    <x v="35"/>
    <x v="35"/>
    <x v="6"/>
    <x v="1"/>
  </r>
  <r>
    <x v="20"/>
    <x v="20"/>
    <x v="0"/>
    <x v="20"/>
    <x v="51"/>
    <x v="51"/>
    <x v="51"/>
    <x v="4"/>
    <x v="1"/>
  </r>
  <r>
    <x v="20"/>
    <x v="20"/>
    <x v="0"/>
    <x v="20"/>
    <x v="68"/>
    <x v="68"/>
    <x v="68"/>
    <x v="5"/>
    <x v="1"/>
  </r>
  <r>
    <x v="20"/>
    <x v="20"/>
    <x v="0"/>
    <x v="20"/>
    <x v="24"/>
    <x v="24"/>
    <x v="24"/>
    <x v="1"/>
    <x v="1"/>
  </r>
  <r>
    <x v="20"/>
    <x v="20"/>
    <x v="0"/>
    <x v="20"/>
    <x v="1"/>
    <x v="1"/>
    <x v="1"/>
    <x v="0"/>
    <x v="0"/>
  </r>
  <r>
    <x v="20"/>
    <x v="20"/>
    <x v="0"/>
    <x v="20"/>
    <x v="4"/>
    <x v="4"/>
    <x v="4"/>
    <x v="1"/>
    <x v="1"/>
  </r>
  <r>
    <x v="20"/>
    <x v="20"/>
    <x v="0"/>
    <x v="20"/>
    <x v="3"/>
    <x v="3"/>
    <x v="3"/>
    <x v="1"/>
    <x v="1"/>
  </r>
  <r>
    <x v="20"/>
    <x v="20"/>
    <x v="0"/>
    <x v="20"/>
    <x v="39"/>
    <x v="39"/>
    <x v="39"/>
    <x v="5"/>
    <x v="1"/>
  </r>
  <r>
    <x v="20"/>
    <x v="20"/>
    <x v="0"/>
    <x v="20"/>
    <x v="41"/>
    <x v="41"/>
    <x v="41"/>
    <x v="4"/>
    <x v="1"/>
  </r>
  <r>
    <x v="20"/>
    <x v="20"/>
    <x v="0"/>
    <x v="20"/>
    <x v="27"/>
    <x v="27"/>
    <x v="27"/>
    <x v="5"/>
    <x v="1"/>
  </r>
  <r>
    <x v="20"/>
    <x v="20"/>
    <x v="0"/>
    <x v="20"/>
    <x v="12"/>
    <x v="12"/>
    <x v="12"/>
    <x v="1"/>
    <x v="1"/>
  </r>
  <r>
    <x v="20"/>
    <x v="20"/>
    <x v="0"/>
    <x v="20"/>
    <x v="67"/>
    <x v="67"/>
    <x v="67"/>
    <x v="4"/>
    <x v="1"/>
  </r>
  <r>
    <x v="20"/>
    <x v="20"/>
    <x v="0"/>
    <x v="20"/>
    <x v="60"/>
    <x v="60"/>
    <x v="60"/>
    <x v="6"/>
    <x v="1"/>
  </r>
  <r>
    <x v="20"/>
    <x v="20"/>
    <x v="0"/>
    <x v="20"/>
    <x v="15"/>
    <x v="15"/>
    <x v="15"/>
    <x v="6"/>
    <x v="1"/>
  </r>
  <r>
    <x v="20"/>
    <x v="20"/>
    <x v="0"/>
    <x v="20"/>
    <x v="28"/>
    <x v="28"/>
    <x v="28"/>
    <x v="1"/>
    <x v="1"/>
  </r>
  <r>
    <x v="20"/>
    <x v="20"/>
    <x v="0"/>
    <x v="20"/>
    <x v="20"/>
    <x v="20"/>
    <x v="20"/>
    <x v="4"/>
    <x v="1"/>
  </r>
  <r>
    <x v="21"/>
    <x v="21"/>
    <x v="0"/>
    <x v="21"/>
    <x v="69"/>
    <x v="69"/>
    <x v="69"/>
    <x v="0"/>
    <x v="0"/>
  </r>
  <r>
    <x v="21"/>
    <x v="21"/>
    <x v="0"/>
    <x v="21"/>
    <x v="0"/>
    <x v="0"/>
    <x v="0"/>
    <x v="0"/>
    <x v="0"/>
  </r>
  <r>
    <x v="21"/>
    <x v="21"/>
    <x v="0"/>
    <x v="21"/>
    <x v="46"/>
    <x v="46"/>
    <x v="46"/>
    <x v="1"/>
    <x v="1"/>
  </r>
  <r>
    <x v="21"/>
    <x v="21"/>
    <x v="0"/>
    <x v="21"/>
    <x v="45"/>
    <x v="45"/>
    <x v="45"/>
    <x v="1"/>
    <x v="1"/>
  </r>
  <r>
    <x v="21"/>
    <x v="21"/>
    <x v="0"/>
    <x v="21"/>
    <x v="33"/>
    <x v="33"/>
    <x v="33"/>
    <x v="7"/>
    <x v="1"/>
  </r>
  <r>
    <x v="21"/>
    <x v="21"/>
    <x v="0"/>
    <x v="21"/>
    <x v="3"/>
    <x v="3"/>
    <x v="3"/>
    <x v="1"/>
    <x v="1"/>
  </r>
  <r>
    <x v="22"/>
    <x v="22"/>
    <x v="3"/>
    <x v="22"/>
    <x v="34"/>
    <x v="34"/>
    <x v="34"/>
    <x v="0"/>
    <x v="0"/>
  </r>
  <r>
    <x v="23"/>
    <x v="23"/>
    <x v="0"/>
    <x v="23"/>
    <x v="55"/>
    <x v="55"/>
    <x v="55"/>
    <x v="0"/>
    <x v="0"/>
  </r>
  <r>
    <x v="23"/>
    <x v="23"/>
    <x v="0"/>
    <x v="23"/>
    <x v="0"/>
    <x v="0"/>
    <x v="0"/>
    <x v="0"/>
    <x v="0"/>
  </r>
  <r>
    <x v="23"/>
    <x v="23"/>
    <x v="0"/>
    <x v="23"/>
    <x v="1"/>
    <x v="1"/>
    <x v="1"/>
    <x v="0"/>
    <x v="0"/>
  </r>
  <r>
    <x v="23"/>
    <x v="23"/>
    <x v="0"/>
    <x v="23"/>
    <x v="3"/>
    <x v="3"/>
    <x v="3"/>
    <x v="1"/>
    <x v="1"/>
  </r>
  <r>
    <x v="23"/>
    <x v="23"/>
    <x v="0"/>
    <x v="23"/>
    <x v="39"/>
    <x v="39"/>
    <x v="39"/>
    <x v="1"/>
    <x v="1"/>
  </r>
  <r>
    <x v="23"/>
    <x v="23"/>
    <x v="0"/>
    <x v="23"/>
    <x v="27"/>
    <x v="27"/>
    <x v="27"/>
    <x v="3"/>
    <x v="1"/>
  </r>
  <r>
    <x v="23"/>
    <x v="23"/>
    <x v="0"/>
    <x v="23"/>
    <x v="12"/>
    <x v="12"/>
    <x v="12"/>
    <x v="5"/>
    <x v="1"/>
  </r>
  <r>
    <x v="23"/>
    <x v="23"/>
    <x v="0"/>
    <x v="23"/>
    <x v="20"/>
    <x v="20"/>
    <x v="20"/>
    <x v="1"/>
    <x v="1"/>
  </r>
  <r>
    <x v="24"/>
    <x v="24"/>
    <x v="0"/>
    <x v="24"/>
    <x v="54"/>
    <x v="54"/>
    <x v="54"/>
    <x v="4"/>
    <x v="1"/>
  </r>
  <r>
    <x v="24"/>
    <x v="24"/>
    <x v="0"/>
    <x v="24"/>
    <x v="1"/>
    <x v="1"/>
    <x v="1"/>
    <x v="0"/>
    <x v="0"/>
  </r>
  <r>
    <x v="24"/>
    <x v="24"/>
    <x v="0"/>
    <x v="24"/>
    <x v="6"/>
    <x v="6"/>
    <x v="6"/>
    <x v="6"/>
    <x v="1"/>
  </r>
  <r>
    <x v="24"/>
    <x v="24"/>
    <x v="0"/>
    <x v="24"/>
    <x v="27"/>
    <x v="27"/>
    <x v="27"/>
    <x v="6"/>
    <x v="1"/>
  </r>
  <r>
    <x v="24"/>
    <x v="24"/>
    <x v="0"/>
    <x v="24"/>
    <x v="15"/>
    <x v="15"/>
    <x v="15"/>
    <x v="7"/>
    <x v="1"/>
  </r>
  <r>
    <x v="25"/>
    <x v="25"/>
    <x v="0"/>
    <x v="25"/>
    <x v="54"/>
    <x v="54"/>
    <x v="54"/>
    <x v="1"/>
    <x v="1"/>
  </r>
  <r>
    <x v="25"/>
    <x v="25"/>
    <x v="0"/>
    <x v="25"/>
    <x v="4"/>
    <x v="4"/>
    <x v="4"/>
    <x v="4"/>
    <x v="1"/>
  </r>
  <r>
    <x v="25"/>
    <x v="25"/>
    <x v="0"/>
    <x v="25"/>
    <x v="3"/>
    <x v="3"/>
    <x v="3"/>
    <x v="4"/>
    <x v="1"/>
  </r>
  <r>
    <x v="25"/>
    <x v="25"/>
    <x v="0"/>
    <x v="25"/>
    <x v="39"/>
    <x v="39"/>
    <x v="39"/>
    <x v="5"/>
    <x v="1"/>
  </r>
  <r>
    <x v="25"/>
    <x v="25"/>
    <x v="0"/>
    <x v="25"/>
    <x v="26"/>
    <x v="26"/>
    <x v="26"/>
    <x v="5"/>
    <x v="1"/>
  </r>
  <r>
    <x v="25"/>
    <x v="25"/>
    <x v="0"/>
    <x v="25"/>
    <x v="41"/>
    <x v="41"/>
    <x v="41"/>
    <x v="1"/>
    <x v="1"/>
  </r>
  <r>
    <x v="25"/>
    <x v="25"/>
    <x v="0"/>
    <x v="25"/>
    <x v="27"/>
    <x v="27"/>
    <x v="27"/>
    <x v="5"/>
    <x v="1"/>
  </r>
  <r>
    <x v="25"/>
    <x v="25"/>
    <x v="0"/>
    <x v="25"/>
    <x v="12"/>
    <x v="12"/>
    <x v="12"/>
    <x v="5"/>
    <x v="1"/>
  </r>
  <r>
    <x v="25"/>
    <x v="25"/>
    <x v="0"/>
    <x v="25"/>
    <x v="15"/>
    <x v="15"/>
    <x v="15"/>
    <x v="7"/>
    <x v="1"/>
  </r>
  <r>
    <x v="25"/>
    <x v="25"/>
    <x v="0"/>
    <x v="25"/>
    <x v="20"/>
    <x v="20"/>
    <x v="20"/>
    <x v="6"/>
    <x v="1"/>
  </r>
  <r>
    <x v="26"/>
    <x v="26"/>
    <x v="0"/>
    <x v="26"/>
    <x v="57"/>
    <x v="57"/>
    <x v="57"/>
    <x v="2"/>
    <x v="1"/>
  </r>
  <r>
    <x v="26"/>
    <x v="26"/>
    <x v="0"/>
    <x v="26"/>
    <x v="70"/>
    <x v="70"/>
    <x v="70"/>
    <x v="0"/>
    <x v="0"/>
  </r>
  <r>
    <x v="26"/>
    <x v="26"/>
    <x v="0"/>
    <x v="26"/>
    <x v="3"/>
    <x v="3"/>
    <x v="3"/>
    <x v="3"/>
    <x v="1"/>
  </r>
  <r>
    <x v="26"/>
    <x v="26"/>
    <x v="0"/>
    <x v="26"/>
    <x v="39"/>
    <x v="39"/>
    <x v="39"/>
    <x v="2"/>
    <x v="1"/>
  </r>
  <r>
    <x v="26"/>
    <x v="26"/>
    <x v="0"/>
    <x v="26"/>
    <x v="6"/>
    <x v="6"/>
    <x v="6"/>
    <x v="2"/>
    <x v="1"/>
  </r>
  <r>
    <x v="26"/>
    <x v="26"/>
    <x v="0"/>
    <x v="26"/>
    <x v="10"/>
    <x v="10"/>
    <x v="10"/>
    <x v="7"/>
    <x v="1"/>
  </r>
  <r>
    <x v="26"/>
    <x v="26"/>
    <x v="0"/>
    <x v="26"/>
    <x v="12"/>
    <x v="12"/>
    <x v="12"/>
    <x v="5"/>
    <x v="1"/>
  </r>
  <r>
    <x v="26"/>
    <x v="26"/>
    <x v="0"/>
    <x v="26"/>
    <x v="42"/>
    <x v="42"/>
    <x v="42"/>
    <x v="1"/>
    <x v="1"/>
  </r>
  <r>
    <x v="26"/>
    <x v="26"/>
    <x v="0"/>
    <x v="26"/>
    <x v="60"/>
    <x v="60"/>
    <x v="60"/>
    <x v="2"/>
    <x v="1"/>
  </r>
  <r>
    <x v="26"/>
    <x v="26"/>
    <x v="0"/>
    <x v="26"/>
    <x v="28"/>
    <x v="28"/>
    <x v="28"/>
    <x v="4"/>
    <x v="1"/>
  </r>
  <r>
    <x v="26"/>
    <x v="26"/>
    <x v="0"/>
    <x v="26"/>
    <x v="20"/>
    <x v="20"/>
    <x v="20"/>
    <x v="3"/>
    <x v="1"/>
  </r>
  <r>
    <x v="26"/>
    <x v="26"/>
    <x v="0"/>
    <x v="26"/>
    <x v="14"/>
    <x v="14"/>
    <x v="14"/>
    <x v="4"/>
    <x v="1"/>
  </r>
  <r>
    <x v="27"/>
    <x v="27"/>
    <x v="0"/>
    <x v="27"/>
    <x v="69"/>
    <x v="69"/>
    <x v="69"/>
    <x v="0"/>
    <x v="0"/>
  </r>
  <r>
    <x v="27"/>
    <x v="27"/>
    <x v="0"/>
    <x v="27"/>
    <x v="46"/>
    <x v="46"/>
    <x v="46"/>
    <x v="6"/>
    <x v="1"/>
  </r>
  <r>
    <x v="27"/>
    <x v="27"/>
    <x v="0"/>
    <x v="27"/>
    <x v="1"/>
    <x v="1"/>
    <x v="1"/>
    <x v="0"/>
    <x v="0"/>
  </r>
  <r>
    <x v="27"/>
    <x v="27"/>
    <x v="0"/>
    <x v="27"/>
    <x v="4"/>
    <x v="4"/>
    <x v="4"/>
    <x v="1"/>
    <x v="1"/>
  </r>
  <r>
    <x v="27"/>
    <x v="27"/>
    <x v="0"/>
    <x v="27"/>
    <x v="3"/>
    <x v="3"/>
    <x v="3"/>
    <x v="1"/>
    <x v="1"/>
  </r>
  <r>
    <x v="27"/>
    <x v="27"/>
    <x v="0"/>
    <x v="27"/>
    <x v="6"/>
    <x v="6"/>
    <x v="6"/>
    <x v="6"/>
    <x v="1"/>
  </r>
  <r>
    <x v="27"/>
    <x v="27"/>
    <x v="0"/>
    <x v="27"/>
    <x v="12"/>
    <x v="12"/>
    <x v="12"/>
    <x v="6"/>
    <x v="1"/>
  </r>
  <r>
    <x v="27"/>
    <x v="27"/>
    <x v="0"/>
    <x v="27"/>
    <x v="15"/>
    <x v="15"/>
    <x v="15"/>
    <x v="2"/>
    <x v="1"/>
  </r>
  <r>
    <x v="28"/>
    <x v="28"/>
    <x v="0"/>
    <x v="28"/>
    <x v="0"/>
    <x v="0"/>
    <x v="0"/>
    <x v="0"/>
    <x v="0"/>
  </r>
  <r>
    <x v="28"/>
    <x v="28"/>
    <x v="0"/>
    <x v="28"/>
    <x v="4"/>
    <x v="4"/>
    <x v="4"/>
    <x v="5"/>
    <x v="1"/>
  </r>
  <r>
    <x v="28"/>
    <x v="28"/>
    <x v="0"/>
    <x v="28"/>
    <x v="33"/>
    <x v="33"/>
    <x v="33"/>
    <x v="5"/>
    <x v="1"/>
  </r>
  <r>
    <x v="28"/>
    <x v="28"/>
    <x v="0"/>
    <x v="28"/>
    <x v="3"/>
    <x v="3"/>
    <x v="3"/>
    <x v="5"/>
    <x v="1"/>
  </r>
  <r>
    <x v="28"/>
    <x v="28"/>
    <x v="0"/>
    <x v="28"/>
    <x v="39"/>
    <x v="39"/>
    <x v="39"/>
    <x v="6"/>
    <x v="1"/>
  </r>
  <r>
    <x v="28"/>
    <x v="28"/>
    <x v="0"/>
    <x v="28"/>
    <x v="2"/>
    <x v="2"/>
    <x v="2"/>
    <x v="5"/>
    <x v="1"/>
  </r>
  <r>
    <x v="28"/>
    <x v="28"/>
    <x v="0"/>
    <x v="28"/>
    <x v="47"/>
    <x v="47"/>
    <x v="47"/>
    <x v="6"/>
    <x v="1"/>
  </r>
  <r>
    <x v="28"/>
    <x v="28"/>
    <x v="0"/>
    <x v="28"/>
    <x v="10"/>
    <x v="10"/>
    <x v="10"/>
    <x v="3"/>
    <x v="1"/>
  </r>
  <r>
    <x v="28"/>
    <x v="28"/>
    <x v="0"/>
    <x v="28"/>
    <x v="15"/>
    <x v="15"/>
    <x v="15"/>
    <x v="2"/>
    <x v="1"/>
  </r>
  <r>
    <x v="29"/>
    <x v="29"/>
    <x v="2"/>
    <x v="29"/>
    <x v="64"/>
    <x v="64"/>
    <x v="64"/>
    <x v="0"/>
    <x v="0"/>
  </r>
  <r>
    <x v="29"/>
    <x v="29"/>
    <x v="2"/>
    <x v="29"/>
    <x v="65"/>
    <x v="65"/>
    <x v="65"/>
    <x v="0"/>
    <x v="1"/>
  </r>
  <r>
    <x v="30"/>
    <x v="30"/>
    <x v="0"/>
    <x v="30"/>
    <x v="38"/>
    <x v="38"/>
    <x v="38"/>
    <x v="2"/>
    <x v="1"/>
  </r>
  <r>
    <x v="30"/>
    <x v="30"/>
    <x v="0"/>
    <x v="30"/>
    <x v="58"/>
    <x v="58"/>
    <x v="58"/>
    <x v="2"/>
    <x v="1"/>
  </r>
  <r>
    <x v="30"/>
    <x v="30"/>
    <x v="0"/>
    <x v="30"/>
    <x v="4"/>
    <x v="4"/>
    <x v="4"/>
    <x v="5"/>
    <x v="1"/>
  </r>
  <r>
    <x v="30"/>
    <x v="30"/>
    <x v="0"/>
    <x v="30"/>
    <x v="3"/>
    <x v="3"/>
    <x v="3"/>
    <x v="6"/>
    <x v="1"/>
  </r>
  <r>
    <x v="30"/>
    <x v="30"/>
    <x v="0"/>
    <x v="30"/>
    <x v="6"/>
    <x v="6"/>
    <x v="6"/>
    <x v="2"/>
    <x v="1"/>
  </r>
  <r>
    <x v="30"/>
    <x v="30"/>
    <x v="0"/>
    <x v="30"/>
    <x v="28"/>
    <x v="28"/>
    <x v="28"/>
    <x v="3"/>
    <x v="1"/>
  </r>
  <r>
    <x v="30"/>
    <x v="30"/>
    <x v="0"/>
    <x v="30"/>
    <x v="71"/>
    <x v="71"/>
    <x v="71"/>
    <x v="4"/>
    <x v="1"/>
  </r>
  <r>
    <x v="30"/>
    <x v="30"/>
    <x v="0"/>
    <x v="30"/>
    <x v="72"/>
    <x v="72"/>
    <x v="72"/>
    <x v="1"/>
    <x v="1"/>
  </r>
  <r>
    <x v="30"/>
    <x v="30"/>
    <x v="0"/>
    <x v="30"/>
    <x v="14"/>
    <x v="14"/>
    <x v="14"/>
    <x v="1"/>
    <x v="1"/>
  </r>
  <r>
    <x v="31"/>
    <x v="31"/>
    <x v="0"/>
    <x v="31"/>
    <x v="55"/>
    <x v="55"/>
    <x v="55"/>
    <x v="0"/>
    <x v="0"/>
  </r>
  <r>
    <x v="31"/>
    <x v="31"/>
    <x v="0"/>
    <x v="31"/>
    <x v="56"/>
    <x v="56"/>
    <x v="56"/>
    <x v="3"/>
    <x v="1"/>
  </r>
  <r>
    <x v="31"/>
    <x v="31"/>
    <x v="0"/>
    <x v="31"/>
    <x v="54"/>
    <x v="54"/>
    <x v="54"/>
    <x v="4"/>
    <x v="1"/>
  </r>
  <r>
    <x v="31"/>
    <x v="31"/>
    <x v="0"/>
    <x v="31"/>
    <x v="38"/>
    <x v="38"/>
    <x v="38"/>
    <x v="6"/>
    <x v="1"/>
  </r>
  <r>
    <x v="31"/>
    <x v="31"/>
    <x v="0"/>
    <x v="31"/>
    <x v="62"/>
    <x v="62"/>
    <x v="62"/>
    <x v="4"/>
    <x v="1"/>
  </r>
  <r>
    <x v="31"/>
    <x v="31"/>
    <x v="0"/>
    <x v="31"/>
    <x v="23"/>
    <x v="23"/>
    <x v="23"/>
    <x v="4"/>
    <x v="1"/>
  </r>
  <r>
    <x v="31"/>
    <x v="31"/>
    <x v="0"/>
    <x v="31"/>
    <x v="4"/>
    <x v="4"/>
    <x v="4"/>
    <x v="5"/>
    <x v="1"/>
  </r>
  <r>
    <x v="31"/>
    <x v="31"/>
    <x v="0"/>
    <x v="31"/>
    <x v="39"/>
    <x v="39"/>
    <x v="39"/>
    <x v="6"/>
    <x v="1"/>
  </r>
  <r>
    <x v="31"/>
    <x v="31"/>
    <x v="0"/>
    <x v="31"/>
    <x v="5"/>
    <x v="5"/>
    <x v="5"/>
    <x v="4"/>
    <x v="1"/>
  </r>
  <r>
    <x v="31"/>
    <x v="31"/>
    <x v="0"/>
    <x v="31"/>
    <x v="47"/>
    <x v="47"/>
    <x v="47"/>
    <x v="2"/>
    <x v="1"/>
  </r>
  <r>
    <x v="31"/>
    <x v="31"/>
    <x v="0"/>
    <x v="31"/>
    <x v="60"/>
    <x v="60"/>
    <x v="60"/>
    <x v="3"/>
    <x v="1"/>
  </r>
  <r>
    <x v="31"/>
    <x v="31"/>
    <x v="0"/>
    <x v="31"/>
    <x v="29"/>
    <x v="29"/>
    <x v="29"/>
    <x v="5"/>
    <x v="1"/>
  </r>
  <r>
    <x v="31"/>
    <x v="31"/>
    <x v="0"/>
    <x v="31"/>
    <x v="14"/>
    <x v="14"/>
    <x v="14"/>
    <x v="4"/>
    <x v="1"/>
  </r>
  <r>
    <x v="32"/>
    <x v="32"/>
    <x v="0"/>
    <x v="32"/>
    <x v="13"/>
    <x v="13"/>
    <x v="13"/>
    <x v="4"/>
    <x v="1"/>
  </r>
  <r>
    <x v="32"/>
    <x v="32"/>
    <x v="0"/>
    <x v="32"/>
    <x v="50"/>
    <x v="50"/>
    <x v="50"/>
    <x v="0"/>
    <x v="0"/>
  </r>
  <r>
    <x v="32"/>
    <x v="32"/>
    <x v="0"/>
    <x v="32"/>
    <x v="57"/>
    <x v="57"/>
    <x v="57"/>
    <x v="4"/>
    <x v="1"/>
  </r>
  <r>
    <x v="32"/>
    <x v="32"/>
    <x v="0"/>
    <x v="32"/>
    <x v="45"/>
    <x v="45"/>
    <x v="45"/>
    <x v="4"/>
    <x v="1"/>
  </r>
  <r>
    <x v="32"/>
    <x v="32"/>
    <x v="0"/>
    <x v="32"/>
    <x v="4"/>
    <x v="4"/>
    <x v="4"/>
    <x v="1"/>
    <x v="1"/>
  </r>
  <r>
    <x v="32"/>
    <x v="32"/>
    <x v="0"/>
    <x v="32"/>
    <x v="6"/>
    <x v="6"/>
    <x v="6"/>
    <x v="4"/>
    <x v="1"/>
  </r>
  <r>
    <x v="32"/>
    <x v="32"/>
    <x v="0"/>
    <x v="32"/>
    <x v="2"/>
    <x v="2"/>
    <x v="2"/>
    <x v="4"/>
    <x v="1"/>
  </r>
  <r>
    <x v="32"/>
    <x v="32"/>
    <x v="0"/>
    <x v="32"/>
    <x v="27"/>
    <x v="27"/>
    <x v="27"/>
    <x v="3"/>
    <x v="1"/>
  </r>
  <r>
    <x v="32"/>
    <x v="32"/>
    <x v="0"/>
    <x v="32"/>
    <x v="12"/>
    <x v="12"/>
    <x v="12"/>
    <x v="4"/>
    <x v="1"/>
  </r>
  <r>
    <x v="33"/>
    <x v="33"/>
    <x v="0"/>
    <x v="33"/>
    <x v="13"/>
    <x v="13"/>
    <x v="13"/>
    <x v="1"/>
    <x v="1"/>
  </r>
  <r>
    <x v="33"/>
    <x v="33"/>
    <x v="0"/>
    <x v="33"/>
    <x v="38"/>
    <x v="38"/>
    <x v="38"/>
    <x v="3"/>
    <x v="1"/>
  </r>
  <r>
    <x v="33"/>
    <x v="33"/>
    <x v="0"/>
    <x v="33"/>
    <x v="25"/>
    <x v="25"/>
    <x v="25"/>
    <x v="1"/>
    <x v="1"/>
  </r>
  <r>
    <x v="33"/>
    <x v="33"/>
    <x v="0"/>
    <x v="33"/>
    <x v="12"/>
    <x v="12"/>
    <x v="12"/>
    <x v="4"/>
    <x v="1"/>
  </r>
  <r>
    <x v="33"/>
    <x v="33"/>
    <x v="0"/>
    <x v="33"/>
    <x v="20"/>
    <x v="20"/>
    <x v="20"/>
    <x v="4"/>
    <x v="1"/>
  </r>
  <r>
    <x v="34"/>
    <x v="34"/>
    <x v="0"/>
    <x v="34"/>
    <x v="46"/>
    <x v="46"/>
    <x v="46"/>
    <x v="2"/>
    <x v="1"/>
  </r>
  <r>
    <x v="34"/>
    <x v="34"/>
    <x v="0"/>
    <x v="34"/>
    <x v="73"/>
    <x v="73"/>
    <x v="73"/>
    <x v="3"/>
    <x v="1"/>
  </r>
  <r>
    <x v="34"/>
    <x v="34"/>
    <x v="0"/>
    <x v="34"/>
    <x v="1"/>
    <x v="1"/>
    <x v="1"/>
    <x v="0"/>
    <x v="0"/>
  </r>
  <r>
    <x v="34"/>
    <x v="34"/>
    <x v="0"/>
    <x v="34"/>
    <x v="33"/>
    <x v="33"/>
    <x v="33"/>
    <x v="2"/>
    <x v="1"/>
  </r>
  <r>
    <x v="34"/>
    <x v="34"/>
    <x v="0"/>
    <x v="34"/>
    <x v="2"/>
    <x v="2"/>
    <x v="2"/>
    <x v="7"/>
    <x v="1"/>
  </r>
  <r>
    <x v="34"/>
    <x v="34"/>
    <x v="0"/>
    <x v="34"/>
    <x v="3"/>
    <x v="3"/>
    <x v="3"/>
    <x v="3"/>
    <x v="1"/>
  </r>
  <r>
    <x v="34"/>
    <x v="34"/>
    <x v="0"/>
    <x v="34"/>
    <x v="4"/>
    <x v="4"/>
    <x v="4"/>
    <x v="3"/>
    <x v="1"/>
  </r>
  <r>
    <x v="34"/>
    <x v="34"/>
    <x v="0"/>
    <x v="34"/>
    <x v="5"/>
    <x v="5"/>
    <x v="5"/>
    <x v="3"/>
    <x v="1"/>
  </r>
  <r>
    <x v="34"/>
    <x v="34"/>
    <x v="0"/>
    <x v="34"/>
    <x v="74"/>
    <x v="74"/>
    <x v="74"/>
    <x v="9"/>
    <x v="1"/>
  </r>
  <r>
    <x v="34"/>
    <x v="34"/>
    <x v="0"/>
    <x v="34"/>
    <x v="6"/>
    <x v="6"/>
    <x v="6"/>
    <x v="9"/>
    <x v="1"/>
  </r>
  <r>
    <x v="34"/>
    <x v="34"/>
    <x v="0"/>
    <x v="34"/>
    <x v="75"/>
    <x v="75"/>
    <x v="75"/>
    <x v="3"/>
    <x v="1"/>
  </r>
  <r>
    <x v="34"/>
    <x v="34"/>
    <x v="0"/>
    <x v="34"/>
    <x v="31"/>
    <x v="31"/>
    <x v="31"/>
    <x v="3"/>
    <x v="1"/>
  </r>
  <r>
    <x v="34"/>
    <x v="34"/>
    <x v="0"/>
    <x v="34"/>
    <x v="28"/>
    <x v="28"/>
    <x v="28"/>
    <x v="5"/>
    <x v="1"/>
  </r>
  <r>
    <x v="34"/>
    <x v="34"/>
    <x v="0"/>
    <x v="34"/>
    <x v="29"/>
    <x v="29"/>
    <x v="29"/>
    <x v="9"/>
    <x v="1"/>
  </r>
  <r>
    <x v="34"/>
    <x v="34"/>
    <x v="0"/>
    <x v="34"/>
    <x v="76"/>
    <x v="76"/>
    <x v="76"/>
    <x v="9"/>
    <x v="1"/>
  </r>
  <r>
    <x v="4"/>
    <x v="4"/>
    <x v="0"/>
    <x v="4"/>
    <x v="3"/>
    <x v="3"/>
    <x v="3"/>
    <x v="1"/>
    <x v="1"/>
  </r>
  <r>
    <x v="4"/>
    <x v="4"/>
    <x v="0"/>
    <x v="4"/>
    <x v="6"/>
    <x v="6"/>
    <x v="6"/>
    <x v="7"/>
    <x v="1"/>
  </r>
  <r>
    <x v="35"/>
    <x v="35"/>
    <x v="0"/>
    <x v="35"/>
    <x v="2"/>
    <x v="2"/>
    <x v="2"/>
    <x v="3"/>
    <x v="1"/>
  </r>
  <r>
    <x v="35"/>
    <x v="35"/>
    <x v="0"/>
    <x v="35"/>
    <x v="3"/>
    <x v="3"/>
    <x v="3"/>
    <x v="3"/>
    <x v="1"/>
  </r>
  <r>
    <x v="35"/>
    <x v="35"/>
    <x v="0"/>
    <x v="35"/>
    <x v="5"/>
    <x v="5"/>
    <x v="5"/>
    <x v="3"/>
    <x v="1"/>
  </r>
  <r>
    <x v="35"/>
    <x v="35"/>
    <x v="0"/>
    <x v="35"/>
    <x v="6"/>
    <x v="6"/>
    <x v="6"/>
    <x v="2"/>
    <x v="1"/>
  </r>
  <r>
    <x v="35"/>
    <x v="35"/>
    <x v="0"/>
    <x v="35"/>
    <x v="71"/>
    <x v="71"/>
    <x v="71"/>
    <x v="3"/>
    <x v="1"/>
  </r>
  <r>
    <x v="35"/>
    <x v="35"/>
    <x v="0"/>
    <x v="35"/>
    <x v="77"/>
    <x v="77"/>
    <x v="77"/>
    <x v="4"/>
    <x v="1"/>
  </r>
  <r>
    <x v="35"/>
    <x v="35"/>
    <x v="0"/>
    <x v="35"/>
    <x v="48"/>
    <x v="48"/>
    <x v="48"/>
    <x v="4"/>
    <x v="1"/>
  </r>
  <r>
    <x v="35"/>
    <x v="35"/>
    <x v="0"/>
    <x v="35"/>
    <x v="68"/>
    <x v="68"/>
    <x v="68"/>
    <x v="3"/>
    <x v="1"/>
  </r>
  <r>
    <x v="35"/>
    <x v="35"/>
    <x v="0"/>
    <x v="35"/>
    <x v="54"/>
    <x v="54"/>
    <x v="54"/>
    <x v="4"/>
    <x v="1"/>
  </r>
  <r>
    <x v="35"/>
    <x v="35"/>
    <x v="0"/>
    <x v="35"/>
    <x v="69"/>
    <x v="69"/>
    <x v="69"/>
    <x v="0"/>
    <x v="0"/>
  </r>
  <r>
    <x v="35"/>
    <x v="35"/>
    <x v="0"/>
    <x v="35"/>
    <x v="78"/>
    <x v="78"/>
    <x v="78"/>
    <x v="0"/>
    <x v="0"/>
  </r>
  <r>
    <x v="35"/>
    <x v="35"/>
    <x v="0"/>
    <x v="35"/>
    <x v="55"/>
    <x v="55"/>
    <x v="55"/>
    <x v="0"/>
    <x v="0"/>
  </r>
  <r>
    <x v="36"/>
    <x v="36"/>
    <x v="0"/>
    <x v="36"/>
    <x v="13"/>
    <x v="13"/>
    <x v="13"/>
    <x v="6"/>
    <x v="1"/>
  </r>
  <r>
    <x v="36"/>
    <x v="36"/>
    <x v="0"/>
    <x v="36"/>
    <x v="38"/>
    <x v="38"/>
    <x v="38"/>
    <x v="6"/>
    <x v="1"/>
  </r>
  <r>
    <x v="36"/>
    <x v="36"/>
    <x v="0"/>
    <x v="36"/>
    <x v="31"/>
    <x v="31"/>
    <x v="31"/>
    <x v="1"/>
    <x v="1"/>
  </r>
  <r>
    <x v="36"/>
    <x v="36"/>
    <x v="0"/>
    <x v="36"/>
    <x v="70"/>
    <x v="70"/>
    <x v="70"/>
    <x v="0"/>
    <x v="0"/>
  </r>
  <r>
    <x v="36"/>
    <x v="36"/>
    <x v="0"/>
    <x v="36"/>
    <x v="6"/>
    <x v="6"/>
    <x v="6"/>
    <x v="7"/>
    <x v="1"/>
  </r>
  <r>
    <x v="36"/>
    <x v="36"/>
    <x v="0"/>
    <x v="36"/>
    <x v="10"/>
    <x v="10"/>
    <x v="10"/>
    <x v="6"/>
    <x v="1"/>
  </r>
  <r>
    <x v="36"/>
    <x v="36"/>
    <x v="0"/>
    <x v="36"/>
    <x v="12"/>
    <x v="12"/>
    <x v="12"/>
    <x v="5"/>
    <x v="1"/>
  </r>
  <r>
    <x v="36"/>
    <x v="36"/>
    <x v="0"/>
    <x v="36"/>
    <x v="42"/>
    <x v="42"/>
    <x v="42"/>
    <x v="1"/>
    <x v="1"/>
  </r>
  <r>
    <x v="36"/>
    <x v="36"/>
    <x v="0"/>
    <x v="36"/>
    <x v="15"/>
    <x v="15"/>
    <x v="15"/>
    <x v="2"/>
    <x v="1"/>
  </r>
  <r>
    <x v="37"/>
    <x v="37"/>
    <x v="0"/>
    <x v="37"/>
    <x v="69"/>
    <x v="69"/>
    <x v="69"/>
    <x v="0"/>
    <x v="0"/>
  </r>
  <r>
    <x v="37"/>
    <x v="37"/>
    <x v="0"/>
    <x v="37"/>
    <x v="57"/>
    <x v="57"/>
    <x v="57"/>
    <x v="5"/>
    <x v="1"/>
  </r>
  <r>
    <x v="37"/>
    <x v="37"/>
    <x v="0"/>
    <x v="37"/>
    <x v="4"/>
    <x v="4"/>
    <x v="4"/>
    <x v="5"/>
    <x v="1"/>
  </r>
  <r>
    <x v="37"/>
    <x v="37"/>
    <x v="0"/>
    <x v="37"/>
    <x v="3"/>
    <x v="3"/>
    <x v="3"/>
    <x v="1"/>
    <x v="1"/>
  </r>
  <r>
    <x v="37"/>
    <x v="37"/>
    <x v="0"/>
    <x v="37"/>
    <x v="6"/>
    <x v="6"/>
    <x v="6"/>
    <x v="5"/>
    <x v="1"/>
  </r>
  <r>
    <x v="37"/>
    <x v="37"/>
    <x v="0"/>
    <x v="37"/>
    <x v="27"/>
    <x v="27"/>
    <x v="27"/>
    <x v="3"/>
    <x v="1"/>
  </r>
  <r>
    <x v="37"/>
    <x v="37"/>
    <x v="0"/>
    <x v="37"/>
    <x v="12"/>
    <x v="12"/>
    <x v="12"/>
    <x v="5"/>
    <x v="1"/>
  </r>
  <r>
    <x v="37"/>
    <x v="37"/>
    <x v="0"/>
    <x v="37"/>
    <x v="48"/>
    <x v="48"/>
    <x v="48"/>
    <x v="4"/>
    <x v="1"/>
  </r>
  <r>
    <x v="37"/>
    <x v="37"/>
    <x v="0"/>
    <x v="37"/>
    <x v="28"/>
    <x v="28"/>
    <x v="28"/>
    <x v="4"/>
    <x v="1"/>
  </r>
  <r>
    <x v="38"/>
    <x v="38"/>
    <x v="4"/>
    <x v="38"/>
    <x v="73"/>
    <x v="73"/>
    <x v="73"/>
    <x v="3"/>
    <x v="1"/>
  </r>
  <r>
    <x v="38"/>
    <x v="38"/>
    <x v="4"/>
    <x v="38"/>
    <x v="33"/>
    <x v="33"/>
    <x v="33"/>
    <x v="5"/>
    <x v="1"/>
  </r>
  <r>
    <x v="38"/>
    <x v="38"/>
    <x v="4"/>
    <x v="38"/>
    <x v="3"/>
    <x v="3"/>
    <x v="3"/>
    <x v="1"/>
    <x v="1"/>
  </r>
  <r>
    <x v="38"/>
    <x v="38"/>
    <x v="4"/>
    <x v="38"/>
    <x v="79"/>
    <x v="79"/>
    <x v="79"/>
    <x v="5"/>
    <x v="1"/>
  </r>
  <r>
    <x v="38"/>
    <x v="38"/>
    <x v="4"/>
    <x v="38"/>
    <x v="80"/>
    <x v="80"/>
    <x v="80"/>
    <x v="5"/>
    <x v="1"/>
  </r>
  <r>
    <x v="38"/>
    <x v="38"/>
    <x v="4"/>
    <x v="38"/>
    <x v="30"/>
    <x v="30"/>
    <x v="30"/>
    <x v="7"/>
    <x v="1"/>
  </r>
  <r>
    <x v="38"/>
    <x v="38"/>
    <x v="4"/>
    <x v="38"/>
    <x v="22"/>
    <x v="22"/>
    <x v="22"/>
    <x v="7"/>
    <x v="1"/>
  </r>
  <r>
    <x v="38"/>
    <x v="38"/>
    <x v="4"/>
    <x v="38"/>
    <x v="81"/>
    <x v="81"/>
    <x v="81"/>
    <x v="6"/>
    <x v="1"/>
  </r>
  <r>
    <x v="38"/>
    <x v="38"/>
    <x v="4"/>
    <x v="38"/>
    <x v="31"/>
    <x v="31"/>
    <x v="31"/>
    <x v="10"/>
    <x v="1"/>
  </r>
  <r>
    <x v="38"/>
    <x v="38"/>
    <x v="4"/>
    <x v="38"/>
    <x v="82"/>
    <x v="82"/>
    <x v="82"/>
    <x v="6"/>
    <x v="1"/>
  </r>
  <r>
    <x v="38"/>
    <x v="38"/>
    <x v="4"/>
    <x v="38"/>
    <x v="76"/>
    <x v="76"/>
    <x v="76"/>
    <x v="10"/>
    <x v="1"/>
  </r>
  <r>
    <x v="38"/>
    <x v="38"/>
    <x v="4"/>
    <x v="38"/>
    <x v="83"/>
    <x v="83"/>
    <x v="83"/>
    <x v="10"/>
    <x v="1"/>
  </r>
  <r>
    <x v="38"/>
    <x v="38"/>
    <x v="4"/>
    <x v="38"/>
    <x v="84"/>
    <x v="84"/>
    <x v="84"/>
    <x v="10"/>
    <x v="1"/>
  </r>
  <r>
    <x v="38"/>
    <x v="38"/>
    <x v="4"/>
    <x v="38"/>
    <x v="10"/>
    <x v="10"/>
    <x v="10"/>
    <x v="6"/>
    <x v="1"/>
  </r>
  <r>
    <x v="38"/>
    <x v="38"/>
    <x v="4"/>
    <x v="38"/>
    <x v="12"/>
    <x v="12"/>
    <x v="12"/>
    <x v="6"/>
    <x v="1"/>
  </r>
  <r>
    <x v="38"/>
    <x v="38"/>
    <x v="4"/>
    <x v="38"/>
    <x v="35"/>
    <x v="35"/>
    <x v="35"/>
    <x v="6"/>
    <x v="1"/>
  </r>
  <r>
    <x v="38"/>
    <x v="38"/>
    <x v="4"/>
    <x v="38"/>
    <x v="85"/>
    <x v="85"/>
    <x v="85"/>
    <x v="1"/>
    <x v="0"/>
  </r>
  <r>
    <x v="38"/>
    <x v="38"/>
    <x v="4"/>
    <x v="38"/>
    <x v="55"/>
    <x v="55"/>
    <x v="55"/>
    <x v="1"/>
    <x v="0"/>
  </r>
  <r>
    <x v="38"/>
    <x v="38"/>
    <x v="4"/>
    <x v="38"/>
    <x v="61"/>
    <x v="61"/>
    <x v="61"/>
    <x v="6"/>
    <x v="1"/>
  </r>
  <r>
    <x v="38"/>
    <x v="38"/>
    <x v="4"/>
    <x v="38"/>
    <x v="86"/>
    <x v="86"/>
    <x v="86"/>
    <x v="0"/>
    <x v="0"/>
  </r>
  <r>
    <x v="39"/>
    <x v="39"/>
    <x v="1"/>
    <x v="39"/>
    <x v="51"/>
    <x v="51"/>
    <x v="51"/>
    <x v="3"/>
    <x v="1"/>
  </r>
  <r>
    <x v="39"/>
    <x v="39"/>
    <x v="1"/>
    <x v="39"/>
    <x v="3"/>
    <x v="3"/>
    <x v="3"/>
    <x v="2"/>
    <x v="1"/>
  </r>
  <r>
    <x v="10"/>
    <x v="10"/>
    <x v="0"/>
    <x v="10"/>
    <x v="22"/>
    <x v="22"/>
    <x v="22"/>
    <x v="2"/>
    <x v="1"/>
  </r>
  <r>
    <x v="10"/>
    <x v="10"/>
    <x v="0"/>
    <x v="10"/>
    <x v="24"/>
    <x v="24"/>
    <x v="24"/>
    <x v="5"/>
    <x v="1"/>
  </r>
  <r>
    <x v="10"/>
    <x v="10"/>
    <x v="0"/>
    <x v="10"/>
    <x v="4"/>
    <x v="4"/>
    <x v="4"/>
    <x v="1"/>
    <x v="1"/>
  </r>
  <r>
    <x v="10"/>
    <x v="10"/>
    <x v="0"/>
    <x v="10"/>
    <x v="6"/>
    <x v="6"/>
    <x v="6"/>
    <x v="5"/>
    <x v="1"/>
  </r>
  <r>
    <x v="10"/>
    <x v="10"/>
    <x v="0"/>
    <x v="10"/>
    <x v="2"/>
    <x v="2"/>
    <x v="2"/>
    <x v="5"/>
    <x v="1"/>
  </r>
  <r>
    <x v="10"/>
    <x v="10"/>
    <x v="0"/>
    <x v="10"/>
    <x v="40"/>
    <x v="40"/>
    <x v="40"/>
    <x v="0"/>
    <x v="1"/>
  </r>
  <r>
    <x v="10"/>
    <x v="10"/>
    <x v="0"/>
    <x v="10"/>
    <x v="10"/>
    <x v="10"/>
    <x v="10"/>
    <x v="4"/>
    <x v="1"/>
  </r>
  <r>
    <x v="10"/>
    <x v="10"/>
    <x v="0"/>
    <x v="10"/>
    <x v="12"/>
    <x v="12"/>
    <x v="12"/>
    <x v="2"/>
    <x v="1"/>
  </r>
  <r>
    <x v="40"/>
    <x v="40"/>
    <x v="0"/>
    <x v="40"/>
    <x v="13"/>
    <x v="13"/>
    <x v="13"/>
    <x v="5"/>
    <x v="1"/>
  </r>
  <r>
    <x v="40"/>
    <x v="40"/>
    <x v="0"/>
    <x v="40"/>
    <x v="51"/>
    <x v="51"/>
    <x v="51"/>
    <x v="1"/>
    <x v="1"/>
  </r>
  <r>
    <x v="40"/>
    <x v="40"/>
    <x v="0"/>
    <x v="40"/>
    <x v="52"/>
    <x v="52"/>
    <x v="52"/>
    <x v="1"/>
    <x v="1"/>
  </r>
  <r>
    <x v="40"/>
    <x v="40"/>
    <x v="0"/>
    <x v="40"/>
    <x v="21"/>
    <x v="21"/>
    <x v="21"/>
    <x v="6"/>
    <x v="1"/>
  </r>
  <r>
    <x v="40"/>
    <x v="40"/>
    <x v="0"/>
    <x v="40"/>
    <x v="24"/>
    <x v="24"/>
    <x v="24"/>
    <x v="1"/>
    <x v="1"/>
  </r>
  <r>
    <x v="40"/>
    <x v="40"/>
    <x v="0"/>
    <x v="40"/>
    <x v="1"/>
    <x v="1"/>
    <x v="1"/>
    <x v="0"/>
    <x v="0"/>
  </r>
  <r>
    <x v="40"/>
    <x v="40"/>
    <x v="0"/>
    <x v="40"/>
    <x v="4"/>
    <x v="4"/>
    <x v="4"/>
    <x v="5"/>
    <x v="1"/>
  </r>
  <r>
    <x v="40"/>
    <x v="40"/>
    <x v="0"/>
    <x v="40"/>
    <x v="3"/>
    <x v="3"/>
    <x v="3"/>
    <x v="1"/>
    <x v="1"/>
  </r>
  <r>
    <x v="40"/>
    <x v="40"/>
    <x v="0"/>
    <x v="40"/>
    <x v="6"/>
    <x v="6"/>
    <x v="6"/>
    <x v="5"/>
    <x v="1"/>
  </r>
  <r>
    <x v="40"/>
    <x v="40"/>
    <x v="0"/>
    <x v="40"/>
    <x v="27"/>
    <x v="27"/>
    <x v="27"/>
    <x v="3"/>
    <x v="1"/>
  </r>
  <r>
    <x v="40"/>
    <x v="40"/>
    <x v="0"/>
    <x v="40"/>
    <x v="12"/>
    <x v="12"/>
    <x v="12"/>
    <x v="5"/>
    <x v="1"/>
  </r>
  <r>
    <x v="40"/>
    <x v="40"/>
    <x v="0"/>
    <x v="40"/>
    <x v="42"/>
    <x v="42"/>
    <x v="42"/>
    <x v="1"/>
    <x v="1"/>
  </r>
  <r>
    <x v="40"/>
    <x v="40"/>
    <x v="0"/>
    <x v="40"/>
    <x v="28"/>
    <x v="28"/>
    <x v="28"/>
    <x v="5"/>
    <x v="1"/>
  </r>
  <r>
    <x v="40"/>
    <x v="40"/>
    <x v="0"/>
    <x v="40"/>
    <x v="76"/>
    <x v="76"/>
    <x v="76"/>
    <x v="2"/>
    <x v="1"/>
  </r>
  <r>
    <x v="41"/>
    <x v="41"/>
    <x v="0"/>
    <x v="41"/>
    <x v="13"/>
    <x v="13"/>
    <x v="13"/>
    <x v="7"/>
    <x v="1"/>
  </r>
  <r>
    <x v="41"/>
    <x v="41"/>
    <x v="0"/>
    <x v="41"/>
    <x v="23"/>
    <x v="23"/>
    <x v="23"/>
    <x v="3"/>
    <x v="1"/>
  </r>
  <r>
    <x v="41"/>
    <x v="41"/>
    <x v="0"/>
    <x v="41"/>
    <x v="1"/>
    <x v="1"/>
    <x v="1"/>
    <x v="0"/>
    <x v="0"/>
  </r>
  <r>
    <x v="41"/>
    <x v="41"/>
    <x v="0"/>
    <x v="41"/>
    <x v="4"/>
    <x v="4"/>
    <x v="4"/>
    <x v="5"/>
    <x v="1"/>
  </r>
  <r>
    <x v="41"/>
    <x v="41"/>
    <x v="0"/>
    <x v="41"/>
    <x v="3"/>
    <x v="3"/>
    <x v="3"/>
    <x v="5"/>
    <x v="1"/>
  </r>
  <r>
    <x v="41"/>
    <x v="41"/>
    <x v="0"/>
    <x v="41"/>
    <x v="6"/>
    <x v="6"/>
    <x v="6"/>
    <x v="6"/>
    <x v="1"/>
  </r>
  <r>
    <x v="41"/>
    <x v="41"/>
    <x v="0"/>
    <x v="41"/>
    <x v="26"/>
    <x v="26"/>
    <x v="26"/>
    <x v="5"/>
    <x v="1"/>
  </r>
  <r>
    <x v="41"/>
    <x v="41"/>
    <x v="0"/>
    <x v="41"/>
    <x v="41"/>
    <x v="41"/>
    <x v="41"/>
    <x v="6"/>
    <x v="1"/>
  </r>
  <r>
    <x v="41"/>
    <x v="41"/>
    <x v="0"/>
    <x v="41"/>
    <x v="47"/>
    <x v="47"/>
    <x v="47"/>
    <x v="8"/>
    <x v="1"/>
  </r>
  <r>
    <x v="41"/>
    <x v="41"/>
    <x v="0"/>
    <x v="41"/>
    <x v="12"/>
    <x v="12"/>
    <x v="12"/>
    <x v="3"/>
    <x v="1"/>
  </r>
  <r>
    <x v="41"/>
    <x v="41"/>
    <x v="0"/>
    <x v="41"/>
    <x v="15"/>
    <x v="15"/>
    <x v="15"/>
    <x v="2"/>
    <x v="1"/>
  </r>
  <r>
    <x v="41"/>
    <x v="41"/>
    <x v="0"/>
    <x v="41"/>
    <x v="72"/>
    <x v="72"/>
    <x v="72"/>
    <x v="1"/>
    <x v="1"/>
  </r>
  <r>
    <x v="42"/>
    <x v="42"/>
    <x v="0"/>
    <x v="42"/>
    <x v="46"/>
    <x v="46"/>
    <x v="46"/>
    <x v="1"/>
    <x v="1"/>
  </r>
  <r>
    <x v="42"/>
    <x v="42"/>
    <x v="0"/>
    <x v="42"/>
    <x v="68"/>
    <x v="68"/>
    <x v="68"/>
    <x v="1"/>
    <x v="1"/>
  </r>
  <r>
    <x v="42"/>
    <x v="42"/>
    <x v="0"/>
    <x v="42"/>
    <x v="22"/>
    <x v="22"/>
    <x v="22"/>
    <x v="5"/>
    <x v="1"/>
  </r>
  <r>
    <x v="42"/>
    <x v="42"/>
    <x v="0"/>
    <x v="42"/>
    <x v="24"/>
    <x v="24"/>
    <x v="24"/>
    <x v="1"/>
    <x v="1"/>
  </r>
  <r>
    <x v="42"/>
    <x v="42"/>
    <x v="0"/>
    <x v="42"/>
    <x v="3"/>
    <x v="3"/>
    <x v="3"/>
    <x v="1"/>
    <x v="1"/>
  </r>
  <r>
    <x v="42"/>
    <x v="42"/>
    <x v="0"/>
    <x v="42"/>
    <x v="6"/>
    <x v="6"/>
    <x v="6"/>
    <x v="1"/>
    <x v="1"/>
  </r>
  <r>
    <x v="42"/>
    <x v="42"/>
    <x v="0"/>
    <x v="42"/>
    <x v="25"/>
    <x v="25"/>
    <x v="25"/>
    <x v="1"/>
    <x v="1"/>
  </r>
  <r>
    <x v="42"/>
    <x v="42"/>
    <x v="0"/>
    <x v="42"/>
    <x v="27"/>
    <x v="27"/>
    <x v="27"/>
    <x v="6"/>
    <x v="1"/>
  </r>
  <r>
    <x v="42"/>
    <x v="42"/>
    <x v="0"/>
    <x v="42"/>
    <x v="15"/>
    <x v="15"/>
    <x v="15"/>
    <x v="5"/>
    <x v="1"/>
  </r>
  <r>
    <x v="43"/>
    <x v="43"/>
    <x v="2"/>
    <x v="43"/>
    <x v="5"/>
    <x v="5"/>
    <x v="5"/>
    <x v="4"/>
    <x v="1"/>
  </r>
  <r>
    <x v="43"/>
    <x v="43"/>
    <x v="2"/>
    <x v="43"/>
    <x v="56"/>
    <x v="56"/>
    <x v="56"/>
    <x v="1"/>
    <x v="1"/>
  </r>
  <r>
    <x v="44"/>
    <x v="44"/>
    <x v="5"/>
    <x v="44"/>
    <x v="46"/>
    <x v="46"/>
    <x v="46"/>
    <x v="7"/>
    <x v="1"/>
  </r>
  <r>
    <x v="44"/>
    <x v="44"/>
    <x v="5"/>
    <x v="44"/>
    <x v="51"/>
    <x v="51"/>
    <x v="51"/>
    <x v="1"/>
    <x v="1"/>
  </r>
  <r>
    <x v="44"/>
    <x v="44"/>
    <x v="5"/>
    <x v="44"/>
    <x v="1"/>
    <x v="1"/>
    <x v="1"/>
    <x v="0"/>
    <x v="0"/>
  </r>
  <r>
    <x v="44"/>
    <x v="44"/>
    <x v="5"/>
    <x v="44"/>
    <x v="33"/>
    <x v="33"/>
    <x v="33"/>
    <x v="7"/>
    <x v="1"/>
  </r>
  <r>
    <x v="44"/>
    <x v="44"/>
    <x v="5"/>
    <x v="44"/>
    <x v="26"/>
    <x v="26"/>
    <x v="26"/>
    <x v="5"/>
    <x v="1"/>
  </r>
  <r>
    <x v="44"/>
    <x v="44"/>
    <x v="5"/>
    <x v="44"/>
    <x v="3"/>
    <x v="3"/>
    <x v="3"/>
    <x v="3"/>
    <x v="1"/>
  </r>
  <r>
    <x v="44"/>
    <x v="44"/>
    <x v="5"/>
    <x v="44"/>
    <x v="4"/>
    <x v="4"/>
    <x v="4"/>
    <x v="5"/>
    <x v="1"/>
  </r>
  <r>
    <x v="44"/>
    <x v="44"/>
    <x v="5"/>
    <x v="44"/>
    <x v="6"/>
    <x v="6"/>
    <x v="6"/>
    <x v="9"/>
    <x v="1"/>
  </r>
  <r>
    <x v="44"/>
    <x v="44"/>
    <x v="5"/>
    <x v="44"/>
    <x v="38"/>
    <x v="38"/>
    <x v="38"/>
    <x v="11"/>
    <x v="1"/>
  </r>
  <r>
    <x v="39"/>
    <x v="39"/>
    <x v="1"/>
    <x v="39"/>
    <x v="4"/>
    <x v="4"/>
    <x v="4"/>
    <x v="2"/>
    <x v="1"/>
  </r>
  <r>
    <x v="39"/>
    <x v="39"/>
    <x v="1"/>
    <x v="39"/>
    <x v="5"/>
    <x v="5"/>
    <x v="5"/>
    <x v="11"/>
    <x v="1"/>
  </r>
  <r>
    <x v="39"/>
    <x v="39"/>
    <x v="1"/>
    <x v="39"/>
    <x v="87"/>
    <x v="87"/>
    <x v="87"/>
    <x v="0"/>
    <x v="1"/>
  </r>
  <r>
    <x v="39"/>
    <x v="39"/>
    <x v="1"/>
    <x v="39"/>
    <x v="88"/>
    <x v="88"/>
    <x v="88"/>
    <x v="2"/>
    <x v="1"/>
  </r>
  <r>
    <x v="39"/>
    <x v="39"/>
    <x v="1"/>
    <x v="39"/>
    <x v="29"/>
    <x v="29"/>
    <x v="29"/>
    <x v="12"/>
    <x v="1"/>
  </r>
  <r>
    <x v="39"/>
    <x v="39"/>
    <x v="1"/>
    <x v="39"/>
    <x v="89"/>
    <x v="89"/>
    <x v="89"/>
    <x v="13"/>
    <x v="1"/>
  </r>
  <r>
    <x v="39"/>
    <x v="39"/>
    <x v="1"/>
    <x v="39"/>
    <x v="20"/>
    <x v="20"/>
    <x v="20"/>
    <x v="12"/>
    <x v="1"/>
  </r>
  <r>
    <x v="39"/>
    <x v="39"/>
    <x v="1"/>
    <x v="39"/>
    <x v="56"/>
    <x v="56"/>
    <x v="56"/>
    <x v="13"/>
    <x v="1"/>
  </r>
  <r>
    <x v="39"/>
    <x v="39"/>
    <x v="1"/>
    <x v="39"/>
    <x v="72"/>
    <x v="72"/>
    <x v="72"/>
    <x v="2"/>
    <x v="1"/>
  </r>
  <r>
    <x v="39"/>
    <x v="39"/>
    <x v="1"/>
    <x v="39"/>
    <x v="14"/>
    <x v="14"/>
    <x v="14"/>
    <x v="2"/>
    <x v="1"/>
  </r>
  <r>
    <x v="45"/>
    <x v="45"/>
    <x v="5"/>
    <x v="45"/>
    <x v="46"/>
    <x v="46"/>
    <x v="46"/>
    <x v="2"/>
    <x v="1"/>
  </r>
  <r>
    <x v="45"/>
    <x v="45"/>
    <x v="5"/>
    <x v="45"/>
    <x v="51"/>
    <x v="51"/>
    <x v="51"/>
    <x v="5"/>
    <x v="1"/>
  </r>
  <r>
    <x v="45"/>
    <x v="45"/>
    <x v="5"/>
    <x v="45"/>
    <x v="1"/>
    <x v="1"/>
    <x v="1"/>
    <x v="0"/>
    <x v="0"/>
  </r>
  <r>
    <x v="45"/>
    <x v="45"/>
    <x v="5"/>
    <x v="45"/>
    <x v="26"/>
    <x v="26"/>
    <x v="26"/>
    <x v="7"/>
    <x v="1"/>
  </r>
  <r>
    <x v="45"/>
    <x v="45"/>
    <x v="5"/>
    <x v="45"/>
    <x v="3"/>
    <x v="3"/>
    <x v="3"/>
    <x v="5"/>
    <x v="1"/>
  </r>
  <r>
    <x v="45"/>
    <x v="45"/>
    <x v="5"/>
    <x v="45"/>
    <x v="6"/>
    <x v="6"/>
    <x v="6"/>
    <x v="6"/>
    <x v="1"/>
  </r>
  <r>
    <x v="45"/>
    <x v="45"/>
    <x v="5"/>
    <x v="45"/>
    <x v="80"/>
    <x v="80"/>
    <x v="80"/>
    <x v="5"/>
    <x v="1"/>
  </r>
  <r>
    <x v="45"/>
    <x v="45"/>
    <x v="5"/>
    <x v="45"/>
    <x v="38"/>
    <x v="38"/>
    <x v="38"/>
    <x v="7"/>
    <x v="1"/>
  </r>
  <r>
    <x v="45"/>
    <x v="45"/>
    <x v="5"/>
    <x v="45"/>
    <x v="22"/>
    <x v="22"/>
    <x v="22"/>
    <x v="5"/>
    <x v="1"/>
  </r>
  <r>
    <x v="45"/>
    <x v="45"/>
    <x v="5"/>
    <x v="45"/>
    <x v="75"/>
    <x v="75"/>
    <x v="75"/>
    <x v="7"/>
    <x v="1"/>
  </r>
  <r>
    <x v="45"/>
    <x v="45"/>
    <x v="5"/>
    <x v="45"/>
    <x v="49"/>
    <x v="49"/>
    <x v="49"/>
    <x v="6"/>
    <x v="1"/>
  </r>
  <r>
    <x v="45"/>
    <x v="45"/>
    <x v="5"/>
    <x v="45"/>
    <x v="7"/>
    <x v="7"/>
    <x v="7"/>
    <x v="5"/>
    <x v="1"/>
  </r>
  <r>
    <x v="45"/>
    <x v="45"/>
    <x v="5"/>
    <x v="45"/>
    <x v="90"/>
    <x v="90"/>
    <x v="90"/>
    <x v="1"/>
    <x v="1"/>
  </r>
  <r>
    <x v="45"/>
    <x v="45"/>
    <x v="5"/>
    <x v="45"/>
    <x v="91"/>
    <x v="91"/>
    <x v="91"/>
    <x v="6"/>
    <x v="1"/>
  </r>
  <r>
    <x v="45"/>
    <x v="45"/>
    <x v="5"/>
    <x v="45"/>
    <x v="92"/>
    <x v="92"/>
    <x v="92"/>
    <x v="6"/>
    <x v="1"/>
  </r>
  <r>
    <x v="45"/>
    <x v="45"/>
    <x v="5"/>
    <x v="45"/>
    <x v="50"/>
    <x v="50"/>
    <x v="50"/>
    <x v="0"/>
    <x v="0"/>
  </r>
  <r>
    <x v="45"/>
    <x v="45"/>
    <x v="5"/>
    <x v="45"/>
    <x v="93"/>
    <x v="93"/>
    <x v="93"/>
    <x v="0"/>
    <x v="1"/>
  </r>
  <r>
    <x v="45"/>
    <x v="45"/>
    <x v="5"/>
    <x v="45"/>
    <x v="94"/>
    <x v="94"/>
    <x v="94"/>
    <x v="6"/>
    <x v="1"/>
  </r>
  <r>
    <x v="46"/>
    <x v="46"/>
    <x v="1"/>
    <x v="46"/>
    <x v="65"/>
    <x v="65"/>
    <x v="65"/>
    <x v="1"/>
    <x v="1"/>
  </r>
  <r>
    <x v="47"/>
    <x v="47"/>
    <x v="6"/>
    <x v="47"/>
    <x v="46"/>
    <x v="46"/>
    <x v="46"/>
    <x v="4"/>
    <x v="1"/>
  </r>
  <r>
    <x v="47"/>
    <x v="47"/>
    <x v="6"/>
    <x v="47"/>
    <x v="95"/>
    <x v="95"/>
    <x v="95"/>
    <x v="3"/>
    <x v="1"/>
  </r>
  <r>
    <x v="47"/>
    <x v="47"/>
    <x v="6"/>
    <x v="47"/>
    <x v="96"/>
    <x v="96"/>
    <x v="96"/>
    <x v="4"/>
    <x v="1"/>
  </r>
  <r>
    <x v="47"/>
    <x v="47"/>
    <x v="6"/>
    <x v="47"/>
    <x v="26"/>
    <x v="26"/>
    <x v="26"/>
    <x v="4"/>
    <x v="1"/>
  </r>
  <r>
    <x v="47"/>
    <x v="47"/>
    <x v="6"/>
    <x v="47"/>
    <x v="3"/>
    <x v="3"/>
    <x v="3"/>
    <x v="7"/>
    <x v="1"/>
  </r>
  <r>
    <x v="47"/>
    <x v="47"/>
    <x v="6"/>
    <x v="47"/>
    <x v="4"/>
    <x v="4"/>
    <x v="4"/>
    <x v="7"/>
    <x v="1"/>
  </r>
  <r>
    <x v="47"/>
    <x v="47"/>
    <x v="6"/>
    <x v="47"/>
    <x v="25"/>
    <x v="25"/>
    <x v="25"/>
    <x v="4"/>
    <x v="1"/>
  </r>
  <r>
    <x v="47"/>
    <x v="47"/>
    <x v="6"/>
    <x v="47"/>
    <x v="74"/>
    <x v="74"/>
    <x v="74"/>
    <x v="6"/>
    <x v="1"/>
  </r>
  <r>
    <x v="47"/>
    <x v="47"/>
    <x v="6"/>
    <x v="47"/>
    <x v="6"/>
    <x v="6"/>
    <x v="6"/>
    <x v="3"/>
    <x v="1"/>
  </r>
  <r>
    <x v="47"/>
    <x v="47"/>
    <x v="6"/>
    <x v="47"/>
    <x v="80"/>
    <x v="80"/>
    <x v="80"/>
    <x v="4"/>
    <x v="1"/>
  </r>
  <r>
    <x v="47"/>
    <x v="47"/>
    <x v="6"/>
    <x v="47"/>
    <x v="38"/>
    <x v="38"/>
    <x v="38"/>
    <x v="8"/>
    <x v="1"/>
  </r>
  <r>
    <x v="47"/>
    <x v="47"/>
    <x v="6"/>
    <x v="47"/>
    <x v="22"/>
    <x v="22"/>
    <x v="22"/>
    <x v="4"/>
    <x v="1"/>
  </r>
  <r>
    <x v="47"/>
    <x v="47"/>
    <x v="6"/>
    <x v="47"/>
    <x v="62"/>
    <x v="62"/>
    <x v="62"/>
    <x v="1"/>
    <x v="1"/>
  </r>
  <r>
    <x v="47"/>
    <x v="47"/>
    <x v="6"/>
    <x v="47"/>
    <x v="23"/>
    <x v="23"/>
    <x v="23"/>
    <x v="2"/>
    <x v="1"/>
  </r>
  <r>
    <x v="47"/>
    <x v="47"/>
    <x v="6"/>
    <x v="47"/>
    <x v="97"/>
    <x v="97"/>
    <x v="97"/>
    <x v="4"/>
    <x v="1"/>
  </r>
  <r>
    <x v="47"/>
    <x v="47"/>
    <x v="6"/>
    <x v="47"/>
    <x v="49"/>
    <x v="49"/>
    <x v="49"/>
    <x v="4"/>
    <x v="1"/>
  </r>
  <r>
    <x v="47"/>
    <x v="47"/>
    <x v="6"/>
    <x v="47"/>
    <x v="28"/>
    <x v="28"/>
    <x v="28"/>
    <x v="1"/>
    <x v="1"/>
  </r>
  <r>
    <x v="47"/>
    <x v="47"/>
    <x v="6"/>
    <x v="47"/>
    <x v="98"/>
    <x v="98"/>
    <x v="98"/>
    <x v="2"/>
    <x v="1"/>
  </r>
  <r>
    <x v="47"/>
    <x v="47"/>
    <x v="6"/>
    <x v="47"/>
    <x v="99"/>
    <x v="99"/>
    <x v="99"/>
    <x v="6"/>
    <x v="1"/>
  </r>
  <r>
    <x v="47"/>
    <x v="47"/>
    <x v="6"/>
    <x v="47"/>
    <x v="100"/>
    <x v="100"/>
    <x v="100"/>
    <x v="2"/>
    <x v="1"/>
  </r>
  <r>
    <x v="47"/>
    <x v="47"/>
    <x v="6"/>
    <x v="47"/>
    <x v="84"/>
    <x v="84"/>
    <x v="84"/>
    <x v="9"/>
    <x v="1"/>
  </r>
  <r>
    <x v="47"/>
    <x v="47"/>
    <x v="6"/>
    <x v="47"/>
    <x v="41"/>
    <x v="41"/>
    <x v="41"/>
    <x v="2"/>
    <x v="1"/>
  </r>
  <r>
    <x v="47"/>
    <x v="47"/>
    <x v="6"/>
    <x v="47"/>
    <x v="101"/>
    <x v="101"/>
    <x v="101"/>
    <x v="4"/>
    <x v="1"/>
  </r>
  <r>
    <x v="47"/>
    <x v="47"/>
    <x v="6"/>
    <x v="47"/>
    <x v="10"/>
    <x v="10"/>
    <x v="10"/>
    <x v="2"/>
    <x v="1"/>
  </r>
  <r>
    <x v="21"/>
    <x v="21"/>
    <x v="0"/>
    <x v="21"/>
    <x v="39"/>
    <x v="39"/>
    <x v="39"/>
    <x v="5"/>
    <x v="1"/>
  </r>
  <r>
    <x v="21"/>
    <x v="21"/>
    <x v="0"/>
    <x v="21"/>
    <x v="2"/>
    <x v="2"/>
    <x v="2"/>
    <x v="5"/>
    <x v="1"/>
  </r>
  <r>
    <x v="21"/>
    <x v="21"/>
    <x v="0"/>
    <x v="21"/>
    <x v="41"/>
    <x v="41"/>
    <x v="41"/>
    <x v="6"/>
    <x v="1"/>
  </r>
  <r>
    <x v="21"/>
    <x v="21"/>
    <x v="0"/>
    <x v="21"/>
    <x v="47"/>
    <x v="47"/>
    <x v="47"/>
    <x v="5"/>
    <x v="1"/>
  </r>
  <r>
    <x v="21"/>
    <x v="21"/>
    <x v="0"/>
    <x v="21"/>
    <x v="27"/>
    <x v="27"/>
    <x v="27"/>
    <x v="7"/>
    <x v="1"/>
  </r>
  <r>
    <x v="21"/>
    <x v="21"/>
    <x v="0"/>
    <x v="21"/>
    <x v="12"/>
    <x v="12"/>
    <x v="12"/>
    <x v="5"/>
    <x v="1"/>
  </r>
  <r>
    <x v="21"/>
    <x v="21"/>
    <x v="0"/>
    <x v="21"/>
    <x v="48"/>
    <x v="48"/>
    <x v="48"/>
    <x v="1"/>
    <x v="1"/>
  </r>
  <r>
    <x v="21"/>
    <x v="21"/>
    <x v="0"/>
    <x v="21"/>
    <x v="15"/>
    <x v="15"/>
    <x v="15"/>
    <x v="2"/>
    <x v="1"/>
  </r>
  <r>
    <x v="48"/>
    <x v="48"/>
    <x v="0"/>
    <x v="48"/>
    <x v="4"/>
    <x v="4"/>
    <x v="4"/>
    <x v="1"/>
    <x v="1"/>
  </r>
  <r>
    <x v="48"/>
    <x v="48"/>
    <x v="0"/>
    <x v="48"/>
    <x v="3"/>
    <x v="3"/>
    <x v="3"/>
    <x v="4"/>
    <x v="1"/>
  </r>
  <r>
    <x v="48"/>
    <x v="48"/>
    <x v="0"/>
    <x v="48"/>
    <x v="2"/>
    <x v="2"/>
    <x v="2"/>
    <x v="4"/>
    <x v="1"/>
  </r>
  <r>
    <x v="48"/>
    <x v="48"/>
    <x v="0"/>
    <x v="48"/>
    <x v="27"/>
    <x v="27"/>
    <x v="27"/>
    <x v="6"/>
    <x v="1"/>
  </r>
  <r>
    <x v="48"/>
    <x v="48"/>
    <x v="0"/>
    <x v="48"/>
    <x v="12"/>
    <x v="12"/>
    <x v="12"/>
    <x v="3"/>
    <x v="1"/>
  </r>
  <r>
    <x v="49"/>
    <x v="49"/>
    <x v="0"/>
    <x v="49"/>
    <x v="69"/>
    <x v="69"/>
    <x v="69"/>
    <x v="0"/>
    <x v="0"/>
  </r>
  <r>
    <x v="50"/>
    <x v="50"/>
    <x v="0"/>
    <x v="50"/>
    <x v="55"/>
    <x v="55"/>
    <x v="55"/>
    <x v="0"/>
    <x v="0"/>
  </r>
  <r>
    <x v="50"/>
    <x v="50"/>
    <x v="0"/>
    <x v="50"/>
    <x v="54"/>
    <x v="54"/>
    <x v="54"/>
    <x v="4"/>
    <x v="1"/>
  </r>
  <r>
    <x v="50"/>
    <x v="50"/>
    <x v="0"/>
    <x v="50"/>
    <x v="38"/>
    <x v="38"/>
    <x v="38"/>
    <x v="6"/>
    <x v="1"/>
  </r>
  <r>
    <x v="50"/>
    <x v="50"/>
    <x v="0"/>
    <x v="50"/>
    <x v="62"/>
    <x v="62"/>
    <x v="62"/>
    <x v="4"/>
    <x v="1"/>
  </r>
  <r>
    <x v="50"/>
    <x v="50"/>
    <x v="0"/>
    <x v="50"/>
    <x v="23"/>
    <x v="23"/>
    <x v="23"/>
    <x v="5"/>
    <x v="1"/>
  </r>
  <r>
    <x v="50"/>
    <x v="50"/>
    <x v="0"/>
    <x v="50"/>
    <x v="1"/>
    <x v="1"/>
    <x v="1"/>
    <x v="0"/>
    <x v="0"/>
  </r>
  <r>
    <x v="50"/>
    <x v="50"/>
    <x v="0"/>
    <x v="50"/>
    <x v="6"/>
    <x v="6"/>
    <x v="6"/>
    <x v="2"/>
    <x v="1"/>
  </r>
  <r>
    <x v="50"/>
    <x v="50"/>
    <x v="0"/>
    <x v="50"/>
    <x v="27"/>
    <x v="27"/>
    <x v="27"/>
    <x v="2"/>
    <x v="1"/>
  </r>
  <r>
    <x v="50"/>
    <x v="50"/>
    <x v="0"/>
    <x v="50"/>
    <x v="42"/>
    <x v="42"/>
    <x v="42"/>
    <x v="1"/>
    <x v="1"/>
  </r>
  <r>
    <x v="50"/>
    <x v="50"/>
    <x v="0"/>
    <x v="50"/>
    <x v="15"/>
    <x v="15"/>
    <x v="15"/>
    <x v="2"/>
    <x v="1"/>
  </r>
  <r>
    <x v="50"/>
    <x v="50"/>
    <x v="0"/>
    <x v="50"/>
    <x v="29"/>
    <x v="29"/>
    <x v="29"/>
    <x v="3"/>
    <x v="1"/>
  </r>
  <r>
    <x v="50"/>
    <x v="50"/>
    <x v="0"/>
    <x v="50"/>
    <x v="20"/>
    <x v="20"/>
    <x v="20"/>
    <x v="7"/>
    <x v="1"/>
  </r>
  <r>
    <x v="50"/>
    <x v="50"/>
    <x v="0"/>
    <x v="50"/>
    <x v="72"/>
    <x v="72"/>
    <x v="72"/>
    <x v="1"/>
    <x v="1"/>
  </r>
  <r>
    <x v="50"/>
    <x v="50"/>
    <x v="0"/>
    <x v="50"/>
    <x v="14"/>
    <x v="14"/>
    <x v="14"/>
    <x v="1"/>
    <x v="1"/>
  </r>
  <r>
    <x v="51"/>
    <x v="51"/>
    <x v="0"/>
    <x v="51"/>
    <x v="56"/>
    <x v="56"/>
    <x v="56"/>
    <x v="4"/>
    <x v="1"/>
  </r>
  <r>
    <x v="51"/>
    <x v="51"/>
    <x v="0"/>
    <x v="51"/>
    <x v="36"/>
    <x v="36"/>
    <x v="36"/>
    <x v="1"/>
    <x v="1"/>
  </r>
  <r>
    <x v="51"/>
    <x v="51"/>
    <x v="0"/>
    <x v="51"/>
    <x v="30"/>
    <x v="30"/>
    <x v="30"/>
    <x v="1"/>
    <x v="1"/>
  </r>
  <r>
    <x v="51"/>
    <x v="51"/>
    <x v="0"/>
    <x v="51"/>
    <x v="22"/>
    <x v="22"/>
    <x v="22"/>
    <x v="1"/>
    <x v="1"/>
  </r>
  <r>
    <x v="51"/>
    <x v="51"/>
    <x v="0"/>
    <x v="51"/>
    <x v="58"/>
    <x v="58"/>
    <x v="58"/>
    <x v="0"/>
    <x v="1"/>
  </r>
  <r>
    <x v="51"/>
    <x v="51"/>
    <x v="0"/>
    <x v="51"/>
    <x v="24"/>
    <x v="24"/>
    <x v="24"/>
    <x v="0"/>
    <x v="1"/>
  </r>
  <r>
    <x v="51"/>
    <x v="51"/>
    <x v="0"/>
    <x v="51"/>
    <x v="1"/>
    <x v="1"/>
    <x v="1"/>
    <x v="0"/>
    <x v="0"/>
  </r>
  <r>
    <x v="51"/>
    <x v="51"/>
    <x v="0"/>
    <x v="51"/>
    <x v="4"/>
    <x v="4"/>
    <x v="4"/>
    <x v="0"/>
    <x v="1"/>
  </r>
  <r>
    <x v="51"/>
    <x v="51"/>
    <x v="0"/>
    <x v="51"/>
    <x v="3"/>
    <x v="3"/>
    <x v="3"/>
    <x v="0"/>
    <x v="1"/>
  </r>
  <r>
    <x v="51"/>
    <x v="51"/>
    <x v="0"/>
    <x v="51"/>
    <x v="6"/>
    <x v="6"/>
    <x v="6"/>
    <x v="1"/>
    <x v="1"/>
  </r>
  <r>
    <x v="51"/>
    <x v="51"/>
    <x v="0"/>
    <x v="51"/>
    <x v="2"/>
    <x v="2"/>
    <x v="2"/>
    <x v="0"/>
    <x v="1"/>
  </r>
  <r>
    <x v="51"/>
    <x v="51"/>
    <x v="0"/>
    <x v="51"/>
    <x v="41"/>
    <x v="41"/>
    <x v="41"/>
    <x v="0"/>
    <x v="1"/>
  </r>
  <r>
    <x v="51"/>
    <x v="51"/>
    <x v="0"/>
    <x v="51"/>
    <x v="47"/>
    <x v="47"/>
    <x v="47"/>
    <x v="0"/>
    <x v="1"/>
  </r>
  <r>
    <x v="51"/>
    <x v="51"/>
    <x v="0"/>
    <x v="51"/>
    <x v="27"/>
    <x v="27"/>
    <x v="27"/>
    <x v="1"/>
    <x v="1"/>
  </r>
  <r>
    <x v="51"/>
    <x v="51"/>
    <x v="0"/>
    <x v="51"/>
    <x v="10"/>
    <x v="10"/>
    <x v="10"/>
    <x v="0"/>
    <x v="1"/>
  </r>
  <r>
    <x v="51"/>
    <x v="51"/>
    <x v="0"/>
    <x v="51"/>
    <x v="12"/>
    <x v="12"/>
    <x v="12"/>
    <x v="0"/>
    <x v="1"/>
  </r>
  <r>
    <x v="51"/>
    <x v="51"/>
    <x v="0"/>
    <x v="51"/>
    <x v="42"/>
    <x v="42"/>
    <x v="42"/>
    <x v="0"/>
    <x v="1"/>
  </r>
  <r>
    <x v="52"/>
    <x v="52"/>
    <x v="3"/>
    <x v="52"/>
    <x v="65"/>
    <x v="65"/>
    <x v="65"/>
    <x v="0"/>
    <x v="1"/>
  </r>
  <r>
    <x v="53"/>
    <x v="53"/>
    <x v="5"/>
    <x v="53"/>
    <x v="36"/>
    <x v="36"/>
    <x v="36"/>
    <x v="2"/>
    <x v="1"/>
  </r>
  <r>
    <x v="53"/>
    <x v="53"/>
    <x v="5"/>
    <x v="53"/>
    <x v="51"/>
    <x v="51"/>
    <x v="51"/>
    <x v="6"/>
    <x v="1"/>
  </r>
  <r>
    <x v="53"/>
    <x v="53"/>
    <x v="5"/>
    <x v="53"/>
    <x v="2"/>
    <x v="2"/>
    <x v="2"/>
    <x v="6"/>
    <x v="1"/>
  </r>
  <r>
    <x v="53"/>
    <x v="53"/>
    <x v="5"/>
    <x v="53"/>
    <x v="4"/>
    <x v="4"/>
    <x v="4"/>
    <x v="6"/>
    <x v="1"/>
  </r>
  <r>
    <x v="53"/>
    <x v="53"/>
    <x v="5"/>
    <x v="53"/>
    <x v="5"/>
    <x v="5"/>
    <x v="5"/>
    <x v="6"/>
    <x v="1"/>
  </r>
  <r>
    <x v="53"/>
    <x v="53"/>
    <x v="5"/>
    <x v="53"/>
    <x v="74"/>
    <x v="74"/>
    <x v="74"/>
    <x v="9"/>
    <x v="1"/>
  </r>
  <r>
    <x v="53"/>
    <x v="53"/>
    <x v="5"/>
    <x v="53"/>
    <x v="6"/>
    <x v="6"/>
    <x v="6"/>
    <x v="2"/>
    <x v="1"/>
  </r>
  <r>
    <x v="53"/>
    <x v="53"/>
    <x v="5"/>
    <x v="53"/>
    <x v="30"/>
    <x v="30"/>
    <x v="30"/>
    <x v="7"/>
    <x v="1"/>
  </r>
  <r>
    <x v="28"/>
    <x v="28"/>
    <x v="0"/>
    <x v="28"/>
    <x v="20"/>
    <x v="20"/>
    <x v="20"/>
    <x v="3"/>
    <x v="1"/>
  </r>
  <r>
    <x v="54"/>
    <x v="54"/>
    <x v="0"/>
    <x v="54"/>
    <x v="69"/>
    <x v="69"/>
    <x v="69"/>
    <x v="0"/>
    <x v="0"/>
  </r>
  <r>
    <x v="54"/>
    <x v="54"/>
    <x v="0"/>
    <x v="54"/>
    <x v="54"/>
    <x v="54"/>
    <x v="54"/>
    <x v="4"/>
    <x v="1"/>
  </r>
  <r>
    <x v="54"/>
    <x v="54"/>
    <x v="0"/>
    <x v="54"/>
    <x v="0"/>
    <x v="0"/>
    <x v="0"/>
    <x v="0"/>
    <x v="0"/>
  </r>
  <r>
    <x v="54"/>
    <x v="54"/>
    <x v="0"/>
    <x v="54"/>
    <x v="62"/>
    <x v="62"/>
    <x v="62"/>
    <x v="1"/>
    <x v="1"/>
  </r>
  <r>
    <x v="54"/>
    <x v="54"/>
    <x v="0"/>
    <x v="54"/>
    <x v="21"/>
    <x v="21"/>
    <x v="21"/>
    <x v="3"/>
    <x v="1"/>
  </r>
  <r>
    <x v="54"/>
    <x v="54"/>
    <x v="0"/>
    <x v="54"/>
    <x v="58"/>
    <x v="58"/>
    <x v="58"/>
    <x v="5"/>
    <x v="1"/>
  </r>
  <r>
    <x v="54"/>
    <x v="54"/>
    <x v="0"/>
    <x v="54"/>
    <x v="24"/>
    <x v="24"/>
    <x v="24"/>
    <x v="4"/>
    <x v="1"/>
  </r>
  <r>
    <x v="54"/>
    <x v="54"/>
    <x v="0"/>
    <x v="54"/>
    <x v="31"/>
    <x v="31"/>
    <x v="31"/>
    <x v="1"/>
    <x v="1"/>
  </r>
  <r>
    <x v="54"/>
    <x v="54"/>
    <x v="0"/>
    <x v="54"/>
    <x v="1"/>
    <x v="1"/>
    <x v="1"/>
    <x v="0"/>
    <x v="0"/>
  </r>
  <r>
    <x v="54"/>
    <x v="54"/>
    <x v="0"/>
    <x v="54"/>
    <x v="4"/>
    <x v="4"/>
    <x v="4"/>
    <x v="4"/>
    <x v="1"/>
  </r>
  <r>
    <x v="54"/>
    <x v="54"/>
    <x v="0"/>
    <x v="54"/>
    <x v="3"/>
    <x v="3"/>
    <x v="3"/>
    <x v="5"/>
    <x v="1"/>
  </r>
  <r>
    <x v="54"/>
    <x v="54"/>
    <x v="0"/>
    <x v="54"/>
    <x v="6"/>
    <x v="6"/>
    <x v="6"/>
    <x v="5"/>
    <x v="1"/>
  </r>
  <r>
    <x v="54"/>
    <x v="54"/>
    <x v="0"/>
    <x v="54"/>
    <x v="102"/>
    <x v="102"/>
    <x v="102"/>
    <x v="1"/>
    <x v="1"/>
  </r>
  <r>
    <x v="54"/>
    <x v="54"/>
    <x v="0"/>
    <x v="54"/>
    <x v="2"/>
    <x v="2"/>
    <x v="2"/>
    <x v="4"/>
    <x v="1"/>
  </r>
  <r>
    <x v="54"/>
    <x v="54"/>
    <x v="0"/>
    <x v="54"/>
    <x v="41"/>
    <x v="41"/>
    <x v="41"/>
    <x v="6"/>
    <x v="1"/>
  </r>
  <r>
    <x v="54"/>
    <x v="54"/>
    <x v="0"/>
    <x v="54"/>
    <x v="27"/>
    <x v="27"/>
    <x v="27"/>
    <x v="6"/>
    <x v="1"/>
  </r>
  <r>
    <x v="54"/>
    <x v="54"/>
    <x v="0"/>
    <x v="54"/>
    <x v="12"/>
    <x v="12"/>
    <x v="12"/>
    <x v="5"/>
    <x v="1"/>
  </r>
  <r>
    <x v="54"/>
    <x v="54"/>
    <x v="0"/>
    <x v="54"/>
    <x v="77"/>
    <x v="77"/>
    <x v="77"/>
    <x v="1"/>
    <x v="1"/>
  </r>
  <r>
    <x v="54"/>
    <x v="54"/>
    <x v="0"/>
    <x v="54"/>
    <x v="28"/>
    <x v="28"/>
    <x v="28"/>
    <x v="1"/>
    <x v="1"/>
  </r>
  <r>
    <x v="54"/>
    <x v="54"/>
    <x v="0"/>
    <x v="54"/>
    <x v="72"/>
    <x v="72"/>
    <x v="72"/>
    <x v="1"/>
    <x v="1"/>
  </r>
  <r>
    <x v="54"/>
    <x v="54"/>
    <x v="0"/>
    <x v="54"/>
    <x v="14"/>
    <x v="14"/>
    <x v="14"/>
    <x v="1"/>
    <x v="1"/>
  </r>
  <r>
    <x v="55"/>
    <x v="55"/>
    <x v="3"/>
    <x v="55"/>
    <x v="103"/>
    <x v="103"/>
    <x v="103"/>
    <x v="1"/>
    <x v="0"/>
  </r>
  <r>
    <x v="55"/>
    <x v="55"/>
    <x v="3"/>
    <x v="55"/>
    <x v="6"/>
    <x v="6"/>
    <x v="6"/>
    <x v="14"/>
    <x v="1"/>
  </r>
  <r>
    <x v="55"/>
    <x v="55"/>
    <x v="3"/>
    <x v="55"/>
    <x v="87"/>
    <x v="87"/>
    <x v="87"/>
    <x v="0"/>
    <x v="1"/>
  </r>
  <r>
    <x v="55"/>
    <x v="55"/>
    <x v="3"/>
    <x v="55"/>
    <x v="88"/>
    <x v="88"/>
    <x v="88"/>
    <x v="2"/>
    <x v="1"/>
  </r>
  <r>
    <x v="55"/>
    <x v="55"/>
    <x v="3"/>
    <x v="55"/>
    <x v="104"/>
    <x v="104"/>
    <x v="104"/>
    <x v="8"/>
    <x v="1"/>
  </r>
  <r>
    <x v="55"/>
    <x v="55"/>
    <x v="3"/>
    <x v="55"/>
    <x v="41"/>
    <x v="41"/>
    <x v="41"/>
    <x v="12"/>
    <x v="1"/>
  </r>
  <r>
    <x v="55"/>
    <x v="55"/>
    <x v="3"/>
    <x v="55"/>
    <x v="72"/>
    <x v="72"/>
    <x v="72"/>
    <x v="3"/>
    <x v="1"/>
  </r>
  <r>
    <x v="55"/>
    <x v="55"/>
    <x v="3"/>
    <x v="55"/>
    <x v="14"/>
    <x v="14"/>
    <x v="14"/>
    <x v="3"/>
    <x v="1"/>
  </r>
  <r>
    <x v="55"/>
    <x v="55"/>
    <x v="3"/>
    <x v="55"/>
    <x v="35"/>
    <x v="35"/>
    <x v="35"/>
    <x v="2"/>
    <x v="1"/>
  </r>
  <r>
    <x v="55"/>
    <x v="55"/>
    <x v="3"/>
    <x v="55"/>
    <x v="105"/>
    <x v="105"/>
    <x v="105"/>
    <x v="13"/>
    <x v="1"/>
  </r>
  <r>
    <x v="55"/>
    <x v="55"/>
    <x v="3"/>
    <x v="55"/>
    <x v="5"/>
    <x v="5"/>
    <x v="5"/>
    <x v="2"/>
    <x v="1"/>
  </r>
  <r>
    <x v="55"/>
    <x v="55"/>
    <x v="3"/>
    <x v="55"/>
    <x v="22"/>
    <x v="22"/>
    <x v="22"/>
    <x v="9"/>
    <x v="1"/>
  </r>
  <r>
    <x v="56"/>
    <x v="56"/>
    <x v="2"/>
    <x v="56"/>
    <x v="26"/>
    <x v="26"/>
    <x v="26"/>
    <x v="5"/>
    <x v="1"/>
  </r>
  <r>
    <x v="56"/>
    <x v="56"/>
    <x v="2"/>
    <x v="56"/>
    <x v="62"/>
    <x v="62"/>
    <x v="62"/>
    <x v="1"/>
    <x v="1"/>
  </r>
  <r>
    <x v="56"/>
    <x v="56"/>
    <x v="2"/>
    <x v="56"/>
    <x v="58"/>
    <x v="58"/>
    <x v="58"/>
    <x v="5"/>
    <x v="1"/>
  </r>
  <r>
    <x v="56"/>
    <x v="56"/>
    <x v="2"/>
    <x v="56"/>
    <x v="45"/>
    <x v="45"/>
    <x v="45"/>
    <x v="0"/>
    <x v="1"/>
  </r>
  <r>
    <x v="56"/>
    <x v="56"/>
    <x v="2"/>
    <x v="56"/>
    <x v="24"/>
    <x v="24"/>
    <x v="24"/>
    <x v="1"/>
    <x v="1"/>
  </r>
  <r>
    <x v="56"/>
    <x v="56"/>
    <x v="2"/>
    <x v="56"/>
    <x v="28"/>
    <x v="28"/>
    <x v="28"/>
    <x v="1"/>
    <x v="1"/>
  </r>
  <r>
    <x v="56"/>
    <x v="56"/>
    <x v="2"/>
    <x v="56"/>
    <x v="49"/>
    <x v="49"/>
    <x v="49"/>
    <x v="4"/>
    <x v="1"/>
  </r>
  <r>
    <x v="56"/>
    <x v="56"/>
    <x v="2"/>
    <x v="56"/>
    <x v="7"/>
    <x v="7"/>
    <x v="7"/>
    <x v="0"/>
    <x v="1"/>
  </r>
  <r>
    <x v="56"/>
    <x v="56"/>
    <x v="2"/>
    <x v="56"/>
    <x v="29"/>
    <x v="29"/>
    <x v="29"/>
    <x v="5"/>
    <x v="1"/>
  </r>
  <r>
    <x v="56"/>
    <x v="56"/>
    <x v="2"/>
    <x v="56"/>
    <x v="41"/>
    <x v="41"/>
    <x v="41"/>
    <x v="1"/>
    <x v="1"/>
  </r>
  <r>
    <x v="56"/>
    <x v="56"/>
    <x v="2"/>
    <x v="56"/>
    <x v="27"/>
    <x v="27"/>
    <x v="27"/>
    <x v="5"/>
    <x v="1"/>
  </r>
  <r>
    <x v="56"/>
    <x v="56"/>
    <x v="2"/>
    <x v="56"/>
    <x v="20"/>
    <x v="20"/>
    <x v="20"/>
    <x v="4"/>
    <x v="1"/>
  </r>
  <r>
    <x v="56"/>
    <x v="56"/>
    <x v="2"/>
    <x v="56"/>
    <x v="14"/>
    <x v="14"/>
    <x v="14"/>
    <x v="1"/>
    <x v="1"/>
  </r>
  <r>
    <x v="56"/>
    <x v="56"/>
    <x v="2"/>
    <x v="56"/>
    <x v="15"/>
    <x v="15"/>
    <x v="15"/>
    <x v="5"/>
    <x v="1"/>
  </r>
  <r>
    <x v="56"/>
    <x v="56"/>
    <x v="2"/>
    <x v="56"/>
    <x v="68"/>
    <x v="68"/>
    <x v="68"/>
    <x v="1"/>
    <x v="1"/>
  </r>
  <r>
    <x v="56"/>
    <x v="56"/>
    <x v="2"/>
    <x v="56"/>
    <x v="91"/>
    <x v="91"/>
    <x v="91"/>
    <x v="1"/>
    <x v="1"/>
  </r>
  <r>
    <x v="56"/>
    <x v="56"/>
    <x v="2"/>
    <x v="56"/>
    <x v="60"/>
    <x v="60"/>
    <x v="60"/>
    <x v="3"/>
    <x v="1"/>
  </r>
  <r>
    <x v="56"/>
    <x v="56"/>
    <x v="2"/>
    <x v="56"/>
    <x v="106"/>
    <x v="106"/>
    <x v="106"/>
    <x v="0"/>
    <x v="0"/>
  </r>
  <r>
    <x v="57"/>
    <x v="57"/>
    <x v="5"/>
    <x v="57"/>
    <x v="73"/>
    <x v="73"/>
    <x v="73"/>
    <x v="5"/>
    <x v="1"/>
  </r>
  <r>
    <x v="57"/>
    <x v="57"/>
    <x v="5"/>
    <x v="57"/>
    <x v="51"/>
    <x v="51"/>
    <x v="51"/>
    <x v="1"/>
    <x v="1"/>
  </r>
  <r>
    <x v="16"/>
    <x v="16"/>
    <x v="0"/>
    <x v="16"/>
    <x v="19"/>
    <x v="19"/>
    <x v="19"/>
    <x v="0"/>
    <x v="2"/>
  </r>
  <r>
    <x v="58"/>
    <x v="58"/>
    <x v="0"/>
    <x v="58"/>
    <x v="58"/>
    <x v="58"/>
    <x v="58"/>
    <x v="0"/>
    <x v="1"/>
  </r>
  <r>
    <x v="58"/>
    <x v="58"/>
    <x v="0"/>
    <x v="58"/>
    <x v="23"/>
    <x v="23"/>
    <x v="23"/>
    <x v="0"/>
    <x v="1"/>
  </r>
  <r>
    <x v="58"/>
    <x v="58"/>
    <x v="0"/>
    <x v="58"/>
    <x v="4"/>
    <x v="4"/>
    <x v="4"/>
    <x v="0"/>
    <x v="1"/>
  </r>
  <r>
    <x v="58"/>
    <x v="58"/>
    <x v="0"/>
    <x v="58"/>
    <x v="3"/>
    <x v="3"/>
    <x v="3"/>
    <x v="0"/>
    <x v="1"/>
  </r>
  <r>
    <x v="58"/>
    <x v="58"/>
    <x v="0"/>
    <x v="58"/>
    <x v="102"/>
    <x v="102"/>
    <x v="102"/>
    <x v="0"/>
    <x v="1"/>
  </r>
  <r>
    <x v="58"/>
    <x v="58"/>
    <x v="0"/>
    <x v="58"/>
    <x v="79"/>
    <x v="79"/>
    <x v="79"/>
    <x v="0"/>
    <x v="1"/>
  </r>
  <r>
    <x v="58"/>
    <x v="58"/>
    <x v="0"/>
    <x v="58"/>
    <x v="47"/>
    <x v="47"/>
    <x v="47"/>
    <x v="0"/>
    <x v="1"/>
  </r>
  <r>
    <x v="58"/>
    <x v="58"/>
    <x v="0"/>
    <x v="58"/>
    <x v="27"/>
    <x v="27"/>
    <x v="27"/>
    <x v="3"/>
    <x v="1"/>
  </r>
  <r>
    <x v="58"/>
    <x v="58"/>
    <x v="0"/>
    <x v="58"/>
    <x v="77"/>
    <x v="77"/>
    <x v="77"/>
    <x v="0"/>
    <x v="1"/>
  </r>
  <r>
    <x v="58"/>
    <x v="58"/>
    <x v="0"/>
    <x v="58"/>
    <x v="60"/>
    <x v="60"/>
    <x v="60"/>
    <x v="5"/>
    <x v="1"/>
  </r>
  <r>
    <x v="58"/>
    <x v="58"/>
    <x v="0"/>
    <x v="58"/>
    <x v="29"/>
    <x v="29"/>
    <x v="29"/>
    <x v="1"/>
    <x v="1"/>
  </r>
  <r>
    <x v="59"/>
    <x v="59"/>
    <x v="0"/>
    <x v="59"/>
    <x v="13"/>
    <x v="13"/>
    <x v="13"/>
    <x v="1"/>
    <x v="1"/>
  </r>
  <r>
    <x v="59"/>
    <x v="59"/>
    <x v="0"/>
    <x v="59"/>
    <x v="54"/>
    <x v="54"/>
    <x v="54"/>
    <x v="4"/>
    <x v="1"/>
  </r>
  <r>
    <x v="59"/>
    <x v="59"/>
    <x v="0"/>
    <x v="59"/>
    <x v="35"/>
    <x v="35"/>
    <x v="35"/>
    <x v="4"/>
    <x v="1"/>
  </r>
  <r>
    <x v="59"/>
    <x v="59"/>
    <x v="0"/>
    <x v="59"/>
    <x v="0"/>
    <x v="0"/>
    <x v="0"/>
    <x v="0"/>
    <x v="0"/>
  </r>
  <r>
    <x v="59"/>
    <x v="59"/>
    <x v="0"/>
    <x v="59"/>
    <x v="1"/>
    <x v="1"/>
    <x v="1"/>
    <x v="0"/>
    <x v="0"/>
  </r>
  <r>
    <x v="59"/>
    <x v="59"/>
    <x v="0"/>
    <x v="59"/>
    <x v="4"/>
    <x v="4"/>
    <x v="4"/>
    <x v="1"/>
    <x v="1"/>
  </r>
  <r>
    <x v="59"/>
    <x v="59"/>
    <x v="0"/>
    <x v="59"/>
    <x v="3"/>
    <x v="3"/>
    <x v="3"/>
    <x v="1"/>
    <x v="1"/>
  </r>
  <r>
    <x v="59"/>
    <x v="59"/>
    <x v="0"/>
    <x v="59"/>
    <x v="25"/>
    <x v="25"/>
    <x v="25"/>
    <x v="1"/>
    <x v="1"/>
  </r>
  <r>
    <x v="59"/>
    <x v="59"/>
    <x v="0"/>
    <x v="59"/>
    <x v="5"/>
    <x v="5"/>
    <x v="5"/>
    <x v="1"/>
    <x v="1"/>
  </r>
  <r>
    <x v="59"/>
    <x v="59"/>
    <x v="0"/>
    <x v="59"/>
    <x v="2"/>
    <x v="2"/>
    <x v="2"/>
    <x v="4"/>
    <x v="1"/>
  </r>
  <r>
    <x v="59"/>
    <x v="59"/>
    <x v="0"/>
    <x v="59"/>
    <x v="40"/>
    <x v="40"/>
    <x v="40"/>
    <x v="0"/>
    <x v="1"/>
  </r>
  <r>
    <x v="59"/>
    <x v="59"/>
    <x v="0"/>
    <x v="59"/>
    <x v="10"/>
    <x v="10"/>
    <x v="10"/>
    <x v="3"/>
    <x v="1"/>
  </r>
  <r>
    <x v="59"/>
    <x v="59"/>
    <x v="0"/>
    <x v="59"/>
    <x v="12"/>
    <x v="12"/>
    <x v="12"/>
    <x v="1"/>
    <x v="1"/>
  </r>
  <r>
    <x v="59"/>
    <x v="59"/>
    <x v="0"/>
    <x v="59"/>
    <x v="15"/>
    <x v="15"/>
    <x v="15"/>
    <x v="2"/>
    <x v="1"/>
  </r>
  <r>
    <x v="59"/>
    <x v="59"/>
    <x v="0"/>
    <x v="59"/>
    <x v="11"/>
    <x v="11"/>
    <x v="11"/>
    <x v="1"/>
    <x v="1"/>
  </r>
  <r>
    <x v="60"/>
    <x v="60"/>
    <x v="0"/>
    <x v="60"/>
    <x v="69"/>
    <x v="69"/>
    <x v="69"/>
    <x v="0"/>
    <x v="0"/>
  </r>
  <r>
    <x v="60"/>
    <x v="60"/>
    <x v="0"/>
    <x v="60"/>
    <x v="22"/>
    <x v="22"/>
    <x v="22"/>
    <x v="1"/>
    <x v="1"/>
  </r>
  <r>
    <x v="60"/>
    <x v="60"/>
    <x v="0"/>
    <x v="60"/>
    <x v="4"/>
    <x v="4"/>
    <x v="4"/>
    <x v="1"/>
    <x v="1"/>
  </r>
  <r>
    <x v="60"/>
    <x v="60"/>
    <x v="0"/>
    <x v="60"/>
    <x v="6"/>
    <x v="6"/>
    <x v="6"/>
    <x v="4"/>
    <x v="1"/>
  </r>
  <r>
    <x v="60"/>
    <x v="60"/>
    <x v="0"/>
    <x v="60"/>
    <x v="67"/>
    <x v="67"/>
    <x v="67"/>
    <x v="1"/>
    <x v="1"/>
  </r>
  <r>
    <x v="60"/>
    <x v="60"/>
    <x v="0"/>
    <x v="60"/>
    <x v="15"/>
    <x v="15"/>
    <x v="15"/>
    <x v="5"/>
    <x v="1"/>
  </r>
  <r>
    <x v="61"/>
    <x v="61"/>
    <x v="3"/>
    <x v="61"/>
    <x v="104"/>
    <x v="104"/>
    <x v="104"/>
    <x v="4"/>
    <x v="1"/>
  </r>
  <r>
    <x v="62"/>
    <x v="62"/>
    <x v="1"/>
    <x v="62"/>
    <x v="36"/>
    <x v="36"/>
    <x v="36"/>
    <x v="3"/>
    <x v="1"/>
  </r>
  <r>
    <x v="62"/>
    <x v="62"/>
    <x v="1"/>
    <x v="62"/>
    <x v="4"/>
    <x v="4"/>
    <x v="4"/>
    <x v="1"/>
    <x v="1"/>
  </r>
  <r>
    <x v="62"/>
    <x v="62"/>
    <x v="1"/>
    <x v="62"/>
    <x v="102"/>
    <x v="102"/>
    <x v="102"/>
    <x v="4"/>
    <x v="1"/>
  </r>
  <r>
    <x v="62"/>
    <x v="62"/>
    <x v="1"/>
    <x v="62"/>
    <x v="74"/>
    <x v="74"/>
    <x v="74"/>
    <x v="3"/>
    <x v="1"/>
  </r>
  <r>
    <x v="62"/>
    <x v="62"/>
    <x v="1"/>
    <x v="62"/>
    <x v="39"/>
    <x v="39"/>
    <x v="39"/>
    <x v="5"/>
    <x v="1"/>
  </r>
  <r>
    <x v="62"/>
    <x v="62"/>
    <x v="1"/>
    <x v="62"/>
    <x v="38"/>
    <x v="38"/>
    <x v="38"/>
    <x v="3"/>
    <x v="1"/>
  </r>
  <r>
    <x v="62"/>
    <x v="62"/>
    <x v="1"/>
    <x v="62"/>
    <x v="32"/>
    <x v="32"/>
    <x v="32"/>
    <x v="3"/>
    <x v="1"/>
  </r>
  <r>
    <x v="62"/>
    <x v="62"/>
    <x v="1"/>
    <x v="62"/>
    <x v="75"/>
    <x v="75"/>
    <x v="75"/>
    <x v="0"/>
    <x v="1"/>
  </r>
  <r>
    <x v="62"/>
    <x v="62"/>
    <x v="1"/>
    <x v="62"/>
    <x v="49"/>
    <x v="49"/>
    <x v="49"/>
    <x v="4"/>
    <x v="1"/>
  </r>
  <r>
    <x v="62"/>
    <x v="62"/>
    <x v="1"/>
    <x v="62"/>
    <x v="7"/>
    <x v="7"/>
    <x v="7"/>
    <x v="0"/>
    <x v="1"/>
  </r>
  <r>
    <x v="62"/>
    <x v="62"/>
    <x v="1"/>
    <x v="62"/>
    <x v="29"/>
    <x v="29"/>
    <x v="29"/>
    <x v="4"/>
    <x v="1"/>
  </r>
  <r>
    <x v="62"/>
    <x v="62"/>
    <x v="1"/>
    <x v="62"/>
    <x v="76"/>
    <x v="76"/>
    <x v="76"/>
    <x v="8"/>
    <x v="1"/>
  </r>
  <r>
    <x v="62"/>
    <x v="62"/>
    <x v="1"/>
    <x v="62"/>
    <x v="84"/>
    <x v="84"/>
    <x v="84"/>
    <x v="7"/>
    <x v="1"/>
  </r>
  <r>
    <x v="62"/>
    <x v="62"/>
    <x v="1"/>
    <x v="62"/>
    <x v="41"/>
    <x v="41"/>
    <x v="41"/>
    <x v="5"/>
    <x v="1"/>
  </r>
  <r>
    <x v="62"/>
    <x v="62"/>
    <x v="1"/>
    <x v="62"/>
    <x v="10"/>
    <x v="10"/>
    <x v="10"/>
    <x v="1"/>
    <x v="1"/>
  </r>
  <r>
    <x v="62"/>
    <x v="62"/>
    <x v="1"/>
    <x v="62"/>
    <x v="27"/>
    <x v="27"/>
    <x v="27"/>
    <x v="3"/>
    <x v="1"/>
  </r>
  <r>
    <x v="62"/>
    <x v="62"/>
    <x v="1"/>
    <x v="62"/>
    <x v="20"/>
    <x v="20"/>
    <x v="20"/>
    <x v="4"/>
    <x v="1"/>
  </r>
  <r>
    <x v="62"/>
    <x v="62"/>
    <x v="1"/>
    <x v="62"/>
    <x v="67"/>
    <x v="67"/>
    <x v="67"/>
    <x v="1"/>
    <x v="1"/>
  </r>
  <r>
    <x v="62"/>
    <x v="62"/>
    <x v="1"/>
    <x v="62"/>
    <x v="12"/>
    <x v="12"/>
    <x v="12"/>
    <x v="5"/>
    <x v="1"/>
  </r>
  <r>
    <x v="62"/>
    <x v="62"/>
    <x v="1"/>
    <x v="62"/>
    <x v="107"/>
    <x v="107"/>
    <x v="107"/>
    <x v="1"/>
    <x v="1"/>
  </r>
  <r>
    <x v="62"/>
    <x v="62"/>
    <x v="1"/>
    <x v="62"/>
    <x v="42"/>
    <x v="42"/>
    <x v="42"/>
    <x v="0"/>
    <x v="1"/>
  </r>
  <r>
    <x v="34"/>
    <x v="34"/>
    <x v="0"/>
    <x v="34"/>
    <x v="77"/>
    <x v="77"/>
    <x v="77"/>
    <x v="4"/>
    <x v="1"/>
  </r>
  <r>
    <x v="34"/>
    <x v="34"/>
    <x v="0"/>
    <x v="34"/>
    <x v="20"/>
    <x v="20"/>
    <x v="20"/>
    <x v="2"/>
    <x v="1"/>
  </r>
  <r>
    <x v="34"/>
    <x v="34"/>
    <x v="0"/>
    <x v="34"/>
    <x v="67"/>
    <x v="67"/>
    <x v="67"/>
    <x v="3"/>
    <x v="1"/>
  </r>
  <r>
    <x v="34"/>
    <x v="34"/>
    <x v="0"/>
    <x v="34"/>
    <x v="48"/>
    <x v="48"/>
    <x v="48"/>
    <x v="4"/>
    <x v="1"/>
  </r>
  <r>
    <x v="34"/>
    <x v="34"/>
    <x v="0"/>
    <x v="34"/>
    <x v="12"/>
    <x v="12"/>
    <x v="12"/>
    <x v="3"/>
    <x v="1"/>
  </r>
  <r>
    <x v="34"/>
    <x v="34"/>
    <x v="0"/>
    <x v="34"/>
    <x v="13"/>
    <x v="13"/>
    <x v="13"/>
    <x v="3"/>
    <x v="1"/>
  </r>
  <r>
    <x v="34"/>
    <x v="34"/>
    <x v="0"/>
    <x v="34"/>
    <x v="35"/>
    <x v="35"/>
    <x v="35"/>
    <x v="3"/>
    <x v="1"/>
  </r>
  <r>
    <x v="34"/>
    <x v="34"/>
    <x v="0"/>
    <x v="34"/>
    <x v="69"/>
    <x v="69"/>
    <x v="69"/>
    <x v="0"/>
    <x v="0"/>
  </r>
  <r>
    <x v="34"/>
    <x v="34"/>
    <x v="0"/>
    <x v="34"/>
    <x v="85"/>
    <x v="85"/>
    <x v="85"/>
    <x v="0"/>
    <x v="0"/>
  </r>
  <r>
    <x v="34"/>
    <x v="34"/>
    <x v="0"/>
    <x v="34"/>
    <x v="78"/>
    <x v="78"/>
    <x v="78"/>
    <x v="0"/>
    <x v="0"/>
  </r>
  <r>
    <x v="34"/>
    <x v="34"/>
    <x v="0"/>
    <x v="34"/>
    <x v="108"/>
    <x v="108"/>
    <x v="108"/>
    <x v="9"/>
    <x v="1"/>
  </r>
  <r>
    <x v="34"/>
    <x v="34"/>
    <x v="0"/>
    <x v="34"/>
    <x v="92"/>
    <x v="92"/>
    <x v="92"/>
    <x v="5"/>
    <x v="1"/>
  </r>
  <r>
    <x v="34"/>
    <x v="34"/>
    <x v="0"/>
    <x v="34"/>
    <x v="106"/>
    <x v="106"/>
    <x v="106"/>
    <x v="0"/>
    <x v="0"/>
  </r>
  <r>
    <x v="34"/>
    <x v="34"/>
    <x v="0"/>
    <x v="34"/>
    <x v="50"/>
    <x v="50"/>
    <x v="50"/>
    <x v="0"/>
    <x v="0"/>
  </r>
  <r>
    <x v="34"/>
    <x v="34"/>
    <x v="0"/>
    <x v="34"/>
    <x v="17"/>
    <x v="17"/>
    <x v="17"/>
    <x v="0"/>
    <x v="0"/>
  </r>
  <r>
    <x v="34"/>
    <x v="34"/>
    <x v="0"/>
    <x v="34"/>
    <x v="93"/>
    <x v="93"/>
    <x v="93"/>
    <x v="0"/>
    <x v="1"/>
  </r>
  <r>
    <x v="34"/>
    <x v="34"/>
    <x v="0"/>
    <x v="34"/>
    <x v="94"/>
    <x v="94"/>
    <x v="94"/>
    <x v="5"/>
    <x v="1"/>
  </r>
  <r>
    <x v="34"/>
    <x v="34"/>
    <x v="0"/>
    <x v="34"/>
    <x v="68"/>
    <x v="68"/>
    <x v="68"/>
    <x v="3"/>
    <x v="1"/>
  </r>
  <r>
    <x v="34"/>
    <x v="34"/>
    <x v="0"/>
    <x v="34"/>
    <x v="15"/>
    <x v="15"/>
    <x v="15"/>
    <x v="2"/>
    <x v="1"/>
  </r>
  <r>
    <x v="34"/>
    <x v="34"/>
    <x v="0"/>
    <x v="34"/>
    <x v="18"/>
    <x v="18"/>
    <x v="18"/>
    <x v="0"/>
    <x v="1"/>
  </r>
  <r>
    <x v="34"/>
    <x v="34"/>
    <x v="0"/>
    <x v="34"/>
    <x v="19"/>
    <x v="19"/>
    <x v="19"/>
    <x v="0"/>
    <x v="2"/>
  </r>
  <r>
    <x v="34"/>
    <x v="34"/>
    <x v="0"/>
    <x v="34"/>
    <x v="109"/>
    <x v="109"/>
    <x v="109"/>
    <x v="0"/>
    <x v="1"/>
  </r>
  <r>
    <x v="34"/>
    <x v="34"/>
    <x v="0"/>
    <x v="34"/>
    <x v="19"/>
    <x v="19"/>
    <x v="19"/>
    <x v="0"/>
    <x v="2"/>
  </r>
  <r>
    <x v="63"/>
    <x v="63"/>
    <x v="0"/>
    <x v="63"/>
    <x v="13"/>
    <x v="13"/>
    <x v="13"/>
    <x v="4"/>
    <x v="1"/>
  </r>
  <r>
    <x v="63"/>
    <x v="63"/>
    <x v="0"/>
    <x v="63"/>
    <x v="57"/>
    <x v="57"/>
    <x v="57"/>
    <x v="4"/>
    <x v="1"/>
  </r>
  <r>
    <x v="63"/>
    <x v="63"/>
    <x v="0"/>
    <x v="63"/>
    <x v="68"/>
    <x v="68"/>
    <x v="68"/>
    <x v="4"/>
    <x v="1"/>
  </r>
  <r>
    <x v="63"/>
    <x v="63"/>
    <x v="0"/>
    <x v="63"/>
    <x v="45"/>
    <x v="45"/>
    <x v="45"/>
    <x v="4"/>
    <x v="1"/>
  </r>
  <r>
    <x v="63"/>
    <x v="63"/>
    <x v="0"/>
    <x v="63"/>
    <x v="4"/>
    <x v="4"/>
    <x v="4"/>
    <x v="1"/>
    <x v="1"/>
  </r>
  <r>
    <x v="63"/>
    <x v="63"/>
    <x v="0"/>
    <x v="63"/>
    <x v="6"/>
    <x v="6"/>
    <x v="6"/>
    <x v="4"/>
    <x v="1"/>
  </r>
  <r>
    <x v="63"/>
    <x v="63"/>
    <x v="0"/>
    <x v="63"/>
    <x v="2"/>
    <x v="2"/>
    <x v="2"/>
    <x v="1"/>
    <x v="1"/>
  </r>
  <r>
    <x v="63"/>
    <x v="63"/>
    <x v="0"/>
    <x v="63"/>
    <x v="12"/>
    <x v="12"/>
    <x v="12"/>
    <x v="4"/>
    <x v="1"/>
  </r>
  <r>
    <x v="63"/>
    <x v="63"/>
    <x v="0"/>
    <x v="63"/>
    <x v="60"/>
    <x v="60"/>
    <x v="60"/>
    <x v="4"/>
    <x v="1"/>
  </r>
  <r>
    <x v="63"/>
    <x v="63"/>
    <x v="0"/>
    <x v="63"/>
    <x v="28"/>
    <x v="28"/>
    <x v="28"/>
    <x v="1"/>
    <x v="1"/>
  </r>
  <r>
    <x v="63"/>
    <x v="63"/>
    <x v="0"/>
    <x v="63"/>
    <x v="108"/>
    <x v="108"/>
    <x v="108"/>
    <x v="3"/>
    <x v="1"/>
  </r>
  <r>
    <x v="63"/>
    <x v="63"/>
    <x v="0"/>
    <x v="63"/>
    <x v="22"/>
    <x v="22"/>
    <x v="22"/>
    <x v="3"/>
    <x v="1"/>
  </r>
  <r>
    <x v="64"/>
    <x v="64"/>
    <x v="0"/>
    <x v="64"/>
    <x v="61"/>
    <x v="61"/>
    <x v="61"/>
    <x v="4"/>
    <x v="1"/>
  </r>
  <r>
    <x v="64"/>
    <x v="64"/>
    <x v="0"/>
    <x v="64"/>
    <x v="43"/>
    <x v="43"/>
    <x v="43"/>
    <x v="5"/>
    <x v="1"/>
  </r>
  <r>
    <x v="64"/>
    <x v="64"/>
    <x v="0"/>
    <x v="64"/>
    <x v="108"/>
    <x v="108"/>
    <x v="108"/>
    <x v="2"/>
    <x v="1"/>
  </r>
  <r>
    <x v="64"/>
    <x v="64"/>
    <x v="0"/>
    <x v="64"/>
    <x v="56"/>
    <x v="56"/>
    <x v="56"/>
    <x v="3"/>
    <x v="1"/>
  </r>
  <r>
    <x v="64"/>
    <x v="64"/>
    <x v="0"/>
    <x v="64"/>
    <x v="54"/>
    <x v="54"/>
    <x v="54"/>
    <x v="5"/>
    <x v="1"/>
  </r>
  <r>
    <x v="64"/>
    <x v="64"/>
    <x v="0"/>
    <x v="64"/>
    <x v="57"/>
    <x v="57"/>
    <x v="57"/>
    <x v="9"/>
    <x v="1"/>
  </r>
  <r>
    <x v="64"/>
    <x v="64"/>
    <x v="0"/>
    <x v="64"/>
    <x v="37"/>
    <x v="37"/>
    <x v="37"/>
    <x v="4"/>
    <x v="1"/>
  </r>
  <r>
    <x v="64"/>
    <x v="64"/>
    <x v="0"/>
    <x v="64"/>
    <x v="31"/>
    <x v="31"/>
    <x v="31"/>
    <x v="1"/>
    <x v="1"/>
  </r>
  <r>
    <x v="64"/>
    <x v="64"/>
    <x v="0"/>
    <x v="64"/>
    <x v="1"/>
    <x v="1"/>
    <x v="1"/>
    <x v="1"/>
    <x v="0"/>
  </r>
  <r>
    <x v="64"/>
    <x v="64"/>
    <x v="0"/>
    <x v="64"/>
    <x v="4"/>
    <x v="4"/>
    <x v="4"/>
    <x v="4"/>
    <x v="1"/>
  </r>
  <r>
    <x v="64"/>
    <x v="64"/>
    <x v="0"/>
    <x v="64"/>
    <x v="3"/>
    <x v="3"/>
    <x v="3"/>
    <x v="5"/>
    <x v="1"/>
  </r>
  <r>
    <x v="64"/>
    <x v="64"/>
    <x v="0"/>
    <x v="64"/>
    <x v="6"/>
    <x v="6"/>
    <x v="6"/>
    <x v="8"/>
    <x v="1"/>
  </r>
  <r>
    <x v="64"/>
    <x v="64"/>
    <x v="0"/>
    <x v="64"/>
    <x v="47"/>
    <x v="47"/>
    <x v="47"/>
    <x v="5"/>
    <x v="1"/>
  </r>
  <r>
    <x v="64"/>
    <x v="64"/>
    <x v="0"/>
    <x v="64"/>
    <x v="27"/>
    <x v="27"/>
    <x v="27"/>
    <x v="11"/>
    <x v="1"/>
  </r>
  <r>
    <x v="64"/>
    <x v="64"/>
    <x v="0"/>
    <x v="64"/>
    <x v="12"/>
    <x v="12"/>
    <x v="12"/>
    <x v="6"/>
    <x v="1"/>
  </r>
  <r>
    <x v="64"/>
    <x v="64"/>
    <x v="0"/>
    <x v="64"/>
    <x v="42"/>
    <x v="42"/>
    <x v="42"/>
    <x v="1"/>
    <x v="1"/>
  </r>
  <r>
    <x v="64"/>
    <x v="64"/>
    <x v="0"/>
    <x v="64"/>
    <x v="11"/>
    <x v="11"/>
    <x v="11"/>
    <x v="1"/>
    <x v="1"/>
  </r>
  <r>
    <x v="64"/>
    <x v="64"/>
    <x v="0"/>
    <x v="64"/>
    <x v="20"/>
    <x v="20"/>
    <x v="20"/>
    <x v="3"/>
    <x v="1"/>
  </r>
  <r>
    <x v="64"/>
    <x v="64"/>
    <x v="0"/>
    <x v="64"/>
    <x v="14"/>
    <x v="14"/>
    <x v="14"/>
    <x v="5"/>
    <x v="1"/>
  </r>
  <r>
    <x v="65"/>
    <x v="65"/>
    <x v="0"/>
    <x v="65"/>
    <x v="13"/>
    <x v="13"/>
    <x v="13"/>
    <x v="3"/>
    <x v="1"/>
  </r>
  <r>
    <x v="47"/>
    <x v="47"/>
    <x v="6"/>
    <x v="47"/>
    <x v="110"/>
    <x v="110"/>
    <x v="110"/>
    <x v="15"/>
    <x v="1"/>
  </r>
  <r>
    <x v="47"/>
    <x v="47"/>
    <x v="6"/>
    <x v="47"/>
    <x v="27"/>
    <x v="27"/>
    <x v="27"/>
    <x v="2"/>
    <x v="1"/>
  </r>
  <r>
    <x v="47"/>
    <x v="47"/>
    <x v="6"/>
    <x v="47"/>
    <x v="20"/>
    <x v="20"/>
    <x v="20"/>
    <x v="4"/>
    <x v="1"/>
  </r>
  <r>
    <x v="47"/>
    <x v="47"/>
    <x v="6"/>
    <x v="47"/>
    <x v="67"/>
    <x v="67"/>
    <x v="67"/>
    <x v="5"/>
    <x v="1"/>
  </r>
  <r>
    <x v="47"/>
    <x v="47"/>
    <x v="6"/>
    <x v="47"/>
    <x v="15"/>
    <x v="15"/>
    <x v="15"/>
    <x v="1"/>
    <x v="1"/>
  </r>
  <r>
    <x v="47"/>
    <x v="47"/>
    <x v="6"/>
    <x v="47"/>
    <x v="60"/>
    <x v="60"/>
    <x v="60"/>
    <x v="4"/>
    <x v="1"/>
  </r>
  <r>
    <x v="47"/>
    <x v="47"/>
    <x v="6"/>
    <x v="47"/>
    <x v="91"/>
    <x v="91"/>
    <x v="91"/>
    <x v="1"/>
    <x v="1"/>
  </r>
  <r>
    <x v="47"/>
    <x v="47"/>
    <x v="6"/>
    <x v="47"/>
    <x v="56"/>
    <x v="56"/>
    <x v="56"/>
    <x v="8"/>
    <x v="1"/>
  </r>
  <r>
    <x v="47"/>
    <x v="47"/>
    <x v="6"/>
    <x v="47"/>
    <x v="44"/>
    <x v="44"/>
    <x v="44"/>
    <x v="3"/>
    <x v="1"/>
  </r>
  <r>
    <x v="47"/>
    <x v="47"/>
    <x v="6"/>
    <x v="47"/>
    <x v="43"/>
    <x v="43"/>
    <x v="43"/>
    <x v="3"/>
    <x v="1"/>
  </r>
  <r>
    <x v="47"/>
    <x v="47"/>
    <x v="6"/>
    <x v="47"/>
    <x v="108"/>
    <x v="108"/>
    <x v="108"/>
    <x v="3"/>
    <x v="1"/>
  </r>
  <r>
    <x v="47"/>
    <x v="47"/>
    <x v="6"/>
    <x v="47"/>
    <x v="92"/>
    <x v="92"/>
    <x v="92"/>
    <x v="4"/>
    <x v="1"/>
  </r>
  <r>
    <x v="47"/>
    <x v="47"/>
    <x v="6"/>
    <x v="47"/>
    <x v="111"/>
    <x v="111"/>
    <x v="111"/>
    <x v="5"/>
    <x v="1"/>
  </r>
  <r>
    <x v="47"/>
    <x v="47"/>
    <x v="6"/>
    <x v="47"/>
    <x v="61"/>
    <x v="61"/>
    <x v="61"/>
    <x v="2"/>
    <x v="1"/>
  </r>
  <r>
    <x v="47"/>
    <x v="47"/>
    <x v="6"/>
    <x v="47"/>
    <x v="112"/>
    <x v="112"/>
    <x v="112"/>
    <x v="2"/>
    <x v="1"/>
  </r>
  <r>
    <x v="47"/>
    <x v="47"/>
    <x v="6"/>
    <x v="47"/>
    <x v="113"/>
    <x v="113"/>
    <x v="113"/>
    <x v="1"/>
    <x v="0"/>
  </r>
  <r>
    <x v="47"/>
    <x v="47"/>
    <x v="6"/>
    <x v="47"/>
    <x v="114"/>
    <x v="114"/>
    <x v="114"/>
    <x v="0"/>
    <x v="1"/>
  </r>
  <r>
    <x v="47"/>
    <x v="47"/>
    <x v="6"/>
    <x v="47"/>
    <x v="115"/>
    <x v="115"/>
    <x v="115"/>
    <x v="0"/>
    <x v="0"/>
  </r>
  <r>
    <x v="47"/>
    <x v="47"/>
    <x v="6"/>
    <x v="47"/>
    <x v="116"/>
    <x v="116"/>
    <x v="116"/>
    <x v="0"/>
    <x v="0"/>
  </r>
  <r>
    <x v="47"/>
    <x v="47"/>
    <x v="6"/>
    <x v="47"/>
    <x v="93"/>
    <x v="93"/>
    <x v="93"/>
    <x v="0"/>
    <x v="1"/>
  </r>
  <r>
    <x v="47"/>
    <x v="47"/>
    <x v="6"/>
    <x v="47"/>
    <x v="117"/>
    <x v="117"/>
    <x v="117"/>
    <x v="0"/>
    <x v="0"/>
  </r>
  <r>
    <x v="44"/>
    <x v="44"/>
    <x v="5"/>
    <x v="44"/>
    <x v="62"/>
    <x v="62"/>
    <x v="62"/>
    <x v="1"/>
    <x v="1"/>
  </r>
  <r>
    <x v="44"/>
    <x v="44"/>
    <x v="5"/>
    <x v="44"/>
    <x v="28"/>
    <x v="28"/>
    <x v="28"/>
    <x v="1"/>
    <x v="1"/>
  </r>
  <r>
    <x v="44"/>
    <x v="44"/>
    <x v="5"/>
    <x v="44"/>
    <x v="7"/>
    <x v="7"/>
    <x v="7"/>
    <x v="1"/>
    <x v="1"/>
  </r>
  <r>
    <x v="44"/>
    <x v="44"/>
    <x v="5"/>
    <x v="44"/>
    <x v="118"/>
    <x v="118"/>
    <x v="118"/>
    <x v="0"/>
    <x v="1"/>
  </r>
  <r>
    <x v="44"/>
    <x v="44"/>
    <x v="5"/>
    <x v="44"/>
    <x v="47"/>
    <x v="47"/>
    <x v="47"/>
    <x v="3"/>
    <x v="1"/>
  </r>
  <r>
    <x v="44"/>
    <x v="44"/>
    <x v="5"/>
    <x v="44"/>
    <x v="104"/>
    <x v="104"/>
    <x v="104"/>
    <x v="0"/>
    <x v="1"/>
  </r>
  <r>
    <x v="44"/>
    <x v="44"/>
    <x v="5"/>
    <x v="44"/>
    <x v="41"/>
    <x v="41"/>
    <x v="41"/>
    <x v="7"/>
    <x v="1"/>
  </r>
  <r>
    <x v="44"/>
    <x v="44"/>
    <x v="5"/>
    <x v="44"/>
    <x v="10"/>
    <x v="10"/>
    <x v="10"/>
    <x v="7"/>
    <x v="1"/>
  </r>
  <r>
    <x v="44"/>
    <x v="44"/>
    <x v="5"/>
    <x v="44"/>
    <x v="27"/>
    <x v="27"/>
    <x v="27"/>
    <x v="2"/>
    <x v="1"/>
  </r>
  <r>
    <x v="44"/>
    <x v="44"/>
    <x v="5"/>
    <x v="44"/>
    <x v="77"/>
    <x v="77"/>
    <x v="77"/>
    <x v="1"/>
    <x v="1"/>
  </r>
  <r>
    <x v="44"/>
    <x v="44"/>
    <x v="5"/>
    <x v="44"/>
    <x v="20"/>
    <x v="20"/>
    <x v="20"/>
    <x v="9"/>
    <x v="1"/>
  </r>
  <r>
    <x v="44"/>
    <x v="44"/>
    <x v="5"/>
    <x v="44"/>
    <x v="67"/>
    <x v="67"/>
    <x v="67"/>
    <x v="1"/>
    <x v="1"/>
  </r>
  <r>
    <x v="44"/>
    <x v="44"/>
    <x v="5"/>
    <x v="44"/>
    <x v="11"/>
    <x v="11"/>
    <x v="11"/>
    <x v="1"/>
    <x v="1"/>
  </r>
  <r>
    <x v="44"/>
    <x v="44"/>
    <x v="5"/>
    <x v="44"/>
    <x v="12"/>
    <x v="12"/>
    <x v="12"/>
    <x v="5"/>
    <x v="1"/>
  </r>
  <r>
    <x v="44"/>
    <x v="44"/>
    <x v="5"/>
    <x v="44"/>
    <x v="107"/>
    <x v="107"/>
    <x v="107"/>
    <x v="5"/>
    <x v="1"/>
  </r>
  <r>
    <x v="44"/>
    <x v="44"/>
    <x v="5"/>
    <x v="44"/>
    <x v="42"/>
    <x v="42"/>
    <x v="42"/>
    <x v="5"/>
    <x v="1"/>
  </r>
  <r>
    <x v="44"/>
    <x v="44"/>
    <x v="5"/>
    <x v="44"/>
    <x v="14"/>
    <x v="14"/>
    <x v="14"/>
    <x v="5"/>
    <x v="1"/>
  </r>
  <r>
    <x v="44"/>
    <x v="44"/>
    <x v="5"/>
    <x v="44"/>
    <x v="119"/>
    <x v="119"/>
    <x v="119"/>
    <x v="15"/>
    <x v="1"/>
  </r>
  <r>
    <x v="44"/>
    <x v="44"/>
    <x v="5"/>
    <x v="44"/>
    <x v="69"/>
    <x v="69"/>
    <x v="69"/>
    <x v="0"/>
    <x v="0"/>
  </r>
  <r>
    <x v="44"/>
    <x v="44"/>
    <x v="5"/>
    <x v="44"/>
    <x v="63"/>
    <x v="63"/>
    <x v="63"/>
    <x v="0"/>
    <x v="0"/>
  </r>
  <r>
    <x v="44"/>
    <x v="44"/>
    <x v="5"/>
    <x v="44"/>
    <x v="52"/>
    <x v="52"/>
    <x v="52"/>
    <x v="1"/>
    <x v="1"/>
  </r>
  <r>
    <x v="44"/>
    <x v="44"/>
    <x v="5"/>
    <x v="44"/>
    <x v="60"/>
    <x v="60"/>
    <x v="60"/>
    <x v="11"/>
    <x v="1"/>
  </r>
  <r>
    <x v="44"/>
    <x v="44"/>
    <x v="5"/>
    <x v="44"/>
    <x v="45"/>
    <x v="45"/>
    <x v="45"/>
    <x v="6"/>
    <x v="1"/>
  </r>
  <r>
    <x v="44"/>
    <x v="44"/>
    <x v="5"/>
    <x v="44"/>
    <x v="120"/>
    <x v="120"/>
    <x v="120"/>
    <x v="0"/>
    <x v="1"/>
  </r>
  <r>
    <x v="66"/>
    <x v="66"/>
    <x v="5"/>
    <x v="66"/>
    <x v="36"/>
    <x v="36"/>
    <x v="36"/>
    <x v="1"/>
    <x v="1"/>
  </r>
  <r>
    <x v="66"/>
    <x v="66"/>
    <x v="5"/>
    <x v="66"/>
    <x v="73"/>
    <x v="73"/>
    <x v="73"/>
    <x v="1"/>
    <x v="1"/>
  </r>
  <r>
    <x v="66"/>
    <x v="66"/>
    <x v="5"/>
    <x v="66"/>
    <x v="33"/>
    <x v="33"/>
    <x v="33"/>
    <x v="5"/>
    <x v="1"/>
  </r>
  <r>
    <x v="66"/>
    <x v="66"/>
    <x v="5"/>
    <x v="66"/>
    <x v="26"/>
    <x v="26"/>
    <x v="26"/>
    <x v="1"/>
    <x v="1"/>
  </r>
  <r>
    <x v="66"/>
    <x v="66"/>
    <x v="5"/>
    <x v="66"/>
    <x v="3"/>
    <x v="3"/>
    <x v="3"/>
    <x v="1"/>
    <x v="1"/>
  </r>
  <r>
    <x v="66"/>
    <x v="66"/>
    <x v="5"/>
    <x v="66"/>
    <x v="4"/>
    <x v="4"/>
    <x v="4"/>
    <x v="0"/>
    <x v="1"/>
  </r>
  <r>
    <x v="66"/>
    <x v="66"/>
    <x v="5"/>
    <x v="66"/>
    <x v="74"/>
    <x v="74"/>
    <x v="74"/>
    <x v="6"/>
    <x v="1"/>
  </r>
  <r>
    <x v="66"/>
    <x v="66"/>
    <x v="5"/>
    <x v="66"/>
    <x v="6"/>
    <x v="6"/>
    <x v="6"/>
    <x v="1"/>
    <x v="1"/>
  </r>
  <r>
    <x v="66"/>
    <x v="66"/>
    <x v="5"/>
    <x v="66"/>
    <x v="30"/>
    <x v="30"/>
    <x v="30"/>
    <x v="4"/>
    <x v="1"/>
  </r>
  <r>
    <x v="66"/>
    <x v="66"/>
    <x v="5"/>
    <x v="66"/>
    <x v="22"/>
    <x v="22"/>
    <x v="22"/>
    <x v="4"/>
    <x v="1"/>
  </r>
  <r>
    <x v="66"/>
    <x v="66"/>
    <x v="5"/>
    <x v="66"/>
    <x v="82"/>
    <x v="82"/>
    <x v="82"/>
    <x v="0"/>
    <x v="1"/>
  </r>
  <r>
    <x v="66"/>
    <x v="66"/>
    <x v="5"/>
    <x v="66"/>
    <x v="76"/>
    <x v="76"/>
    <x v="76"/>
    <x v="1"/>
    <x v="1"/>
  </r>
  <r>
    <x v="66"/>
    <x v="66"/>
    <x v="5"/>
    <x v="66"/>
    <x v="84"/>
    <x v="84"/>
    <x v="84"/>
    <x v="4"/>
    <x v="1"/>
  </r>
  <r>
    <x v="66"/>
    <x v="66"/>
    <x v="5"/>
    <x v="66"/>
    <x v="41"/>
    <x v="41"/>
    <x v="41"/>
    <x v="1"/>
    <x v="1"/>
  </r>
  <r>
    <x v="66"/>
    <x v="66"/>
    <x v="5"/>
    <x v="66"/>
    <x v="10"/>
    <x v="10"/>
    <x v="10"/>
    <x v="1"/>
    <x v="1"/>
  </r>
  <r>
    <x v="66"/>
    <x v="66"/>
    <x v="5"/>
    <x v="66"/>
    <x v="27"/>
    <x v="27"/>
    <x v="27"/>
    <x v="5"/>
    <x v="1"/>
  </r>
  <r>
    <x v="66"/>
    <x v="66"/>
    <x v="5"/>
    <x v="66"/>
    <x v="35"/>
    <x v="35"/>
    <x v="35"/>
    <x v="1"/>
    <x v="1"/>
  </r>
  <r>
    <x v="66"/>
    <x v="66"/>
    <x v="5"/>
    <x v="66"/>
    <x v="121"/>
    <x v="121"/>
    <x v="121"/>
    <x v="1"/>
    <x v="1"/>
  </r>
  <r>
    <x v="66"/>
    <x v="66"/>
    <x v="5"/>
    <x v="66"/>
    <x v="56"/>
    <x v="56"/>
    <x v="56"/>
    <x v="3"/>
    <x v="1"/>
  </r>
  <r>
    <x v="66"/>
    <x v="66"/>
    <x v="5"/>
    <x v="66"/>
    <x v="44"/>
    <x v="44"/>
    <x v="44"/>
    <x v="4"/>
    <x v="1"/>
  </r>
  <r>
    <x v="66"/>
    <x v="66"/>
    <x v="5"/>
    <x v="66"/>
    <x v="108"/>
    <x v="108"/>
    <x v="108"/>
    <x v="4"/>
    <x v="1"/>
  </r>
  <r>
    <x v="66"/>
    <x v="66"/>
    <x v="5"/>
    <x v="66"/>
    <x v="60"/>
    <x v="60"/>
    <x v="60"/>
    <x v="1"/>
    <x v="1"/>
  </r>
  <r>
    <x v="66"/>
    <x v="66"/>
    <x v="5"/>
    <x v="66"/>
    <x v="122"/>
    <x v="122"/>
    <x v="122"/>
    <x v="0"/>
    <x v="1"/>
  </r>
  <r>
    <x v="66"/>
    <x v="66"/>
    <x v="5"/>
    <x v="66"/>
    <x v="123"/>
    <x v="123"/>
    <x v="123"/>
    <x v="0"/>
    <x v="1"/>
  </r>
  <r>
    <x v="67"/>
    <x v="67"/>
    <x v="7"/>
    <x v="67"/>
    <x v="124"/>
    <x v="124"/>
    <x v="124"/>
    <x v="3"/>
    <x v="1"/>
  </r>
  <r>
    <x v="67"/>
    <x v="67"/>
    <x v="7"/>
    <x v="67"/>
    <x v="125"/>
    <x v="125"/>
    <x v="125"/>
    <x v="3"/>
    <x v="1"/>
  </r>
  <r>
    <x v="67"/>
    <x v="67"/>
    <x v="7"/>
    <x v="67"/>
    <x v="25"/>
    <x v="25"/>
    <x v="25"/>
    <x v="8"/>
    <x v="1"/>
  </r>
  <r>
    <x v="67"/>
    <x v="67"/>
    <x v="7"/>
    <x v="67"/>
    <x v="6"/>
    <x v="6"/>
    <x v="6"/>
    <x v="2"/>
    <x v="1"/>
  </r>
  <r>
    <x v="67"/>
    <x v="67"/>
    <x v="7"/>
    <x v="67"/>
    <x v="100"/>
    <x v="100"/>
    <x v="100"/>
    <x v="2"/>
    <x v="1"/>
  </r>
  <r>
    <x v="67"/>
    <x v="67"/>
    <x v="7"/>
    <x v="67"/>
    <x v="126"/>
    <x v="126"/>
    <x v="126"/>
    <x v="2"/>
    <x v="1"/>
  </r>
  <r>
    <x v="53"/>
    <x v="53"/>
    <x v="5"/>
    <x v="53"/>
    <x v="22"/>
    <x v="22"/>
    <x v="22"/>
    <x v="7"/>
    <x v="1"/>
  </r>
  <r>
    <x v="53"/>
    <x v="53"/>
    <x v="5"/>
    <x v="53"/>
    <x v="62"/>
    <x v="62"/>
    <x v="62"/>
    <x v="6"/>
    <x v="1"/>
  </r>
  <r>
    <x v="53"/>
    <x v="53"/>
    <x v="5"/>
    <x v="53"/>
    <x v="75"/>
    <x v="75"/>
    <x v="75"/>
    <x v="2"/>
    <x v="1"/>
  </r>
  <r>
    <x v="53"/>
    <x v="53"/>
    <x v="5"/>
    <x v="53"/>
    <x v="28"/>
    <x v="28"/>
    <x v="28"/>
    <x v="7"/>
    <x v="1"/>
  </r>
  <r>
    <x v="53"/>
    <x v="53"/>
    <x v="5"/>
    <x v="53"/>
    <x v="49"/>
    <x v="49"/>
    <x v="49"/>
    <x v="7"/>
    <x v="1"/>
  </r>
  <r>
    <x v="53"/>
    <x v="53"/>
    <x v="5"/>
    <x v="53"/>
    <x v="7"/>
    <x v="7"/>
    <x v="7"/>
    <x v="4"/>
    <x v="1"/>
  </r>
  <r>
    <x v="53"/>
    <x v="53"/>
    <x v="5"/>
    <x v="53"/>
    <x v="90"/>
    <x v="90"/>
    <x v="90"/>
    <x v="1"/>
    <x v="1"/>
  </r>
  <r>
    <x v="53"/>
    <x v="53"/>
    <x v="5"/>
    <x v="53"/>
    <x v="68"/>
    <x v="68"/>
    <x v="68"/>
    <x v="6"/>
    <x v="1"/>
  </r>
  <r>
    <x v="53"/>
    <x v="53"/>
    <x v="5"/>
    <x v="53"/>
    <x v="91"/>
    <x v="91"/>
    <x v="91"/>
    <x v="7"/>
    <x v="1"/>
  </r>
  <r>
    <x v="53"/>
    <x v="53"/>
    <x v="5"/>
    <x v="53"/>
    <x v="69"/>
    <x v="69"/>
    <x v="69"/>
    <x v="0"/>
    <x v="0"/>
  </r>
  <r>
    <x v="53"/>
    <x v="53"/>
    <x v="5"/>
    <x v="53"/>
    <x v="78"/>
    <x v="78"/>
    <x v="78"/>
    <x v="0"/>
    <x v="0"/>
  </r>
  <r>
    <x v="53"/>
    <x v="53"/>
    <x v="5"/>
    <x v="53"/>
    <x v="55"/>
    <x v="55"/>
    <x v="55"/>
    <x v="0"/>
    <x v="0"/>
  </r>
  <r>
    <x v="53"/>
    <x v="53"/>
    <x v="5"/>
    <x v="53"/>
    <x v="93"/>
    <x v="93"/>
    <x v="93"/>
    <x v="0"/>
    <x v="1"/>
  </r>
  <r>
    <x v="53"/>
    <x v="53"/>
    <x v="5"/>
    <x v="53"/>
    <x v="123"/>
    <x v="123"/>
    <x v="123"/>
    <x v="5"/>
    <x v="1"/>
  </r>
  <r>
    <x v="53"/>
    <x v="53"/>
    <x v="5"/>
    <x v="53"/>
    <x v="127"/>
    <x v="127"/>
    <x v="127"/>
    <x v="4"/>
    <x v="1"/>
  </r>
  <r>
    <x v="68"/>
    <x v="68"/>
    <x v="5"/>
    <x v="68"/>
    <x v="128"/>
    <x v="128"/>
    <x v="128"/>
    <x v="5"/>
    <x v="1"/>
  </r>
  <r>
    <x v="68"/>
    <x v="68"/>
    <x v="5"/>
    <x v="68"/>
    <x v="51"/>
    <x v="51"/>
    <x v="51"/>
    <x v="0"/>
    <x v="1"/>
  </r>
  <r>
    <x v="68"/>
    <x v="68"/>
    <x v="5"/>
    <x v="68"/>
    <x v="1"/>
    <x v="1"/>
    <x v="1"/>
    <x v="0"/>
    <x v="0"/>
  </r>
  <r>
    <x v="68"/>
    <x v="68"/>
    <x v="5"/>
    <x v="68"/>
    <x v="26"/>
    <x v="26"/>
    <x v="26"/>
    <x v="1"/>
    <x v="1"/>
  </r>
  <r>
    <x v="68"/>
    <x v="68"/>
    <x v="5"/>
    <x v="68"/>
    <x v="25"/>
    <x v="25"/>
    <x v="25"/>
    <x v="1"/>
    <x v="1"/>
  </r>
  <r>
    <x v="68"/>
    <x v="68"/>
    <x v="5"/>
    <x v="68"/>
    <x v="6"/>
    <x v="6"/>
    <x v="6"/>
    <x v="6"/>
    <x v="1"/>
  </r>
  <r>
    <x v="68"/>
    <x v="68"/>
    <x v="5"/>
    <x v="68"/>
    <x v="28"/>
    <x v="28"/>
    <x v="28"/>
    <x v="1"/>
    <x v="1"/>
  </r>
  <r>
    <x v="68"/>
    <x v="68"/>
    <x v="5"/>
    <x v="68"/>
    <x v="7"/>
    <x v="7"/>
    <x v="7"/>
    <x v="1"/>
    <x v="1"/>
  </r>
  <r>
    <x v="68"/>
    <x v="68"/>
    <x v="5"/>
    <x v="68"/>
    <x v="10"/>
    <x v="10"/>
    <x v="10"/>
    <x v="5"/>
    <x v="1"/>
  </r>
  <r>
    <x v="68"/>
    <x v="68"/>
    <x v="5"/>
    <x v="68"/>
    <x v="20"/>
    <x v="20"/>
    <x v="20"/>
    <x v="5"/>
    <x v="1"/>
  </r>
  <r>
    <x v="68"/>
    <x v="68"/>
    <x v="5"/>
    <x v="68"/>
    <x v="13"/>
    <x v="13"/>
    <x v="13"/>
    <x v="1"/>
    <x v="1"/>
  </r>
  <r>
    <x v="68"/>
    <x v="68"/>
    <x v="5"/>
    <x v="68"/>
    <x v="57"/>
    <x v="57"/>
    <x v="57"/>
    <x v="1"/>
    <x v="1"/>
  </r>
  <r>
    <x v="68"/>
    <x v="68"/>
    <x v="5"/>
    <x v="68"/>
    <x v="91"/>
    <x v="91"/>
    <x v="91"/>
    <x v="0"/>
    <x v="1"/>
  </r>
  <r>
    <x v="68"/>
    <x v="68"/>
    <x v="5"/>
    <x v="68"/>
    <x v="69"/>
    <x v="69"/>
    <x v="69"/>
    <x v="0"/>
    <x v="0"/>
  </r>
  <r>
    <x v="68"/>
    <x v="68"/>
    <x v="5"/>
    <x v="68"/>
    <x v="122"/>
    <x v="122"/>
    <x v="122"/>
    <x v="1"/>
    <x v="1"/>
  </r>
  <r>
    <x v="68"/>
    <x v="68"/>
    <x v="5"/>
    <x v="68"/>
    <x v="86"/>
    <x v="86"/>
    <x v="86"/>
    <x v="0"/>
    <x v="0"/>
  </r>
  <r>
    <x v="69"/>
    <x v="69"/>
    <x v="2"/>
    <x v="69"/>
    <x v="129"/>
    <x v="129"/>
    <x v="129"/>
    <x v="0"/>
    <x v="1"/>
  </r>
  <r>
    <x v="69"/>
    <x v="69"/>
    <x v="2"/>
    <x v="69"/>
    <x v="130"/>
    <x v="130"/>
    <x v="130"/>
    <x v="4"/>
    <x v="1"/>
  </r>
  <r>
    <x v="69"/>
    <x v="69"/>
    <x v="2"/>
    <x v="69"/>
    <x v="131"/>
    <x v="131"/>
    <x v="131"/>
    <x v="0"/>
    <x v="1"/>
  </r>
  <r>
    <x v="69"/>
    <x v="69"/>
    <x v="2"/>
    <x v="69"/>
    <x v="132"/>
    <x v="132"/>
    <x v="132"/>
    <x v="0"/>
    <x v="1"/>
  </r>
  <r>
    <x v="69"/>
    <x v="69"/>
    <x v="2"/>
    <x v="69"/>
    <x v="133"/>
    <x v="133"/>
    <x v="133"/>
    <x v="0"/>
    <x v="1"/>
  </r>
  <r>
    <x v="69"/>
    <x v="69"/>
    <x v="2"/>
    <x v="69"/>
    <x v="134"/>
    <x v="134"/>
    <x v="134"/>
    <x v="1"/>
    <x v="1"/>
  </r>
  <r>
    <x v="69"/>
    <x v="69"/>
    <x v="2"/>
    <x v="69"/>
    <x v="135"/>
    <x v="135"/>
    <x v="135"/>
    <x v="15"/>
    <x v="1"/>
  </r>
  <r>
    <x v="69"/>
    <x v="69"/>
    <x v="2"/>
    <x v="69"/>
    <x v="136"/>
    <x v="136"/>
    <x v="136"/>
    <x v="15"/>
    <x v="1"/>
  </r>
  <r>
    <x v="69"/>
    <x v="69"/>
    <x v="2"/>
    <x v="69"/>
    <x v="137"/>
    <x v="137"/>
    <x v="137"/>
    <x v="16"/>
    <x v="1"/>
  </r>
  <r>
    <x v="69"/>
    <x v="69"/>
    <x v="2"/>
    <x v="69"/>
    <x v="138"/>
    <x v="138"/>
    <x v="138"/>
    <x v="0"/>
    <x v="1"/>
  </r>
  <r>
    <x v="69"/>
    <x v="69"/>
    <x v="2"/>
    <x v="69"/>
    <x v="139"/>
    <x v="139"/>
    <x v="139"/>
    <x v="0"/>
    <x v="1"/>
  </r>
  <r>
    <x v="70"/>
    <x v="70"/>
    <x v="6"/>
    <x v="70"/>
    <x v="140"/>
    <x v="140"/>
    <x v="140"/>
    <x v="17"/>
    <x v="2"/>
  </r>
  <r>
    <x v="70"/>
    <x v="70"/>
    <x v="6"/>
    <x v="70"/>
    <x v="141"/>
    <x v="141"/>
    <x v="141"/>
    <x v="5"/>
    <x v="2"/>
  </r>
  <r>
    <x v="70"/>
    <x v="70"/>
    <x v="6"/>
    <x v="70"/>
    <x v="142"/>
    <x v="142"/>
    <x v="142"/>
    <x v="7"/>
    <x v="2"/>
  </r>
  <r>
    <x v="70"/>
    <x v="70"/>
    <x v="6"/>
    <x v="70"/>
    <x v="143"/>
    <x v="143"/>
    <x v="143"/>
    <x v="5"/>
    <x v="2"/>
  </r>
  <r>
    <x v="70"/>
    <x v="70"/>
    <x v="6"/>
    <x v="70"/>
    <x v="144"/>
    <x v="144"/>
    <x v="144"/>
    <x v="1"/>
    <x v="2"/>
  </r>
  <r>
    <x v="70"/>
    <x v="70"/>
    <x v="6"/>
    <x v="70"/>
    <x v="145"/>
    <x v="145"/>
    <x v="145"/>
    <x v="15"/>
    <x v="2"/>
  </r>
  <r>
    <x v="70"/>
    <x v="70"/>
    <x v="6"/>
    <x v="70"/>
    <x v="146"/>
    <x v="146"/>
    <x v="146"/>
    <x v="6"/>
    <x v="2"/>
  </r>
  <r>
    <x v="67"/>
    <x v="67"/>
    <x v="7"/>
    <x v="67"/>
    <x v="38"/>
    <x v="38"/>
    <x v="38"/>
    <x v="12"/>
    <x v="1"/>
  </r>
  <r>
    <x v="67"/>
    <x v="67"/>
    <x v="7"/>
    <x v="67"/>
    <x v="147"/>
    <x v="147"/>
    <x v="147"/>
    <x v="9"/>
    <x v="1"/>
  </r>
  <r>
    <x v="67"/>
    <x v="67"/>
    <x v="7"/>
    <x v="67"/>
    <x v="95"/>
    <x v="95"/>
    <x v="95"/>
    <x v="2"/>
    <x v="1"/>
  </r>
  <r>
    <x v="67"/>
    <x v="67"/>
    <x v="7"/>
    <x v="67"/>
    <x v="148"/>
    <x v="148"/>
    <x v="148"/>
    <x v="2"/>
    <x v="1"/>
  </r>
  <r>
    <x v="67"/>
    <x v="67"/>
    <x v="7"/>
    <x v="67"/>
    <x v="73"/>
    <x v="73"/>
    <x v="73"/>
    <x v="3"/>
    <x v="1"/>
  </r>
  <r>
    <x v="67"/>
    <x v="67"/>
    <x v="7"/>
    <x v="67"/>
    <x v="75"/>
    <x v="75"/>
    <x v="75"/>
    <x v="7"/>
    <x v="1"/>
  </r>
  <r>
    <x v="67"/>
    <x v="67"/>
    <x v="7"/>
    <x v="67"/>
    <x v="41"/>
    <x v="41"/>
    <x v="41"/>
    <x v="15"/>
    <x v="1"/>
  </r>
  <r>
    <x v="67"/>
    <x v="67"/>
    <x v="7"/>
    <x v="67"/>
    <x v="101"/>
    <x v="101"/>
    <x v="101"/>
    <x v="3"/>
    <x v="1"/>
  </r>
  <r>
    <x v="67"/>
    <x v="67"/>
    <x v="7"/>
    <x v="67"/>
    <x v="33"/>
    <x v="33"/>
    <x v="33"/>
    <x v="7"/>
    <x v="1"/>
  </r>
  <r>
    <x v="67"/>
    <x v="67"/>
    <x v="7"/>
    <x v="67"/>
    <x v="149"/>
    <x v="149"/>
    <x v="149"/>
    <x v="2"/>
    <x v="1"/>
  </r>
  <r>
    <x v="67"/>
    <x v="67"/>
    <x v="7"/>
    <x v="67"/>
    <x v="150"/>
    <x v="150"/>
    <x v="150"/>
    <x v="6"/>
    <x v="1"/>
  </r>
  <r>
    <x v="67"/>
    <x v="67"/>
    <x v="7"/>
    <x v="67"/>
    <x v="151"/>
    <x v="151"/>
    <x v="151"/>
    <x v="15"/>
    <x v="1"/>
  </r>
  <r>
    <x v="67"/>
    <x v="67"/>
    <x v="7"/>
    <x v="67"/>
    <x v="99"/>
    <x v="99"/>
    <x v="99"/>
    <x v="2"/>
    <x v="1"/>
  </r>
  <r>
    <x v="67"/>
    <x v="67"/>
    <x v="7"/>
    <x v="67"/>
    <x v="110"/>
    <x v="110"/>
    <x v="110"/>
    <x v="2"/>
    <x v="1"/>
  </r>
  <r>
    <x v="39"/>
    <x v="39"/>
    <x v="1"/>
    <x v="39"/>
    <x v="109"/>
    <x v="109"/>
    <x v="109"/>
    <x v="0"/>
    <x v="1"/>
  </r>
  <r>
    <x v="39"/>
    <x v="39"/>
    <x v="1"/>
    <x v="39"/>
    <x v="19"/>
    <x v="19"/>
    <x v="19"/>
    <x v="1"/>
    <x v="2"/>
  </r>
  <r>
    <x v="65"/>
    <x v="65"/>
    <x v="0"/>
    <x v="65"/>
    <x v="69"/>
    <x v="69"/>
    <x v="69"/>
    <x v="0"/>
    <x v="0"/>
  </r>
  <r>
    <x v="65"/>
    <x v="65"/>
    <x v="0"/>
    <x v="65"/>
    <x v="54"/>
    <x v="54"/>
    <x v="54"/>
    <x v="4"/>
    <x v="1"/>
  </r>
  <r>
    <x v="65"/>
    <x v="65"/>
    <x v="0"/>
    <x v="65"/>
    <x v="35"/>
    <x v="35"/>
    <x v="35"/>
    <x v="3"/>
    <x v="1"/>
  </r>
  <r>
    <x v="65"/>
    <x v="65"/>
    <x v="0"/>
    <x v="65"/>
    <x v="46"/>
    <x v="46"/>
    <x v="46"/>
    <x v="4"/>
    <x v="1"/>
  </r>
  <r>
    <x v="65"/>
    <x v="65"/>
    <x v="0"/>
    <x v="65"/>
    <x v="30"/>
    <x v="30"/>
    <x v="30"/>
    <x v="7"/>
    <x v="1"/>
  </r>
  <r>
    <x v="65"/>
    <x v="65"/>
    <x v="0"/>
    <x v="65"/>
    <x v="22"/>
    <x v="22"/>
    <x v="22"/>
    <x v="3"/>
    <x v="1"/>
  </r>
  <r>
    <x v="65"/>
    <x v="65"/>
    <x v="0"/>
    <x v="65"/>
    <x v="58"/>
    <x v="58"/>
    <x v="58"/>
    <x v="3"/>
    <x v="1"/>
  </r>
  <r>
    <x v="65"/>
    <x v="65"/>
    <x v="0"/>
    <x v="65"/>
    <x v="1"/>
    <x v="1"/>
    <x v="1"/>
    <x v="1"/>
    <x v="0"/>
  </r>
  <r>
    <x v="65"/>
    <x v="65"/>
    <x v="0"/>
    <x v="65"/>
    <x v="4"/>
    <x v="4"/>
    <x v="4"/>
    <x v="4"/>
    <x v="1"/>
  </r>
  <r>
    <x v="65"/>
    <x v="65"/>
    <x v="0"/>
    <x v="65"/>
    <x v="3"/>
    <x v="3"/>
    <x v="3"/>
    <x v="4"/>
    <x v="1"/>
  </r>
  <r>
    <x v="65"/>
    <x v="65"/>
    <x v="0"/>
    <x v="65"/>
    <x v="6"/>
    <x v="6"/>
    <x v="6"/>
    <x v="2"/>
    <x v="1"/>
  </r>
  <r>
    <x v="65"/>
    <x v="65"/>
    <x v="0"/>
    <x v="65"/>
    <x v="25"/>
    <x v="25"/>
    <x v="25"/>
    <x v="1"/>
    <x v="1"/>
  </r>
  <r>
    <x v="65"/>
    <x v="65"/>
    <x v="0"/>
    <x v="65"/>
    <x v="102"/>
    <x v="102"/>
    <x v="102"/>
    <x v="4"/>
    <x v="1"/>
  </r>
  <r>
    <x v="65"/>
    <x v="65"/>
    <x v="0"/>
    <x v="65"/>
    <x v="79"/>
    <x v="79"/>
    <x v="79"/>
    <x v="4"/>
    <x v="1"/>
  </r>
  <r>
    <x v="65"/>
    <x v="65"/>
    <x v="0"/>
    <x v="65"/>
    <x v="26"/>
    <x v="26"/>
    <x v="26"/>
    <x v="4"/>
    <x v="1"/>
  </r>
  <r>
    <x v="65"/>
    <x v="65"/>
    <x v="0"/>
    <x v="65"/>
    <x v="10"/>
    <x v="10"/>
    <x v="10"/>
    <x v="1"/>
    <x v="1"/>
  </r>
  <r>
    <x v="65"/>
    <x v="65"/>
    <x v="0"/>
    <x v="65"/>
    <x v="12"/>
    <x v="12"/>
    <x v="12"/>
    <x v="8"/>
    <x v="1"/>
  </r>
  <r>
    <x v="65"/>
    <x v="65"/>
    <x v="0"/>
    <x v="65"/>
    <x v="42"/>
    <x v="42"/>
    <x v="42"/>
    <x v="1"/>
    <x v="1"/>
  </r>
  <r>
    <x v="65"/>
    <x v="65"/>
    <x v="0"/>
    <x v="65"/>
    <x v="15"/>
    <x v="15"/>
    <x v="15"/>
    <x v="5"/>
    <x v="1"/>
  </r>
  <r>
    <x v="65"/>
    <x v="65"/>
    <x v="0"/>
    <x v="65"/>
    <x v="11"/>
    <x v="11"/>
    <x v="11"/>
    <x v="1"/>
    <x v="1"/>
  </r>
  <r>
    <x v="71"/>
    <x v="71"/>
    <x v="5"/>
    <x v="71"/>
    <x v="26"/>
    <x v="26"/>
    <x v="26"/>
    <x v="5"/>
    <x v="1"/>
  </r>
  <r>
    <x v="71"/>
    <x v="71"/>
    <x v="5"/>
    <x v="71"/>
    <x v="6"/>
    <x v="6"/>
    <x v="6"/>
    <x v="5"/>
    <x v="1"/>
  </r>
  <r>
    <x v="71"/>
    <x v="71"/>
    <x v="5"/>
    <x v="71"/>
    <x v="80"/>
    <x v="80"/>
    <x v="80"/>
    <x v="1"/>
    <x v="1"/>
  </r>
  <r>
    <x v="71"/>
    <x v="71"/>
    <x v="5"/>
    <x v="71"/>
    <x v="38"/>
    <x v="38"/>
    <x v="38"/>
    <x v="1"/>
    <x v="1"/>
  </r>
  <r>
    <x v="71"/>
    <x v="71"/>
    <x v="5"/>
    <x v="71"/>
    <x v="22"/>
    <x v="22"/>
    <x v="22"/>
    <x v="5"/>
    <x v="1"/>
  </r>
  <r>
    <x v="71"/>
    <x v="71"/>
    <x v="5"/>
    <x v="71"/>
    <x v="49"/>
    <x v="49"/>
    <x v="49"/>
    <x v="1"/>
    <x v="1"/>
  </r>
  <r>
    <x v="71"/>
    <x v="71"/>
    <x v="5"/>
    <x v="71"/>
    <x v="10"/>
    <x v="10"/>
    <x v="10"/>
    <x v="7"/>
    <x v="1"/>
  </r>
  <r>
    <x v="71"/>
    <x v="71"/>
    <x v="5"/>
    <x v="71"/>
    <x v="27"/>
    <x v="27"/>
    <x v="27"/>
    <x v="6"/>
    <x v="1"/>
  </r>
  <r>
    <x v="71"/>
    <x v="71"/>
    <x v="5"/>
    <x v="71"/>
    <x v="12"/>
    <x v="12"/>
    <x v="12"/>
    <x v="5"/>
    <x v="1"/>
  </r>
  <r>
    <x v="71"/>
    <x v="71"/>
    <x v="5"/>
    <x v="71"/>
    <x v="56"/>
    <x v="56"/>
    <x v="56"/>
    <x v="3"/>
    <x v="1"/>
  </r>
  <r>
    <x v="71"/>
    <x v="71"/>
    <x v="5"/>
    <x v="71"/>
    <x v="120"/>
    <x v="120"/>
    <x v="120"/>
    <x v="0"/>
    <x v="1"/>
  </r>
  <r>
    <x v="71"/>
    <x v="71"/>
    <x v="5"/>
    <x v="71"/>
    <x v="127"/>
    <x v="127"/>
    <x v="127"/>
    <x v="7"/>
    <x v="1"/>
  </r>
  <r>
    <x v="72"/>
    <x v="72"/>
    <x v="5"/>
    <x v="72"/>
    <x v="128"/>
    <x v="128"/>
    <x v="128"/>
    <x v="1"/>
    <x v="1"/>
  </r>
  <r>
    <x v="72"/>
    <x v="72"/>
    <x v="5"/>
    <x v="72"/>
    <x v="2"/>
    <x v="2"/>
    <x v="2"/>
    <x v="1"/>
    <x v="1"/>
  </r>
  <r>
    <x v="72"/>
    <x v="72"/>
    <x v="5"/>
    <x v="72"/>
    <x v="74"/>
    <x v="74"/>
    <x v="74"/>
    <x v="6"/>
    <x v="1"/>
  </r>
  <r>
    <x v="72"/>
    <x v="72"/>
    <x v="5"/>
    <x v="72"/>
    <x v="6"/>
    <x v="6"/>
    <x v="6"/>
    <x v="1"/>
    <x v="1"/>
  </r>
  <r>
    <x v="72"/>
    <x v="72"/>
    <x v="5"/>
    <x v="72"/>
    <x v="8"/>
    <x v="8"/>
    <x v="8"/>
    <x v="1"/>
    <x v="1"/>
  </r>
  <r>
    <x v="72"/>
    <x v="72"/>
    <x v="5"/>
    <x v="72"/>
    <x v="10"/>
    <x v="10"/>
    <x v="10"/>
    <x v="1"/>
    <x v="1"/>
  </r>
  <r>
    <x v="72"/>
    <x v="72"/>
    <x v="5"/>
    <x v="72"/>
    <x v="20"/>
    <x v="20"/>
    <x v="20"/>
    <x v="1"/>
    <x v="1"/>
  </r>
  <r>
    <x v="72"/>
    <x v="72"/>
    <x v="5"/>
    <x v="72"/>
    <x v="14"/>
    <x v="14"/>
    <x v="14"/>
    <x v="0"/>
    <x v="1"/>
  </r>
  <r>
    <x v="72"/>
    <x v="72"/>
    <x v="5"/>
    <x v="72"/>
    <x v="122"/>
    <x v="122"/>
    <x v="122"/>
    <x v="0"/>
    <x v="1"/>
  </r>
  <r>
    <x v="72"/>
    <x v="72"/>
    <x v="5"/>
    <x v="72"/>
    <x v="106"/>
    <x v="106"/>
    <x v="106"/>
    <x v="0"/>
    <x v="0"/>
  </r>
  <r>
    <x v="73"/>
    <x v="73"/>
    <x v="5"/>
    <x v="73"/>
    <x v="103"/>
    <x v="103"/>
    <x v="103"/>
    <x v="0"/>
    <x v="0"/>
  </r>
  <r>
    <x v="73"/>
    <x v="73"/>
    <x v="5"/>
    <x v="73"/>
    <x v="73"/>
    <x v="73"/>
    <x v="73"/>
    <x v="2"/>
    <x v="1"/>
  </r>
  <r>
    <x v="73"/>
    <x v="73"/>
    <x v="5"/>
    <x v="73"/>
    <x v="4"/>
    <x v="4"/>
    <x v="4"/>
    <x v="3"/>
    <x v="1"/>
  </r>
  <r>
    <x v="73"/>
    <x v="73"/>
    <x v="5"/>
    <x v="73"/>
    <x v="74"/>
    <x v="74"/>
    <x v="74"/>
    <x v="18"/>
    <x v="1"/>
  </r>
  <r>
    <x v="73"/>
    <x v="73"/>
    <x v="5"/>
    <x v="73"/>
    <x v="97"/>
    <x v="97"/>
    <x v="97"/>
    <x v="4"/>
    <x v="1"/>
  </r>
  <r>
    <x v="73"/>
    <x v="73"/>
    <x v="5"/>
    <x v="73"/>
    <x v="29"/>
    <x v="29"/>
    <x v="29"/>
    <x v="4"/>
    <x v="1"/>
  </r>
  <r>
    <x v="73"/>
    <x v="73"/>
    <x v="5"/>
    <x v="73"/>
    <x v="82"/>
    <x v="82"/>
    <x v="82"/>
    <x v="3"/>
    <x v="1"/>
  </r>
  <r>
    <x v="73"/>
    <x v="73"/>
    <x v="5"/>
    <x v="73"/>
    <x v="10"/>
    <x v="10"/>
    <x v="10"/>
    <x v="2"/>
    <x v="1"/>
  </r>
  <r>
    <x v="73"/>
    <x v="73"/>
    <x v="5"/>
    <x v="73"/>
    <x v="77"/>
    <x v="77"/>
    <x v="77"/>
    <x v="4"/>
    <x v="1"/>
  </r>
  <r>
    <x v="73"/>
    <x v="73"/>
    <x v="5"/>
    <x v="73"/>
    <x v="48"/>
    <x v="48"/>
    <x v="48"/>
    <x v="4"/>
    <x v="1"/>
  </r>
  <r>
    <x v="73"/>
    <x v="73"/>
    <x v="5"/>
    <x v="73"/>
    <x v="152"/>
    <x v="152"/>
    <x v="152"/>
    <x v="3"/>
    <x v="1"/>
  </r>
  <r>
    <x v="57"/>
    <x v="57"/>
    <x v="5"/>
    <x v="57"/>
    <x v="1"/>
    <x v="1"/>
    <x v="1"/>
    <x v="0"/>
    <x v="0"/>
  </r>
  <r>
    <x v="57"/>
    <x v="57"/>
    <x v="5"/>
    <x v="57"/>
    <x v="26"/>
    <x v="26"/>
    <x v="26"/>
    <x v="6"/>
    <x v="1"/>
  </r>
  <r>
    <x v="57"/>
    <x v="57"/>
    <x v="5"/>
    <x v="57"/>
    <x v="3"/>
    <x v="3"/>
    <x v="3"/>
    <x v="6"/>
    <x v="1"/>
  </r>
  <r>
    <x v="57"/>
    <x v="57"/>
    <x v="5"/>
    <x v="57"/>
    <x v="4"/>
    <x v="4"/>
    <x v="4"/>
    <x v="6"/>
    <x v="1"/>
  </r>
  <r>
    <x v="57"/>
    <x v="57"/>
    <x v="5"/>
    <x v="57"/>
    <x v="102"/>
    <x v="102"/>
    <x v="102"/>
    <x v="5"/>
    <x v="1"/>
  </r>
  <r>
    <x v="57"/>
    <x v="57"/>
    <x v="5"/>
    <x v="57"/>
    <x v="74"/>
    <x v="74"/>
    <x v="74"/>
    <x v="19"/>
    <x v="1"/>
  </r>
  <r>
    <x v="57"/>
    <x v="57"/>
    <x v="5"/>
    <x v="57"/>
    <x v="6"/>
    <x v="6"/>
    <x v="6"/>
    <x v="11"/>
    <x v="1"/>
  </r>
  <r>
    <x v="57"/>
    <x v="57"/>
    <x v="5"/>
    <x v="57"/>
    <x v="75"/>
    <x v="75"/>
    <x v="75"/>
    <x v="3"/>
    <x v="1"/>
  </r>
  <r>
    <x v="57"/>
    <x v="57"/>
    <x v="5"/>
    <x v="57"/>
    <x v="7"/>
    <x v="7"/>
    <x v="7"/>
    <x v="4"/>
    <x v="1"/>
  </r>
  <r>
    <x v="57"/>
    <x v="57"/>
    <x v="5"/>
    <x v="57"/>
    <x v="20"/>
    <x v="20"/>
    <x v="20"/>
    <x v="2"/>
    <x v="1"/>
  </r>
  <r>
    <x v="57"/>
    <x v="57"/>
    <x v="5"/>
    <x v="57"/>
    <x v="42"/>
    <x v="42"/>
    <x v="42"/>
    <x v="4"/>
    <x v="1"/>
  </r>
  <r>
    <x v="57"/>
    <x v="57"/>
    <x v="5"/>
    <x v="57"/>
    <x v="14"/>
    <x v="14"/>
    <x v="14"/>
    <x v="4"/>
    <x v="1"/>
  </r>
  <r>
    <x v="57"/>
    <x v="57"/>
    <x v="5"/>
    <x v="57"/>
    <x v="54"/>
    <x v="54"/>
    <x v="54"/>
    <x v="4"/>
    <x v="1"/>
  </r>
  <r>
    <x v="57"/>
    <x v="57"/>
    <x v="5"/>
    <x v="57"/>
    <x v="69"/>
    <x v="69"/>
    <x v="69"/>
    <x v="1"/>
    <x v="0"/>
  </r>
  <r>
    <x v="57"/>
    <x v="57"/>
    <x v="5"/>
    <x v="57"/>
    <x v="52"/>
    <x v="52"/>
    <x v="52"/>
    <x v="1"/>
    <x v="1"/>
  </r>
  <r>
    <x v="57"/>
    <x v="57"/>
    <x v="5"/>
    <x v="57"/>
    <x v="123"/>
    <x v="123"/>
    <x v="123"/>
    <x v="4"/>
    <x v="1"/>
  </r>
  <r>
    <x v="57"/>
    <x v="57"/>
    <x v="5"/>
    <x v="57"/>
    <x v="94"/>
    <x v="94"/>
    <x v="94"/>
    <x v="4"/>
    <x v="1"/>
  </r>
  <r>
    <x v="57"/>
    <x v="57"/>
    <x v="5"/>
    <x v="57"/>
    <x v="86"/>
    <x v="86"/>
    <x v="86"/>
    <x v="0"/>
    <x v="0"/>
  </r>
  <r>
    <x v="57"/>
    <x v="57"/>
    <x v="5"/>
    <x v="57"/>
    <x v="153"/>
    <x v="153"/>
    <x v="153"/>
    <x v="3"/>
    <x v="1"/>
  </r>
  <r>
    <x v="74"/>
    <x v="74"/>
    <x v="5"/>
    <x v="74"/>
    <x v="36"/>
    <x v="36"/>
    <x v="36"/>
    <x v="1"/>
    <x v="1"/>
  </r>
  <r>
    <x v="74"/>
    <x v="74"/>
    <x v="5"/>
    <x v="74"/>
    <x v="73"/>
    <x v="73"/>
    <x v="73"/>
    <x v="1"/>
    <x v="1"/>
  </r>
  <r>
    <x v="74"/>
    <x v="74"/>
    <x v="5"/>
    <x v="74"/>
    <x v="33"/>
    <x v="33"/>
    <x v="33"/>
    <x v="7"/>
    <x v="1"/>
  </r>
  <r>
    <x v="74"/>
    <x v="74"/>
    <x v="5"/>
    <x v="74"/>
    <x v="26"/>
    <x v="26"/>
    <x v="26"/>
    <x v="1"/>
    <x v="1"/>
  </r>
  <r>
    <x v="74"/>
    <x v="74"/>
    <x v="5"/>
    <x v="74"/>
    <x v="3"/>
    <x v="3"/>
    <x v="3"/>
    <x v="1"/>
    <x v="1"/>
  </r>
  <r>
    <x v="74"/>
    <x v="74"/>
    <x v="5"/>
    <x v="74"/>
    <x v="4"/>
    <x v="4"/>
    <x v="4"/>
    <x v="1"/>
    <x v="1"/>
  </r>
  <r>
    <x v="74"/>
    <x v="74"/>
    <x v="5"/>
    <x v="74"/>
    <x v="74"/>
    <x v="74"/>
    <x v="74"/>
    <x v="7"/>
    <x v="1"/>
  </r>
  <r>
    <x v="74"/>
    <x v="74"/>
    <x v="5"/>
    <x v="74"/>
    <x v="6"/>
    <x v="6"/>
    <x v="6"/>
    <x v="4"/>
    <x v="1"/>
  </r>
  <r>
    <x v="74"/>
    <x v="74"/>
    <x v="5"/>
    <x v="74"/>
    <x v="30"/>
    <x v="30"/>
    <x v="30"/>
    <x v="4"/>
    <x v="1"/>
  </r>
  <r>
    <x v="74"/>
    <x v="74"/>
    <x v="5"/>
    <x v="74"/>
    <x v="22"/>
    <x v="22"/>
    <x v="22"/>
    <x v="4"/>
    <x v="1"/>
  </r>
  <r>
    <x v="74"/>
    <x v="74"/>
    <x v="5"/>
    <x v="74"/>
    <x v="28"/>
    <x v="28"/>
    <x v="28"/>
    <x v="1"/>
    <x v="1"/>
  </r>
  <r>
    <x v="74"/>
    <x v="74"/>
    <x v="5"/>
    <x v="74"/>
    <x v="7"/>
    <x v="7"/>
    <x v="7"/>
    <x v="1"/>
    <x v="1"/>
  </r>
  <r>
    <x v="74"/>
    <x v="74"/>
    <x v="5"/>
    <x v="74"/>
    <x v="154"/>
    <x v="154"/>
    <x v="154"/>
    <x v="1"/>
    <x v="1"/>
  </r>
  <r>
    <x v="74"/>
    <x v="74"/>
    <x v="5"/>
    <x v="74"/>
    <x v="82"/>
    <x v="82"/>
    <x v="82"/>
    <x v="0"/>
    <x v="1"/>
  </r>
  <r>
    <x v="74"/>
    <x v="74"/>
    <x v="5"/>
    <x v="74"/>
    <x v="76"/>
    <x v="76"/>
    <x v="76"/>
    <x v="5"/>
    <x v="1"/>
  </r>
  <r>
    <x v="74"/>
    <x v="74"/>
    <x v="5"/>
    <x v="74"/>
    <x v="84"/>
    <x v="84"/>
    <x v="84"/>
    <x v="4"/>
    <x v="1"/>
  </r>
  <r>
    <x v="74"/>
    <x v="74"/>
    <x v="5"/>
    <x v="74"/>
    <x v="41"/>
    <x v="41"/>
    <x v="41"/>
    <x v="1"/>
    <x v="1"/>
  </r>
  <r>
    <x v="74"/>
    <x v="74"/>
    <x v="5"/>
    <x v="74"/>
    <x v="10"/>
    <x v="10"/>
    <x v="10"/>
    <x v="4"/>
    <x v="1"/>
  </r>
  <r>
    <x v="74"/>
    <x v="74"/>
    <x v="5"/>
    <x v="74"/>
    <x v="27"/>
    <x v="27"/>
    <x v="27"/>
    <x v="3"/>
    <x v="1"/>
  </r>
  <r>
    <x v="74"/>
    <x v="74"/>
    <x v="5"/>
    <x v="74"/>
    <x v="35"/>
    <x v="35"/>
    <x v="35"/>
    <x v="1"/>
    <x v="1"/>
  </r>
  <r>
    <x v="74"/>
    <x v="74"/>
    <x v="5"/>
    <x v="74"/>
    <x v="121"/>
    <x v="121"/>
    <x v="121"/>
    <x v="1"/>
    <x v="1"/>
  </r>
  <r>
    <x v="74"/>
    <x v="74"/>
    <x v="5"/>
    <x v="74"/>
    <x v="56"/>
    <x v="56"/>
    <x v="56"/>
    <x v="3"/>
    <x v="1"/>
  </r>
  <r>
    <x v="74"/>
    <x v="74"/>
    <x v="5"/>
    <x v="74"/>
    <x v="44"/>
    <x v="44"/>
    <x v="44"/>
    <x v="4"/>
    <x v="1"/>
  </r>
  <r>
    <x v="74"/>
    <x v="74"/>
    <x v="5"/>
    <x v="74"/>
    <x v="108"/>
    <x v="108"/>
    <x v="108"/>
    <x v="4"/>
    <x v="1"/>
  </r>
  <r>
    <x v="74"/>
    <x v="74"/>
    <x v="5"/>
    <x v="74"/>
    <x v="60"/>
    <x v="60"/>
    <x v="60"/>
    <x v="4"/>
    <x v="1"/>
  </r>
  <r>
    <x v="74"/>
    <x v="74"/>
    <x v="5"/>
    <x v="74"/>
    <x v="122"/>
    <x v="122"/>
    <x v="122"/>
    <x v="0"/>
    <x v="1"/>
  </r>
  <r>
    <x v="74"/>
    <x v="74"/>
    <x v="5"/>
    <x v="74"/>
    <x v="123"/>
    <x v="123"/>
    <x v="123"/>
    <x v="4"/>
    <x v="1"/>
  </r>
  <r>
    <x v="70"/>
    <x v="70"/>
    <x v="6"/>
    <x v="70"/>
    <x v="128"/>
    <x v="128"/>
    <x v="128"/>
    <x v="3"/>
    <x v="1"/>
  </r>
  <r>
    <x v="70"/>
    <x v="70"/>
    <x v="6"/>
    <x v="70"/>
    <x v="46"/>
    <x v="46"/>
    <x v="46"/>
    <x v="7"/>
    <x v="1"/>
  </r>
  <r>
    <x v="70"/>
    <x v="70"/>
    <x v="6"/>
    <x v="70"/>
    <x v="51"/>
    <x v="51"/>
    <x v="51"/>
    <x v="5"/>
    <x v="1"/>
  </r>
  <r>
    <x v="70"/>
    <x v="70"/>
    <x v="6"/>
    <x v="70"/>
    <x v="26"/>
    <x v="26"/>
    <x v="26"/>
    <x v="2"/>
    <x v="1"/>
  </r>
  <r>
    <x v="70"/>
    <x v="70"/>
    <x v="6"/>
    <x v="70"/>
    <x v="4"/>
    <x v="4"/>
    <x v="4"/>
    <x v="12"/>
    <x v="1"/>
  </r>
  <r>
    <x v="70"/>
    <x v="70"/>
    <x v="6"/>
    <x v="70"/>
    <x v="155"/>
    <x v="155"/>
    <x v="155"/>
    <x v="4"/>
    <x v="1"/>
  </r>
  <r>
    <x v="70"/>
    <x v="70"/>
    <x v="6"/>
    <x v="70"/>
    <x v="74"/>
    <x v="74"/>
    <x v="74"/>
    <x v="12"/>
    <x v="1"/>
  </r>
  <r>
    <x v="70"/>
    <x v="70"/>
    <x v="6"/>
    <x v="70"/>
    <x v="156"/>
    <x v="156"/>
    <x v="156"/>
    <x v="14"/>
    <x v="1"/>
  </r>
  <r>
    <x v="73"/>
    <x v="73"/>
    <x v="5"/>
    <x v="73"/>
    <x v="13"/>
    <x v="13"/>
    <x v="13"/>
    <x v="2"/>
    <x v="1"/>
  </r>
  <r>
    <x v="73"/>
    <x v="73"/>
    <x v="5"/>
    <x v="73"/>
    <x v="42"/>
    <x v="42"/>
    <x v="42"/>
    <x v="3"/>
    <x v="1"/>
  </r>
  <r>
    <x v="73"/>
    <x v="73"/>
    <x v="5"/>
    <x v="73"/>
    <x v="68"/>
    <x v="68"/>
    <x v="68"/>
    <x v="3"/>
    <x v="1"/>
  </r>
  <r>
    <x v="73"/>
    <x v="73"/>
    <x v="5"/>
    <x v="73"/>
    <x v="56"/>
    <x v="56"/>
    <x v="56"/>
    <x v="3"/>
    <x v="1"/>
  </r>
  <r>
    <x v="73"/>
    <x v="73"/>
    <x v="5"/>
    <x v="73"/>
    <x v="44"/>
    <x v="44"/>
    <x v="44"/>
    <x v="3"/>
    <x v="1"/>
  </r>
  <r>
    <x v="73"/>
    <x v="73"/>
    <x v="5"/>
    <x v="73"/>
    <x v="50"/>
    <x v="50"/>
    <x v="50"/>
    <x v="0"/>
    <x v="0"/>
  </r>
  <r>
    <x v="73"/>
    <x v="73"/>
    <x v="5"/>
    <x v="73"/>
    <x v="17"/>
    <x v="17"/>
    <x v="17"/>
    <x v="0"/>
    <x v="0"/>
  </r>
  <r>
    <x v="73"/>
    <x v="73"/>
    <x v="5"/>
    <x v="73"/>
    <x v="93"/>
    <x v="93"/>
    <x v="93"/>
    <x v="0"/>
    <x v="1"/>
  </r>
  <r>
    <x v="75"/>
    <x v="75"/>
    <x v="3"/>
    <x v="75"/>
    <x v="102"/>
    <x v="102"/>
    <x v="102"/>
    <x v="4"/>
    <x v="1"/>
  </r>
  <r>
    <x v="75"/>
    <x v="75"/>
    <x v="3"/>
    <x v="75"/>
    <x v="79"/>
    <x v="79"/>
    <x v="79"/>
    <x v="4"/>
    <x v="1"/>
  </r>
  <r>
    <x v="75"/>
    <x v="75"/>
    <x v="3"/>
    <x v="75"/>
    <x v="22"/>
    <x v="22"/>
    <x v="22"/>
    <x v="5"/>
    <x v="1"/>
  </r>
  <r>
    <x v="75"/>
    <x v="75"/>
    <x v="3"/>
    <x v="75"/>
    <x v="58"/>
    <x v="58"/>
    <x v="58"/>
    <x v="4"/>
    <x v="1"/>
  </r>
  <r>
    <x v="75"/>
    <x v="75"/>
    <x v="3"/>
    <x v="75"/>
    <x v="75"/>
    <x v="75"/>
    <x v="75"/>
    <x v="5"/>
    <x v="1"/>
  </r>
  <r>
    <x v="75"/>
    <x v="75"/>
    <x v="3"/>
    <x v="75"/>
    <x v="77"/>
    <x v="77"/>
    <x v="77"/>
    <x v="1"/>
    <x v="1"/>
  </r>
  <r>
    <x v="76"/>
    <x v="76"/>
    <x v="2"/>
    <x v="76"/>
    <x v="22"/>
    <x v="22"/>
    <x v="22"/>
    <x v="5"/>
    <x v="1"/>
  </r>
  <r>
    <x v="76"/>
    <x v="76"/>
    <x v="2"/>
    <x v="76"/>
    <x v="82"/>
    <x v="82"/>
    <x v="82"/>
    <x v="4"/>
    <x v="1"/>
  </r>
  <r>
    <x v="76"/>
    <x v="76"/>
    <x v="2"/>
    <x v="76"/>
    <x v="89"/>
    <x v="89"/>
    <x v="89"/>
    <x v="4"/>
    <x v="1"/>
  </r>
  <r>
    <x v="76"/>
    <x v="76"/>
    <x v="2"/>
    <x v="76"/>
    <x v="122"/>
    <x v="122"/>
    <x v="122"/>
    <x v="4"/>
    <x v="1"/>
  </r>
  <r>
    <x v="70"/>
    <x v="70"/>
    <x v="6"/>
    <x v="70"/>
    <x v="80"/>
    <x v="80"/>
    <x v="80"/>
    <x v="6"/>
    <x v="1"/>
  </r>
  <r>
    <x v="70"/>
    <x v="70"/>
    <x v="6"/>
    <x v="70"/>
    <x v="38"/>
    <x v="38"/>
    <x v="38"/>
    <x v="19"/>
    <x v="1"/>
  </r>
  <r>
    <x v="70"/>
    <x v="70"/>
    <x v="6"/>
    <x v="70"/>
    <x v="157"/>
    <x v="157"/>
    <x v="157"/>
    <x v="20"/>
    <x v="1"/>
  </r>
  <r>
    <x v="70"/>
    <x v="70"/>
    <x v="6"/>
    <x v="70"/>
    <x v="62"/>
    <x v="62"/>
    <x v="62"/>
    <x v="1"/>
    <x v="1"/>
  </r>
  <r>
    <x v="70"/>
    <x v="70"/>
    <x v="6"/>
    <x v="70"/>
    <x v="58"/>
    <x v="58"/>
    <x v="58"/>
    <x v="1"/>
    <x v="1"/>
  </r>
  <r>
    <x v="70"/>
    <x v="70"/>
    <x v="6"/>
    <x v="70"/>
    <x v="45"/>
    <x v="45"/>
    <x v="45"/>
    <x v="1"/>
    <x v="1"/>
  </r>
  <r>
    <x v="70"/>
    <x v="70"/>
    <x v="6"/>
    <x v="70"/>
    <x v="81"/>
    <x v="81"/>
    <x v="81"/>
    <x v="1"/>
    <x v="1"/>
  </r>
  <r>
    <x v="70"/>
    <x v="70"/>
    <x v="6"/>
    <x v="70"/>
    <x v="97"/>
    <x v="97"/>
    <x v="97"/>
    <x v="1"/>
    <x v="1"/>
  </r>
  <r>
    <x v="70"/>
    <x v="70"/>
    <x v="6"/>
    <x v="70"/>
    <x v="28"/>
    <x v="28"/>
    <x v="28"/>
    <x v="1"/>
    <x v="1"/>
  </r>
  <r>
    <x v="70"/>
    <x v="70"/>
    <x v="6"/>
    <x v="70"/>
    <x v="29"/>
    <x v="29"/>
    <x v="29"/>
    <x v="5"/>
    <x v="1"/>
  </r>
  <r>
    <x v="70"/>
    <x v="70"/>
    <x v="6"/>
    <x v="70"/>
    <x v="71"/>
    <x v="71"/>
    <x v="71"/>
    <x v="5"/>
    <x v="1"/>
  </r>
  <r>
    <x v="70"/>
    <x v="70"/>
    <x v="6"/>
    <x v="70"/>
    <x v="88"/>
    <x v="88"/>
    <x v="88"/>
    <x v="5"/>
    <x v="1"/>
  </r>
  <r>
    <x v="70"/>
    <x v="70"/>
    <x v="6"/>
    <x v="70"/>
    <x v="7"/>
    <x v="7"/>
    <x v="7"/>
    <x v="1"/>
    <x v="1"/>
  </r>
  <r>
    <x v="70"/>
    <x v="70"/>
    <x v="6"/>
    <x v="70"/>
    <x v="158"/>
    <x v="158"/>
    <x v="158"/>
    <x v="2"/>
    <x v="1"/>
  </r>
  <r>
    <x v="70"/>
    <x v="70"/>
    <x v="6"/>
    <x v="70"/>
    <x v="8"/>
    <x v="8"/>
    <x v="8"/>
    <x v="3"/>
    <x v="1"/>
  </r>
  <r>
    <x v="70"/>
    <x v="70"/>
    <x v="6"/>
    <x v="70"/>
    <x v="99"/>
    <x v="99"/>
    <x v="99"/>
    <x v="5"/>
    <x v="1"/>
  </r>
  <r>
    <x v="70"/>
    <x v="70"/>
    <x v="6"/>
    <x v="70"/>
    <x v="84"/>
    <x v="84"/>
    <x v="84"/>
    <x v="13"/>
    <x v="1"/>
  </r>
  <r>
    <x v="70"/>
    <x v="70"/>
    <x v="6"/>
    <x v="70"/>
    <x v="41"/>
    <x v="41"/>
    <x v="41"/>
    <x v="14"/>
    <x v="1"/>
  </r>
  <r>
    <x v="70"/>
    <x v="70"/>
    <x v="6"/>
    <x v="70"/>
    <x v="27"/>
    <x v="27"/>
    <x v="27"/>
    <x v="19"/>
    <x v="1"/>
  </r>
  <r>
    <x v="70"/>
    <x v="70"/>
    <x v="6"/>
    <x v="70"/>
    <x v="77"/>
    <x v="77"/>
    <x v="77"/>
    <x v="1"/>
    <x v="1"/>
  </r>
  <r>
    <x v="70"/>
    <x v="70"/>
    <x v="6"/>
    <x v="70"/>
    <x v="20"/>
    <x v="20"/>
    <x v="20"/>
    <x v="3"/>
    <x v="1"/>
  </r>
  <r>
    <x v="70"/>
    <x v="70"/>
    <x v="6"/>
    <x v="70"/>
    <x v="12"/>
    <x v="12"/>
    <x v="12"/>
    <x v="2"/>
    <x v="1"/>
  </r>
  <r>
    <x v="70"/>
    <x v="70"/>
    <x v="6"/>
    <x v="70"/>
    <x v="152"/>
    <x v="152"/>
    <x v="152"/>
    <x v="4"/>
    <x v="1"/>
  </r>
  <r>
    <x v="70"/>
    <x v="70"/>
    <x v="6"/>
    <x v="70"/>
    <x v="13"/>
    <x v="13"/>
    <x v="13"/>
    <x v="2"/>
    <x v="1"/>
  </r>
  <r>
    <x v="70"/>
    <x v="70"/>
    <x v="6"/>
    <x v="70"/>
    <x v="107"/>
    <x v="107"/>
    <x v="107"/>
    <x v="2"/>
    <x v="1"/>
  </r>
  <r>
    <x v="70"/>
    <x v="70"/>
    <x v="6"/>
    <x v="70"/>
    <x v="42"/>
    <x v="42"/>
    <x v="42"/>
    <x v="1"/>
    <x v="1"/>
  </r>
  <r>
    <x v="70"/>
    <x v="70"/>
    <x v="6"/>
    <x v="70"/>
    <x v="67"/>
    <x v="67"/>
    <x v="67"/>
    <x v="4"/>
    <x v="1"/>
  </r>
  <r>
    <x v="70"/>
    <x v="70"/>
    <x v="6"/>
    <x v="70"/>
    <x v="48"/>
    <x v="48"/>
    <x v="48"/>
    <x v="2"/>
    <x v="1"/>
  </r>
  <r>
    <x v="70"/>
    <x v="70"/>
    <x v="6"/>
    <x v="70"/>
    <x v="11"/>
    <x v="11"/>
    <x v="11"/>
    <x v="2"/>
    <x v="1"/>
  </r>
  <r>
    <x v="70"/>
    <x v="70"/>
    <x v="6"/>
    <x v="70"/>
    <x v="72"/>
    <x v="72"/>
    <x v="72"/>
    <x v="5"/>
    <x v="1"/>
  </r>
  <r>
    <x v="70"/>
    <x v="70"/>
    <x v="6"/>
    <x v="70"/>
    <x v="14"/>
    <x v="14"/>
    <x v="14"/>
    <x v="1"/>
    <x v="1"/>
  </r>
  <r>
    <x v="70"/>
    <x v="70"/>
    <x v="6"/>
    <x v="70"/>
    <x v="60"/>
    <x v="60"/>
    <x v="60"/>
    <x v="11"/>
    <x v="1"/>
  </r>
  <r>
    <x v="70"/>
    <x v="70"/>
    <x v="6"/>
    <x v="70"/>
    <x v="15"/>
    <x v="15"/>
    <x v="15"/>
    <x v="2"/>
    <x v="1"/>
  </r>
  <r>
    <x v="70"/>
    <x v="70"/>
    <x v="6"/>
    <x v="70"/>
    <x v="68"/>
    <x v="68"/>
    <x v="68"/>
    <x v="3"/>
    <x v="1"/>
  </r>
  <r>
    <x v="70"/>
    <x v="70"/>
    <x v="6"/>
    <x v="70"/>
    <x v="91"/>
    <x v="91"/>
    <x v="91"/>
    <x v="4"/>
    <x v="1"/>
  </r>
  <r>
    <x v="70"/>
    <x v="70"/>
    <x v="6"/>
    <x v="70"/>
    <x v="159"/>
    <x v="159"/>
    <x v="159"/>
    <x v="3"/>
    <x v="1"/>
  </r>
  <r>
    <x v="70"/>
    <x v="70"/>
    <x v="6"/>
    <x v="70"/>
    <x v="56"/>
    <x v="56"/>
    <x v="56"/>
    <x v="9"/>
    <x v="1"/>
  </r>
  <r>
    <x v="70"/>
    <x v="70"/>
    <x v="6"/>
    <x v="70"/>
    <x v="108"/>
    <x v="108"/>
    <x v="108"/>
    <x v="12"/>
    <x v="1"/>
  </r>
  <r>
    <x v="70"/>
    <x v="70"/>
    <x v="6"/>
    <x v="70"/>
    <x v="44"/>
    <x v="44"/>
    <x v="44"/>
    <x v="12"/>
    <x v="1"/>
  </r>
  <r>
    <x v="70"/>
    <x v="70"/>
    <x v="6"/>
    <x v="70"/>
    <x v="94"/>
    <x v="94"/>
    <x v="94"/>
    <x v="4"/>
    <x v="1"/>
  </r>
  <r>
    <x v="70"/>
    <x v="70"/>
    <x v="6"/>
    <x v="70"/>
    <x v="61"/>
    <x v="61"/>
    <x v="61"/>
    <x v="2"/>
    <x v="1"/>
  </r>
  <r>
    <x v="70"/>
    <x v="70"/>
    <x v="6"/>
    <x v="70"/>
    <x v="86"/>
    <x v="86"/>
    <x v="86"/>
    <x v="0"/>
    <x v="0"/>
  </r>
  <r>
    <x v="70"/>
    <x v="70"/>
    <x v="6"/>
    <x v="70"/>
    <x v="160"/>
    <x v="160"/>
    <x v="160"/>
    <x v="0"/>
    <x v="0"/>
  </r>
  <r>
    <x v="70"/>
    <x v="70"/>
    <x v="6"/>
    <x v="70"/>
    <x v="18"/>
    <x v="18"/>
    <x v="18"/>
    <x v="0"/>
    <x v="1"/>
  </r>
  <r>
    <x v="70"/>
    <x v="70"/>
    <x v="6"/>
    <x v="70"/>
    <x v="112"/>
    <x v="112"/>
    <x v="112"/>
    <x v="2"/>
    <x v="1"/>
  </r>
  <r>
    <x v="70"/>
    <x v="70"/>
    <x v="6"/>
    <x v="70"/>
    <x v="127"/>
    <x v="127"/>
    <x v="127"/>
    <x v="4"/>
    <x v="1"/>
  </r>
  <r>
    <x v="70"/>
    <x v="70"/>
    <x v="6"/>
    <x v="70"/>
    <x v="161"/>
    <x v="161"/>
    <x v="161"/>
    <x v="21"/>
    <x v="1"/>
  </r>
  <r>
    <x v="62"/>
    <x v="62"/>
    <x v="1"/>
    <x v="62"/>
    <x v="14"/>
    <x v="14"/>
    <x v="14"/>
    <x v="0"/>
    <x v="1"/>
  </r>
  <r>
    <x v="62"/>
    <x v="62"/>
    <x v="1"/>
    <x v="62"/>
    <x v="162"/>
    <x v="162"/>
    <x v="162"/>
    <x v="0"/>
    <x v="0"/>
  </r>
  <r>
    <x v="62"/>
    <x v="62"/>
    <x v="1"/>
    <x v="62"/>
    <x v="50"/>
    <x v="50"/>
    <x v="50"/>
    <x v="0"/>
    <x v="0"/>
  </r>
  <r>
    <x v="62"/>
    <x v="62"/>
    <x v="1"/>
    <x v="62"/>
    <x v="93"/>
    <x v="93"/>
    <x v="93"/>
    <x v="0"/>
    <x v="1"/>
  </r>
  <r>
    <x v="77"/>
    <x v="77"/>
    <x v="5"/>
    <x v="77"/>
    <x v="36"/>
    <x v="36"/>
    <x v="36"/>
    <x v="1"/>
    <x v="1"/>
  </r>
  <r>
    <x v="77"/>
    <x v="77"/>
    <x v="5"/>
    <x v="77"/>
    <x v="73"/>
    <x v="73"/>
    <x v="73"/>
    <x v="1"/>
    <x v="1"/>
  </r>
  <r>
    <x v="77"/>
    <x v="77"/>
    <x v="5"/>
    <x v="77"/>
    <x v="33"/>
    <x v="33"/>
    <x v="33"/>
    <x v="7"/>
    <x v="1"/>
  </r>
  <r>
    <x v="77"/>
    <x v="77"/>
    <x v="5"/>
    <x v="77"/>
    <x v="26"/>
    <x v="26"/>
    <x v="26"/>
    <x v="1"/>
    <x v="1"/>
  </r>
  <r>
    <x v="77"/>
    <x v="77"/>
    <x v="5"/>
    <x v="77"/>
    <x v="3"/>
    <x v="3"/>
    <x v="3"/>
    <x v="1"/>
    <x v="1"/>
  </r>
  <r>
    <x v="77"/>
    <x v="77"/>
    <x v="5"/>
    <x v="77"/>
    <x v="4"/>
    <x v="4"/>
    <x v="4"/>
    <x v="1"/>
    <x v="1"/>
  </r>
  <r>
    <x v="77"/>
    <x v="77"/>
    <x v="5"/>
    <x v="77"/>
    <x v="74"/>
    <x v="74"/>
    <x v="74"/>
    <x v="6"/>
    <x v="1"/>
  </r>
  <r>
    <x v="77"/>
    <x v="77"/>
    <x v="5"/>
    <x v="77"/>
    <x v="6"/>
    <x v="6"/>
    <x v="6"/>
    <x v="1"/>
    <x v="1"/>
  </r>
  <r>
    <x v="77"/>
    <x v="77"/>
    <x v="5"/>
    <x v="77"/>
    <x v="30"/>
    <x v="30"/>
    <x v="30"/>
    <x v="1"/>
    <x v="1"/>
  </r>
  <r>
    <x v="77"/>
    <x v="77"/>
    <x v="5"/>
    <x v="77"/>
    <x v="22"/>
    <x v="22"/>
    <x v="22"/>
    <x v="1"/>
    <x v="1"/>
  </r>
  <r>
    <x v="77"/>
    <x v="77"/>
    <x v="5"/>
    <x v="77"/>
    <x v="82"/>
    <x v="82"/>
    <x v="82"/>
    <x v="0"/>
    <x v="1"/>
  </r>
  <r>
    <x v="77"/>
    <x v="77"/>
    <x v="5"/>
    <x v="77"/>
    <x v="76"/>
    <x v="76"/>
    <x v="76"/>
    <x v="5"/>
    <x v="1"/>
  </r>
  <r>
    <x v="77"/>
    <x v="77"/>
    <x v="5"/>
    <x v="77"/>
    <x v="84"/>
    <x v="84"/>
    <x v="84"/>
    <x v="4"/>
    <x v="1"/>
  </r>
  <r>
    <x v="77"/>
    <x v="77"/>
    <x v="5"/>
    <x v="77"/>
    <x v="41"/>
    <x v="41"/>
    <x v="41"/>
    <x v="1"/>
    <x v="1"/>
  </r>
  <r>
    <x v="77"/>
    <x v="77"/>
    <x v="5"/>
    <x v="77"/>
    <x v="10"/>
    <x v="10"/>
    <x v="10"/>
    <x v="1"/>
    <x v="1"/>
  </r>
  <r>
    <x v="77"/>
    <x v="77"/>
    <x v="5"/>
    <x v="77"/>
    <x v="27"/>
    <x v="27"/>
    <x v="27"/>
    <x v="3"/>
    <x v="1"/>
  </r>
  <r>
    <x v="77"/>
    <x v="77"/>
    <x v="5"/>
    <x v="77"/>
    <x v="66"/>
    <x v="66"/>
    <x v="66"/>
    <x v="1"/>
    <x v="1"/>
  </r>
  <r>
    <x v="77"/>
    <x v="77"/>
    <x v="5"/>
    <x v="77"/>
    <x v="35"/>
    <x v="35"/>
    <x v="35"/>
    <x v="1"/>
    <x v="1"/>
  </r>
  <r>
    <x v="77"/>
    <x v="77"/>
    <x v="5"/>
    <x v="77"/>
    <x v="121"/>
    <x v="121"/>
    <x v="121"/>
    <x v="1"/>
    <x v="1"/>
  </r>
  <r>
    <x v="77"/>
    <x v="77"/>
    <x v="5"/>
    <x v="77"/>
    <x v="56"/>
    <x v="56"/>
    <x v="56"/>
    <x v="5"/>
    <x v="1"/>
  </r>
  <r>
    <x v="77"/>
    <x v="77"/>
    <x v="5"/>
    <x v="77"/>
    <x v="44"/>
    <x v="44"/>
    <x v="44"/>
    <x v="1"/>
    <x v="1"/>
  </r>
  <r>
    <x v="77"/>
    <x v="77"/>
    <x v="5"/>
    <x v="77"/>
    <x v="108"/>
    <x v="108"/>
    <x v="108"/>
    <x v="1"/>
    <x v="1"/>
  </r>
  <r>
    <x v="77"/>
    <x v="77"/>
    <x v="5"/>
    <x v="77"/>
    <x v="60"/>
    <x v="60"/>
    <x v="60"/>
    <x v="1"/>
    <x v="1"/>
  </r>
  <r>
    <x v="77"/>
    <x v="77"/>
    <x v="5"/>
    <x v="77"/>
    <x v="122"/>
    <x v="122"/>
    <x v="122"/>
    <x v="0"/>
    <x v="1"/>
  </r>
  <r>
    <x v="77"/>
    <x v="77"/>
    <x v="5"/>
    <x v="77"/>
    <x v="123"/>
    <x v="123"/>
    <x v="123"/>
    <x v="1"/>
    <x v="1"/>
  </r>
  <r>
    <x v="78"/>
    <x v="78"/>
    <x v="3"/>
    <x v="78"/>
    <x v="163"/>
    <x v="163"/>
    <x v="163"/>
    <x v="0"/>
    <x v="0"/>
  </r>
  <r>
    <x v="78"/>
    <x v="78"/>
    <x v="3"/>
    <x v="78"/>
    <x v="164"/>
    <x v="164"/>
    <x v="164"/>
    <x v="1"/>
    <x v="0"/>
  </r>
  <r>
    <x v="78"/>
    <x v="78"/>
    <x v="3"/>
    <x v="78"/>
    <x v="5"/>
    <x v="5"/>
    <x v="5"/>
    <x v="12"/>
    <x v="1"/>
  </r>
  <r>
    <x v="78"/>
    <x v="78"/>
    <x v="3"/>
    <x v="78"/>
    <x v="75"/>
    <x v="75"/>
    <x v="75"/>
    <x v="18"/>
    <x v="1"/>
  </r>
  <r>
    <x v="78"/>
    <x v="78"/>
    <x v="3"/>
    <x v="78"/>
    <x v="165"/>
    <x v="165"/>
    <x v="165"/>
    <x v="22"/>
    <x v="1"/>
  </r>
  <r>
    <x v="78"/>
    <x v="78"/>
    <x v="3"/>
    <x v="78"/>
    <x v="104"/>
    <x v="104"/>
    <x v="104"/>
    <x v="0"/>
    <x v="1"/>
  </r>
  <r>
    <x v="78"/>
    <x v="78"/>
    <x v="3"/>
    <x v="78"/>
    <x v="77"/>
    <x v="77"/>
    <x v="77"/>
    <x v="2"/>
    <x v="1"/>
  </r>
  <r>
    <x v="78"/>
    <x v="78"/>
    <x v="3"/>
    <x v="78"/>
    <x v="166"/>
    <x v="166"/>
    <x v="166"/>
    <x v="0"/>
    <x v="0"/>
  </r>
  <r>
    <x v="78"/>
    <x v="78"/>
    <x v="3"/>
    <x v="78"/>
    <x v="167"/>
    <x v="167"/>
    <x v="167"/>
    <x v="0"/>
    <x v="0"/>
  </r>
  <r>
    <x v="79"/>
    <x v="79"/>
    <x v="8"/>
    <x v="79"/>
    <x v="168"/>
    <x v="168"/>
    <x v="168"/>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073EED-67C0-4B28-B495-6CFE05065C9F}" name="PvtSalesSum1" cacheId="4" dataOnRows="1" applyNumberFormats="0" applyBorderFormats="0" applyFontFormats="0" applyPatternFormats="0" applyAlignmentFormats="0" applyWidthHeightFormats="1" dataCaption="データ" updatedVersion="8" showItems="0" showMultipleLabel="0" showMemberPropertyTips="0" useAutoFormatting="1" itemPrintTitles="1" indent="0" compact="0" compactData="0" gridDropZones="1" fieldListSortAscending="1">
  <location ref="A5:CF178" firstHeaderRow="1" firstDataRow="4" firstDataCol="3"/>
  <pivotFields count="9">
    <pivotField compact="0" outline="0" showAll="0" includeNewItemsInFilter="1" defaultSubtotal="0">
      <items count="80">
        <item x="74"/>
        <item x="62"/>
        <item x="73"/>
        <item x="0"/>
        <item x="4"/>
        <item x="67"/>
        <item x="44"/>
        <item x="48"/>
        <item x="34"/>
        <item x="10"/>
        <item x="16"/>
        <item x="27"/>
        <item x="66"/>
        <item x="35"/>
        <item x="49"/>
        <item x="63"/>
        <item x="40"/>
        <item x="58"/>
        <item x="28"/>
        <item x="36"/>
        <item x="50"/>
        <item x="64"/>
        <item x="41"/>
        <item x="70"/>
        <item x="77"/>
        <item x="59"/>
        <item x="54"/>
        <item x="37"/>
        <item x="51"/>
        <item x="45"/>
        <item x="69"/>
        <item x="65"/>
        <item x="42"/>
        <item x="60"/>
        <item x="18"/>
        <item x="24"/>
        <item x="3"/>
        <item x="21"/>
        <item x="33"/>
        <item x="9"/>
        <item x="71"/>
        <item x="15"/>
        <item x="26"/>
        <item x="30"/>
        <item x="6"/>
        <item x="12"/>
        <item x="23"/>
        <item x="1"/>
        <item x="68"/>
        <item x="19"/>
        <item x="38"/>
        <item x="31"/>
        <item x="7"/>
        <item x="53"/>
        <item x="13"/>
        <item x="2"/>
        <item x="55"/>
        <item x="39"/>
        <item x="56"/>
        <item x="72"/>
        <item x="20"/>
        <item x="79"/>
        <item x="61"/>
        <item x="57"/>
        <item x="17"/>
        <item x="52"/>
        <item x="46"/>
        <item x="29"/>
        <item x="43"/>
        <item x="32"/>
        <item x="8"/>
        <item x="78"/>
        <item x="14"/>
        <item x="76"/>
        <item x="47"/>
        <item x="75"/>
        <item x="22"/>
        <item x="5"/>
        <item x="11"/>
        <item x="25"/>
      </items>
    </pivotField>
    <pivotField axis="axisCol" compact="0" outline="0" showAll="0" includeNewItemsInFilter="1" defaultSubtotal="0">
      <items count="80">
        <item x="74"/>
        <item x="62"/>
        <item x="73"/>
        <item x="68"/>
        <item x="72"/>
        <item x="57"/>
        <item x="44"/>
        <item x="0"/>
        <item x="18"/>
        <item x="30"/>
        <item x="6"/>
        <item x="12"/>
        <item x="23"/>
        <item x="1"/>
        <item x="19"/>
        <item x="31"/>
        <item x="7"/>
        <item x="13"/>
        <item x="24"/>
        <item x="2"/>
        <item x="20"/>
        <item x="32"/>
        <item x="8"/>
        <item x="14"/>
        <item x="25"/>
        <item x="3"/>
        <item x="21"/>
        <item x="33"/>
        <item x="9"/>
        <item x="15"/>
        <item x="26"/>
        <item x="4"/>
        <item x="48"/>
        <item x="34"/>
        <item x="10"/>
        <item x="16"/>
        <item x="27"/>
        <item x="66"/>
        <item x="35"/>
        <item x="49"/>
        <item x="63"/>
        <item x="40"/>
        <item x="58"/>
        <item x="28"/>
        <item x="36"/>
        <item x="50"/>
        <item x="64"/>
        <item x="41"/>
        <item x="77"/>
        <item x="59"/>
        <item x="54"/>
        <item x="69"/>
        <item x="37"/>
        <item x="51"/>
        <item x="65"/>
        <item x="42"/>
        <item x="55"/>
        <item x="39"/>
        <item x="56"/>
        <item x="61"/>
        <item x="17"/>
        <item x="52"/>
        <item x="46"/>
        <item x="29"/>
        <item x="43"/>
        <item x="76"/>
        <item x="75"/>
        <item x="22"/>
        <item x="5"/>
        <item x="11"/>
        <item x="45"/>
        <item x="71"/>
        <item x="53"/>
        <item x="60"/>
        <item x="79"/>
        <item x="67"/>
        <item x="78"/>
        <item x="70"/>
        <item x="38"/>
        <item x="47"/>
      </items>
    </pivotField>
    <pivotField axis="axisCol" compact="0" outline="0" showAll="0" includeNewItemsInFilter="1" defaultSubtotal="0">
      <items count="9">
        <item x="7"/>
        <item x="6"/>
        <item x="1"/>
        <item x="0"/>
        <item x="5"/>
        <item x="8"/>
        <item x="2"/>
        <item x="4"/>
        <item x="3"/>
      </items>
    </pivotField>
    <pivotField axis="axisCol" compact="0" outline="0" showAll="0" includeNewItemsInFilter="1" defaultSubtotal="0">
      <items count="80">
        <item x="29"/>
        <item x="62"/>
        <item x="57"/>
        <item x="44"/>
        <item x="38"/>
        <item x="0"/>
        <item x="33"/>
        <item x="24"/>
        <item x="60"/>
        <item x="13"/>
        <item x="41"/>
        <item x="42"/>
        <item x="34"/>
        <item x="3"/>
        <item x="18"/>
        <item x="7"/>
        <item x="28"/>
        <item x="37"/>
        <item x="1"/>
        <item x="21"/>
        <item x="10"/>
        <item x="12"/>
        <item x="26"/>
        <item x="63"/>
        <item x="15"/>
        <item x="65"/>
        <item x="30"/>
        <item x="2"/>
        <item x="36"/>
        <item x="59"/>
        <item x="20"/>
        <item x="49"/>
        <item x="48"/>
        <item x="32"/>
        <item x="50"/>
        <item x="25"/>
        <item x="64"/>
        <item x="31"/>
        <item x="54"/>
        <item x="35"/>
        <item x="23"/>
        <item x="51"/>
        <item x="6"/>
        <item x="8"/>
        <item x="58"/>
        <item x="9"/>
        <item x="4"/>
        <item x="27"/>
        <item x="16"/>
        <item x="19"/>
        <item x="14"/>
        <item x="40"/>
        <item x="73"/>
        <item x="72"/>
        <item x="61"/>
        <item x="45"/>
        <item x="71"/>
        <item x="74"/>
        <item x="66"/>
        <item x="77"/>
        <item x="56"/>
        <item x="43"/>
        <item x="11"/>
        <item x="76"/>
        <item x="17"/>
        <item x="75"/>
        <item x="67"/>
        <item x="68"/>
        <item x="53"/>
        <item x="79"/>
        <item x="47"/>
        <item x="70"/>
        <item x="69"/>
        <item x="55"/>
        <item x="78"/>
        <item x="22"/>
        <item x="52"/>
        <item x="39"/>
        <item x="5"/>
        <item x="46"/>
      </items>
    </pivotField>
    <pivotField compact="0" outline="0" showAll="0" includeNewItemsInFilter="1" defaultSubtotal="0">
      <items count="169">
        <item x="13"/>
        <item x="66"/>
        <item x="86"/>
        <item x="19"/>
        <item x="100"/>
        <item x="55"/>
        <item x="63"/>
        <item x="47"/>
        <item x="65"/>
        <item x="77"/>
        <item x="88"/>
        <item x="78"/>
        <item x="24"/>
        <item x="2"/>
        <item x="118"/>
        <item x="161"/>
        <item x="114"/>
        <item x="7"/>
        <item x="68"/>
        <item x="80"/>
        <item x="127"/>
        <item x="120"/>
        <item x="110"/>
        <item x="158"/>
        <item x="141"/>
        <item x="146"/>
        <item x="140"/>
        <item x="142"/>
        <item x="52"/>
        <item x="122"/>
        <item x="143"/>
        <item x="29"/>
        <item x="21"/>
        <item x="81"/>
        <item x="62"/>
        <item x="32"/>
        <item x="97"/>
        <item x="28"/>
        <item x="39"/>
        <item x="45"/>
        <item x="69"/>
        <item x="56"/>
        <item x="15"/>
        <item x="144"/>
        <item x="35"/>
        <item x="108"/>
        <item x="145"/>
        <item x="105"/>
        <item x="54"/>
        <item x="27"/>
        <item x="136"/>
        <item x="126"/>
        <item x="16"/>
        <item x="44"/>
        <item x="4"/>
        <item x="155"/>
        <item x="164"/>
        <item x="3"/>
        <item x="102"/>
        <item x="25"/>
        <item x="106"/>
        <item x="124"/>
        <item x="18"/>
        <item x="58"/>
        <item x="131"/>
        <item x="0"/>
        <item x="1"/>
        <item x="36"/>
        <item x="37"/>
        <item x="82"/>
        <item x="111"/>
        <item x="133"/>
        <item x="101"/>
        <item x="61"/>
        <item x="96"/>
        <item x="42"/>
        <item x="59"/>
        <item x="46"/>
        <item x="38"/>
        <item x="31"/>
        <item x="109"/>
        <item x="73"/>
        <item x="104"/>
        <item x="84"/>
        <item x="130"/>
        <item x="72"/>
        <item x="10"/>
        <item x="166"/>
        <item x="149"/>
        <item x="152"/>
        <item x="153"/>
        <item x="139"/>
        <item x="134"/>
        <item x="51"/>
        <item x="22"/>
        <item x="30"/>
        <item x="5"/>
        <item x="23"/>
        <item x="14"/>
        <item x="163"/>
        <item x="79"/>
        <item x="67"/>
        <item x="48"/>
        <item x="138"/>
        <item x="129"/>
        <item x="12"/>
        <item x="168"/>
        <item x="53"/>
        <item x="34"/>
        <item x="83"/>
        <item x="9"/>
        <item x="89"/>
        <item x="92"/>
        <item x="87"/>
        <item x="128"/>
        <item x="159"/>
        <item x="103"/>
        <item x="154"/>
        <item x="90"/>
        <item x="135"/>
        <item x="6"/>
        <item x="125"/>
        <item x="26"/>
        <item x="75"/>
        <item x="93"/>
        <item x="64"/>
        <item x="156"/>
        <item x="71"/>
        <item x="74"/>
        <item x="11"/>
        <item x="50"/>
        <item x="119"/>
        <item x="107"/>
        <item x="121"/>
        <item x="49"/>
        <item x="57"/>
        <item x="112"/>
        <item x="94"/>
        <item x="115"/>
        <item x="148"/>
        <item x="147"/>
        <item x="116"/>
        <item x="137"/>
        <item x="41"/>
        <item x="17"/>
        <item x="113"/>
        <item x="150"/>
        <item x="60"/>
        <item x="99"/>
        <item x="123"/>
        <item x="117"/>
        <item x="167"/>
        <item x="151"/>
        <item x="162"/>
        <item x="85"/>
        <item x="43"/>
        <item x="91"/>
        <item x="20"/>
        <item x="33"/>
        <item x="95"/>
        <item x="132"/>
        <item x="40"/>
        <item x="76"/>
        <item x="70"/>
        <item x="8"/>
        <item x="160"/>
        <item x="157"/>
        <item x="165"/>
        <item x="98"/>
      </items>
    </pivotField>
    <pivotField axis="axisRow" compact="0" outline="0" showAll="0" includeNewItemsInFilter="1" defaultSubtotal="0">
      <items count="169">
        <item x="61"/>
        <item x="106"/>
        <item x="122"/>
        <item x="16"/>
        <item x="111"/>
        <item x="50"/>
        <item x="112"/>
        <item x="114"/>
        <item x="17"/>
        <item x="113"/>
        <item x="120"/>
        <item x="93"/>
        <item x="94"/>
        <item x="115"/>
        <item x="116"/>
        <item x="123"/>
        <item x="161"/>
        <item x="117"/>
        <item x="160"/>
        <item x="85"/>
        <item x="43"/>
        <item x="167"/>
        <item x="55"/>
        <item x="63"/>
        <item x="108"/>
        <item x="137"/>
        <item x="44"/>
        <item x="78"/>
        <item x="136"/>
        <item x="105"/>
        <item x="69"/>
        <item x="56"/>
        <item x="149"/>
        <item x="159"/>
        <item x="135"/>
        <item x="54"/>
        <item x="35"/>
        <item x="134"/>
        <item x="57"/>
        <item x="0"/>
        <item x="36"/>
        <item x="37"/>
        <item x="46"/>
        <item x="128"/>
        <item x="103"/>
        <item x="150"/>
        <item x="73"/>
        <item x="51"/>
        <item x="121"/>
        <item x="162"/>
        <item x="91"/>
        <item x="133"/>
        <item x="68"/>
        <item x="92"/>
        <item x="52"/>
        <item x="18"/>
        <item x="109"/>
        <item x="38"/>
        <item x="64"/>
        <item x="62"/>
        <item x="130"/>
        <item x="30"/>
        <item x="168"/>
        <item x="21"/>
        <item x="22"/>
        <item x="129"/>
        <item x="157"/>
        <item x="32"/>
        <item x="58"/>
        <item x="23"/>
        <item x="75"/>
        <item x="45"/>
        <item x="24"/>
        <item x="81"/>
        <item x="31"/>
        <item x="97"/>
        <item x="95"/>
        <item x="70"/>
        <item x="96"/>
        <item x="59"/>
        <item x="166"/>
        <item x="1"/>
        <item x="125"/>
        <item x="4"/>
        <item x="164"/>
        <item x="33"/>
        <item x="3"/>
        <item x="124"/>
        <item x="163"/>
        <item x="74"/>
        <item x="39"/>
        <item x="6"/>
        <item x="156"/>
        <item x="25"/>
        <item x="102"/>
        <item x="79"/>
        <item x="5"/>
        <item x="155"/>
        <item x="26"/>
        <item x="2"/>
        <item x="158"/>
        <item x="98"/>
        <item x="118"/>
        <item x="82"/>
        <item x="40"/>
        <item x="76"/>
        <item x="83"/>
        <item x="9"/>
        <item x="100"/>
        <item x="126"/>
        <item x="104"/>
        <item x="84"/>
        <item x="89"/>
        <item x="147"/>
        <item x="41"/>
        <item x="47"/>
        <item x="99"/>
        <item x="27"/>
        <item x="8"/>
        <item x="101"/>
        <item x="151"/>
        <item x="10"/>
        <item x="148"/>
        <item x="110"/>
        <item x="65"/>
        <item x="12"/>
        <item x="152"/>
        <item x="67"/>
        <item x="48"/>
        <item x="138"/>
        <item x="13"/>
        <item x="66"/>
        <item x="107"/>
        <item x="42"/>
        <item x="77"/>
        <item x="7"/>
        <item x="87"/>
        <item x="80"/>
        <item x="49"/>
        <item x="88"/>
        <item x="60"/>
        <item x="15"/>
        <item x="11"/>
        <item x="28"/>
        <item x="131"/>
        <item x="71"/>
        <item x="153"/>
        <item x="139"/>
        <item x="29"/>
        <item x="154"/>
        <item x="90"/>
        <item x="165"/>
        <item x="20"/>
        <item x="132"/>
        <item x="119"/>
        <item x="72"/>
        <item x="14"/>
        <item x="86"/>
        <item x="53"/>
        <item x="34"/>
        <item x="146"/>
        <item x="140"/>
        <item x="141"/>
        <item x="142"/>
        <item x="143"/>
        <item x="144"/>
        <item x="145"/>
        <item x="19"/>
        <item x="127"/>
      </items>
    </pivotField>
    <pivotField axis="axisRow" compact="0" outline="0" showAll="0" includeNewItemsInFilter="1" defaultSubtotal="0">
      <items count="169">
        <item x="117"/>
        <item x="70"/>
        <item x="104"/>
        <item x="162"/>
        <item x="78"/>
        <item x="85"/>
        <item x="120"/>
        <item x="93"/>
        <item x="64"/>
        <item x="40"/>
        <item x="114"/>
        <item x="17"/>
        <item x="113"/>
        <item x="50"/>
        <item x="63"/>
        <item x="167"/>
        <item x="87"/>
        <item x="86"/>
        <item x="103"/>
        <item x="55"/>
        <item x="106"/>
        <item x="160"/>
        <item x="116"/>
        <item x="166"/>
        <item x="1"/>
        <item x="164"/>
        <item x="115"/>
        <item x="118"/>
        <item x="168"/>
        <item x="9"/>
        <item x="163"/>
        <item x="16"/>
        <item x="69"/>
        <item x="0"/>
        <item x="53"/>
        <item x="34"/>
        <item x="8"/>
        <item x="13"/>
        <item x="42"/>
        <item x="12"/>
        <item x="109"/>
        <item x="95"/>
        <item x="84"/>
        <item x="126"/>
        <item x="89"/>
        <item x="33"/>
        <item x="57"/>
        <item x="91"/>
        <item x="121"/>
        <item x="65"/>
        <item x="44"/>
        <item x="43"/>
        <item x="151"/>
        <item x="148"/>
        <item x="98"/>
        <item x="158"/>
        <item x="41"/>
        <item x="60"/>
        <item x="101"/>
        <item x="146"/>
        <item x="152"/>
        <item x="74"/>
        <item x="38"/>
        <item x="76"/>
        <item x="100"/>
        <item x="26"/>
        <item x="127"/>
        <item x="52"/>
        <item x="66"/>
        <item x="19"/>
        <item x="112"/>
        <item x="145"/>
        <item x="110"/>
        <item x="142"/>
        <item x="140"/>
        <item x="141"/>
        <item x="24"/>
        <item x="107"/>
        <item x="105"/>
        <item x="18"/>
        <item x="128"/>
        <item x="47"/>
        <item x="99"/>
        <item x="6"/>
        <item x="39"/>
        <item x="3"/>
        <item x="92"/>
        <item x="136"/>
        <item x="61"/>
        <item x="77"/>
        <item x="37"/>
        <item x="73"/>
        <item x="59"/>
        <item x="123"/>
        <item x="96"/>
        <item x="75"/>
        <item x="23"/>
        <item x="35"/>
        <item x="134"/>
        <item x="125"/>
        <item x="4"/>
        <item x="29"/>
        <item x="165"/>
        <item x="94"/>
        <item x="15"/>
        <item x="10"/>
        <item x="153"/>
        <item x="139"/>
        <item x="45"/>
        <item x="82"/>
        <item x="147"/>
        <item x="88"/>
        <item x="49"/>
        <item x="28"/>
        <item x="131"/>
        <item x="7"/>
        <item x="51"/>
        <item x="27"/>
        <item x="144"/>
        <item x="119"/>
        <item x="14"/>
        <item x="58"/>
        <item x="102"/>
        <item x="154"/>
        <item x="90"/>
        <item x="2"/>
        <item x="30"/>
        <item x="21"/>
        <item x="72"/>
        <item x="83"/>
        <item x="150"/>
        <item x="71"/>
        <item x="155"/>
        <item x="5"/>
        <item x="62"/>
        <item x="130"/>
        <item x="124"/>
        <item x="79"/>
        <item x="122"/>
        <item x="111"/>
        <item x="25"/>
        <item x="108"/>
        <item x="137"/>
        <item x="31"/>
        <item x="81"/>
        <item x="157"/>
        <item x="22"/>
        <item x="32"/>
        <item x="129"/>
        <item x="149"/>
        <item x="159"/>
        <item x="56"/>
        <item x="135"/>
        <item x="97"/>
        <item x="11"/>
        <item x="67"/>
        <item x="138"/>
        <item x="48"/>
        <item x="80"/>
        <item x="161"/>
        <item x="36"/>
        <item x="20"/>
        <item x="132"/>
        <item x="46"/>
        <item x="68"/>
        <item x="133"/>
        <item x="156"/>
        <item x="143"/>
        <item x="54"/>
      </items>
    </pivotField>
    <pivotField dataField="1" compact="0" outline="0" showAll="0" includeNewItemsInFilter="1" defaultSubtotal="0">
      <items count="23">
        <item x="15"/>
        <item x="0"/>
        <item x="1"/>
        <item x="4"/>
        <item x="5"/>
        <item x="3"/>
        <item x="6"/>
        <item x="8"/>
        <item x="7"/>
        <item x="10"/>
        <item x="2"/>
        <item x="16"/>
        <item x="11"/>
        <item x="22"/>
        <item x="9"/>
        <item x="17"/>
        <item x="12"/>
        <item x="18"/>
        <item x="21"/>
        <item x="14"/>
        <item x="19"/>
        <item x="13"/>
        <item x="20"/>
      </items>
    </pivotField>
    <pivotField axis="axisRow" compact="0" outline="0" showAll="0" includeNewItemsInFilter="1" defaultSubtotal="0">
      <items count="3">
        <item x="2"/>
        <item x="1"/>
        <item x="0"/>
      </items>
    </pivotField>
  </pivotFields>
  <rowFields count="3">
    <field x="5"/>
    <field x="6"/>
    <field x="8"/>
  </rowFields>
  <rowItems count="170">
    <i>
      <x/>
      <x v="88"/>
      <x v="1"/>
    </i>
    <i>
      <x v="1"/>
      <x v="20"/>
      <x v="2"/>
    </i>
    <i>
      <x v="2"/>
      <x v="138"/>
      <x v="1"/>
    </i>
    <i>
      <x v="3"/>
      <x v="31"/>
      <x v="2"/>
    </i>
    <i>
      <x v="4"/>
      <x v="139"/>
      <x v="1"/>
    </i>
    <i>
      <x v="5"/>
      <x v="13"/>
      <x v="2"/>
    </i>
    <i>
      <x v="6"/>
      <x v="70"/>
      <x v="1"/>
    </i>
    <i>
      <x v="7"/>
      <x v="10"/>
      <x v="1"/>
    </i>
    <i>
      <x v="8"/>
      <x v="11"/>
      <x v="2"/>
    </i>
    <i>
      <x v="9"/>
      <x v="12"/>
      <x v="2"/>
    </i>
    <i>
      <x v="10"/>
      <x v="6"/>
      <x v="1"/>
    </i>
    <i>
      <x v="11"/>
      <x v="7"/>
      <x v="1"/>
    </i>
    <i>
      <x v="12"/>
      <x v="103"/>
      <x v="1"/>
    </i>
    <i>
      <x v="13"/>
      <x v="26"/>
      <x v="2"/>
    </i>
    <i>
      <x v="14"/>
      <x v="22"/>
      <x v="2"/>
    </i>
    <i>
      <x v="15"/>
      <x v="93"/>
      <x v="1"/>
    </i>
    <i>
      <x v="16"/>
      <x v="159"/>
      <x v="1"/>
    </i>
    <i>
      <x v="17"/>
      <x/>
      <x v="2"/>
    </i>
    <i>
      <x v="18"/>
      <x v="21"/>
      <x v="2"/>
    </i>
    <i>
      <x v="19"/>
      <x v="5"/>
      <x v="2"/>
    </i>
    <i>
      <x v="20"/>
      <x v="51"/>
      <x v="1"/>
    </i>
    <i>
      <x v="21"/>
      <x v="15"/>
      <x v="2"/>
    </i>
    <i>
      <x v="22"/>
      <x v="19"/>
      <x v="2"/>
    </i>
    <i>
      <x v="23"/>
      <x v="14"/>
      <x v="2"/>
    </i>
    <i>
      <x v="24"/>
      <x v="141"/>
      <x v="1"/>
    </i>
    <i>
      <x v="25"/>
      <x v="142"/>
      <x v="1"/>
    </i>
    <i>
      <x v="26"/>
      <x v="50"/>
      <x v="1"/>
    </i>
    <i>
      <x v="27"/>
      <x v="4"/>
      <x v="2"/>
    </i>
    <i>
      <x v="28"/>
      <x v="87"/>
      <x v="1"/>
    </i>
    <i>
      <x v="29"/>
      <x v="78"/>
      <x v="1"/>
    </i>
    <i>
      <x v="30"/>
      <x v="32"/>
      <x v="2"/>
    </i>
    <i>
      <x v="31"/>
      <x v="151"/>
      <x v="1"/>
    </i>
    <i>
      <x v="32"/>
      <x v="149"/>
      <x v="1"/>
    </i>
    <i>
      <x v="33"/>
      <x v="150"/>
      <x v="1"/>
    </i>
    <i>
      <x v="34"/>
      <x v="152"/>
      <x v="1"/>
    </i>
    <i>
      <x v="35"/>
      <x v="168"/>
      <x v="1"/>
    </i>
    <i>
      <x v="36"/>
      <x v="97"/>
      <x v="1"/>
    </i>
    <i>
      <x v="37"/>
      <x v="98"/>
      <x v="1"/>
    </i>
    <i>
      <x v="38"/>
      <x v="46"/>
      <x v="1"/>
    </i>
    <i>
      <x v="39"/>
      <x v="33"/>
      <x v="2"/>
    </i>
    <i>
      <x v="40"/>
      <x v="160"/>
      <x v="1"/>
    </i>
    <i>
      <x v="41"/>
      <x v="90"/>
      <x v="1"/>
    </i>
    <i>
      <x v="42"/>
      <x v="163"/>
      <x v="1"/>
    </i>
    <i>
      <x v="43"/>
      <x v="80"/>
      <x v="1"/>
    </i>
    <i>
      <x v="44"/>
      <x v="18"/>
      <x v="2"/>
    </i>
    <i>
      <x v="45"/>
      <x v="130"/>
      <x v="1"/>
    </i>
    <i>
      <x v="46"/>
      <x v="91"/>
      <x v="1"/>
    </i>
    <i>
      <x v="47"/>
      <x v="116"/>
      <x v="1"/>
    </i>
    <i>
      <x v="48"/>
      <x v="48"/>
      <x v="1"/>
    </i>
    <i>
      <x v="49"/>
      <x v="3"/>
      <x v="2"/>
    </i>
    <i>
      <x v="50"/>
      <x v="47"/>
      <x v="1"/>
    </i>
    <i>
      <x v="51"/>
      <x v="165"/>
      <x v="1"/>
    </i>
    <i>
      <x v="52"/>
      <x v="164"/>
      <x v="1"/>
    </i>
    <i>
      <x v="53"/>
      <x v="86"/>
      <x v="1"/>
    </i>
    <i>
      <x v="54"/>
      <x v="67"/>
      <x v="1"/>
    </i>
    <i>
      <x v="55"/>
      <x v="79"/>
      <x v="1"/>
    </i>
    <i>
      <x v="56"/>
      <x v="40"/>
      <x v="1"/>
    </i>
    <i>
      <x v="57"/>
      <x v="62"/>
      <x v="1"/>
    </i>
    <i>
      <x v="58"/>
      <x v="8"/>
      <x v="2"/>
    </i>
    <i>
      <x v="59"/>
      <x v="134"/>
      <x v="1"/>
    </i>
    <i>
      <x v="60"/>
      <x v="135"/>
      <x v="1"/>
    </i>
    <i>
      <x v="61"/>
      <x v="126"/>
      <x v="1"/>
    </i>
    <i>
      <x v="62"/>
      <x v="28"/>
      <x v="2"/>
    </i>
    <i>
      <x v="63"/>
      <x v="127"/>
      <x v="1"/>
    </i>
    <i>
      <x v="64"/>
      <x v="146"/>
      <x v="1"/>
    </i>
    <i>
      <x v="65"/>
      <x v="148"/>
      <x v="1"/>
    </i>
    <i>
      <x v="66"/>
      <x v="145"/>
      <x v="1"/>
    </i>
    <i>
      <x v="67"/>
      <x v="147"/>
      <x v="1"/>
    </i>
    <i>
      <x v="68"/>
      <x v="121"/>
      <x v="1"/>
    </i>
    <i>
      <x v="69"/>
      <x v="96"/>
      <x v="1"/>
    </i>
    <i>
      <x v="70"/>
      <x v="95"/>
      <x v="1"/>
    </i>
    <i>
      <x v="71"/>
      <x v="108"/>
      <x v="1"/>
    </i>
    <i>
      <x v="72"/>
      <x v="76"/>
      <x v="1"/>
    </i>
    <i>
      <x v="73"/>
      <x v="144"/>
      <x v="1"/>
    </i>
    <i>
      <x v="74"/>
      <x v="143"/>
      <x v="1"/>
    </i>
    <i>
      <x v="75"/>
      <x v="153"/>
      <x v="1"/>
    </i>
    <i>
      <x v="76"/>
      <x v="41"/>
      <x v="1"/>
    </i>
    <i>
      <x v="77"/>
      <x v="1"/>
      <x v="2"/>
    </i>
    <i>
      <x v="78"/>
      <x v="94"/>
      <x v="1"/>
    </i>
    <i>
      <x v="79"/>
      <x v="92"/>
      <x v="1"/>
    </i>
    <i>
      <x v="80"/>
      <x v="23"/>
      <x v="2"/>
    </i>
    <i>
      <x v="81"/>
      <x v="24"/>
      <x v="2"/>
    </i>
    <i>
      <x v="82"/>
      <x v="99"/>
      <x v="1"/>
    </i>
    <i>
      <x v="83"/>
      <x v="100"/>
      <x v="1"/>
    </i>
    <i>
      <x v="84"/>
      <x v="25"/>
      <x v="2"/>
    </i>
    <i>
      <x v="85"/>
      <x v="45"/>
      <x v="1"/>
    </i>
    <i>
      <x v="86"/>
      <x v="85"/>
      <x v="1"/>
    </i>
    <i>
      <x v="87"/>
      <x v="136"/>
      <x v="1"/>
    </i>
    <i>
      <x v="88"/>
      <x v="30"/>
      <x v="2"/>
    </i>
    <i>
      <x v="89"/>
      <x v="61"/>
      <x v="1"/>
    </i>
    <i>
      <x v="90"/>
      <x v="84"/>
      <x v="1"/>
    </i>
    <i>
      <x v="91"/>
      <x v="83"/>
      <x v="1"/>
    </i>
    <i>
      <x v="92"/>
      <x v="166"/>
      <x v="1"/>
    </i>
    <i>
      <x v="93"/>
      <x v="140"/>
      <x v="1"/>
    </i>
    <i>
      <x v="94"/>
      <x v="122"/>
      <x v="1"/>
    </i>
    <i>
      <x v="95"/>
      <x v="137"/>
      <x v="1"/>
    </i>
    <i>
      <x v="96"/>
      <x v="133"/>
      <x v="1"/>
    </i>
    <i>
      <x v="97"/>
      <x v="132"/>
      <x v="1"/>
    </i>
    <i>
      <x v="98"/>
      <x v="65"/>
      <x v="1"/>
    </i>
    <i>
      <x v="99"/>
      <x v="125"/>
      <x v="1"/>
    </i>
    <i>
      <x v="100"/>
      <x v="55"/>
      <x v="1"/>
    </i>
    <i>
      <x v="101"/>
      <x v="54"/>
      <x v="1"/>
    </i>
    <i>
      <x v="102"/>
      <x v="27"/>
      <x v="1"/>
    </i>
    <i>
      <x v="103"/>
      <x v="109"/>
      <x v="1"/>
    </i>
    <i>
      <x v="104"/>
      <x v="9"/>
      <x v="1"/>
    </i>
    <i>
      <x v="105"/>
      <x v="63"/>
      <x v="1"/>
    </i>
    <i>
      <x v="106"/>
      <x v="129"/>
      <x v="1"/>
    </i>
    <i>
      <x v="107"/>
      <x v="29"/>
      <x v="1"/>
    </i>
    <i>
      <x v="108"/>
      <x v="64"/>
      <x v="1"/>
    </i>
    <i>
      <x v="109"/>
      <x v="43"/>
      <x v="1"/>
    </i>
    <i>
      <x v="110"/>
      <x v="2"/>
      <x v="1"/>
    </i>
    <i>
      <x v="111"/>
      <x v="42"/>
      <x v="1"/>
    </i>
    <i>
      <x v="112"/>
      <x v="44"/>
      <x v="1"/>
    </i>
    <i>
      <x v="113"/>
      <x v="110"/>
      <x v="1"/>
    </i>
    <i>
      <x v="114"/>
      <x v="56"/>
      <x v="1"/>
    </i>
    <i>
      <x v="115"/>
      <x v="81"/>
      <x v="1"/>
    </i>
    <i>
      <x v="116"/>
      <x v="82"/>
      <x v="1"/>
    </i>
    <i>
      <x v="117"/>
      <x v="117"/>
      <x v="1"/>
    </i>
    <i>
      <x v="118"/>
      <x v="36"/>
      <x v="1"/>
    </i>
    <i>
      <x v="119"/>
      <x v="58"/>
      <x v="1"/>
    </i>
    <i>
      <x v="120"/>
      <x v="52"/>
      <x v="1"/>
    </i>
    <i>
      <x v="121"/>
      <x v="105"/>
      <x v="1"/>
    </i>
    <i>
      <x v="122"/>
      <x v="53"/>
      <x v="1"/>
    </i>
    <i>
      <x v="123"/>
      <x v="72"/>
      <x v="1"/>
    </i>
    <i>
      <x v="124"/>
      <x v="49"/>
      <x v="1"/>
    </i>
    <i>
      <x v="125"/>
      <x v="39"/>
      <x v="1"/>
    </i>
    <i>
      <x v="126"/>
      <x v="60"/>
      <x v="1"/>
    </i>
    <i>
      <x v="127"/>
      <x v="155"/>
      <x v="1"/>
    </i>
    <i>
      <x v="128"/>
      <x v="157"/>
      <x v="1"/>
    </i>
    <i>
      <x v="129"/>
      <x v="156"/>
      <x v="1"/>
    </i>
    <i>
      <x v="130"/>
      <x v="37"/>
      <x v="1"/>
    </i>
    <i>
      <x v="131"/>
      <x v="68"/>
      <x v="1"/>
    </i>
    <i>
      <x v="132"/>
      <x v="77"/>
      <x v="1"/>
    </i>
    <i>
      <x v="133"/>
      <x v="38"/>
      <x v="1"/>
    </i>
    <i>
      <x v="134"/>
      <x v="89"/>
      <x v="1"/>
    </i>
    <i>
      <x v="135"/>
      <x v="115"/>
      <x v="1"/>
    </i>
    <i>
      <x v="136"/>
      <x v="16"/>
      <x v="1"/>
    </i>
    <i>
      <x v="137"/>
      <x v="158"/>
      <x v="1"/>
    </i>
    <i>
      <x v="138"/>
      <x v="112"/>
      <x v="1"/>
    </i>
    <i>
      <x v="139"/>
      <x v="111"/>
      <x v="1"/>
    </i>
    <i>
      <x v="140"/>
      <x v="57"/>
      <x v="1"/>
    </i>
    <i>
      <x v="141"/>
      <x v="104"/>
      <x v="1"/>
    </i>
    <i>
      <x v="142"/>
      <x v="154"/>
      <x v="1"/>
    </i>
    <i>
      <x v="143"/>
      <x v="113"/>
      <x v="1"/>
    </i>
    <i>
      <x v="144"/>
      <x v="114"/>
      <x v="1"/>
    </i>
    <i>
      <x v="145"/>
      <x v="131"/>
      <x v="1"/>
    </i>
    <i>
      <x v="146"/>
      <x v="106"/>
      <x v="1"/>
    </i>
    <i>
      <x v="147"/>
      <x v="107"/>
      <x v="1"/>
    </i>
    <i>
      <x v="148"/>
      <x v="101"/>
      <x v="1"/>
    </i>
    <i>
      <x v="149"/>
      <x v="123"/>
      <x v="1"/>
    </i>
    <i>
      <x v="150"/>
      <x v="124"/>
      <x v="1"/>
    </i>
    <i>
      <x v="151"/>
      <x v="102"/>
      <x v="1"/>
    </i>
    <i>
      <x v="152"/>
      <x v="161"/>
      <x v="1"/>
    </i>
    <i>
      <x v="153"/>
      <x v="162"/>
      <x v="1"/>
    </i>
    <i>
      <x v="154"/>
      <x v="119"/>
      <x v="1"/>
    </i>
    <i>
      <x v="155"/>
      <x v="128"/>
      <x v="1"/>
    </i>
    <i>
      <x v="156"/>
      <x v="120"/>
      <x v="1"/>
    </i>
    <i>
      <x v="157"/>
      <x v="17"/>
      <x v="2"/>
    </i>
    <i>
      <x v="158"/>
      <x v="34"/>
      <x v="2"/>
    </i>
    <i>
      <x v="159"/>
      <x v="35"/>
      <x v="2"/>
    </i>
    <i>
      <x v="160"/>
      <x v="59"/>
      <x/>
    </i>
    <i>
      <x v="161"/>
      <x v="74"/>
      <x/>
    </i>
    <i>
      <x v="162"/>
      <x v="75"/>
      <x/>
    </i>
    <i>
      <x v="163"/>
      <x v="73"/>
      <x/>
    </i>
    <i>
      <x v="164"/>
      <x v="167"/>
      <x/>
    </i>
    <i>
      <x v="165"/>
      <x v="118"/>
      <x/>
    </i>
    <i>
      <x v="166"/>
      <x v="71"/>
      <x/>
    </i>
    <i>
      <x v="167"/>
      <x v="69"/>
      <x/>
    </i>
    <i>
      <x v="168"/>
      <x v="66"/>
      <x v="1"/>
    </i>
    <i t="grand">
      <x/>
    </i>
  </rowItems>
  <colFields count="3">
    <field x="1"/>
    <field x="2"/>
    <field x="3"/>
  </colFields>
  <colItems count="81">
    <i>
      <x/>
      <x v="4"/>
      <x v="57"/>
    </i>
    <i>
      <x v="1"/>
      <x v="2"/>
      <x v="1"/>
    </i>
    <i>
      <x v="2"/>
      <x v="4"/>
      <x v="52"/>
    </i>
    <i>
      <x v="3"/>
      <x v="4"/>
      <x v="67"/>
    </i>
    <i>
      <x v="4"/>
      <x v="4"/>
      <x v="53"/>
    </i>
    <i>
      <x v="5"/>
      <x v="4"/>
      <x v="2"/>
    </i>
    <i>
      <x v="6"/>
      <x v="4"/>
      <x v="3"/>
    </i>
    <i>
      <x v="7"/>
      <x v="3"/>
      <x v="5"/>
    </i>
    <i>
      <x v="8"/>
      <x v="3"/>
      <x v="14"/>
    </i>
    <i>
      <x v="9"/>
      <x v="3"/>
      <x v="26"/>
    </i>
    <i>
      <x v="10"/>
      <x v="3"/>
      <x v="42"/>
    </i>
    <i>
      <x v="11"/>
      <x v="3"/>
      <x v="21"/>
    </i>
    <i>
      <x v="12"/>
      <x v="3"/>
      <x v="40"/>
    </i>
    <i>
      <x v="13"/>
      <x v="3"/>
      <x v="18"/>
    </i>
    <i>
      <x v="14"/>
      <x v="3"/>
      <x v="49"/>
    </i>
    <i>
      <x v="15"/>
      <x v="3"/>
      <x v="37"/>
    </i>
    <i>
      <x v="16"/>
      <x v="3"/>
      <x v="15"/>
    </i>
    <i>
      <x v="17"/>
      <x v="3"/>
      <x v="9"/>
    </i>
    <i>
      <x v="18"/>
      <x v="3"/>
      <x v="7"/>
    </i>
    <i>
      <x v="19"/>
      <x v="3"/>
      <x v="27"/>
    </i>
    <i>
      <x v="20"/>
      <x v="3"/>
      <x v="30"/>
    </i>
    <i>
      <x v="21"/>
      <x v="3"/>
      <x v="33"/>
    </i>
    <i>
      <x v="22"/>
      <x v="3"/>
      <x v="43"/>
    </i>
    <i>
      <x v="23"/>
      <x v="3"/>
      <x v="50"/>
    </i>
    <i>
      <x v="24"/>
      <x v="3"/>
      <x v="35"/>
    </i>
    <i>
      <x v="25"/>
      <x v="3"/>
      <x v="13"/>
    </i>
    <i>
      <x v="26"/>
      <x v="3"/>
      <x v="19"/>
    </i>
    <i>
      <x v="27"/>
      <x v="3"/>
      <x v="6"/>
    </i>
    <i>
      <x v="28"/>
      <x v="3"/>
      <x v="45"/>
    </i>
    <i>
      <x v="29"/>
      <x v="3"/>
      <x v="24"/>
    </i>
    <i>
      <x v="30"/>
      <x v="3"/>
      <x v="22"/>
    </i>
    <i>
      <x v="31"/>
      <x v="3"/>
      <x v="46"/>
    </i>
    <i>
      <x v="32"/>
      <x v="3"/>
      <x v="32"/>
    </i>
    <i>
      <x v="33"/>
      <x v="3"/>
      <x v="12"/>
    </i>
    <i>
      <x v="34"/>
      <x v="3"/>
      <x v="20"/>
    </i>
    <i>
      <x v="35"/>
      <x v="3"/>
      <x v="48"/>
    </i>
    <i>
      <x v="36"/>
      <x v="3"/>
      <x v="47"/>
    </i>
    <i>
      <x v="37"/>
      <x v="4"/>
      <x v="58"/>
    </i>
    <i>
      <x v="38"/>
      <x v="3"/>
      <x v="39"/>
    </i>
    <i>
      <x v="39"/>
      <x v="3"/>
      <x v="31"/>
    </i>
    <i>
      <x v="40"/>
      <x v="3"/>
      <x v="23"/>
    </i>
    <i>
      <x v="41"/>
      <x v="3"/>
      <x v="51"/>
    </i>
    <i>
      <x v="42"/>
      <x v="3"/>
      <x v="44"/>
    </i>
    <i>
      <x v="43"/>
      <x v="3"/>
      <x v="16"/>
    </i>
    <i>
      <x v="44"/>
      <x v="3"/>
      <x v="28"/>
    </i>
    <i>
      <x v="45"/>
      <x v="3"/>
      <x v="34"/>
    </i>
    <i>
      <x v="46"/>
      <x v="3"/>
      <x v="36"/>
    </i>
    <i>
      <x v="47"/>
      <x v="3"/>
      <x v="10"/>
    </i>
    <i>
      <x v="48"/>
      <x v="4"/>
      <x v="59"/>
    </i>
    <i>
      <x v="49"/>
      <x v="3"/>
      <x v="29"/>
    </i>
    <i>
      <x v="50"/>
      <x v="3"/>
      <x v="38"/>
    </i>
    <i>
      <x v="51"/>
      <x v="6"/>
      <x v="72"/>
    </i>
    <i>
      <x v="52"/>
      <x v="3"/>
      <x v="17"/>
    </i>
    <i>
      <x v="53"/>
      <x v="3"/>
      <x v="41"/>
    </i>
    <i>
      <x v="54"/>
      <x v="3"/>
      <x v="25"/>
    </i>
    <i>
      <x v="55"/>
      <x v="3"/>
      <x v="11"/>
    </i>
    <i>
      <x v="56"/>
      <x v="8"/>
      <x v="73"/>
    </i>
    <i>
      <x v="57"/>
      <x v="2"/>
      <x v="77"/>
    </i>
    <i>
      <x v="58"/>
      <x v="6"/>
      <x v="60"/>
    </i>
    <i>
      <x v="59"/>
      <x v="8"/>
      <x v="54"/>
    </i>
    <i>
      <x v="60"/>
      <x v="6"/>
      <x v="64"/>
    </i>
    <i>
      <x v="61"/>
      <x v="8"/>
      <x v="76"/>
    </i>
    <i>
      <x v="62"/>
      <x v="2"/>
      <x v="79"/>
    </i>
    <i>
      <x v="63"/>
      <x v="6"/>
      <x/>
    </i>
    <i>
      <x v="64"/>
      <x v="6"/>
      <x v="61"/>
    </i>
    <i>
      <x v="65"/>
      <x v="6"/>
      <x v="63"/>
    </i>
    <i>
      <x v="66"/>
      <x v="8"/>
      <x v="65"/>
    </i>
    <i>
      <x v="67"/>
      <x v="8"/>
      <x v="75"/>
    </i>
    <i>
      <x v="68"/>
      <x v="2"/>
      <x v="78"/>
    </i>
    <i>
      <x v="69"/>
      <x v="6"/>
      <x v="62"/>
    </i>
    <i>
      <x v="70"/>
      <x v="4"/>
      <x v="55"/>
    </i>
    <i>
      <x v="71"/>
      <x v="4"/>
      <x v="56"/>
    </i>
    <i>
      <x v="72"/>
      <x v="4"/>
      <x v="68"/>
    </i>
    <i>
      <x v="73"/>
      <x v="3"/>
      <x v="8"/>
    </i>
    <i>
      <x v="74"/>
      <x v="5"/>
      <x v="69"/>
    </i>
    <i>
      <x v="75"/>
      <x/>
      <x v="66"/>
    </i>
    <i>
      <x v="76"/>
      <x v="8"/>
      <x v="74"/>
    </i>
    <i>
      <x v="77"/>
      <x v="1"/>
      <x v="71"/>
    </i>
    <i>
      <x v="78"/>
      <x v="7"/>
      <x v="4"/>
    </i>
    <i>
      <x v="79"/>
      <x v="1"/>
      <x v="70"/>
    </i>
    <i t="grand">
      <x/>
    </i>
  </colItems>
  <dataFields count="1">
    <dataField name="合計 / 数量" fld="7" baseField="0" baseItem="0"/>
  </dataFields>
  <formats count="930">
    <format dxfId="934">
      <pivotArea type="all" dataOnly="0" outline="0" fieldPosition="0"/>
    </format>
    <format dxfId="933">
      <pivotArea outline="0" fieldPosition="0"/>
    </format>
    <format dxfId="932">
      <pivotArea field="1" type="button" dataOnly="0" labelOnly="1" outline="0" axis="axisCol" fieldPosition="0"/>
    </format>
    <format dxfId="931">
      <pivotArea field="2" type="button" dataOnly="0" labelOnly="1" outline="0" axis="axisCol" fieldPosition="1"/>
    </format>
    <format dxfId="930">
      <pivotArea field="3" type="button" dataOnly="0" labelOnly="1" outline="0" axis="axisCol" fieldPosition="2"/>
    </format>
    <format dxfId="929">
      <pivotArea type="topRight" dataOnly="0" labelOnly="1" outline="0" fieldPosition="0"/>
    </format>
    <format dxfId="928">
      <pivotArea dataOnly="0" labelOnly="1" outline="0" fieldPosition="0">
        <references count="2">
          <reference field="5" count="1" selected="0">
            <x v="0"/>
          </reference>
          <reference field="6" count="1">
            <x v="88"/>
          </reference>
        </references>
      </pivotArea>
    </format>
    <format dxfId="927">
      <pivotArea dataOnly="0" labelOnly="1" outline="0" fieldPosition="0">
        <references count="2">
          <reference field="5" count="1" selected="0">
            <x v="1"/>
          </reference>
          <reference field="6" count="1">
            <x v="20"/>
          </reference>
        </references>
      </pivotArea>
    </format>
    <format dxfId="926">
      <pivotArea dataOnly="0" labelOnly="1" outline="0" fieldPosition="0">
        <references count="2">
          <reference field="5" count="1" selected="0">
            <x v="2"/>
          </reference>
          <reference field="6" count="1">
            <x v="138"/>
          </reference>
        </references>
      </pivotArea>
    </format>
    <format dxfId="925">
      <pivotArea dataOnly="0" labelOnly="1" outline="0" fieldPosition="0">
        <references count="2">
          <reference field="5" count="1" selected="0">
            <x v="3"/>
          </reference>
          <reference field="6" count="1">
            <x v="31"/>
          </reference>
        </references>
      </pivotArea>
    </format>
    <format dxfId="924">
      <pivotArea dataOnly="0" labelOnly="1" outline="0" fieldPosition="0">
        <references count="2">
          <reference field="5" count="1" selected="0">
            <x v="4"/>
          </reference>
          <reference field="6" count="1">
            <x v="139"/>
          </reference>
        </references>
      </pivotArea>
    </format>
    <format dxfId="923">
      <pivotArea dataOnly="0" labelOnly="1" outline="0" fieldPosition="0">
        <references count="2">
          <reference field="5" count="1" selected="0">
            <x v="5"/>
          </reference>
          <reference field="6" count="1">
            <x v="13"/>
          </reference>
        </references>
      </pivotArea>
    </format>
    <format dxfId="922">
      <pivotArea dataOnly="0" labelOnly="1" outline="0" fieldPosition="0">
        <references count="2">
          <reference field="5" count="1" selected="0">
            <x v="6"/>
          </reference>
          <reference field="6" count="1">
            <x v="70"/>
          </reference>
        </references>
      </pivotArea>
    </format>
    <format dxfId="921">
      <pivotArea dataOnly="0" labelOnly="1" outline="0" fieldPosition="0">
        <references count="2">
          <reference field="5" count="1" selected="0">
            <x v="7"/>
          </reference>
          <reference field="6" count="1">
            <x v="10"/>
          </reference>
        </references>
      </pivotArea>
    </format>
    <format dxfId="920">
      <pivotArea dataOnly="0" labelOnly="1" outline="0" fieldPosition="0">
        <references count="2">
          <reference field="5" count="1" selected="0">
            <x v="8"/>
          </reference>
          <reference field="6" count="1">
            <x v="11"/>
          </reference>
        </references>
      </pivotArea>
    </format>
    <format dxfId="919">
      <pivotArea dataOnly="0" labelOnly="1" outline="0" fieldPosition="0">
        <references count="2">
          <reference field="5" count="1" selected="0">
            <x v="9"/>
          </reference>
          <reference field="6" count="1">
            <x v="12"/>
          </reference>
        </references>
      </pivotArea>
    </format>
    <format dxfId="918">
      <pivotArea dataOnly="0" labelOnly="1" outline="0" fieldPosition="0">
        <references count="2">
          <reference field="5" count="1" selected="0">
            <x v="10"/>
          </reference>
          <reference field="6" count="1">
            <x v="6"/>
          </reference>
        </references>
      </pivotArea>
    </format>
    <format dxfId="917">
      <pivotArea dataOnly="0" labelOnly="1" outline="0" fieldPosition="0">
        <references count="2">
          <reference field="5" count="1" selected="0">
            <x v="11"/>
          </reference>
          <reference field="6" count="1">
            <x v="7"/>
          </reference>
        </references>
      </pivotArea>
    </format>
    <format dxfId="916">
      <pivotArea dataOnly="0" labelOnly="1" outline="0" fieldPosition="0">
        <references count="2">
          <reference field="5" count="1" selected="0">
            <x v="12"/>
          </reference>
          <reference field="6" count="1">
            <x v="103"/>
          </reference>
        </references>
      </pivotArea>
    </format>
    <format dxfId="915">
      <pivotArea dataOnly="0" labelOnly="1" outline="0" fieldPosition="0">
        <references count="2">
          <reference field="5" count="1" selected="0">
            <x v="13"/>
          </reference>
          <reference field="6" count="1">
            <x v="26"/>
          </reference>
        </references>
      </pivotArea>
    </format>
    <format dxfId="914">
      <pivotArea dataOnly="0" labelOnly="1" outline="0" fieldPosition="0">
        <references count="2">
          <reference field="5" count="1" selected="0">
            <x v="14"/>
          </reference>
          <reference field="6" count="1">
            <x v="22"/>
          </reference>
        </references>
      </pivotArea>
    </format>
    <format dxfId="913">
      <pivotArea dataOnly="0" labelOnly="1" outline="0" fieldPosition="0">
        <references count="2">
          <reference field="5" count="1" selected="0">
            <x v="15"/>
          </reference>
          <reference field="6" count="1">
            <x v="93"/>
          </reference>
        </references>
      </pivotArea>
    </format>
    <format dxfId="912">
      <pivotArea dataOnly="0" labelOnly="1" outline="0" fieldPosition="0">
        <references count="2">
          <reference field="5" count="1" selected="0">
            <x v="16"/>
          </reference>
          <reference field="6" count="1">
            <x v="159"/>
          </reference>
        </references>
      </pivotArea>
    </format>
    <format dxfId="911">
      <pivotArea dataOnly="0" labelOnly="1" outline="0" fieldPosition="0">
        <references count="2">
          <reference field="5" count="1" selected="0">
            <x v="17"/>
          </reference>
          <reference field="6" count="1">
            <x v="0"/>
          </reference>
        </references>
      </pivotArea>
    </format>
    <format dxfId="910">
      <pivotArea dataOnly="0" labelOnly="1" outline="0" fieldPosition="0">
        <references count="2">
          <reference field="5" count="1" selected="0">
            <x v="18"/>
          </reference>
          <reference field="6" count="1">
            <x v="21"/>
          </reference>
        </references>
      </pivotArea>
    </format>
    <format dxfId="909">
      <pivotArea dataOnly="0" labelOnly="1" outline="0" fieldPosition="0">
        <references count="2">
          <reference field="5" count="1" selected="0">
            <x v="19"/>
          </reference>
          <reference field="6" count="1">
            <x v="5"/>
          </reference>
        </references>
      </pivotArea>
    </format>
    <format dxfId="908">
      <pivotArea dataOnly="0" labelOnly="1" outline="0" fieldPosition="0">
        <references count="2">
          <reference field="5" count="1" selected="0">
            <x v="20"/>
          </reference>
          <reference field="6" count="1">
            <x v="51"/>
          </reference>
        </references>
      </pivotArea>
    </format>
    <format dxfId="907">
      <pivotArea dataOnly="0" labelOnly="1" outline="0" fieldPosition="0">
        <references count="2">
          <reference field="5" count="1" selected="0">
            <x v="21"/>
          </reference>
          <reference field="6" count="1">
            <x v="15"/>
          </reference>
        </references>
      </pivotArea>
    </format>
    <format dxfId="906">
      <pivotArea dataOnly="0" labelOnly="1" outline="0" fieldPosition="0">
        <references count="2">
          <reference field="5" count="1" selected="0">
            <x v="22"/>
          </reference>
          <reference field="6" count="1">
            <x v="19"/>
          </reference>
        </references>
      </pivotArea>
    </format>
    <format dxfId="905">
      <pivotArea dataOnly="0" labelOnly="1" outline="0" fieldPosition="0">
        <references count="2">
          <reference field="5" count="1" selected="0">
            <x v="23"/>
          </reference>
          <reference field="6" count="1">
            <x v="14"/>
          </reference>
        </references>
      </pivotArea>
    </format>
    <format dxfId="904">
      <pivotArea dataOnly="0" labelOnly="1" outline="0" fieldPosition="0">
        <references count="2">
          <reference field="5" count="1" selected="0">
            <x v="24"/>
          </reference>
          <reference field="6" count="1">
            <x v="141"/>
          </reference>
        </references>
      </pivotArea>
    </format>
    <format dxfId="903">
      <pivotArea dataOnly="0" labelOnly="1" outline="0" fieldPosition="0">
        <references count="2">
          <reference field="5" count="1" selected="0">
            <x v="25"/>
          </reference>
          <reference field="6" count="1">
            <x v="142"/>
          </reference>
        </references>
      </pivotArea>
    </format>
    <format dxfId="902">
      <pivotArea dataOnly="0" labelOnly="1" outline="0" fieldPosition="0">
        <references count="2">
          <reference field="5" count="1" selected="0">
            <x v="26"/>
          </reference>
          <reference field="6" count="1">
            <x v="50"/>
          </reference>
        </references>
      </pivotArea>
    </format>
    <format dxfId="901">
      <pivotArea dataOnly="0" labelOnly="1" outline="0" fieldPosition="0">
        <references count="2">
          <reference field="5" count="1" selected="0">
            <x v="27"/>
          </reference>
          <reference field="6" count="1">
            <x v="4"/>
          </reference>
        </references>
      </pivotArea>
    </format>
    <format dxfId="900">
      <pivotArea dataOnly="0" labelOnly="1" outline="0" fieldPosition="0">
        <references count="2">
          <reference field="5" count="1" selected="0">
            <x v="28"/>
          </reference>
          <reference field="6" count="1">
            <x v="87"/>
          </reference>
        </references>
      </pivotArea>
    </format>
    <format dxfId="899">
      <pivotArea dataOnly="0" labelOnly="1" outline="0" fieldPosition="0">
        <references count="2">
          <reference field="5" count="1" selected="0">
            <x v="29"/>
          </reference>
          <reference field="6" count="1">
            <x v="78"/>
          </reference>
        </references>
      </pivotArea>
    </format>
    <format dxfId="898">
      <pivotArea dataOnly="0" labelOnly="1" outline="0" fieldPosition="0">
        <references count="2">
          <reference field="5" count="1" selected="0">
            <x v="30"/>
          </reference>
          <reference field="6" count="1">
            <x v="32"/>
          </reference>
        </references>
      </pivotArea>
    </format>
    <format dxfId="897">
      <pivotArea dataOnly="0" labelOnly="1" outline="0" fieldPosition="0">
        <references count="2">
          <reference field="5" count="1" selected="0">
            <x v="31"/>
          </reference>
          <reference field="6" count="1">
            <x v="151"/>
          </reference>
        </references>
      </pivotArea>
    </format>
    <format dxfId="896">
      <pivotArea dataOnly="0" labelOnly="1" outline="0" fieldPosition="0">
        <references count="2">
          <reference field="5" count="1" selected="0">
            <x v="32"/>
          </reference>
          <reference field="6" count="1">
            <x v="149"/>
          </reference>
        </references>
      </pivotArea>
    </format>
    <format dxfId="895">
      <pivotArea dataOnly="0" labelOnly="1" outline="0" fieldPosition="0">
        <references count="2">
          <reference field="5" count="1" selected="0">
            <x v="33"/>
          </reference>
          <reference field="6" count="1">
            <x v="150"/>
          </reference>
        </references>
      </pivotArea>
    </format>
    <format dxfId="894">
      <pivotArea dataOnly="0" labelOnly="1" outline="0" fieldPosition="0">
        <references count="2">
          <reference field="5" count="1" selected="0">
            <x v="34"/>
          </reference>
          <reference field="6" count="1">
            <x v="152"/>
          </reference>
        </references>
      </pivotArea>
    </format>
    <format dxfId="893">
      <pivotArea dataOnly="0" labelOnly="1" outline="0" fieldPosition="0">
        <references count="2">
          <reference field="5" count="1" selected="0">
            <x v="35"/>
          </reference>
          <reference field="6" count="1">
            <x v="168"/>
          </reference>
        </references>
      </pivotArea>
    </format>
    <format dxfId="892">
      <pivotArea dataOnly="0" labelOnly="1" outline="0" fieldPosition="0">
        <references count="2">
          <reference field="5" count="1" selected="0">
            <x v="36"/>
          </reference>
          <reference field="6" count="1">
            <x v="97"/>
          </reference>
        </references>
      </pivotArea>
    </format>
    <format dxfId="891">
      <pivotArea dataOnly="0" labelOnly="1" outline="0" fieldPosition="0">
        <references count="2">
          <reference field="5" count="1" selected="0">
            <x v="37"/>
          </reference>
          <reference field="6" count="1">
            <x v="98"/>
          </reference>
        </references>
      </pivotArea>
    </format>
    <format dxfId="890">
      <pivotArea dataOnly="0" labelOnly="1" outline="0" fieldPosition="0">
        <references count="2">
          <reference field="5" count="1" selected="0">
            <x v="38"/>
          </reference>
          <reference field="6" count="1">
            <x v="46"/>
          </reference>
        </references>
      </pivotArea>
    </format>
    <format dxfId="889">
      <pivotArea dataOnly="0" labelOnly="1" outline="0" fieldPosition="0">
        <references count="2">
          <reference field="5" count="1" selected="0">
            <x v="39"/>
          </reference>
          <reference field="6" count="1">
            <x v="33"/>
          </reference>
        </references>
      </pivotArea>
    </format>
    <format dxfId="888">
      <pivotArea dataOnly="0" labelOnly="1" outline="0" fieldPosition="0">
        <references count="2">
          <reference field="5" count="1" selected="0">
            <x v="40"/>
          </reference>
          <reference field="6" count="1">
            <x v="160"/>
          </reference>
        </references>
      </pivotArea>
    </format>
    <format dxfId="887">
      <pivotArea dataOnly="0" labelOnly="1" outline="0" fieldPosition="0">
        <references count="2">
          <reference field="5" count="1" selected="0">
            <x v="41"/>
          </reference>
          <reference field="6" count="1">
            <x v="90"/>
          </reference>
        </references>
      </pivotArea>
    </format>
    <format dxfId="886">
      <pivotArea dataOnly="0" labelOnly="1" outline="0" fieldPosition="0">
        <references count="2">
          <reference field="5" count="1" selected="0">
            <x v="42"/>
          </reference>
          <reference field="6" count="1">
            <x v="163"/>
          </reference>
        </references>
      </pivotArea>
    </format>
    <format dxfId="885">
      <pivotArea dataOnly="0" labelOnly="1" outline="0" fieldPosition="0">
        <references count="2">
          <reference field="5" count="1" selected="0">
            <x v="43"/>
          </reference>
          <reference field="6" count="1">
            <x v="80"/>
          </reference>
        </references>
      </pivotArea>
    </format>
    <format dxfId="884">
      <pivotArea dataOnly="0" labelOnly="1" outline="0" fieldPosition="0">
        <references count="2">
          <reference field="5" count="1" selected="0">
            <x v="44"/>
          </reference>
          <reference field="6" count="1">
            <x v="18"/>
          </reference>
        </references>
      </pivotArea>
    </format>
    <format dxfId="883">
      <pivotArea dataOnly="0" labelOnly="1" outline="0" fieldPosition="0">
        <references count="2">
          <reference field="5" count="1" selected="0">
            <x v="45"/>
          </reference>
          <reference field="6" count="1">
            <x v="130"/>
          </reference>
        </references>
      </pivotArea>
    </format>
    <format dxfId="882">
      <pivotArea dataOnly="0" labelOnly="1" outline="0" fieldPosition="0">
        <references count="2">
          <reference field="5" count="1" selected="0">
            <x v="46"/>
          </reference>
          <reference field="6" count="1">
            <x v="91"/>
          </reference>
        </references>
      </pivotArea>
    </format>
    <format dxfId="881">
      <pivotArea dataOnly="0" labelOnly="1" outline="0" fieldPosition="0">
        <references count="2">
          <reference field="5" count="1" selected="0">
            <x v="47"/>
          </reference>
          <reference field="6" count="1">
            <x v="116"/>
          </reference>
        </references>
      </pivotArea>
    </format>
    <format dxfId="880">
      <pivotArea dataOnly="0" labelOnly="1" outline="0" fieldPosition="0">
        <references count="2">
          <reference field="5" count="1" selected="0">
            <x v="48"/>
          </reference>
          <reference field="6" count="1">
            <x v="48"/>
          </reference>
        </references>
      </pivotArea>
    </format>
    <format dxfId="879">
      <pivotArea dataOnly="0" labelOnly="1" outline="0" fieldPosition="0">
        <references count="2">
          <reference field="5" count="1" selected="0">
            <x v="49"/>
          </reference>
          <reference field="6" count="1">
            <x v="3"/>
          </reference>
        </references>
      </pivotArea>
    </format>
    <format dxfId="878">
      <pivotArea dataOnly="0" labelOnly="1" outline="0" fieldPosition="0">
        <references count="2">
          <reference field="5" count="1" selected="0">
            <x v="50"/>
          </reference>
          <reference field="6" count="1">
            <x v="47"/>
          </reference>
        </references>
      </pivotArea>
    </format>
    <format dxfId="877">
      <pivotArea dataOnly="0" labelOnly="1" outline="0" fieldPosition="0">
        <references count="2">
          <reference field="5" count="1" selected="0">
            <x v="51"/>
          </reference>
          <reference field="6" count="1">
            <x v="165"/>
          </reference>
        </references>
      </pivotArea>
    </format>
    <format dxfId="876">
      <pivotArea dataOnly="0" labelOnly="1" outline="0" fieldPosition="0">
        <references count="2">
          <reference field="5" count="1" selected="0">
            <x v="52"/>
          </reference>
          <reference field="6" count="1">
            <x v="164"/>
          </reference>
        </references>
      </pivotArea>
    </format>
    <format dxfId="875">
      <pivotArea dataOnly="0" labelOnly="1" outline="0" fieldPosition="0">
        <references count="2">
          <reference field="5" count="1" selected="0">
            <x v="53"/>
          </reference>
          <reference field="6" count="1">
            <x v="86"/>
          </reference>
        </references>
      </pivotArea>
    </format>
    <format dxfId="874">
      <pivotArea dataOnly="0" labelOnly="1" outline="0" fieldPosition="0">
        <references count="2">
          <reference field="5" count="1" selected="0">
            <x v="54"/>
          </reference>
          <reference field="6" count="1">
            <x v="67"/>
          </reference>
        </references>
      </pivotArea>
    </format>
    <format dxfId="873">
      <pivotArea dataOnly="0" labelOnly="1" outline="0" fieldPosition="0">
        <references count="2">
          <reference field="5" count="1" selected="0">
            <x v="55"/>
          </reference>
          <reference field="6" count="1">
            <x v="79"/>
          </reference>
        </references>
      </pivotArea>
    </format>
    <format dxfId="872">
      <pivotArea dataOnly="0" labelOnly="1" outline="0" fieldPosition="0">
        <references count="2">
          <reference field="5" count="1" selected="0">
            <x v="56"/>
          </reference>
          <reference field="6" count="1">
            <x v="40"/>
          </reference>
        </references>
      </pivotArea>
    </format>
    <format dxfId="871">
      <pivotArea dataOnly="0" labelOnly="1" outline="0" fieldPosition="0">
        <references count="2">
          <reference field="5" count="1" selected="0">
            <x v="57"/>
          </reference>
          <reference field="6" count="1">
            <x v="62"/>
          </reference>
        </references>
      </pivotArea>
    </format>
    <format dxfId="870">
      <pivotArea dataOnly="0" labelOnly="1" outline="0" fieldPosition="0">
        <references count="2">
          <reference field="5" count="1" selected="0">
            <x v="58"/>
          </reference>
          <reference field="6" count="1">
            <x v="8"/>
          </reference>
        </references>
      </pivotArea>
    </format>
    <format dxfId="869">
      <pivotArea dataOnly="0" labelOnly="1" outline="0" fieldPosition="0">
        <references count="2">
          <reference field="5" count="1" selected="0">
            <x v="59"/>
          </reference>
          <reference field="6" count="1">
            <x v="134"/>
          </reference>
        </references>
      </pivotArea>
    </format>
    <format dxfId="868">
      <pivotArea dataOnly="0" labelOnly="1" outline="0" fieldPosition="0">
        <references count="2">
          <reference field="5" count="1" selected="0">
            <x v="60"/>
          </reference>
          <reference field="6" count="1">
            <x v="135"/>
          </reference>
        </references>
      </pivotArea>
    </format>
    <format dxfId="867">
      <pivotArea dataOnly="0" labelOnly="1" outline="0" fieldPosition="0">
        <references count="2">
          <reference field="5" count="1" selected="0">
            <x v="61"/>
          </reference>
          <reference field="6" count="1">
            <x v="126"/>
          </reference>
        </references>
      </pivotArea>
    </format>
    <format dxfId="866">
      <pivotArea dataOnly="0" labelOnly="1" outline="0" fieldPosition="0">
        <references count="2">
          <reference field="5" count="1" selected="0">
            <x v="62"/>
          </reference>
          <reference field="6" count="1">
            <x v="28"/>
          </reference>
        </references>
      </pivotArea>
    </format>
    <format dxfId="865">
      <pivotArea dataOnly="0" labelOnly="1" outline="0" fieldPosition="0">
        <references count="2">
          <reference field="5" count="1" selected="0">
            <x v="63"/>
          </reference>
          <reference field="6" count="1">
            <x v="127"/>
          </reference>
        </references>
      </pivotArea>
    </format>
    <format dxfId="864">
      <pivotArea dataOnly="0" labelOnly="1" outline="0" fieldPosition="0">
        <references count="2">
          <reference field="5" count="1" selected="0">
            <x v="64"/>
          </reference>
          <reference field="6" count="1">
            <x v="146"/>
          </reference>
        </references>
      </pivotArea>
    </format>
    <format dxfId="863">
      <pivotArea dataOnly="0" labelOnly="1" outline="0" fieldPosition="0">
        <references count="2">
          <reference field="5" count="1" selected="0">
            <x v="65"/>
          </reference>
          <reference field="6" count="1">
            <x v="148"/>
          </reference>
        </references>
      </pivotArea>
    </format>
    <format dxfId="862">
      <pivotArea dataOnly="0" labelOnly="1" outline="0" fieldPosition="0">
        <references count="2">
          <reference field="5" count="1" selected="0">
            <x v="66"/>
          </reference>
          <reference field="6" count="1">
            <x v="145"/>
          </reference>
        </references>
      </pivotArea>
    </format>
    <format dxfId="861">
      <pivotArea dataOnly="0" labelOnly="1" outline="0" fieldPosition="0">
        <references count="2">
          <reference field="5" count="1" selected="0">
            <x v="67"/>
          </reference>
          <reference field="6" count="1">
            <x v="147"/>
          </reference>
        </references>
      </pivotArea>
    </format>
    <format dxfId="860">
      <pivotArea dataOnly="0" labelOnly="1" outline="0" fieldPosition="0">
        <references count="2">
          <reference field="5" count="1" selected="0">
            <x v="68"/>
          </reference>
          <reference field="6" count="1">
            <x v="121"/>
          </reference>
        </references>
      </pivotArea>
    </format>
    <format dxfId="859">
      <pivotArea dataOnly="0" labelOnly="1" outline="0" fieldPosition="0">
        <references count="2">
          <reference field="5" count="1" selected="0">
            <x v="69"/>
          </reference>
          <reference field="6" count="1">
            <x v="96"/>
          </reference>
        </references>
      </pivotArea>
    </format>
    <format dxfId="858">
      <pivotArea dataOnly="0" labelOnly="1" outline="0" fieldPosition="0">
        <references count="2">
          <reference field="5" count="1" selected="0">
            <x v="70"/>
          </reference>
          <reference field="6" count="1">
            <x v="95"/>
          </reference>
        </references>
      </pivotArea>
    </format>
    <format dxfId="857">
      <pivotArea dataOnly="0" labelOnly="1" outline="0" fieldPosition="0">
        <references count="2">
          <reference field="5" count="1" selected="0">
            <x v="71"/>
          </reference>
          <reference field="6" count="1">
            <x v="108"/>
          </reference>
        </references>
      </pivotArea>
    </format>
    <format dxfId="856">
      <pivotArea dataOnly="0" labelOnly="1" outline="0" fieldPosition="0">
        <references count="2">
          <reference field="5" count="1" selected="0">
            <x v="72"/>
          </reference>
          <reference field="6" count="1">
            <x v="76"/>
          </reference>
        </references>
      </pivotArea>
    </format>
    <format dxfId="855">
      <pivotArea dataOnly="0" labelOnly="1" outline="0" fieldPosition="0">
        <references count="2">
          <reference field="5" count="1" selected="0">
            <x v="73"/>
          </reference>
          <reference field="6" count="1">
            <x v="144"/>
          </reference>
        </references>
      </pivotArea>
    </format>
    <format dxfId="854">
      <pivotArea dataOnly="0" labelOnly="1" outline="0" fieldPosition="0">
        <references count="2">
          <reference field="5" count="1" selected="0">
            <x v="74"/>
          </reference>
          <reference field="6" count="1">
            <x v="143"/>
          </reference>
        </references>
      </pivotArea>
    </format>
    <format dxfId="853">
      <pivotArea dataOnly="0" labelOnly="1" outline="0" fieldPosition="0">
        <references count="2">
          <reference field="5" count="1" selected="0">
            <x v="75"/>
          </reference>
          <reference field="6" count="1">
            <x v="153"/>
          </reference>
        </references>
      </pivotArea>
    </format>
    <format dxfId="852">
      <pivotArea dataOnly="0" labelOnly="1" outline="0" fieldPosition="0">
        <references count="2">
          <reference field="5" count="1" selected="0">
            <x v="76"/>
          </reference>
          <reference field="6" count="1">
            <x v="41"/>
          </reference>
        </references>
      </pivotArea>
    </format>
    <format dxfId="851">
      <pivotArea dataOnly="0" labelOnly="1" outline="0" fieldPosition="0">
        <references count="2">
          <reference field="5" count="1" selected="0">
            <x v="77"/>
          </reference>
          <reference field="6" count="1">
            <x v="1"/>
          </reference>
        </references>
      </pivotArea>
    </format>
    <format dxfId="850">
      <pivotArea dataOnly="0" labelOnly="1" outline="0" fieldPosition="0">
        <references count="2">
          <reference field="5" count="1" selected="0">
            <x v="78"/>
          </reference>
          <reference field="6" count="1">
            <x v="94"/>
          </reference>
        </references>
      </pivotArea>
    </format>
    <format dxfId="849">
      <pivotArea dataOnly="0" labelOnly="1" outline="0" fieldPosition="0">
        <references count="2">
          <reference field="5" count="1" selected="0">
            <x v="79"/>
          </reference>
          <reference field="6" count="1">
            <x v="92"/>
          </reference>
        </references>
      </pivotArea>
    </format>
    <format dxfId="848">
      <pivotArea dataOnly="0" labelOnly="1" outline="0" fieldPosition="0">
        <references count="2">
          <reference field="5" count="1" selected="0">
            <x v="80"/>
          </reference>
          <reference field="6" count="1">
            <x v="23"/>
          </reference>
        </references>
      </pivotArea>
    </format>
    <format dxfId="847">
      <pivotArea dataOnly="0" labelOnly="1" outline="0" fieldPosition="0">
        <references count="2">
          <reference field="5" count="1" selected="0">
            <x v="81"/>
          </reference>
          <reference field="6" count="1">
            <x v="24"/>
          </reference>
        </references>
      </pivotArea>
    </format>
    <format dxfId="846">
      <pivotArea dataOnly="0" labelOnly="1" outline="0" fieldPosition="0">
        <references count="2">
          <reference field="5" count="1" selected="0">
            <x v="82"/>
          </reference>
          <reference field="6" count="1">
            <x v="99"/>
          </reference>
        </references>
      </pivotArea>
    </format>
    <format dxfId="845">
      <pivotArea dataOnly="0" labelOnly="1" outline="0" fieldPosition="0">
        <references count="2">
          <reference field="5" count="1" selected="0">
            <x v="83"/>
          </reference>
          <reference field="6" count="1">
            <x v="100"/>
          </reference>
        </references>
      </pivotArea>
    </format>
    <format dxfId="844">
      <pivotArea dataOnly="0" labelOnly="1" outline="0" fieldPosition="0">
        <references count="2">
          <reference field="5" count="1" selected="0">
            <x v="84"/>
          </reference>
          <reference field="6" count="1">
            <x v="25"/>
          </reference>
        </references>
      </pivotArea>
    </format>
    <format dxfId="843">
      <pivotArea dataOnly="0" labelOnly="1" outline="0" fieldPosition="0">
        <references count="2">
          <reference field="5" count="1" selected="0">
            <x v="85"/>
          </reference>
          <reference field="6" count="1">
            <x v="45"/>
          </reference>
        </references>
      </pivotArea>
    </format>
    <format dxfId="842">
      <pivotArea dataOnly="0" labelOnly="1" outline="0" fieldPosition="0">
        <references count="2">
          <reference field="5" count="1" selected="0">
            <x v="86"/>
          </reference>
          <reference field="6" count="1">
            <x v="85"/>
          </reference>
        </references>
      </pivotArea>
    </format>
    <format dxfId="841">
      <pivotArea dataOnly="0" labelOnly="1" outline="0" fieldPosition="0">
        <references count="2">
          <reference field="5" count="1" selected="0">
            <x v="87"/>
          </reference>
          <reference field="6" count="1">
            <x v="136"/>
          </reference>
        </references>
      </pivotArea>
    </format>
    <format dxfId="840">
      <pivotArea dataOnly="0" labelOnly="1" outline="0" fieldPosition="0">
        <references count="2">
          <reference field="5" count="1" selected="0">
            <x v="88"/>
          </reference>
          <reference field="6" count="1">
            <x v="30"/>
          </reference>
        </references>
      </pivotArea>
    </format>
    <format dxfId="839">
      <pivotArea dataOnly="0" labelOnly="1" outline="0" fieldPosition="0">
        <references count="2">
          <reference field="5" count="1" selected="0">
            <x v="89"/>
          </reference>
          <reference field="6" count="1">
            <x v="61"/>
          </reference>
        </references>
      </pivotArea>
    </format>
    <format dxfId="838">
      <pivotArea dataOnly="0" labelOnly="1" outline="0" fieldPosition="0">
        <references count="2">
          <reference field="5" count="1" selected="0">
            <x v="90"/>
          </reference>
          <reference field="6" count="1">
            <x v="84"/>
          </reference>
        </references>
      </pivotArea>
    </format>
    <format dxfId="837">
      <pivotArea dataOnly="0" labelOnly="1" outline="0" fieldPosition="0">
        <references count="2">
          <reference field="5" count="1" selected="0">
            <x v="91"/>
          </reference>
          <reference field="6" count="1">
            <x v="83"/>
          </reference>
        </references>
      </pivotArea>
    </format>
    <format dxfId="836">
      <pivotArea dataOnly="0" labelOnly="1" outline="0" fieldPosition="0">
        <references count="2">
          <reference field="5" count="1" selected="0">
            <x v="92"/>
          </reference>
          <reference field="6" count="1">
            <x v="166"/>
          </reference>
        </references>
      </pivotArea>
    </format>
    <format dxfId="835">
      <pivotArea dataOnly="0" labelOnly="1" outline="0" fieldPosition="0">
        <references count="2">
          <reference field="5" count="1" selected="0">
            <x v="93"/>
          </reference>
          <reference field="6" count="1">
            <x v="140"/>
          </reference>
        </references>
      </pivotArea>
    </format>
    <format dxfId="834">
      <pivotArea dataOnly="0" labelOnly="1" outline="0" fieldPosition="0">
        <references count="2">
          <reference field="5" count="1" selected="0">
            <x v="94"/>
          </reference>
          <reference field="6" count="1">
            <x v="122"/>
          </reference>
        </references>
      </pivotArea>
    </format>
    <format dxfId="833">
      <pivotArea dataOnly="0" labelOnly="1" outline="0" fieldPosition="0">
        <references count="2">
          <reference field="5" count="1" selected="0">
            <x v="95"/>
          </reference>
          <reference field="6" count="1">
            <x v="137"/>
          </reference>
        </references>
      </pivotArea>
    </format>
    <format dxfId="832">
      <pivotArea dataOnly="0" labelOnly="1" outline="0" fieldPosition="0">
        <references count="2">
          <reference field="5" count="1" selected="0">
            <x v="96"/>
          </reference>
          <reference field="6" count="1">
            <x v="133"/>
          </reference>
        </references>
      </pivotArea>
    </format>
    <format dxfId="831">
      <pivotArea dataOnly="0" labelOnly="1" outline="0" fieldPosition="0">
        <references count="2">
          <reference field="5" count="1" selected="0">
            <x v="97"/>
          </reference>
          <reference field="6" count="1">
            <x v="132"/>
          </reference>
        </references>
      </pivotArea>
    </format>
    <format dxfId="830">
      <pivotArea dataOnly="0" labelOnly="1" outline="0" fieldPosition="0">
        <references count="2">
          <reference field="5" count="1" selected="0">
            <x v="98"/>
          </reference>
          <reference field="6" count="1">
            <x v="65"/>
          </reference>
        </references>
      </pivotArea>
    </format>
    <format dxfId="829">
      <pivotArea dataOnly="0" labelOnly="1" outline="0" fieldPosition="0">
        <references count="2">
          <reference field="5" count="1" selected="0">
            <x v="99"/>
          </reference>
          <reference field="6" count="1">
            <x v="125"/>
          </reference>
        </references>
      </pivotArea>
    </format>
    <format dxfId="828">
      <pivotArea dataOnly="0" labelOnly="1" outline="0" fieldPosition="0">
        <references count="2">
          <reference field="5" count="1" selected="0">
            <x v="100"/>
          </reference>
          <reference field="6" count="1">
            <x v="55"/>
          </reference>
        </references>
      </pivotArea>
    </format>
    <format dxfId="827">
      <pivotArea dataOnly="0" labelOnly="1" outline="0" fieldPosition="0">
        <references count="2">
          <reference field="5" count="1" selected="0">
            <x v="101"/>
          </reference>
          <reference field="6" count="1">
            <x v="54"/>
          </reference>
        </references>
      </pivotArea>
    </format>
    <format dxfId="826">
      <pivotArea dataOnly="0" labelOnly="1" outline="0" fieldPosition="0">
        <references count="2">
          <reference field="5" count="1" selected="0">
            <x v="102"/>
          </reference>
          <reference field="6" count="1">
            <x v="27"/>
          </reference>
        </references>
      </pivotArea>
    </format>
    <format dxfId="825">
      <pivotArea dataOnly="0" labelOnly="1" outline="0" fieldPosition="0">
        <references count="2">
          <reference field="5" count="1" selected="0">
            <x v="103"/>
          </reference>
          <reference field="6" count="1">
            <x v="109"/>
          </reference>
        </references>
      </pivotArea>
    </format>
    <format dxfId="824">
      <pivotArea dataOnly="0" labelOnly="1" outline="0" fieldPosition="0">
        <references count="2">
          <reference field="5" count="1" selected="0">
            <x v="104"/>
          </reference>
          <reference field="6" count="1">
            <x v="9"/>
          </reference>
        </references>
      </pivotArea>
    </format>
    <format dxfId="823">
      <pivotArea dataOnly="0" labelOnly="1" outline="0" fieldPosition="0">
        <references count="2">
          <reference field="5" count="1" selected="0">
            <x v="105"/>
          </reference>
          <reference field="6" count="1">
            <x v="63"/>
          </reference>
        </references>
      </pivotArea>
    </format>
    <format dxfId="822">
      <pivotArea dataOnly="0" labelOnly="1" outline="0" fieldPosition="0">
        <references count="2">
          <reference field="5" count="1" selected="0">
            <x v="106"/>
          </reference>
          <reference field="6" count="1">
            <x v="129"/>
          </reference>
        </references>
      </pivotArea>
    </format>
    <format dxfId="821">
      <pivotArea dataOnly="0" labelOnly="1" outline="0" fieldPosition="0">
        <references count="2">
          <reference field="5" count="1" selected="0">
            <x v="107"/>
          </reference>
          <reference field="6" count="1">
            <x v="29"/>
          </reference>
        </references>
      </pivotArea>
    </format>
    <format dxfId="820">
      <pivotArea dataOnly="0" labelOnly="1" outline="0" fieldPosition="0">
        <references count="2">
          <reference field="5" count="1" selected="0">
            <x v="108"/>
          </reference>
          <reference field="6" count="1">
            <x v="64"/>
          </reference>
        </references>
      </pivotArea>
    </format>
    <format dxfId="819">
      <pivotArea dataOnly="0" labelOnly="1" outline="0" fieldPosition="0">
        <references count="2">
          <reference field="5" count="1" selected="0">
            <x v="109"/>
          </reference>
          <reference field="6" count="1">
            <x v="43"/>
          </reference>
        </references>
      </pivotArea>
    </format>
    <format dxfId="818">
      <pivotArea dataOnly="0" labelOnly="1" outline="0" fieldPosition="0">
        <references count="2">
          <reference field="5" count="1" selected="0">
            <x v="110"/>
          </reference>
          <reference field="6" count="1">
            <x v="2"/>
          </reference>
        </references>
      </pivotArea>
    </format>
    <format dxfId="817">
      <pivotArea dataOnly="0" labelOnly="1" outline="0" fieldPosition="0">
        <references count="2">
          <reference field="5" count="1" selected="0">
            <x v="111"/>
          </reference>
          <reference field="6" count="1">
            <x v="42"/>
          </reference>
        </references>
      </pivotArea>
    </format>
    <format dxfId="816">
      <pivotArea dataOnly="0" labelOnly="1" outline="0" fieldPosition="0">
        <references count="2">
          <reference field="5" count="1" selected="0">
            <x v="112"/>
          </reference>
          <reference field="6" count="1">
            <x v="44"/>
          </reference>
        </references>
      </pivotArea>
    </format>
    <format dxfId="815">
      <pivotArea dataOnly="0" labelOnly="1" outline="0" fieldPosition="0">
        <references count="2">
          <reference field="5" count="1" selected="0">
            <x v="113"/>
          </reference>
          <reference field="6" count="1">
            <x v="110"/>
          </reference>
        </references>
      </pivotArea>
    </format>
    <format dxfId="814">
      <pivotArea dataOnly="0" labelOnly="1" outline="0" fieldPosition="0">
        <references count="2">
          <reference field="5" count="1" selected="0">
            <x v="114"/>
          </reference>
          <reference field="6" count="1">
            <x v="56"/>
          </reference>
        </references>
      </pivotArea>
    </format>
    <format dxfId="813">
      <pivotArea dataOnly="0" labelOnly="1" outline="0" fieldPosition="0">
        <references count="2">
          <reference field="5" count="1" selected="0">
            <x v="115"/>
          </reference>
          <reference field="6" count="1">
            <x v="81"/>
          </reference>
        </references>
      </pivotArea>
    </format>
    <format dxfId="812">
      <pivotArea dataOnly="0" labelOnly="1" outline="0" fieldPosition="0">
        <references count="2">
          <reference field="5" count="1" selected="0">
            <x v="116"/>
          </reference>
          <reference field="6" count="1">
            <x v="82"/>
          </reference>
        </references>
      </pivotArea>
    </format>
    <format dxfId="811">
      <pivotArea dataOnly="0" labelOnly="1" outline="0" fieldPosition="0">
        <references count="2">
          <reference field="5" count="1" selected="0">
            <x v="117"/>
          </reference>
          <reference field="6" count="1">
            <x v="117"/>
          </reference>
        </references>
      </pivotArea>
    </format>
    <format dxfId="810">
      <pivotArea dataOnly="0" labelOnly="1" outline="0" fieldPosition="0">
        <references count="2">
          <reference field="5" count="1" selected="0">
            <x v="118"/>
          </reference>
          <reference field="6" count="1">
            <x v="36"/>
          </reference>
        </references>
      </pivotArea>
    </format>
    <format dxfId="809">
      <pivotArea dataOnly="0" labelOnly="1" outline="0" fieldPosition="0">
        <references count="2">
          <reference field="5" count="1" selected="0">
            <x v="119"/>
          </reference>
          <reference field="6" count="1">
            <x v="58"/>
          </reference>
        </references>
      </pivotArea>
    </format>
    <format dxfId="808">
      <pivotArea dataOnly="0" labelOnly="1" outline="0" fieldPosition="0">
        <references count="2">
          <reference field="5" count="1" selected="0">
            <x v="120"/>
          </reference>
          <reference field="6" count="1">
            <x v="52"/>
          </reference>
        </references>
      </pivotArea>
    </format>
    <format dxfId="807">
      <pivotArea dataOnly="0" labelOnly="1" outline="0" fieldPosition="0">
        <references count="2">
          <reference field="5" count="1" selected="0">
            <x v="121"/>
          </reference>
          <reference field="6" count="1">
            <x v="105"/>
          </reference>
        </references>
      </pivotArea>
    </format>
    <format dxfId="806">
      <pivotArea dataOnly="0" labelOnly="1" outline="0" fieldPosition="0">
        <references count="2">
          <reference field="5" count="1" selected="0">
            <x v="122"/>
          </reference>
          <reference field="6" count="1">
            <x v="53"/>
          </reference>
        </references>
      </pivotArea>
    </format>
    <format dxfId="805">
      <pivotArea dataOnly="0" labelOnly="1" outline="0" fieldPosition="0">
        <references count="2">
          <reference field="5" count="1" selected="0">
            <x v="123"/>
          </reference>
          <reference field="6" count="1">
            <x v="72"/>
          </reference>
        </references>
      </pivotArea>
    </format>
    <format dxfId="804">
      <pivotArea dataOnly="0" labelOnly="1" outline="0" fieldPosition="0">
        <references count="2">
          <reference field="5" count="1" selected="0">
            <x v="124"/>
          </reference>
          <reference field="6" count="1">
            <x v="49"/>
          </reference>
        </references>
      </pivotArea>
    </format>
    <format dxfId="803">
      <pivotArea dataOnly="0" labelOnly="1" outline="0" fieldPosition="0">
        <references count="2">
          <reference field="5" count="1" selected="0">
            <x v="125"/>
          </reference>
          <reference field="6" count="1">
            <x v="39"/>
          </reference>
        </references>
      </pivotArea>
    </format>
    <format dxfId="802">
      <pivotArea dataOnly="0" labelOnly="1" outline="0" fieldPosition="0">
        <references count="2">
          <reference field="5" count="1" selected="0">
            <x v="126"/>
          </reference>
          <reference field="6" count="1">
            <x v="60"/>
          </reference>
        </references>
      </pivotArea>
    </format>
    <format dxfId="801">
      <pivotArea dataOnly="0" labelOnly="1" outline="0" fieldPosition="0">
        <references count="2">
          <reference field="5" count="1" selected="0">
            <x v="127"/>
          </reference>
          <reference field="6" count="1">
            <x v="155"/>
          </reference>
        </references>
      </pivotArea>
    </format>
    <format dxfId="800">
      <pivotArea dataOnly="0" labelOnly="1" outline="0" fieldPosition="0">
        <references count="2">
          <reference field="5" count="1" selected="0">
            <x v="128"/>
          </reference>
          <reference field="6" count="1">
            <x v="157"/>
          </reference>
        </references>
      </pivotArea>
    </format>
    <format dxfId="799">
      <pivotArea dataOnly="0" labelOnly="1" outline="0" fieldPosition="0">
        <references count="2">
          <reference field="5" count="1" selected="0">
            <x v="129"/>
          </reference>
          <reference field="6" count="1">
            <x v="156"/>
          </reference>
        </references>
      </pivotArea>
    </format>
    <format dxfId="798">
      <pivotArea dataOnly="0" labelOnly="1" outline="0" fieldPosition="0">
        <references count="2">
          <reference field="5" count="1" selected="0">
            <x v="130"/>
          </reference>
          <reference field="6" count="1">
            <x v="37"/>
          </reference>
        </references>
      </pivotArea>
    </format>
    <format dxfId="797">
      <pivotArea dataOnly="0" labelOnly="1" outline="0" fieldPosition="0">
        <references count="2">
          <reference field="5" count="1" selected="0">
            <x v="131"/>
          </reference>
          <reference field="6" count="1">
            <x v="68"/>
          </reference>
        </references>
      </pivotArea>
    </format>
    <format dxfId="796">
      <pivotArea dataOnly="0" labelOnly="1" outline="0" fieldPosition="0">
        <references count="2">
          <reference field="5" count="1" selected="0">
            <x v="132"/>
          </reference>
          <reference field="6" count="1">
            <x v="77"/>
          </reference>
        </references>
      </pivotArea>
    </format>
    <format dxfId="795">
      <pivotArea dataOnly="0" labelOnly="1" outline="0" fieldPosition="0">
        <references count="2">
          <reference field="5" count="1" selected="0">
            <x v="133"/>
          </reference>
          <reference field="6" count="1">
            <x v="38"/>
          </reference>
        </references>
      </pivotArea>
    </format>
    <format dxfId="794">
      <pivotArea dataOnly="0" labelOnly="1" outline="0" fieldPosition="0">
        <references count="2">
          <reference field="5" count="1" selected="0">
            <x v="134"/>
          </reference>
          <reference field="6" count="1">
            <x v="89"/>
          </reference>
        </references>
      </pivotArea>
    </format>
    <format dxfId="793">
      <pivotArea dataOnly="0" labelOnly="1" outline="0" fieldPosition="0">
        <references count="2">
          <reference field="5" count="1" selected="0">
            <x v="135"/>
          </reference>
          <reference field="6" count="1">
            <x v="115"/>
          </reference>
        </references>
      </pivotArea>
    </format>
    <format dxfId="792">
      <pivotArea dataOnly="0" labelOnly="1" outline="0" fieldPosition="0">
        <references count="2">
          <reference field="5" count="1" selected="0">
            <x v="136"/>
          </reference>
          <reference field="6" count="1">
            <x v="16"/>
          </reference>
        </references>
      </pivotArea>
    </format>
    <format dxfId="791">
      <pivotArea dataOnly="0" labelOnly="1" outline="0" fieldPosition="0">
        <references count="2">
          <reference field="5" count="1" selected="0">
            <x v="137"/>
          </reference>
          <reference field="6" count="1">
            <x v="158"/>
          </reference>
        </references>
      </pivotArea>
    </format>
    <format dxfId="790">
      <pivotArea dataOnly="0" labelOnly="1" outline="0" fieldPosition="0">
        <references count="2">
          <reference field="5" count="1" selected="0">
            <x v="138"/>
          </reference>
          <reference field="6" count="1">
            <x v="112"/>
          </reference>
        </references>
      </pivotArea>
    </format>
    <format dxfId="789">
      <pivotArea dataOnly="0" labelOnly="1" outline="0" fieldPosition="0">
        <references count="2">
          <reference field="5" count="1" selected="0">
            <x v="139"/>
          </reference>
          <reference field="6" count="1">
            <x v="111"/>
          </reference>
        </references>
      </pivotArea>
    </format>
    <format dxfId="788">
      <pivotArea dataOnly="0" labelOnly="1" outline="0" fieldPosition="0">
        <references count="2">
          <reference field="5" count="1" selected="0">
            <x v="140"/>
          </reference>
          <reference field="6" count="1">
            <x v="57"/>
          </reference>
        </references>
      </pivotArea>
    </format>
    <format dxfId="787">
      <pivotArea dataOnly="0" labelOnly="1" outline="0" fieldPosition="0">
        <references count="2">
          <reference field="5" count="1" selected="0">
            <x v="141"/>
          </reference>
          <reference field="6" count="1">
            <x v="104"/>
          </reference>
        </references>
      </pivotArea>
    </format>
    <format dxfId="786">
      <pivotArea dataOnly="0" labelOnly="1" outline="0" fieldPosition="0">
        <references count="2">
          <reference field="5" count="1" selected="0">
            <x v="142"/>
          </reference>
          <reference field="6" count="1">
            <x v="154"/>
          </reference>
        </references>
      </pivotArea>
    </format>
    <format dxfId="785">
      <pivotArea dataOnly="0" labelOnly="1" outline="0" fieldPosition="0">
        <references count="2">
          <reference field="5" count="1" selected="0">
            <x v="143"/>
          </reference>
          <reference field="6" count="1">
            <x v="113"/>
          </reference>
        </references>
      </pivotArea>
    </format>
    <format dxfId="784">
      <pivotArea dataOnly="0" labelOnly="1" outline="0" fieldPosition="0">
        <references count="2">
          <reference field="5" count="1" selected="0">
            <x v="144"/>
          </reference>
          <reference field="6" count="1">
            <x v="114"/>
          </reference>
        </references>
      </pivotArea>
    </format>
    <format dxfId="783">
      <pivotArea dataOnly="0" labelOnly="1" outline="0" fieldPosition="0">
        <references count="2">
          <reference field="5" count="1" selected="0">
            <x v="145"/>
          </reference>
          <reference field="6" count="1">
            <x v="131"/>
          </reference>
        </references>
      </pivotArea>
    </format>
    <format dxfId="782">
      <pivotArea dataOnly="0" labelOnly="1" outline="0" fieldPosition="0">
        <references count="2">
          <reference field="5" count="1" selected="0">
            <x v="146"/>
          </reference>
          <reference field="6" count="1">
            <x v="106"/>
          </reference>
        </references>
      </pivotArea>
    </format>
    <format dxfId="781">
      <pivotArea dataOnly="0" labelOnly="1" outline="0" fieldPosition="0">
        <references count="2">
          <reference field="5" count="1" selected="0">
            <x v="147"/>
          </reference>
          <reference field="6" count="1">
            <x v="107"/>
          </reference>
        </references>
      </pivotArea>
    </format>
    <format dxfId="780">
      <pivotArea dataOnly="0" labelOnly="1" outline="0" fieldPosition="0">
        <references count="2">
          <reference field="5" count="1" selected="0">
            <x v="148"/>
          </reference>
          <reference field="6" count="1">
            <x v="101"/>
          </reference>
        </references>
      </pivotArea>
    </format>
    <format dxfId="779">
      <pivotArea dataOnly="0" labelOnly="1" outline="0" fieldPosition="0">
        <references count="2">
          <reference field="5" count="1" selected="0">
            <x v="149"/>
          </reference>
          <reference field="6" count="1">
            <x v="123"/>
          </reference>
        </references>
      </pivotArea>
    </format>
    <format dxfId="778">
      <pivotArea dataOnly="0" labelOnly="1" outline="0" fieldPosition="0">
        <references count="2">
          <reference field="5" count="1" selected="0">
            <x v="150"/>
          </reference>
          <reference field="6" count="1">
            <x v="124"/>
          </reference>
        </references>
      </pivotArea>
    </format>
    <format dxfId="777">
      <pivotArea dataOnly="0" labelOnly="1" outline="0" fieldPosition="0">
        <references count="2">
          <reference field="5" count="1" selected="0">
            <x v="151"/>
          </reference>
          <reference field="6" count="1">
            <x v="102"/>
          </reference>
        </references>
      </pivotArea>
    </format>
    <format dxfId="776">
      <pivotArea dataOnly="0" labelOnly="1" outline="0" fieldPosition="0">
        <references count="2">
          <reference field="5" count="1" selected="0">
            <x v="152"/>
          </reference>
          <reference field="6" count="1">
            <x v="161"/>
          </reference>
        </references>
      </pivotArea>
    </format>
    <format dxfId="775">
      <pivotArea dataOnly="0" labelOnly="1" outline="0" fieldPosition="0">
        <references count="2">
          <reference field="5" count="1" selected="0">
            <x v="153"/>
          </reference>
          <reference field="6" count="1">
            <x v="162"/>
          </reference>
        </references>
      </pivotArea>
    </format>
    <format dxfId="774">
      <pivotArea dataOnly="0" labelOnly="1" outline="0" fieldPosition="0">
        <references count="2">
          <reference field="5" count="1" selected="0">
            <x v="154"/>
          </reference>
          <reference field="6" count="1">
            <x v="119"/>
          </reference>
        </references>
      </pivotArea>
    </format>
    <format dxfId="773">
      <pivotArea dataOnly="0" labelOnly="1" outline="0" fieldPosition="0">
        <references count="2">
          <reference field="5" count="1" selected="0">
            <x v="155"/>
          </reference>
          <reference field="6" count="1">
            <x v="128"/>
          </reference>
        </references>
      </pivotArea>
    </format>
    <format dxfId="772">
      <pivotArea dataOnly="0" labelOnly="1" outline="0" fieldPosition="0">
        <references count="2">
          <reference field="5" count="1" selected="0">
            <x v="156"/>
          </reference>
          <reference field="6" count="1">
            <x v="120"/>
          </reference>
        </references>
      </pivotArea>
    </format>
    <format dxfId="771">
      <pivotArea dataOnly="0" labelOnly="1" outline="0" fieldPosition="0">
        <references count="2">
          <reference field="5" count="1" selected="0">
            <x v="157"/>
          </reference>
          <reference field="6" count="1">
            <x v="17"/>
          </reference>
        </references>
      </pivotArea>
    </format>
    <format dxfId="770">
      <pivotArea dataOnly="0" labelOnly="1" outline="0" fieldPosition="0">
        <references count="2">
          <reference field="5" count="1" selected="0">
            <x v="158"/>
          </reference>
          <reference field="6" count="1">
            <x v="34"/>
          </reference>
        </references>
      </pivotArea>
    </format>
    <format dxfId="769">
      <pivotArea dataOnly="0" labelOnly="1" outline="0" fieldPosition="0">
        <references count="2">
          <reference field="5" count="1" selected="0">
            <x v="159"/>
          </reference>
          <reference field="6" count="1">
            <x v="35"/>
          </reference>
        </references>
      </pivotArea>
    </format>
    <format dxfId="768">
      <pivotArea dataOnly="0" labelOnly="1" outline="0" fieldPosition="0">
        <references count="2">
          <reference field="5" count="1" selected="0">
            <x v="160"/>
          </reference>
          <reference field="6" count="1">
            <x v="59"/>
          </reference>
        </references>
      </pivotArea>
    </format>
    <format dxfId="767">
      <pivotArea dataOnly="0" labelOnly="1" outline="0" fieldPosition="0">
        <references count="2">
          <reference field="5" count="1" selected="0">
            <x v="161"/>
          </reference>
          <reference field="6" count="1">
            <x v="74"/>
          </reference>
        </references>
      </pivotArea>
    </format>
    <format dxfId="766">
      <pivotArea dataOnly="0" labelOnly="1" outline="0" fieldPosition="0">
        <references count="2">
          <reference field="5" count="1" selected="0">
            <x v="162"/>
          </reference>
          <reference field="6" count="1">
            <x v="75"/>
          </reference>
        </references>
      </pivotArea>
    </format>
    <format dxfId="765">
      <pivotArea dataOnly="0" labelOnly="1" outline="0" fieldPosition="0">
        <references count="2">
          <reference field="5" count="1" selected="0">
            <x v="163"/>
          </reference>
          <reference field="6" count="1">
            <x v="73"/>
          </reference>
        </references>
      </pivotArea>
    </format>
    <format dxfId="764">
      <pivotArea dataOnly="0" labelOnly="1" outline="0" fieldPosition="0">
        <references count="2">
          <reference field="5" count="1" selected="0">
            <x v="164"/>
          </reference>
          <reference field="6" count="1">
            <x v="167"/>
          </reference>
        </references>
      </pivotArea>
    </format>
    <format dxfId="763">
      <pivotArea dataOnly="0" labelOnly="1" outline="0" fieldPosition="0">
        <references count="2">
          <reference field="5" count="1" selected="0">
            <x v="165"/>
          </reference>
          <reference field="6" count="1">
            <x v="118"/>
          </reference>
        </references>
      </pivotArea>
    </format>
    <format dxfId="762">
      <pivotArea dataOnly="0" labelOnly="1" outline="0" fieldPosition="0">
        <references count="2">
          <reference field="5" count="1" selected="0">
            <x v="166"/>
          </reference>
          <reference field="6" count="1">
            <x v="71"/>
          </reference>
        </references>
      </pivotArea>
    </format>
    <format dxfId="761">
      <pivotArea dataOnly="0" labelOnly="1" outline="0" fieldPosition="0">
        <references count="2">
          <reference field="5" count="1" selected="0">
            <x v="167"/>
          </reference>
          <reference field="6" count="1">
            <x v="69"/>
          </reference>
        </references>
      </pivotArea>
    </format>
    <format dxfId="760">
      <pivotArea dataOnly="0" labelOnly="1" outline="0" fieldPosition="0">
        <references count="2">
          <reference field="5" count="1" selected="0">
            <x v="168"/>
          </reference>
          <reference field="6" count="1">
            <x v="66"/>
          </reference>
        </references>
      </pivotArea>
    </format>
    <format dxfId="759">
      <pivotArea dataOnly="0" labelOnly="1" outline="0" fieldPosition="0">
        <references count="3">
          <reference field="5" count="1" selected="0">
            <x v="0"/>
          </reference>
          <reference field="6" count="1" selected="0">
            <x v="88"/>
          </reference>
          <reference field="8" count="1">
            <x v="1"/>
          </reference>
        </references>
      </pivotArea>
    </format>
    <format dxfId="758">
      <pivotArea dataOnly="0" labelOnly="1" outline="0" fieldPosition="0">
        <references count="3">
          <reference field="5" count="1" selected="0">
            <x v="1"/>
          </reference>
          <reference field="6" count="1" selected="0">
            <x v="20"/>
          </reference>
          <reference field="8" count="1">
            <x v="2"/>
          </reference>
        </references>
      </pivotArea>
    </format>
    <format dxfId="757">
      <pivotArea dataOnly="0" labelOnly="1" outline="0" fieldPosition="0">
        <references count="3">
          <reference field="5" count="1" selected="0">
            <x v="2"/>
          </reference>
          <reference field="6" count="1" selected="0">
            <x v="138"/>
          </reference>
          <reference field="8" count="1">
            <x v="1"/>
          </reference>
        </references>
      </pivotArea>
    </format>
    <format dxfId="756">
      <pivotArea dataOnly="0" labelOnly="1" outline="0" fieldPosition="0">
        <references count="3">
          <reference field="5" count="1" selected="0">
            <x v="3"/>
          </reference>
          <reference field="6" count="1" selected="0">
            <x v="31"/>
          </reference>
          <reference field="8" count="1">
            <x v="2"/>
          </reference>
        </references>
      </pivotArea>
    </format>
    <format dxfId="755">
      <pivotArea dataOnly="0" labelOnly="1" outline="0" fieldPosition="0">
        <references count="3">
          <reference field="5" count="1" selected="0">
            <x v="4"/>
          </reference>
          <reference field="6" count="1" selected="0">
            <x v="139"/>
          </reference>
          <reference field="8" count="1">
            <x v="1"/>
          </reference>
        </references>
      </pivotArea>
    </format>
    <format dxfId="754">
      <pivotArea dataOnly="0" labelOnly="1" outline="0" fieldPosition="0">
        <references count="3">
          <reference field="5" count="1" selected="0">
            <x v="5"/>
          </reference>
          <reference field="6" count="1" selected="0">
            <x v="13"/>
          </reference>
          <reference field="8" count="1">
            <x v="2"/>
          </reference>
        </references>
      </pivotArea>
    </format>
    <format dxfId="753">
      <pivotArea dataOnly="0" labelOnly="1" outline="0" fieldPosition="0">
        <references count="3">
          <reference field="5" count="1" selected="0">
            <x v="6"/>
          </reference>
          <reference field="6" count="1" selected="0">
            <x v="70"/>
          </reference>
          <reference field="8" count="1">
            <x v="1"/>
          </reference>
        </references>
      </pivotArea>
    </format>
    <format dxfId="752">
      <pivotArea dataOnly="0" labelOnly="1" outline="0" fieldPosition="0">
        <references count="3">
          <reference field="5" count="1" selected="0">
            <x v="7"/>
          </reference>
          <reference field="6" count="1" selected="0">
            <x v="10"/>
          </reference>
          <reference field="8" count="1">
            <x v="1"/>
          </reference>
        </references>
      </pivotArea>
    </format>
    <format dxfId="751">
      <pivotArea dataOnly="0" labelOnly="1" outline="0" fieldPosition="0">
        <references count="3">
          <reference field="5" count="1" selected="0">
            <x v="8"/>
          </reference>
          <reference field="6" count="1" selected="0">
            <x v="11"/>
          </reference>
          <reference field="8" count="1">
            <x v="2"/>
          </reference>
        </references>
      </pivotArea>
    </format>
    <format dxfId="750">
      <pivotArea dataOnly="0" labelOnly="1" outline="0" fieldPosition="0">
        <references count="3">
          <reference field="5" count="1" selected="0">
            <x v="9"/>
          </reference>
          <reference field="6" count="1" selected="0">
            <x v="12"/>
          </reference>
          <reference field="8" count="1">
            <x v="2"/>
          </reference>
        </references>
      </pivotArea>
    </format>
    <format dxfId="749">
      <pivotArea dataOnly="0" labelOnly="1" outline="0" fieldPosition="0">
        <references count="3">
          <reference field="5" count="1" selected="0">
            <x v="10"/>
          </reference>
          <reference field="6" count="1" selected="0">
            <x v="6"/>
          </reference>
          <reference field="8" count="1">
            <x v="1"/>
          </reference>
        </references>
      </pivotArea>
    </format>
    <format dxfId="748">
      <pivotArea dataOnly="0" labelOnly="1" outline="0" fieldPosition="0">
        <references count="3">
          <reference field="5" count="1" selected="0">
            <x v="11"/>
          </reference>
          <reference field="6" count="1" selected="0">
            <x v="7"/>
          </reference>
          <reference field="8" count="1">
            <x v="1"/>
          </reference>
        </references>
      </pivotArea>
    </format>
    <format dxfId="747">
      <pivotArea dataOnly="0" labelOnly="1" outline="0" fieldPosition="0">
        <references count="3">
          <reference field="5" count="1" selected="0">
            <x v="12"/>
          </reference>
          <reference field="6" count="1" selected="0">
            <x v="103"/>
          </reference>
          <reference field="8" count="1">
            <x v="1"/>
          </reference>
        </references>
      </pivotArea>
    </format>
    <format dxfId="746">
      <pivotArea dataOnly="0" labelOnly="1" outline="0" fieldPosition="0">
        <references count="3">
          <reference field="5" count="1" selected="0">
            <x v="13"/>
          </reference>
          <reference field="6" count="1" selected="0">
            <x v="26"/>
          </reference>
          <reference field="8" count="1">
            <x v="2"/>
          </reference>
        </references>
      </pivotArea>
    </format>
    <format dxfId="745">
      <pivotArea dataOnly="0" labelOnly="1" outline="0" fieldPosition="0">
        <references count="3">
          <reference field="5" count="1" selected="0">
            <x v="14"/>
          </reference>
          <reference field="6" count="1" selected="0">
            <x v="22"/>
          </reference>
          <reference field="8" count="1">
            <x v="2"/>
          </reference>
        </references>
      </pivotArea>
    </format>
    <format dxfId="744">
      <pivotArea dataOnly="0" labelOnly="1" outline="0" fieldPosition="0">
        <references count="3">
          <reference field="5" count="1" selected="0">
            <x v="15"/>
          </reference>
          <reference field="6" count="1" selected="0">
            <x v="93"/>
          </reference>
          <reference field="8" count="1">
            <x v="1"/>
          </reference>
        </references>
      </pivotArea>
    </format>
    <format dxfId="743">
      <pivotArea dataOnly="0" labelOnly="1" outline="0" fieldPosition="0">
        <references count="3">
          <reference field="5" count="1" selected="0">
            <x v="16"/>
          </reference>
          <reference field="6" count="1" selected="0">
            <x v="159"/>
          </reference>
          <reference field="8" count="1">
            <x v="1"/>
          </reference>
        </references>
      </pivotArea>
    </format>
    <format dxfId="742">
      <pivotArea dataOnly="0" labelOnly="1" outline="0" fieldPosition="0">
        <references count="3">
          <reference field="5" count="1" selected="0">
            <x v="17"/>
          </reference>
          <reference field="6" count="1" selected="0">
            <x v="0"/>
          </reference>
          <reference field="8" count="1">
            <x v="2"/>
          </reference>
        </references>
      </pivotArea>
    </format>
    <format dxfId="741">
      <pivotArea dataOnly="0" labelOnly="1" outline="0" fieldPosition="0">
        <references count="3">
          <reference field="5" count="1" selected="0">
            <x v="18"/>
          </reference>
          <reference field="6" count="1" selected="0">
            <x v="21"/>
          </reference>
          <reference field="8" count="1">
            <x v="2"/>
          </reference>
        </references>
      </pivotArea>
    </format>
    <format dxfId="740">
      <pivotArea dataOnly="0" labelOnly="1" outline="0" fieldPosition="0">
        <references count="3">
          <reference field="5" count="1" selected="0">
            <x v="19"/>
          </reference>
          <reference field="6" count="1" selected="0">
            <x v="5"/>
          </reference>
          <reference field="8" count="1">
            <x v="2"/>
          </reference>
        </references>
      </pivotArea>
    </format>
    <format dxfId="739">
      <pivotArea dataOnly="0" labelOnly="1" outline="0" fieldPosition="0">
        <references count="3">
          <reference field="5" count="1" selected="0">
            <x v="20"/>
          </reference>
          <reference field="6" count="1" selected="0">
            <x v="51"/>
          </reference>
          <reference field="8" count="1">
            <x v="1"/>
          </reference>
        </references>
      </pivotArea>
    </format>
    <format dxfId="738">
      <pivotArea dataOnly="0" labelOnly="1" outline="0" fieldPosition="0">
        <references count="3">
          <reference field="5" count="1" selected="0">
            <x v="21"/>
          </reference>
          <reference field="6" count="1" selected="0">
            <x v="15"/>
          </reference>
          <reference field="8" count="1">
            <x v="2"/>
          </reference>
        </references>
      </pivotArea>
    </format>
    <format dxfId="737">
      <pivotArea dataOnly="0" labelOnly="1" outline="0" fieldPosition="0">
        <references count="3">
          <reference field="5" count="1" selected="0">
            <x v="22"/>
          </reference>
          <reference field="6" count="1" selected="0">
            <x v="19"/>
          </reference>
          <reference field="8" count="1">
            <x v="2"/>
          </reference>
        </references>
      </pivotArea>
    </format>
    <format dxfId="736">
      <pivotArea dataOnly="0" labelOnly="1" outline="0" fieldPosition="0">
        <references count="3">
          <reference field="5" count="1" selected="0">
            <x v="23"/>
          </reference>
          <reference field="6" count="1" selected="0">
            <x v="14"/>
          </reference>
          <reference field="8" count="1">
            <x v="2"/>
          </reference>
        </references>
      </pivotArea>
    </format>
    <format dxfId="735">
      <pivotArea dataOnly="0" labelOnly="1" outline="0" fieldPosition="0">
        <references count="3">
          <reference field="5" count="1" selected="0">
            <x v="24"/>
          </reference>
          <reference field="6" count="1" selected="0">
            <x v="141"/>
          </reference>
          <reference field="8" count="1">
            <x v="1"/>
          </reference>
        </references>
      </pivotArea>
    </format>
    <format dxfId="734">
      <pivotArea dataOnly="0" labelOnly="1" outline="0" fieldPosition="0">
        <references count="3">
          <reference field="5" count="1" selected="0">
            <x v="25"/>
          </reference>
          <reference field="6" count="1" selected="0">
            <x v="142"/>
          </reference>
          <reference field="8" count="1">
            <x v="1"/>
          </reference>
        </references>
      </pivotArea>
    </format>
    <format dxfId="733">
      <pivotArea dataOnly="0" labelOnly="1" outline="0" fieldPosition="0">
        <references count="3">
          <reference field="5" count="1" selected="0">
            <x v="26"/>
          </reference>
          <reference field="6" count="1" selected="0">
            <x v="50"/>
          </reference>
          <reference field="8" count="1">
            <x v="1"/>
          </reference>
        </references>
      </pivotArea>
    </format>
    <format dxfId="732">
      <pivotArea dataOnly="0" labelOnly="1" outline="0" fieldPosition="0">
        <references count="3">
          <reference field="5" count="1" selected="0">
            <x v="27"/>
          </reference>
          <reference field="6" count="1" selected="0">
            <x v="4"/>
          </reference>
          <reference field="8" count="1">
            <x v="2"/>
          </reference>
        </references>
      </pivotArea>
    </format>
    <format dxfId="731">
      <pivotArea dataOnly="0" labelOnly="1" outline="0" fieldPosition="0">
        <references count="3">
          <reference field="5" count="1" selected="0">
            <x v="28"/>
          </reference>
          <reference field="6" count="1" selected="0">
            <x v="87"/>
          </reference>
          <reference field="8" count="1">
            <x v="1"/>
          </reference>
        </references>
      </pivotArea>
    </format>
    <format dxfId="730">
      <pivotArea dataOnly="0" labelOnly="1" outline="0" fieldPosition="0">
        <references count="3">
          <reference field="5" count="1" selected="0">
            <x v="29"/>
          </reference>
          <reference field="6" count="1" selected="0">
            <x v="78"/>
          </reference>
          <reference field="8" count="1">
            <x v="1"/>
          </reference>
        </references>
      </pivotArea>
    </format>
    <format dxfId="729">
      <pivotArea dataOnly="0" labelOnly="1" outline="0" fieldPosition="0">
        <references count="3">
          <reference field="5" count="1" selected="0">
            <x v="30"/>
          </reference>
          <reference field="6" count="1" selected="0">
            <x v="32"/>
          </reference>
          <reference field="8" count="1">
            <x v="2"/>
          </reference>
        </references>
      </pivotArea>
    </format>
    <format dxfId="728">
      <pivotArea dataOnly="0" labelOnly="1" outline="0" fieldPosition="0">
        <references count="3">
          <reference field="5" count="1" selected="0">
            <x v="31"/>
          </reference>
          <reference field="6" count="1" selected="0">
            <x v="151"/>
          </reference>
          <reference field="8" count="1">
            <x v="1"/>
          </reference>
        </references>
      </pivotArea>
    </format>
    <format dxfId="727">
      <pivotArea dataOnly="0" labelOnly="1" outline="0" fieldPosition="0">
        <references count="3">
          <reference field="5" count="1" selected="0">
            <x v="32"/>
          </reference>
          <reference field="6" count="1" selected="0">
            <x v="149"/>
          </reference>
          <reference field="8" count="1">
            <x v="1"/>
          </reference>
        </references>
      </pivotArea>
    </format>
    <format dxfId="726">
      <pivotArea dataOnly="0" labelOnly="1" outline="0" fieldPosition="0">
        <references count="3">
          <reference field="5" count="1" selected="0">
            <x v="33"/>
          </reference>
          <reference field="6" count="1" selected="0">
            <x v="150"/>
          </reference>
          <reference field="8" count="1">
            <x v="1"/>
          </reference>
        </references>
      </pivotArea>
    </format>
    <format dxfId="725">
      <pivotArea dataOnly="0" labelOnly="1" outline="0" fieldPosition="0">
        <references count="3">
          <reference field="5" count="1" selected="0">
            <x v="34"/>
          </reference>
          <reference field="6" count="1" selected="0">
            <x v="152"/>
          </reference>
          <reference field="8" count="1">
            <x v="1"/>
          </reference>
        </references>
      </pivotArea>
    </format>
    <format dxfId="724">
      <pivotArea dataOnly="0" labelOnly="1" outline="0" fieldPosition="0">
        <references count="3">
          <reference field="5" count="1" selected="0">
            <x v="35"/>
          </reference>
          <reference field="6" count="1" selected="0">
            <x v="168"/>
          </reference>
          <reference field="8" count="1">
            <x v="1"/>
          </reference>
        </references>
      </pivotArea>
    </format>
    <format dxfId="723">
      <pivotArea dataOnly="0" labelOnly="1" outline="0" fieldPosition="0">
        <references count="3">
          <reference field="5" count="1" selected="0">
            <x v="36"/>
          </reference>
          <reference field="6" count="1" selected="0">
            <x v="97"/>
          </reference>
          <reference field="8" count="1">
            <x v="1"/>
          </reference>
        </references>
      </pivotArea>
    </format>
    <format dxfId="722">
      <pivotArea dataOnly="0" labelOnly="1" outline="0" fieldPosition="0">
        <references count="3">
          <reference field="5" count="1" selected="0">
            <x v="37"/>
          </reference>
          <reference field="6" count="1" selected="0">
            <x v="98"/>
          </reference>
          <reference field="8" count="1">
            <x v="1"/>
          </reference>
        </references>
      </pivotArea>
    </format>
    <format dxfId="721">
      <pivotArea dataOnly="0" labelOnly="1" outline="0" fieldPosition="0">
        <references count="3">
          <reference field="5" count="1" selected="0">
            <x v="38"/>
          </reference>
          <reference field="6" count="1" selected="0">
            <x v="46"/>
          </reference>
          <reference field="8" count="1">
            <x v="1"/>
          </reference>
        </references>
      </pivotArea>
    </format>
    <format dxfId="720">
      <pivotArea dataOnly="0" labelOnly="1" outline="0" fieldPosition="0">
        <references count="3">
          <reference field="5" count="1" selected="0">
            <x v="39"/>
          </reference>
          <reference field="6" count="1" selected="0">
            <x v="33"/>
          </reference>
          <reference field="8" count="1">
            <x v="2"/>
          </reference>
        </references>
      </pivotArea>
    </format>
    <format dxfId="719">
      <pivotArea dataOnly="0" labelOnly="1" outline="0" fieldPosition="0">
        <references count="3">
          <reference field="5" count="1" selected="0">
            <x v="40"/>
          </reference>
          <reference field="6" count="1" selected="0">
            <x v="160"/>
          </reference>
          <reference field="8" count="1">
            <x v="1"/>
          </reference>
        </references>
      </pivotArea>
    </format>
    <format dxfId="718">
      <pivotArea dataOnly="0" labelOnly="1" outline="0" fieldPosition="0">
        <references count="3">
          <reference field="5" count="1" selected="0">
            <x v="41"/>
          </reference>
          <reference field="6" count="1" selected="0">
            <x v="90"/>
          </reference>
          <reference field="8" count="1">
            <x v="1"/>
          </reference>
        </references>
      </pivotArea>
    </format>
    <format dxfId="717">
      <pivotArea dataOnly="0" labelOnly="1" outline="0" fieldPosition="0">
        <references count="3">
          <reference field="5" count="1" selected="0">
            <x v="42"/>
          </reference>
          <reference field="6" count="1" selected="0">
            <x v="163"/>
          </reference>
          <reference field="8" count="1">
            <x v="1"/>
          </reference>
        </references>
      </pivotArea>
    </format>
    <format dxfId="716">
      <pivotArea dataOnly="0" labelOnly="1" outline="0" fieldPosition="0">
        <references count="3">
          <reference field="5" count="1" selected="0">
            <x v="43"/>
          </reference>
          <reference field="6" count="1" selected="0">
            <x v="80"/>
          </reference>
          <reference field="8" count="1">
            <x v="1"/>
          </reference>
        </references>
      </pivotArea>
    </format>
    <format dxfId="715">
      <pivotArea dataOnly="0" labelOnly="1" outline="0" fieldPosition="0">
        <references count="3">
          <reference field="5" count="1" selected="0">
            <x v="44"/>
          </reference>
          <reference field="6" count="1" selected="0">
            <x v="18"/>
          </reference>
          <reference field="8" count="1">
            <x v="2"/>
          </reference>
        </references>
      </pivotArea>
    </format>
    <format dxfId="714">
      <pivotArea dataOnly="0" labelOnly="1" outline="0" fieldPosition="0">
        <references count="3">
          <reference field="5" count="1" selected="0">
            <x v="45"/>
          </reference>
          <reference field="6" count="1" selected="0">
            <x v="130"/>
          </reference>
          <reference field="8" count="1">
            <x v="1"/>
          </reference>
        </references>
      </pivotArea>
    </format>
    <format dxfId="713">
      <pivotArea dataOnly="0" labelOnly="1" outline="0" fieldPosition="0">
        <references count="3">
          <reference field="5" count="1" selected="0">
            <x v="46"/>
          </reference>
          <reference field="6" count="1" selected="0">
            <x v="91"/>
          </reference>
          <reference field="8" count="1">
            <x v="1"/>
          </reference>
        </references>
      </pivotArea>
    </format>
    <format dxfId="712">
      <pivotArea dataOnly="0" labelOnly="1" outline="0" fieldPosition="0">
        <references count="3">
          <reference field="5" count="1" selected="0">
            <x v="47"/>
          </reference>
          <reference field="6" count="1" selected="0">
            <x v="116"/>
          </reference>
          <reference field="8" count="1">
            <x v="1"/>
          </reference>
        </references>
      </pivotArea>
    </format>
    <format dxfId="711">
      <pivotArea dataOnly="0" labelOnly="1" outline="0" fieldPosition="0">
        <references count="3">
          <reference field="5" count="1" selected="0">
            <x v="48"/>
          </reference>
          <reference field="6" count="1" selected="0">
            <x v="48"/>
          </reference>
          <reference field="8" count="1">
            <x v="1"/>
          </reference>
        </references>
      </pivotArea>
    </format>
    <format dxfId="710">
      <pivotArea dataOnly="0" labelOnly="1" outline="0" fieldPosition="0">
        <references count="3">
          <reference field="5" count="1" selected="0">
            <x v="49"/>
          </reference>
          <reference field="6" count="1" selected="0">
            <x v="3"/>
          </reference>
          <reference field="8" count="1">
            <x v="2"/>
          </reference>
        </references>
      </pivotArea>
    </format>
    <format dxfId="709">
      <pivotArea dataOnly="0" labelOnly="1" outline="0" fieldPosition="0">
        <references count="3">
          <reference field="5" count="1" selected="0">
            <x v="50"/>
          </reference>
          <reference field="6" count="1" selected="0">
            <x v="47"/>
          </reference>
          <reference field="8" count="1">
            <x v="1"/>
          </reference>
        </references>
      </pivotArea>
    </format>
    <format dxfId="708">
      <pivotArea dataOnly="0" labelOnly="1" outline="0" fieldPosition="0">
        <references count="3">
          <reference field="5" count="1" selected="0">
            <x v="51"/>
          </reference>
          <reference field="6" count="1" selected="0">
            <x v="165"/>
          </reference>
          <reference field="8" count="1">
            <x v="1"/>
          </reference>
        </references>
      </pivotArea>
    </format>
    <format dxfId="707">
      <pivotArea dataOnly="0" labelOnly="1" outline="0" fieldPosition="0">
        <references count="3">
          <reference field="5" count="1" selected="0">
            <x v="52"/>
          </reference>
          <reference field="6" count="1" selected="0">
            <x v="164"/>
          </reference>
          <reference field="8" count="1">
            <x v="1"/>
          </reference>
        </references>
      </pivotArea>
    </format>
    <format dxfId="706">
      <pivotArea dataOnly="0" labelOnly="1" outline="0" fieldPosition="0">
        <references count="3">
          <reference field="5" count="1" selected="0">
            <x v="53"/>
          </reference>
          <reference field="6" count="1" selected="0">
            <x v="86"/>
          </reference>
          <reference field="8" count="1">
            <x v="1"/>
          </reference>
        </references>
      </pivotArea>
    </format>
    <format dxfId="705">
      <pivotArea dataOnly="0" labelOnly="1" outline="0" fieldPosition="0">
        <references count="3">
          <reference field="5" count="1" selected="0">
            <x v="54"/>
          </reference>
          <reference field="6" count="1" selected="0">
            <x v="67"/>
          </reference>
          <reference field="8" count="1">
            <x v="1"/>
          </reference>
        </references>
      </pivotArea>
    </format>
    <format dxfId="704">
      <pivotArea dataOnly="0" labelOnly="1" outline="0" fieldPosition="0">
        <references count="3">
          <reference field="5" count="1" selected="0">
            <x v="55"/>
          </reference>
          <reference field="6" count="1" selected="0">
            <x v="79"/>
          </reference>
          <reference field="8" count="1">
            <x v="1"/>
          </reference>
        </references>
      </pivotArea>
    </format>
    <format dxfId="703">
      <pivotArea dataOnly="0" labelOnly="1" outline="0" fieldPosition="0">
        <references count="3">
          <reference field="5" count="1" selected="0">
            <x v="56"/>
          </reference>
          <reference field="6" count="1" selected="0">
            <x v="40"/>
          </reference>
          <reference field="8" count="1">
            <x v="1"/>
          </reference>
        </references>
      </pivotArea>
    </format>
    <format dxfId="702">
      <pivotArea dataOnly="0" labelOnly="1" outline="0" fieldPosition="0">
        <references count="3">
          <reference field="5" count="1" selected="0">
            <x v="57"/>
          </reference>
          <reference field="6" count="1" selected="0">
            <x v="62"/>
          </reference>
          <reference field="8" count="1">
            <x v="1"/>
          </reference>
        </references>
      </pivotArea>
    </format>
    <format dxfId="701">
      <pivotArea dataOnly="0" labelOnly="1" outline="0" fieldPosition="0">
        <references count="3">
          <reference field="5" count="1" selected="0">
            <x v="58"/>
          </reference>
          <reference field="6" count="1" selected="0">
            <x v="8"/>
          </reference>
          <reference field="8" count="1">
            <x v="2"/>
          </reference>
        </references>
      </pivotArea>
    </format>
    <format dxfId="700">
      <pivotArea dataOnly="0" labelOnly="1" outline="0" fieldPosition="0">
        <references count="3">
          <reference field="5" count="1" selected="0">
            <x v="59"/>
          </reference>
          <reference field="6" count="1" selected="0">
            <x v="134"/>
          </reference>
          <reference field="8" count="1">
            <x v="1"/>
          </reference>
        </references>
      </pivotArea>
    </format>
    <format dxfId="699">
      <pivotArea dataOnly="0" labelOnly="1" outline="0" fieldPosition="0">
        <references count="3">
          <reference field="5" count="1" selected="0">
            <x v="60"/>
          </reference>
          <reference field="6" count="1" selected="0">
            <x v="135"/>
          </reference>
          <reference field="8" count="1">
            <x v="1"/>
          </reference>
        </references>
      </pivotArea>
    </format>
    <format dxfId="698">
      <pivotArea dataOnly="0" labelOnly="1" outline="0" fieldPosition="0">
        <references count="3">
          <reference field="5" count="1" selected="0">
            <x v="61"/>
          </reference>
          <reference field="6" count="1" selected="0">
            <x v="126"/>
          </reference>
          <reference field="8" count="1">
            <x v="1"/>
          </reference>
        </references>
      </pivotArea>
    </format>
    <format dxfId="697">
      <pivotArea dataOnly="0" labelOnly="1" outline="0" fieldPosition="0">
        <references count="3">
          <reference field="5" count="1" selected="0">
            <x v="62"/>
          </reference>
          <reference field="6" count="1" selected="0">
            <x v="28"/>
          </reference>
          <reference field="8" count="1">
            <x v="2"/>
          </reference>
        </references>
      </pivotArea>
    </format>
    <format dxfId="696">
      <pivotArea dataOnly="0" labelOnly="1" outline="0" fieldPosition="0">
        <references count="3">
          <reference field="5" count="1" selected="0">
            <x v="63"/>
          </reference>
          <reference field="6" count="1" selected="0">
            <x v="127"/>
          </reference>
          <reference field="8" count="1">
            <x v="1"/>
          </reference>
        </references>
      </pivotArea>
    </format>
    <format dxfId="695">
      <pivotArea dataOnly="0" labelOnly="1" outline="0" fieldPosition="0">
        <references count="3">
          <reference field="5" count="1" selected="0">
            <x v="64"/>
          </reference>
          <reference field="6" count="1" selected="0">
            <x v="146"/>
          </reference>
          <reference field="8" count="1">
            <x v="1"/>
          </reference>
        </references>
      </pivotArea>
    </format>
    <format dxfId="694">
      <pivotArea dataOnly="0" labelOnly="1" outline="0" fieldPosition="0">
        <references count="3">
          <reference field="5" count="1" selected="0">
            <x v="65"/>
          </reference>
          <reference field="6" count="1" selected="0">
            <x v="148"/>
          </reference>
          <reference field="8" count="1">
            <x v="1"/>
          </reference>
        </references>
      </pivotArea>
    </format>
    <format dxfId="693">
      <pivotArea dataOnly="0" labelOnly="1" outline="0" fieldPosition="0">
        <references count="3">
          <reference field="5" count="1" selected="0">
            <x v="66"/>
          </reference>
          <reference field="6" count="1" selected="0">
            <x v="145"/>
          </reference>
          <reference field="8" count="1">
            <x v="1"/>
          </reference>
        </references>
      </pivotArea>
    </format>
    <format dxfId="692">
      <pivotArea dataOnly="0" labelOnly="1" outline="0" fieldPosition="0">
        <references count="3">
          <reference field="5" count="1" selected="0">
            <x v="67"/>
          </reference>
          <reference field="6" count="1" selected="0">
            <x v="147"/>
          </reference>
          <reference field="8" count="1">
            <x v="1"/>
          </reference>
        </references>
      </pivotArea>
    </format>
    <format dxfId="691">
      <pivotArea dataOnly="0" labelOnly="1" outline="0" fieldPosition="0">
        <references count="3">
          <reference field="5" count="1" selected="0">
            <x v="68"/>
          </reference>
          <reference field="6" count="1" selected="0">
            <x v="121"/>
          </reference>
          <reference field="8" count="1">
            <x v="1"/>
          </reference>
        </references>
      </pivotArea>
    </format>
    <format dxfId="690">
      <pivotArea dataOnly="0" labelOnly="1" outline="0" fieldPosition="0">
        <references count="3">
          <reference field="5" count="1" selected="0">
            <x v="69"/>
          </reference>
          <reference field="6" count="1" selected="0">
            <x v="96"/>
          </reference>
          <reference field="8" count="1">
            <x v="1"/>
          </reference>
        </references>
      </pivotArea>
    </format>
    <format dxfId="689">
      <pivotArea dataOnly="0" labelOnly="1" outline="0" fieldPosition="0">
        <references count="3">
          <reference field="5" count="1" selected="0">
            <x v="70"/>
          </reference>
          <reference field="6" count="1" selected="0">
            <x v="95"/>
          </reference>
          <reference field="8" count="1">
            <x v="1"/>
          </reference>
        </references>
      </pivotArea>
    </format>
    <format dxfId="688">
      <pivotArea dataOnly="0" labelOnly="1" outline="0" fieldPosition="0">
        <references count="3">
          <reference field="5" count="1" selected="0">
            <x v="71"/>
          </reference>
          <reference field="6" count="1" selected="0">
            <x v="108"/>
          </reference>
          <reference field="8" count="1">
            <x v="1"/>
          </reference>
        </references>
      </pivotArea>
    </format>
    <format dxfId="687">
      <pivotArea dataOnly="0" labelOnly="1" outline="0" fieldPosition="0">
        <references count="3">
          <reference field="5" count="1" selected="0">
            <x v="72"/>
          </reference>
          <reference field="6" count="1" selected="0">
            <x v="76"/>
          </reference>
          <reference field="8" count="1">
            <x v="1"/>
          </reference>
        </references>
      </pivotArea>
    </format>
    <format dxfId="686">
      <pivotArea dataOnly="0" labelOnly="1" outline="0" fieldPosition="0">
        <references count="3">
          <reference field="5" count="1" selected="0">
            <x v="73"/>
          </reference>
          <reference field="6" count="1" selected="0">
            <x v="144"/>
          </reference>
          <reference field="8" count="1">
            <x v="1"/>
          </reference>
        </references>
      </pivotArea>
    </format>
    <format dxfId="685">
      <pivotArea dataOnly="0" labelOnly="1" outline="0" fieldPosition="0">
        <references count="3">
          <reference field="5" count="1" selected="0">
            <x v="74"/>
          </reference>
          <reference field="6" count="1" selected="0">
            <x v="143"/>
          </reference>
          <reference field="8" count="1">
            <x v="1"/>
          </reference>
        </references>
      </pivotArea>
    </format>
    <format dxfId="684">
      <pivotArea dataOnly="0" labelOnly="1" outline="0" fieldPosition="0">
        <references count="3">
          <reference field="5" count="1" selected="0">
            <x v="75"/>
          </reference>
          <reference field="6" count="1" selected="0">
            <x v="153"/>
          </reference>
          <reference field="8" count="1">
            <x v="1"/>
          </reference>
        </references>
      </pivotArea>
    </format>
    <format dxfId="683">
      <pivotArea dataOnly="0" labelOnly="1" outline="0" fieldPosition="0">
        <references count="3">
          <reference field="5" count="1" selected="0">
            <x v="76"/>
          </reference>
          <reference field="6" count="1" selected="0">
            <x v="41"/>
          </reference>
          <reference field="8" count="1">
            <x v="1"/>
          </reference>
        </references>
      </pivotArea>
    </format>
    <format dxfId="682">
      <pivotArea dataOnly="0" labelOnly="1" outline="0" fieldPosition="0">
        <references count="3">
          <reference field="5" count="1" selected="0">
            <x v="77"/>
          </reference>
          <reference field="6" count="1" selected="0">
            <x v="1"/>
          </reference>
          <reference field="8" count="1">
            <x v="2"/>
          </reference>
        </references>
      </pivotArea>
    </format>
    <format dxfId="681">
      <pivotArea dataOnly="0" labelOnly="1" outline="0" fieldPosition="0">
        <references count="3">
          <reference field="5" count="1" selected="0">
            <x v="78"/>
          </reference>
          <reference field="6" count="1" selected="0">
            <x v="94"/>
          </reference>
          <reference field="8" count="1">
            <x v="1"/>
          </reference>
        </references>
      </pivotArea>
    </format>
    <format dxfId="680">
      <pivotArea dataOnly="0" labelOnly="1" outline="0" fieldPosition="0">
        <references count="3">
          <reference field="5" count="1" selected="0">
            <x v="79"/>
          </reference>
          <reference field="6" count="1" selected="0">
            <x v="92"/>
          </reference>
          <reference field="8" count="1">
            <x v="1"/>
          </reference>
        </references>
      </pivotArea>
    </format>
    <format dxfId="679">
      <pivotArea dataOnly="0" labelOnly="1" outline="0" fieldPosition="0">
        <references count="3">
          <reference field="5" count="1" selected="0">
            <x v="80"/>
          </reference>
          <reference field="6" count="1" selected="0">
            <x v="23"/>
          </reference>
          <reference field="8" count="1">
            <x v="2"/>
          </reference>
        </references>
      </pivotArea>
    </format>
    <format dxfId="678">
      <pivotArea dataOnly="0" labelOnly="1" outline="0" fieldPosition="0">
        <references count="3">
          <reference field="5" count="1" selected="0">
            <x v="81"/>
          </reference>
          <reference field="6" count="1" selected="0">
            <x v="24"/>
          </reference>
          <reference field="8" count="1">
            <x v="2"/>
          </reference>
        </references>
      </pivotArea>
    </format>
    <format dxfId="677">
      <pivotArea dataOnly="0" labelOnly="1" outline="0" fieldPosition="0">
        <references count="3">
          <reference field="5" count="1" selected="0">
            <x v="82"/>
          </reference>
          <reference field="6" count="1" selected="0">
            <x v="99"/>
          </reference>
          <reference field="8" count="1">
            <x v="1"/>
          </reference>
        </references>
      </pivotArea>
    </format>
    <format dxfId="676">
      <pivotArea dataOnly="0" labelOnly="1" outline="0" fieldPosition="0">
        <references count="3">
          <reference field="5" count="1" selected="0">
            <x v="83"/>
          </reference>
          <reference field="6" count="1" selected="0">
            <x v="100"/>
          </reference>
          <reference field="8" count="1">
            <x v="1"/>
          </reference>
        </references>
      </pivotArea>
    </format>
    <format dxfId="675">
      <pivotArea dataOnly="0" labelOnly="1" outline="0" fieldPosition="0">
        <references count="3">
          <reference field="5" count="1" selected="0">
            <x v="84"/>
          </reference>
          <reference field="6" count="1" selected="0">
            <x v="25"/>
          </reference>
          <reference field="8" count="1">
            <x v="2"/>
          </reference>
        </references>
      </pivotArea>
    </format>
    <format dxfId="674">
      <pivotArea dataOnly="0" labelOnly="1" outline="0" fieldPosition="0">
        <references count="3">
          <reference field="5" count="1" selected="0">
            <x v="85"/>
          </reference>
          <reference field="6" count="1" selected="0">
            <x v="45"/>
          </reference>
          <reference field="8" count="1">
            <x v="1"/>
          </reference>
        </references>
      </pivotArea>
    </format>
    <format dxfId="673">
      <pivotArea dataOnly="0" labelOnly="1" outline="0" fieldPosition="0">
        <references count="3">
          <reference field="5" count="1" selected="0">
            <x v="86"/>
          </reference>
          <reference field="6" count="1" selected="0">
            <x v="85"/>
          </reference>
          <reference field="8" count="1">
            <x v="1"/>
          </reference>
        </references>
      </pivotArea>
    </format>
    <format dxfId="672">
      <pivotArea dataOnly="0" labelOnly="1" outline="0" fieldPosition="0">
        <references count="3">
          <reference field="5" count="1" selected="0">
            <x v="87"/>
          </reference>
          <reference field="6" count="1" selected="0">
            <x v="136"/>
          </reference>
          <reference field="8" count="1">
            <x v="1"/>
          </reference>
        </references>
      </pivotArea>
    </format>
    <format dxfId="671">
      <pivotArea dataOnly="0" labelOnly="1" outline="0" fieldPosition="0">
        <references count="3">
          <reference field="5" count="1" selected="0">
            <x v="88"/>
          </reference>
          <reference field="6" count="1" selected="0">
            <x v="30"/>
          </reference>
          <reference field="8" count="1">
            <x v="2"/>
          </reference>
        </references>
      </pivotArea>
    </format>
    <format dxfId="670">
      <pivotArea dataOnly="0" labelOnly="1" outline="0" fieldPosition="0">
        <references count="3">
          <reference field="5" count="1" selected="0">
            <x v="89"/>
          </reference>
          <reference field="6" count="1" selected="0">
            <x v="61"/>
          </reference>
          <reference field="8" count="1">
            <x v="1"/>
          </reference>
        </references>
      </pivotArea>
    </format>
    <format dxfId="669">
      <pivotArea dataOnly="0" labelOnly="1" outline="0" fieldPosition="0">
        <references count="3">
          <reference field="5" count="1" selected="0">
            <x v="90"/>
          </reference>
          <reference field="6" count="1" selected="0">
            <x v="84"/>
          </reference>
          <reference field="8" count="1">
            <x v="1"/>
          </reference>
        </references>
      </pivotArea>
    </format>
    <format dxfId="668">
      <pivotArea dataOnly="0" labelOnly="1" outline="0" fieldPosition="0">
        <references count="3">
          <reference field="5" count="1" selected="0">
            <x v="91"/>
          </reference>
          <reference field="6" count="1" selected="0">
            <x v="83"/>
          </reference>
          <reference field="8" count="1">
            <x v="1"/>
          </reference>
        </references>
      </pivotArea>
    </format>
    <format dxfId="667">
      <pivotArea dataOnly="0" labelOnly="1" outline="0" fieldPosition="0">
        <references count="3">
          <reference field="5" count="1" selected="0">
            <x v="92"/>
          </reference>
          <reference field="6" count="1" selected="0">
            <x v="166"/>
          </reference>
          <reference field="8" count="1">
            <x v="1"/>
          </reference>
        </references>
      </pivotArea>
    </format>
    <format dxfId="666">
      <pivotArea dataOnly="0" labelOnly="1" outline="0" fieldPosition="0">
        <references count="3">
          <reference field="5" count="1" selected="0">
            <x v="93"/>
          </reference>
          <reference field="6" count="1" selected="0">
            <x v="140"/>
          </reference>
          <reference field="8" count="1">
            <x v="1"/>
          </reference>
        </references>
      </pivotArea>
    </format>
    <format dxfId="665">
      <pivotArea dataOnly="0" labelOnly="1" outline="0" fieldPosition="0">
        <references count="3">
          <reference field="5" count="1" selected="0">
            <x v="94"/>
          </reference>
          <reference field="6" count="1" selected="0">
            <x v="122"/>
          </reference>
          <reference field="8" count="1">
            <x v="1"/>
          </reference>
        </references>
      </pivotArea>
    </format>
    <format dxfId="664">
      <pivotArea dataOnly="0" labelOnly="1" outline="0" fieldPosition="0">
        <references count="3">
          <reference field="5" count="1" selected="0">
            <x v="95"/>
          </reference>
          <reference field="6" count="1" selected="0">
            <x v="137"/>
          </reference>
          <reference field="8" count="1">
            <x v="1"/>
          </reference>
        </references>
      </pivotArea>
    </format>
    <format dxfId="663">
      <pivotArea dataOnly="0" labelOnly="1" outline="0" fieldPosition="0">
        <references count="3">
          <reference field="5" count="1" selected="0">
            <x v="96"/>
          </reference>
          <reference field="6" count="1" selected="0">
            <x v="133"/>
          </reference>
          <reference field="8" count="1">
            <x v="1"/>
          </reference>
        </references>
      </pivotArea>
    </format>
    <format dxfId="662">
      <pivotArea dataOnly="0" labelOnly="1" outline="0" fieldPosition="0">
        <references count="3">
          <reference field="5" count="1" selected="0">
            <x v="97"/>
          </reference>
          <reference field="6" count="1" selected="0">
            <x v="132"/>
          </reference>
          <reference field="8" count="1">
            <x v="1"/>
          </reference>
        </references>
      </pivotArea>
    </format>
    <format dxfId="661">
      <pivotArea dataOnly="0" labelOnly="1" outline="0" fieldPosition="0">
        <references count="3">
          <reference field="5" count="1" selected="0">
            <x v="98"/>
          </reference>
          <reference field="6" count="1" selected="0">
            <x v="65"/>
          </reference>
          <reference field="8" count="1">
            <x v="1"/>
          </reference>
        </references>
      </pivotArea>
    </format>
    <format dxfId="660">
      <pivotArea dataOnly="0" labelOnly="1" outline="0" fieldPosition="0">
        <references count="3">
          <reference field="5" count="1" selected="0">
            <x v="99"/>
          </reference>
          <reference field="6" count="1" selected="0">
            <x v="125"/>
          </reference>
          <reference field="8" count="1">
            <x v="1"/>
          </reference>
        </references>
      </pivotArea>
    </format>
    <format dxfId="659">
      <pivotArea dataOnly="0" labelOnly="1" outline="0" fieldPosition="0">
        <references count="3">
          <reference field="5" count="1" selected="0">
            <x v="100"/>
          </reference>
          <reference field="6" count="1" selected="0">
            <x v="55"/>
          </reference>
          <reference field="8" count="1">
            <x v="1"/>
          </reference>
        </references>
      </pivotArea>
    </format>
    <format dxfId="658">
      <pivotArea dataOnly="0" labelOnly="1" outline="0" fieldPosition="0">
        <references count="3">
          <reference field="5" count="1" selected="0">
            <x v="101"/>
          </reference>
          <reference field="6" count="1" selected="0">
            <x v="54"/>
          </reference>
          <reference field="8" count="1">
            <x v="1"/>
          </reference>
        </references>
      </pivotArea>
    </format>
    <format dxfId="657">
      <pivotArea dataOnly="0" labelOnly="1" outline="0" fieldPosition="0">
        <references count="3">
          <reference field="5" count="1" selected="0">
            <x v="102"/>
          </reference>
          <reference field="6" count="1" selected="0">
            <x v="27"/>
          </reference>
          <reference field="8" count="1">
            <x v="1"/>
          </reference>
        </references>
      </pivotArea>
    </format>
    <format dxfId="656">
      <pivotArea dataOnly="0" labelOnly="1" outline="0" fieldPosition="0">
        <references count="3">
          <reference field="5" count="1" selected="0">
            <x v="103"/>
          </reference>
          <reference field="6" count="1" selected="0">
            <x v="109"/>
          </reference>
          <reference field="8" count="1">
            <x v="1"/>
          </reference>
        </references>
      </pivotArea>
    </format>
    <format dxfId="655">
      <pivotArea dataOnly="0" labelOnly="1" outline="0" fieldPosition="0">
        <references count="3">
          <reference field="5" count="1" selected="0">
            <x v="104"/>
          </reference>
          <reference field="6" count="1" selected="0">
            <x v="9"/>
          </reference>
          <reference field="8" count="1">
            <x v="1"/>
          </reference>
        </references>
      </pivotArea>
    </format>
    <format dxfId="654">
      <pivotArea dataOnly="0" labelOnly="1" outline="0" fieldPosition="0">
        <references count="3">
          <reference field="5" count="1" selected="0">
            <x v="105"/>
          </reference>
          <reference field="6" count="1" selected="0">
            <x v="63"/>
          </reference>
          <reference field="8" count="1">
            <x v="1"/>
          </reference>
        </references>
      </pivotArea>
    </format>
    <format dxfId="653">
      <pivotArea dataOnly="0" labelOnly="1" outline="0" fieldPosition="0">
        <references count="3">
          <reference field="5" count="1" selected="0">
            <x v="106"/>
          </reference>
          <reference field="6" count="1" selected="0">
            <x v="129"/>
          </reference>
          <reference field="8" count="1">
            <x v="1"/>
          </reference>
        </references>
      </pivotArea>
    </format>
    <format dxfId="652">
      <pivotArea dataOnly="0" labelOnly="1" outline="0" fieldPosition="0">
        <references count="3">
          <reference field="5" count="1" selected="0">
            <x v="107"/>
          </reference>
          <reference field="6" count="1" selected="0">
            <x v="29"/>
          </reference>
          <reference field="8" count="1">
            <x v="1"/>
          </reference>
        </references>
      </pivotArea>
    </format>
    <format dxfId="651">
      <pivotArea dataOnly="0" labelOnly="1" outline="0" fieldPosition="0">
        <references count="3">
          <reference field="5" count="1" selected="0">
            <x v="108"/>
          </reference>
          <reference field="6" count="1" selected="0">
            <x v="64"/>
          </reference>
          <reference field="8" count="1">
            <x v="1"/>
          </reference>
        </references>
      </pivotArea>
    </format>
    <format dxfId="650">
      <pivotArea dataOnly="0" labelOnly="1" outline="0" fieldPosition="0">
        <references count="3">
          <reference field="5" count="1" selected="0">
            <x v="109"/>
          </reference>
          <reference field="6" count="1" selected="0">
            <x v="43"/>
          </reference>
          <reference field="8" count="1">
            <x v="1"/>
          </reference>
        </references>
      </pivotArea>
    </format>
    <format dxfId="649">
      <pivotArea dataOnly="0" labelOnly="1" outline="0" fieldPosition="0">
        <references count="3">
          <reference field="5" count="1" selected="0">
            <x v="110"/>
          </reference>
          <reference field="6" count="1" selected="0">
            <x v="2"/>
          </reference>
          <reference field="8" count="1">
            <x v="1"/>
          </reference>
        </references>
      </pivotArea>
    </format>
    <format dxfId="648">
      <pivotArea dataOnly="0" labelOnly="1" outline="0" fieldPosition="0">
        <references count="3">
          <reference field="5" count="1" selected="0">
            <x v="111"/>
          </reference>
          <reference field="6" count="1" selected="0">
            <x v="42"/>
          </reference>
          <reference field="8" count="1">
            <x v="1"/>
          </reference>
        </references>
      </pivotArea>
    </format>
    <format dxfId="647">
      <pivotArea dataOnly="0" labelOnly="1" outline="0" fieldPosition="0">
        <references count="3">
          <reference field="5" count="1" selected="0">
            <x v="112"/>
          </reference>
          <reference field="6" count="1" selected="0">
            <x v="44"/>
          </reference>
          <reference field="8" count="1">
            <x v="1"/>
          </reference>
        </references>
      </pivotArea>
    </format>
    <format dxfId="646">
      <pivotArea dataOnly="0" labelOnly="1" outline="0" fieldPosition="0">
        <references count="3">
          <reference field="5" count="1" selected="0">
            <x v="113"/>
          </reference>
          <reference field="6" count="1" selected="0">
            <x v="110"/>
          </reference>
          <reference field="8" count="1">
            <x v="1"/>
          </reference>
        </references>
      </pivotArea>
    </format>
    <format dxfId="645">
      <pivotArea dataOnly="0" labelOnly="1" outline="0" fieldPosition="0">
        <references count="3">
          <reference field="5" count="1" selected="0">
            <x v="114"/>
          </reference>
          <reference field="6" count="1" selected="0">
            <x v="56"/>
          </reference>
          <reference field="8" count="1">
            <x v="1"/>
          </reference>
        </references>
      </pivotArea>
    </format>
    <format dxfId="644">
      <pivotArea dataOnly="0" labelOnly="1" outline="0" fieldPosition="0">
        <references count="3">
          <reference field="5" count="1" selected="0">
            <x v="115"/>
          </reference>
          <reference field="6" count="1" selected="0">
            <x v="81"/>
          </reference>
          <reference field="8" count="1">
            <x v="1"/>
          </reference>
        </references>
      </pivotArea>
    </format>
    <format dxfId="643">
      <pivotArea dataOnly="0" labelOnly="1" outline="0" fieldPosition="0">
        <references count="3">
          <reference field="5" count="1" selected="0">
            <x v="116"/>
          </reference>
          <reference field="6" count="1" selected="0">
            <x v="82"/>
          </reference>
          <reference field="8" count="1">
            <x v="1"/>
          </reference>
        </references>
      </pivotArea>
    </format>
    <format dxfId="642">
      <pivotArea dataOnly="0" labelOnly="1" outline="0" fieldPosition="0">
        <references count="3">
          <reference field="5" count="1" selected="0">
            <x v="117"/>
          </reference>
          <reference field="6" count="1" selected="0">
            <x v="117"/>
          </reference>
          <reference field="8" count="1">
            <x v="1"/>
          </reference>
        </references>
      </pivotArea>
    </format>
    <format dxfId="641">
      <pivotArea dataOnly="0" labelOnly="1" outline="0" fieldPosition="0">
        <references count="3">
          <reference field="5" count="1" selected="0">
            <x v="118"/>
          </reference>
          <reference field="6" count="1" selected="0">
            <x v="36"/>
          </reference>
          <reference field="8" count="1">
            <x v="1"/>
          </reference>
        </references>
      </pivotArea>
    </format>
    <format dxfId="640">
      <pivotArea dataOnly="0" labelOnly="1" outline="0" fieldPosition="0">
        <references count="3">
          <reference field="5" count="1" selected="0">
            <x v="119"/>
          </reference>
          <reference field="6" count="1" selected="0">
            <x v="58"/>
          </reference>
          <reference field="8" count="1">
            <x v="1"/>
          </reference>
        </references>
      </pivotArea>
    </format>
    <format dxfId="639">
      <pivotArea dataOnly="0" labelOnly="1" outline="0" fieldPosition="0">
        <references count="3">
          <reference field="5" count="1" selected="0">
            <x v="120"/>
          </reference>
          <reference field="6" count="1" selected="0">
            <x v="52"/>
          </reference>
          <reference field="8" count="1">
            <x v="1"/>
          </reference>
        </references>
      </pivotArea>
    </format>
    <format dxfId="638">
      <pivotArea dataOnly="0" labelOnly="1" outline="0" fieldPosition="0">
        <references count="3">
          <reference field="5" count="1" selected="0">
            <x v="121"/>
          </reference>
          <reference field="6" count="1" selected="0">
            <x v="105"/>
          </reference>
          <reference field="8" count="1">
            <x v="1"/>
          </reference>
        </references>
      </pivotArea>
    </format>
    <format dxfId="637">
      <pivotArea dataOnly="0" labelOnly="1" outline="0" fieldPosition="0">
        <references count="3">
          <reference field="5" count="1" selected="0">
            <x v="122"/>
          </reference>
          <reference field="6" count="1" selected="0">
            <x v="53"/>
          </reference>
          <reference field="8" count="1">
            <x v="1"/>
          </reference>
        </references>
      </pivotArea>
    </format>
    <format dxfId="636">
      <pivotArea dataOnly="0" labelOnly="1" outline="0" fieldPosition="0">
        <references count="3">
          <reference field="5" count="1" selected="0">
            <x v="123"/>
          </reference>
          <reference field="6" count="1" selected="0">
            <x v="72"/>
          </reference>
          <reference field="8" count="1">
            <x v="1"/>
          </reference>
        </references>
      </pivotArea>
    </format>
    <format dxfId="635">
      <pivotArea dataOnly="0" labelOnly="1" outline="0" fieldPosition="0">
        <references count="3">
          <reference field="5" count="1" selected="0">
            <x v="124"/>
          </reference>
          <reference field="6" count="1" selected="0">
            <x v="49"/>
          </reference>
          <reference field="8" count="1">
            <x v="1"/>
          </reference>
        </references>
      </pivotArea>
    </format>
    <format dxfId="634">
      <pivotArea dataOnly="0" labelOnly="1" outline="0" fieldPosition="0">
        <references count="3">
          <reference field="5" count="1" selected="0">
            <x v="125"/>
          </reference>
          <reference field="6" count="1" selected="0">
            <x v="39"/>
          </reference>
          <reference field="8" count="1">
            <x v="1"/>
          </reference>
        </references>
      </pivotArea>
    </format>
    <format dxfId="633">
      <pivotArea dataOnly="0" labelOnly="1" outline="0" fieldPosition="0">
        <references count="3">
          <reference field="5" count="1" selected="0">
            <x v="126"/>
          </reference>
          <reference field="6" count="1" selected="0">
            <x v="60"/>
          </reference>
          <reference field="8" count="1">
            <x v="1"/>
          </reference>
        </references>
      </pivotArea>
    </format>
    <format dxfId="632">
      <pivotArea dataOnly="0" labelOnly="1" outline="0" fieldPosition="0">
        <references count="3">
          <reference field="5" count="1" selected="0">
            <x v="127"/>
          </reference>
          <reference field="6" count="1" selected="0">
            <x v="155"/>
          </reference>
          <reference field="8" count="1">
            <x v="1"/>
          </reference>
        </references>
      </pivotArea>
    </format>
    <format dxfId="631">
      <pivotArea dataOnly="0" labelOnly="1" outline="0" fieldPosition="0">
        <references count="3">
          <reference field="5" count="1" selected="0">
            <x v="128"/>
          </reference>
          <reference field="6" count="1" selected="0">
            <x v="157"/>
          </reference>
          <reference field="8" count="1">
            <x v="1"/>
          </reference>
        </references>
      </pivotArea>
    </format>
    <format dxfId="630">
      <pivotArea dataOnly="0" labelOnly="1" outline="0" fieldPosition="0">
        <references count="3">
          <reference field="5" count="1" selected="0">
            <x v="129"/>
          </reference>
          <reference field="6" count="1" selected="0">
            <x v="156"/>
          </reference>
          <reference field="8" count="1">
            <x v="1"/>
          </reference>
        </references>
      </pivotArea>
    </format>
    <format dxfId="629">
      <pivotArea dataOnly="0" labelOnly="1" outline="0" fieldPosition="0">
        <references count="3">
          <reference field="5" count="1" selected="0">
            <x v="130"/>
          </reference>
          <reference field="6" count="1" selected="0">
            <x v="37"/>
          </reference>
          <reference field="8" count="1">
            <x v="1"/>
          </reference>
        </references>
      </pivotArea>
    </format>
    <format dxfId="628">
      <pivotArea dataOnly="0" labelOnly="1" outline="0" fieldPosition="0">
        <references count="3">
          <reference field="5" count="1" selected="0">
            <x v="131"/>
          </reference>
          <reference field="6" count="1" selected="0">
            <x v="68"/>
          </reference>
          <reference field="8" count="1">
            <x v="1"/>
          </reference>
        </references>
      </pivotArea>
    </format>
    <format dxfId="627">
      <pivotArea dataOnly="0" labelOnly="1" outline="0" fieldPosition="0">
        <references count="3">
          <reference field="5" count="1" selected="0">
            <x v="132"/>
          </reference>
          <reference field="6" count="1" selected="0">
            <x v="77"/>
          </reference>
          <reference field="8" count="1">
            <x v="1"/>
          </reference>
        </references>
      </pivotArea>
    </format>
    <format dxfId="626">
      <pivotArea dataOnly="0" labelOnly="1" outline="0" fieldPosition="0">
        <references count="3">
          <reference field="5" count="1" selected="0">
            <x v="133"/>
          </reference>
          <reference field="6" count="1" selected="0">
            <x v="38"/>
          </reference>
          <reference field="8" count="1">
            <x v="1"/>
          </reference>
        </references>
      </pivotArea>
    </format>
    <format dxfId="625">
      <pivotArea dataOnly="0" labelOnly="1" outline="0" fieldPosition="0">
        <references count="3">
          <reference field="5" count="1" selected="0">
            <x v="134"/>
          </reference>
          <reference field="6" count="1" selected="0">
            <x v="89"/>
          </reference>
          <reference field="8" count="1">
            <x v="1"/>
          </reference>
        </references>
      </pivotArea>
    </format>
    <format dxfId="624">
      <pivotArea dataOnly="0" labelOnly="1" outline="0" fieldPosition="0">
        <references count="3">
          <reference field="5" count="1" selected="0">
            <x v="135"/>
          </reference>
          <reference field="6" count="1" selected="0">
            <x v="115"/>
          </reference>
          <reference field="8" count="1">
            <x v="1"/>
          </reference>
        </references>
      </pivotArea>
    </format>
    <format dxfId="623">
      <pivotArea dataOnly="0" labelOnly="1" outline="0" fieldPosition="0">
        <references count="3">
          <reference field="5" count="1" selected="0">
            <x v="136"/>
          </reference>
          <reference field="6" count="1" selected="0">
            <x v="16"/>
          </reference>
          <reference field="8" count="1">
            <x v="1"/>
          </reference>
        </references>
      </pivotArea>
    </format>
    <format dxfId="622">
      <pivotArea dataOnly="0" labelOnly="1" outline="0" fieldPosition="0">
        <references count="3">
          <reference field="5" count="1" selected="0">
            <x v="137"/>
          </reference>
          <reference field="6" count="1" selected="0">
            <x v="158"/>
          </reference>
          <reference field="8" count="1">
            <x v="1"/>
          </reference>
        </references>
      </pivotArea>
    </format>
    <format dxfId="621">
      <pivotArea dataOnly="0" labelOnly="1" outline="0" fieldPosition="0">
        <references count="3">
          <reference field="5" count="1" selected="0">
            <x v="138"/>
          </reference>
          <reference field="6" count="1" selected="0">
            <x v="112"/>
          </reference>
          <reference field="8" count="1">
            <x v="1"/>
          </reference>
        </references>
      </pivotArea>
    </format>
    <format dxfId="620">
      <pivotArea dataOnly="0" labelOnly="1" outline="0" fieldPosition="0">
        <references count="3">
          <reference field="5" count="1" selected="0">
            <x v="139"/>
          </reference>
          <reference field="6" count="1" selected="0">
            <x v="111"/>
          </reference>
          <reference field="8" count="1">
            <x v="1"/>
          </reference>
        </references>
      </pivotArea>
    </format>
    <format dxfId="619">
      <pivotArea dataOnly="0" labelOnly="1" outline="0" fieldPosition="0">
        <references count="3">
          <reference field="5" count="1" selected="0">
            <x v="140"/>
          </reference>
          <reference field="6" count="1" selected="0">
            <x v="57"/>
          </reference>
          <reference field="8" count="1">
            <x v="1"/>
          </reference>
        </references>
      </pivotArea>
    </format>
    <format dxfId="618">
      <pivotArea dataOnly="0" labelOnly="1" outline="0" fieldPosition="0">
        <references count="3">
          <reference field="5" count="1" selected="0">
            <x v="141"/>
          </reference>
          <reference field="6" count="1" selected="0">
            <x v="104"/>
          </reference>
          <reference field="8" count="1">
            <x v="1"/>
          </reference>
        </references>
      </pivotArea>
    </format>
    <format dxfId="617">
      <pivotArea dataOnly="0" labelOnly="1" outline="0" fieldPosition="0">
        <references count="3">
          <reference field="5" count="1" selected="0">
            <x v="142"/>
          </reference>
          <reference field="6" count="1" selected="0">
            <x v="154"/>
          </reference>
          <reference field="8" count="1">
            <x v="1"/>
          </reference>
        </references>
      </pivotArea>
    </format>
    <format dxfId="616">
      <pivotArea dataOnly="0" labelOnly="1" outline="0" fieldPosition="0">
        <references count="3">
          <reference field="5" count="1" selected="0">
            <x v="143"/>
          </reference>
          <reference field="6" count="1" selected="0">
            <x v="113"/>
          </reference>
          <reference field="8" count="1">
            <x v="1"/>
          </reference>
        </references>
      </pivotArea>
    </format>
    <format dxfId="615">
      <pivotArea dataOnly="0" labelOnly="1" outline="0" fieldPosition="0">
        <references count="3">
          <reference field="5" count="1" selected="0">
            <x v="144"/>
          </reference>
          <reference field="6" count="1" selected="0">
            <x v="114"/>
          </reference>
          <reference field="8" count="1">
            <x v="1"/>
          </reference>
        </references>
      </pivotArea>
    </format>
    <format dxfId="614">
      <pivotArea dataOnly="0" labelOnly="1" outline="0" fieldPosition="0">
        <references count="3">
          <reference field="5" count="1" selected="0">
            <x v="145"/>
          </reference>
          <reference field="6" count="1" selected="0">
            <x v="131"/>
          </reference>
          <reference field="8" count="1">
            <x v="1"/>
          </reference>
        </references>
      </pivotArea>
    </format>
    <format dxfId="613">
      <pivotArea dataOnly="0" labelOnly="1" outline="0" fieldPosition="0">
        <references count="3">
          <reference field="5" count="1" selected="0">
            <x v="146"/>
          </reference>
          <reference field="6" count="1" selected="0">
            <x v="106"/>
          </reference>
          <reference field="8" count="1">
            <x v="1"/>
          </reference>
        </references>
      </pivotArea>
    </format>
    <format dxfId="612">
      <pivotArea dataOnly="0" labelOnly="1" outline="0" fieldPosition="0">
        <references count="3">
          <reference field="5" count="1" selected="0">
            <x v="147"/>
          </reference>
          <reference field="6" count="1" selected="0">
            <x v="107"/>
          </reference>
          <reference field="8" count="1">
            <x v="1"/>
          </reference>
        </references>
      </pivotArea>
    </format>
    <format dxfId="611">
      <pivotArea dataOnly="0" labelOnly="1" outline="0" fieldPosition="0">
        <references count="3">
          <reference field="5" count="1" selected="0">
            <x v="148"/>
          </reference>
          <reference field="6" count="1" selected="0">
            <x v="101"/>
          </reference>
          <reference field="8" count="1">
            <x v="1"/>
          </reference>
        </references>
      </pivotArea>
    </format>
    <format dxfId="610">
      <pivotArea dataOnly="0" labelOnly="1" outline="0" fieldPosition="0">
        <references count="3">
          <reference field="5" count="1" selected="0">
            <x v="149"/>
          </reference>
          <reference field="6" count="1" selected="0">
            <x v="123"/>
          </reference>
          <reference field="8" count="1">
            <x v="1"/>
          </reference>
        </references>
      </pivotArea>
    </format>
    <format dxfId="609">
      <pivotArea dataOnly="0" labelOnly="1" outline="0" fieldPosition="0">
        <references count="3">
          <reference field="5" count="1" selected="0">
            <x v="150"/>
          </reference>
          <reference field="6" count="1" selected="0">
            <x v="124"/>
          </reference>
          <reference field="8" count="1">
            <x v="1"/>
          </reference>
        </references>
      </pivotArea>
    </format>
    <format dxfId="608">
      <pivotArea dataOnly="0" labelOnly="1" outline="0" fieldPosition="0">
        <references count="3">
          <reference field="5" count="1" selected="0">
            <x v="151"/>
          </reference>
          <reference field="6" count="1" selected="0">
            <x v="102"/>
          </reference>
          <reference field="8" count="1">
            <x v="1"/>
          </reference>
        </references>
      </pivotArea>
    </format>
    <format dxfId="607">
      <pivotArea dataOnly="0" labelOnly="1" outline="0" fieldPosition="0">
        <references count="3">
          <reference field="5" count="1" selected="0">
            <x v="152"/>
          </reference>
          <reference field="6" count="1" selected="0">
            <x v="161"/>
          </reference>
          <reference field="8" count="1">
            <x v="1"/>
          </reference>
        </references>
      </pivotArea>
    </format>
    <format dxfId="606">
      <pivotArea dataOnly="0" labelOnly="1" outline="0" fieldPosition="0">
        <references count="3">
          <reference field="5" count="1" selected="0">
            <x v="153"/>
          </reference>
          <reference field="6" count="1" selected="0">
            <x v="162"/>
          </reference>
          <reference field="8" count="1">
            <x v="1"/>
          </reference>
        </references>
      </pivotArea>
    </format>
    <format dxfId="605">
      <pivotArea dataOnly="0" labelOnly="1" outline="0" fieldPosition="0">
        <references count="3">
          <reference field="5" count="1" selected="0">
            <x v="154"/>
          </reference>
          <reference field="6" count="1" selected="0">
            <x v="119"/>
          </reference>
          <reference field="8" count="1">
            <x v="1"/>
          </reference>
        </references>
      </pivotArea>
    </format>
    <format dxfId="604">
      <pivotArea dataOnly="0" labelOnly="1" outline="0" fieldPosition="0">
        <references count="3">
          <reference field="5" count="1" selected="0">
            <x v="155"/>
          </reference>
          <reference field="6" count="1" selected="0">
            <x v="128"/>
          </reference>
          <reference field="8" count="1">
            <x v="1"/>
          </reference>
        </references>
      </pivotArea>
    </format>
    <format dxfId="603">
      <pivotArea dataOnly="0" labelOnly="1" outline="0" fieldPosition="0">
        <references count="3">
          <reference field="5" count="1" selected="0">
            <x v="156"/>
          </reference>
          <reference field="6" count="1" selected="0">
            <x v="120"/>
          </reference>
          <reference field="8" count="1">
            <x v="1"/>
          </reference>
        </references>
      </pivotArea>
    </format>
    <format dxfId="602">
      <pivotArea dataOnly="0" labelOnly="1" outline="0" fieldPosition="0">
        <references count="3">
          <reference field="5" count="1" selected="0">
            <x v="157"/>
          </reference>
          <reference field="6" count="1" selected="0">
            <x v="17"/>
          </reference>
          <reference field="8" count="1">
            <x v="2"/>
          </reference>
        </references>
      </pivotArea>
    </format>
    <format dxfId="601">
      <pivotArea dataOnly="0" labelOnly="1" outline="0" fieldPosition="0">
        <references count="3">
          <reference field="5" count="1" selected="0">
            <x v="158"/>
          </reference>
          <reference field="6" count="1" selected="0">
            <x v="34"/>
          </reference>
          <reference field="8" count="1">
            <x v="2"/>
          </reference>
        </references>
      </pivotArea>
    </format>
    <format dxfId="600">
      <pivotArea dataOnly="0" labelOnly="1" outline="0" fieldPosition="0">
        <references count="3">
          <reference field="5" count="1" selected="0">
            <x v="159"/>
          </reference>
          <reference field="6" count="1" selected="0">
            <x v="35"/>
          </reference>
          <reference field="8" count="1">
            <x v="2"/>
          </reference>
        </references>
      </pivotArea>
    </format>
    <format dxfId="599">
      <pivotArea dataOnly="0" labelOnly="1" outline="0" fieldPosition="0">
        <references count="3">
          <reference field="5" count="1" selected="0">
            <x v="160"/>
          </reference>
          <reference field="6" count="1" selected="0">
            <x v="59"/>
          </reference>
          <reference field="8" count="1">
            <x v="0"/>
          </reference>
        </references>
      </pivotArea>
    </format>
    <format dxfId="598">
      <pivotArea dataOnly="0" labelOnly="1" outline="0" fieldPosition="0">
        <references count="3">
          <reference field="5" count="1" selected="0">
            <x v="161"/>
          </reference>
          <reference field="6" count="1" selected="0">
            <x v="74"/>
          </reference>
          <reference field="8" count="1">
            <x v="0"/>
          </reference>
        </references>
      </pivotArea>
    </format>
    <format dxfId="597">
      <pivotArea dataOnly="0" labelOnly="1" outline="0" fieldPosition="0">
        <references count="3">
          <reference field="5" count="1" selected="0">
            <x v="162"/>
          </reference>
          <reference field="6" count="1" selected="0">
            <x v="75"/>
          </reference>
          <reference field="8" count="1">
            <x v="0"/>
          </reference>
        </references>
      </pivotArea>
    </format>
    <format dxfId="596">
      <pivotArea dataOnly="0" labelOnly="1" outline="0" fieldPosition="0">
        <references count="3">
          <reference field="5" count="1" selected="0">
            <x v="163"/>
          </reference>
          <reference field="6" count="1" selected="0">
            <x v="73"/>
          </reference>
          <reference field="8" count="1">
            <x v="0"/>
          </reference>
        </references>
      </pivotArea>
    </format>
    <format dxfId="595">
      <pivotArea dataOnly="0" labelOnly="1" outline="0" fieldPosition="0">
        <references count="3">
          <reference field="5" count="1" selected="0">
            <x v="164"/>
          </reference>
          <reference field="6" count="1" selected="0">
            <x v="167"/>
          </reference>
          <reference field="8" count="1">
            <x v="0"/>
          </reference>
        </references>
      </pivotArea>
    </format>
    <format dxfId="594">
      <pivotArea dataOnly="0" labelOnly="1" outline="0" fieldPosition="0">
        <references count="3">
          <reference field="5" count="1" selected="0">
            <x v="165"/>
          </reference>
          <reference field="6" count="1" selected="0">
            <x v="118"/>
          </reference>
          <reference field="8" count="1">
            <x v="0"/>
          </reference>
        </references>
      </pivotArea>
    </format>
    <format dxfId="593">
      <pivotArea dataOnly="0" labelOnly="1" outline="0" fieldPosition="0">
        <references count="3">
          <reference field="5" count="1" selected="0">
            <x v="166"/>
          </reference>
          <reference field="6" count="1" selected="0">
            <x v="71"/>
          </reference>
          <reference field="8" count="1">
            <x v="0"/>
          </reference>
        </references>
      </pivotArea>
    </format>
    <format dxfId="592">
      <pivotArea dataOnly="0" labelOnly="1" outline="0" fieldPosition="0">
        <references count="3">
          <reference field="5" count="1" selected="0">
            <x v="167"/>
          </reference>
          <reference field="6" count="1" selected="0">
            <x v="69"/>
          </reference>
          <reference field="8" count="1">
            <x v="0"/>
          </reference>
        </references>
      </pivotArea>
    </format>
    <format dxfId="591">
      <pivotArea dataOnly="0" labelOnly="1" outline="0" fieldPosition="0">
        <references count="3">
          <reference field="5" count="1" selected="0">
            <x v="168"/>
          </reference>
          <reference field="6" count="1" selected="0">
            <x v="66"/>
          </reference>
          <reference field="8" count="1">
            <x v="1"/>
          </reference>
        </references>
      </pivotArea>
    </format>
    <format dxfId="590">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89">
      <pivotArea dataOnly="0" labelOnly="1" outline="0" fieldPosition="0">
        <references count="1">
          <reference field="1" count="30">
            <x v="50"/>
            <x v="51"/>
            <x v="52"/>
            <x v="53"/>
            <x v="54"/>
            <x v="55"/>
            <x v="56"/>
            <x v="57"/>
            <x v="58"/>
            <x v="59"/>
            <x v="60"/>
            <x v="61"/>
            <x v="62"/>
            <x v="63"/>
            <x v="64"/>
            <x v="65"/>
            <x v="66"/>
            <x v="67"/>
            <x v="68"/>
            <x v="69"/>
            <x v="70"/>
            <x v="71"/>
            <x v="72"/>
            <x v="73"/>
            <x v="74"/>
            <x v="75"/>
            <x v="76"/>
            <x v="77"/>
            <x v="78"/>
            <x v="79"/>
          </reference>
        </references>
      </pivotArea>
    </format>
    <format dxfId="588">
      <pivotArea dataOnly="0" labelOnly="1" grandCol="1" outline="0" fieldPosition="0"/>
    </format>
    <format dxfId="587">
      <pivotArea dataOnly="0" labelOnly="1" outline="0" fieldPosition="0">
        <references count="2">
          <reference field="1" count="1" selected="0">
            <x v="0"/>
          </reference>
          <reference field="2" count="1">
            <x v="4"/>
          </reference>
        </references>
      </pivotArea>
    </format>
    <format dxfId="586">
      <pivotArea dataOnly="0" labelOnly="1" outline="0" fieldPosition="0">
        <references count="2">
          <reference field="1" count="1" selected="0">
            <x v="1"/>
          </reference>
          <reference field="2" count="1">
            <x v="2"/>
          </reference>
        </references>
      </pivotArea>
    </format>
    <format dxfId="585">
      <pivotArea dataOnly="0" labelOnly="1" outline="0" fieldPosition="0">
        <references count="2">
          <reference field="1" count="1" selected="0">
            <x v="2"/>
          </reference>
          <reference field="2" count="1">
            <x v="4"/>
          </reference>
        </references>
      </pivotArea>
    </format>
    <format dxfId="584">
      <pivotArea dataOnly="0" labelOnly="1" outline="0" fieldPosition="0">
        <references count="2">
          <reference field="1" count="1" selected="0">
            <x v="7"/>
          </reference>
          <reference field="2" count="1">
            <x v="3"/>
          </reference>
        </references>
      </pivotArea>
    </format>
    <format dxfId="583">
      <pivotArea dataOnly="0" labelOnly="1" outline="0" fieldPosition="0">
        <references count="2">
          <reference field="1" count="1" selected="0">
            <x v="37"/>
          </reference>
          <reference field="2" count="1">
            <x v="4"/>
          </reference>
        </references>
      </pivotArea>
    </format>
    <format dxfId="582">
      <pivotArea dataOnly="0" labelOnly="1" outline="0" fieldPosition="0">
        <references count="2">
          <reference field="1" count="1" selected="0">
            <x v="38"/>
          </reference>
          <reference field="2" count="1">
            <x v="3"/>
          </reference>
        </references>
      </pivotArea>
    </format>
    <format dxfId="581">
      <pivotArea dataOnly="0" labelOnly="1" outline="0" fieldPosition="0">
        <references count="2">
          <reference field="1" count="1" selected="0">
            <x v="48"/>
          </reference>
          <reference field="2" count="1">
            <x v="4"/>
          </reference>
        </references>
      </pivotArea>
    </format>
    <format dxfId="580">
      <pivotArea dataOnly="0" labelOnly="1" outline="0" fieldPosition="0">
        <references count="2">
          <reference field="1" count="1" selected="0">
            <x v="49"/>
          </reference>
          <reference field="2" count="1">
            <x v="3"/>
          </reference>
        </references>
      </pivotArea>
    </format>
    <format dxfId="579">
      <pivotArea dataOnly="0" labelOnly="1" outline="0" fieldPosition="0">
        <references count="2">
          <reference field="1" count="1" selected="0">
            <x v="51"/>
          </reference>
          <reference field="2" count="1">
            <x v="6"/>
          </reference>
        </references>
      </pivotArea>
    </format>
    <format dxfId="578">
      <pivotArea dataOnly="0" labelOnly="1" outline="0" fieldPosition="0">
        <references count="2">
          <reference field="1" count="1" selected="0">
            <x v="52"/>
          </reference>
          <reference field="2" count="1">
            <x v="3"/>
          </reference>
        </references>
      </pivotArea>
    </format>
    <format dxfId="577">
      <pivotArea dataOnly="0" labelOnly="1" outline="0" fieldPosition="0">
        <references count="2">
          <reference field="1" count="1" selected="0">
            <x v="56"/>
          </reference>
          <reference field="2" count="1">
            <x v="8"/>
          </reference>
        </references>
      </pivotArea>
    </format>
    <format dxfId="576">
      <pivotArea dataOnly="0" labelOnly="1" outline="0" fieldPosition="0">
        <references count="2">
          <reference field="1" count="1" selected="0">
            <x v="57"/>
          </reference>
          <reference field="2" count="1">
            <x v="2"/>
          </reference>
        </references>
      </pivotArea>
    </format>
    <format dxfId="575">
      <pivotArea dataOnly="0" labelOnly="1" outline="0" fieldPosition="0">
        <references count="2">
          <reference field="1" count="1" selected="0">
            <x v="58"/>
          </reference>
          <reference field="2" count="1">
            <x v="6"/>
          </reference>
        </references>
      </pivotArea>
    </format>
    <format dxfId="574">
      <pivotArea dataOnly="0" labelOnly="1" outline="0" fieldPosition="0">
        <references count="2">
          <reference field="1" count="1" selected="0">
            <x v="59"/>
          </reference>
          <reference field="2" count="1">
            <x v="8"/>
          </reference>
        </references>
      </pivotArea>
    </format>
    <format dxfId="573">
      <pivotArea dataOnly="0" labelOnly="1" outline="0" fieldPosition="0">
        <references count="2">
          <reference field="1" count="1" selected="0">
            <x v="60"/>
          </reference>
          <reference field="2" count="1">
            <x v="6"/>
          </reference>
        </references>
      </pivotArea>
    </format>
    <format dxfId="572">
      <pivotArea dataOnly="0" labelOnly="1" outline="0" fieldPosition="0">
        <references count="2">
          <reference field="1" count="1" selected="0">
            <x v="61"/>
          </reference>
          <reference field="2" count="1">
            <x v="8"/>
          </reference>
        </references>
      </pivotArea>
    </format>
    <format dxfId="571">
      <pivotArea dataOnly="0" labelOnly="1" outline="0" fieldPosition="0">
        <references count="2">
          <reference field="1" count="1" selected="0">
            <x v="62"/>
          </reference>
          <reference field="2" count="1">
            <x v="2"/>
          </reference>
        </references>
      </pivotArea>
    </format>
    <format dxfId="570">
      <pivotArea dataOnly="0" labelOnly="1" outline="0" fieldPosition="0">
        <references count="2">
          <reference field="1" count="1" selected="0">
            <x v="63"/>
          </reference>
          <reference field="2" count="1">
            <x v="6"/>
          </reference>
        </references>
      </pivotArea>
    </format>
    <format dxfId="569">
      <pivotArea dataOnly="0" labelOnly="1" outline="0" fieldPosition="0">
        <references count="2">
          <reference field="1" count="1" selected="0">
            <x v="66"/>
          </reference>
          <reference field="2" count="1">
            <x v="8"/>
          </reference>
        </references>
      </pivotArea>
    </format>
    <format dxfId="568">
      <pivotArea dataOnly="0" labelOnly="1" outline="0" fieldPosition="0">
        <references count="2">
          <reference field="1" count="1" selected="0">
            <x v="68"/>
          </reference>
          <reference field="2" count="1">
            <x v="2"/>
          </reference>
        </references>
      </pivotArea>
    </format>
    <format dxfId="567">
      <pivotArea dataOnly="0" labelOnly="1" outline="0" fieldPosition="0">
        <references count="2">
          <reference field="1" count="1" selected="0">
            <x v="69"/>
          </reference>
          <reference field="2" count="1">
            <x v="6"/>
          </reference>
        </references>
      </pivotArea>
    </format>
    <format dxfId="566">
      <pivotArea dataOnly="0" labelOnly="1" outline="0" fieldPosition="0">
        <references count="2">
          <reference field="1" count="1" selected="0">
            <x v="70"/>
          </reference>
          <reference field="2" count="1">
            <x v="4"/>
          </reference>
        </references>
      </pivotArea>
    </format>
    <format dxfId="565">
      <pivotArea dataOnly="0" labelOnly="1" outline="0" fieldPosition="0">
        <references count="2">
          <reference field="1" count="1" selected="0">
            <x v="73"/>
          </reference>
          <reference field="2" count="1">
            <x v="3"/>
          </reference>
        </references>
      </pivotArea>
    </format>
    <format dxfId="564">
      <pivotArea dataOnly="0" labelOnly="1" outline="0" fieldPosition="0">
        <references count="2">
          <reference field="1" count="1" selected="0">
            <x v="74"/>
          </reference>
          <reference field="2" count="1">
            <x v="5"/>
          </reference>
        </references>
      </pivotArea>
    </format>
    <format dxfId="563">
      <pivotArea dataOnly="0" labelOnly="1" outline="0" fieldPosition="0">
        <references count="2">
          <reference field="1" count="1" selected="0">
            <x v="75"/>
          </reference>
          <reference field="2" count="1">
            <x v="0"/>
          </reference>
        </references>
      </pivotArea>
    </format>
    <format dxfId="562">
      <pivotArea dataOnly="0" labelOnly="1" outline="0" fieldPosition="0">
        <references count="2">
          <reference field="1" count="1" selected="0">
            <x v="76"/>
          </reference>
          <reference field="2" count="1">
            <x v="8"/>
          </reference>
        </references>
      </pivotArea>
    </format>
    <format dxfId="561">
      <pivotArea dataOnly="0" labelOnly="1" outline="0" fieldPosition="0">
        <references count="2">
          <reference field="1" count="1" selected="0">
            <x v="77"/>
          </reference>
          <reference field="2" count="1">
            <x v="1"/>
          </reference>
        </references>
      </pivotArea>
    </format>
    <format dxfId="560">
      <pivotArea dataOnly="0" labelOnly="1" outline="0" fieldPosition="0">
        <references count="2">
          <reference field="1" count="1" selected="0">
            <x v="78"/>
          </reference>
          <reference field="2" count="1">
            <x v="7"/>
          </reference>
        </references>
      </pivotArea>
    </format>
    <format dxfId="559">
      <pivotArea dataOnly="0" labelOnly="1" outline="0" fieldPosition="0">
        <references count="2">
          <reference field="1" count="1" selected="0">
            <x v="79"/>
          </reference>
          <reference field="2" count="1">
            <x v="1"/>
          </reference>
        </references>
      </pivotArea>
    </format>
    <format dxfId="558">
      <pivotArea dataOnly="0" labelOnly="1" outline="0" fieldPosition="0">
        <references count="3">
          <reference field="1" count="1" selected="0">
            <x v="0"/>
          </reference>
          <reference field="2" count="1" selected="0">
            <x v="4"/>
          </reference>
          <reference field="3" count="1">
            <x v="57"/>
          </reference>
        </references>
      </pivotArea>
    </format>
    <format dxfId="557">
      <pivotArea dataOnly="0" labelOnly="1" outline="0" fieldPosition="0">
        <references count="3">
          <reference field="1" count="1" selected="0">
            <x v="1"/>
          </reference>
          <reference field="2" count="1" selected="0">
            <x v="2"/>
          </reference>
          <reference field="3" count="1">
            <x v="1"/>
          </reference>
        </references>
      </pivotArea>
    </format>
    <format dxfId="556">
      <pivotArea dataOnly="0" labelOnly="1" outline="0" fieldPosition="0">
        <references count="3">
          <reference field="1" count="1" selected="0">
            <x v="2"/>
          </reference>
          <reference field="2" count="1" selected="0">
            <x v="4"/>
          </reference>
          <reference field="3" count="1">
            <x v="52"/>
          </reference>
        </references>
      </pivotArea>
    </format>
    <format dxfId="555">
      <pivotArea dataOnly="0" labelOnly="1" outline="0" fieldPosition="0">
        <references count="3">
          <reference field="1" count="1" selected="0">
            <x v="3"/>
          </reference>
          <reference field="2" count="1" selected="0">
            <x v="4"/>
          </reference>
          <reference field="3" count="1">
            <x v="67"/>
          </reference>
        </references>
      </pivotArea>
    </format>
    <format dxfId="554">
      <pivotArea dataOnly="0" labelOnly="1" outline="0" fieldPosition="0">
        <references count="3">
          <reference field="1" count="1" selected="0">
            <x v="4"/>
          </reference>
          <reference field="2" count="1" selected="0">
            <x v="4"/>
          </reference>
          <reference field="3" count="1">
            <x v="53"/>
          </reference>
        </references>
      </pivotArea>
    </format>
    <format dxfId="553">
      <pivotArea dataOnly="0" labelOnly="1" outline="0" fieldPosition="0">
        <references count="3">
          <reference field="1" count="1" selected="0">
            <x v="5"/>
          </reference>
          <reference field="2" count="1" selected="0">
            <x v="4"/>
          </reference>
          <reference field="3" count="1">
            <x v="2"/>
          </reference>
        </references>
      </pivotArea>
    </format>
    <format dxfId="552">
      <pivotArea dataOnly="0" labelOnly="1" outline="0" fieldPosition="0">
        <references count="3">
          <reference field="1" count="1" selected="0">
            <x v="6"/>
          </reference>
          <reference field="2" count="1" selected="0">
            <x v="4"/>
          </reference>
          <reference field="3" count="1">
            <x v="3"/>
          </reference>
        </references>
      </pivotArea>
    </format>
    <format dxfId="551">
      <pivotArea dataOnly="0" labelOnly="1" outline="0" fieldPosition="0">
        <references count="3">
          <reference field="1" count="1" selected="0">
            <x v="7"/>
          </reference>
          <reference field="2" count="1" selected="0">
            <x v="3"/>
          </reference>
          <reference field="3" count="1">
            <x v="5"/>
          </reference>
        </references>
      </pivotArea>
    </format>
    <format dxfId="550">
      <pivotArea dataOnly="0" labelOnly="1" outline="0" fieldPosition="0">
        <references count="3">
          <reference field="1" count="1" selected="0">
            <x v="8"/>
          </reference>
          <reference field="2" count="1" selected="0">
            <x v="3"/>
          </reference>
          <reference field="3" count="1">
            <x v="14"/>
          </reference>
        </references>
      </pivotArea>
    </format>
    <format dxfId="549">
      <pivotArea dataOnly="0" labelOnly="1" outline="0" fieldPosition="0">
        <references count="3">
          <reference field="1" count="1" selected="0">
            <x v="9"/>
          </reference>
          <reference field="2" count="1" selected="0">
            <x v="3"/>
          </reference>
          <reference field="3" count="1">
            <x v="26"/>
          </reference>
        </references>
      </pivotArea>
    </format>
    <format dxfId="548">
      <pivotArea dataOnly="0" labelOnly="1" outline="0" fieldPosition="0">
        <references count="3">
          <reference field="1" count="1" selected="0">
            <x v="10"/>
          </reference>
          <reference field="2" count="1" selected="0">
            <x v="3"/>
          </reference>
          <reference field="3" count="1">
            <x v="42"/>
          </reference>
        </references>
      </pivotArea>
    </format>
    <format dxfId="547">
      <pivotArea dataOnly="0" labelOnly="1" outline="0" fieldPosition="0">
        <references count="3">
          <reference field="1" count="1" selected="0">
            <x v="11"/>
          </reference>
          <reference field="2" count="1" selected="0">
            <x v="3"/>
          </reference>
          <reference field="3" count="1">
            <x v="21"/>
          </reference>
        </references>
      </pivotArea>
    </format>
    <format dxfId="546">
      <pivotArea dataOnly="0" labelOnly="1" outline="0" fieldPosition="0">
        <references count="3">
          <reference field="1" count="1" selected="0">
            <x v="12"/>
          </reference>
          <reference field="2" count="1" selected="0">
            <x v="3"/>
          </reference>
          <reference field="3" count="1">
            <x v="40"/>
          </reference>
        </references>
      </pivotArea>
    </format>
    <format dxfId="545">
      <pivotArea dataOnly="0" labelOnly="1" outline="0" fieldPosition="0">
        <references count="3">
          <reference field="1" count="1" selected="0">
            <x v="13"/>
          </reference>
          <reference field="2" count="1" selected="0">
            <x v="3"/>
          </reference>
          <reference field="3" count="1">
            <x v="18"/>
          </reference>
        </references>
      </pivotArea>
    </format>
    <format dxfId="544">
      <pivotArea dataOnly="0" labelOnly="1" outline="0" fieldPosition="0">
        <references count="3">
          <reference field="1" count="1" selected="0">
            <x v="14"/>
          </reference>
          <reference field="2" count="1" selected="0">
            <x v="3"/>
          </reference>
          <reference field="3" count="1">
            <x v="49"/>
          </reference>
        </references>
      </pivotArea>
    </format>
    <format dxfId="543">
      <pivotArea dataOnly="0" labelOnly="1" outline="0" fieldPosition="0">
        <references count="3">
          <reference field="1" count="1" selected="0">
            <x v="15"/>
          </reference>
          <reference field="2" count="1" selected="0">
            <x v="3"/>
          </reference>
          <reference field="3" count="1">
            <x v="37"/>
          </reference>
        </references>
      </pivotArea>
    </format>
    <format dxfId="542">
      <pivotArea dataOnly="0" labelOnly="1" outline="0" fieldPosition="0">
        <references count="3">
          <reference field="1" count="1" selected="0">
            <x v="16"/>
          </reference>
          <reference field="2" count="1" selected="0">
            <x v="3"/>
          </reference>
          <reference field="3" count="1">
            <x v="15"/>
          </reference>
        </references>
      </pivotArea>
    </format>
    <format dxfId="541">
      <pivotArea dataOnly="0" labelOnly="1" outline="0" fieldPosition="0">
        <references count="3">
          <reference field="1" count="1" selected="0">
            <x v="17"/>
          </reference>
          <reference field="2" count="1" selected="0">
            <x v="3"/>
          </reference>
          <reference field="3" count="1">
            <x v="9"/>
          </reference>
        </references>
      </pivotArea>
    </format>
    <format dxfId="540">
      <pivotArea dataOnly="0" labelOnly="1" outline="0" fieldPosition="0">
        <references count="3">
          <reference field="1" count="1" selected="0">
            <x v="18"/>
          </reference>
          <reference field="2" count="1" selected="0">
            <x v="3"/>
          </reference>
          <reference field="3" count="1">
            <x v="7"/>
          </reference>
        </references>
      </pivotArea>
    </format>
    <format dxfId="539">
      <pivotArea dataOnly="0" labelOnly="1" outline="0" fieldPosition="0">
        <references count="3">
          <reference field="1" count="1" selected="0">
            <x v="19"/>
          </reference>
          <reference field="2" count="1" selected="0">
            <x v="3"/>
          </reference>
          <reference field="3" count="1">
            <x v="27"/>
          </reference>
        </references>
      </pivotArea>
    </format>
    <format dxfId="538">
      <pivotArea dataOnly="0" labelOnly="1" outline="0" fieldPosition="0">
        <references count="3">
          <reference field="1" count="1" selected="0">
            <x v="20"/>
          </reference>
          <reference field="2" count="1" selected="0">
            <x v="3"/>
          </reference>
          <reference field="3" count="1">
            <x v="30"/>
          </reference>
        </references>
      </pivotArea>
    </format>
    <format dxfId="537">
      <pivotArea dataOnly="0" labelOnly="1" outline="0" fieldPosition="0">
        <references count="3">
          <reference field="1" count="1" selected="0">
            <x v="21"/>
          </reference>
          <reference field="2" count="1" selected="0">
            <x v="3"/>
          </reference>
          <reference field="3" count="1">
            <x v="33"/>
          </reference>
        </references>
      </pivotArea>
    </format>
    <format dxfId="536">
      <pivotArea dataOnly="0" labelOnly="1" outline="0" fieldPosition="0">
        <references count="3">
          <reference field="1" count="1" selected="0">
            <x v="22"/>
          </reference>
          <reference field="2" count="1" selected="0">
            <x v="3"/>
          </reference>
          <reference field="3" count="1">
            <x v="43"/>
          </reference>
        </references>
      </pivotArea>
    </format>
    <format dxfId="535">
      <pivotArea dataOnly="0" labelOnly="1" outline="0" fieldPosition="0">
        <references count="3">
          <reference field="1" count="1" selected="0">
            <x v="23"/>
          </reference>
          <reference field="2" count="1" selected="0">
            <x v="3"/>
          </reference>
          <reference field="3" count="1">
            <x v="50"/>
          </reference>
        </references>
      </pivotArea>
    </format>
    <format dxfId="534">
      <pivotArea dataOnly="0" labelOnly="1" outline="0" fieldPosition="0">
        <references count="3">
          <reference field="1" count="1" selected="0">
            <x v="24"/>
          </reference>
          <reference field="2" count="1" selected="0">
            <x v="3"/>
          </reference>
          <reference field="3" count="1">
            <x v="35"/>
          </reference>
        </references>
      </pivotArea>
    </format>
    <format dxfId="533">
      <pivotArea dataOnly="0" labelOnly="1" outline="0" fieldPosition="0">
        <references count="3">
          <reference field="1" count="1" selected="0">
            <x v="25"/>
          </reference>
          <reference field="2" count="1" selected="0">
            <x v="3"/>
          </reference>
          <reference field="3" count="1">
            <x v="13"/>
          </reference>
        </references>
      </pivotArea>
    </format>
    <format dxfId="532">
      <pivotArea dataOnly="0" labelOnly="1" outline="0" fieldPosition="0">
        <references count="3">
          <reference field="1" count="1" selected="0">
            <x v="26"/>
          </reference>
          <reference field="2" count="1" selected="0">
            <x v="3"/>
          </reference>
          <reference field="3" count="1">
            <x v="19"/>
          </reference>
        </references>
      </pivotArea>
    </format>
    <format dxfId="531">
      <pivotArea dataOnly="0" labelOnly="1" outline="0" fieldPosition="0">
        <references count="3">
          <reference field="1" count="1" selected="0">
            <x v="27"/>
          </reference>
          <reference field="2" count="1" selected="0">
            <x v="3"/>
          </reference>
          <reference field="3" count="1">
            <x v="6"/>
          </reference>
        </references>
      </pivotArea>
    </format>
    <format dxfId="530">
      <pivotArea dataOnly="0" labelOnly="1" outline="0" fieldPosition="0">
        <references count="3">
          <reference field="1" count="1" selected="0">
            <x v="28"/>
          </reference>
          <reference field="2" count="1" selected="0">
            <x v="3"/>
          </reference>
          <reference field="3" count="1">
            <x v="45"/>
          </reference>
        </references>
      </pivotArea>
    </format>
    <format dxfId="529">
      <pivotArea dataOnly="0" labelOnly="1" outline="0" fieldPosition="0">
        <references count="3">
          <reference field="1" count="1" selected="0">
            <x v="29"/>
          </reference>
          <reference field="2" count="1" selected="0">
            <x v="3"/>
          </reference>
          <reference field="3" count="1">
            <x v="24"/>
          </reference>
        </references>
      </pivotArea>
    </format>
    <format dxfId="528">
      <pivotArea dataOnly="0" labelOnly="1" outline="0" fieldPosition="0">
        <references count="3">
          <reference field="1" count="1" selected="0">
            <x v="30"/>
          </reference>
          <reference field="2" count="1" selected="0">
            <x v="3"/>
          </reference>
          <reference field="3" count="1">
            <x v="22"/>
          </reference>
        </references>
      </pivotArea>
    </format>
    <format dxfId="527">
      <pivotArea dataOnly="0" labelOnly="1" outline="0" fieldPosition="0">
        <references count="3">
          <reference field="1" count="1" selected="0">
            <x v="31"/>
          </reference>
          <reference field="2" count="1" selected="0">
            <x v="3"/>
          </reference>
          <reference field="3" count="1">
            <x v="46"/>
          </reference>
        </references>
      </pivotArea>
    </format>
    <format dxfId="526">
      <pivotArea dataOnly="0" labelOnly="1" outline="0" fieldPosition="0">
        <references count="3">
          <reference field="1" count="1" selected="0">
            <x v="32"/>
          </reference>
          <reference field="2" count="1" selected="0">
            <x v="3"/>
          </reference>
          <reference field="3" count="1">
            <x v="32"/>
          </reference>
        </references>
      </pivotArea>
    </format>
    <format dxfId="525">
      <pivotArea dataOnly="0" labelOnly="1" outline="0" fieldPosition="0">
        <references count="3">
          <reference field="1" count="1" selected="0">
            <x v="33"/>
          </reference>
          <reference field="2" count="1" selected="0">
            <x v="3"/>
          </reference>
          <reference field="3" count="1">
            <x v="12"/>
          </reference>
        </references>
      </pivotArea>
    </format>
    <format dxfId="524">
      <pivotArea dataOnly="0" labelOnly="1" outline="0" fieldPosition="0">
        <references count="3">
          <reference field="1" count="1" selected="0">
            <x v="34"/>
          </reference>
          <reference field="2" count="1" selected="0">
            <x v="3"/>
          </reference>
          <reference field="3" count="1">
            <x v="20"/>
          </reference>
        </references>
      </pivotArea>
    </format>
    <format dxfId="523">
      <pivotArea dataOnly="0" labelOnly="1" outline="0" fieldPosition="0">
        <references count="3">
          <reference field="1" count="1" selected="0">
            <x v="35"/>
          </reference>
          <reference field="2" count="1" selected="0">
            <x v="3"/>
          </reference>
          <reference field="3" count="1">
            <x v="48"/>
          </reference>
        </references>
      </pivotArea>
    </format>
    <format dxfId="522">
      <pivotArea dataOnly="0" labelOnly="1" outline="0" fieldPosition="0">
        <references count="3">
          <reference field="1" count="1" selected="0">
            <x v="36"/>
          </reference>
          <reference field="2" count="1" selected="0">
            <x v="3"/>
          </reference>
          <reference field="3" count="1">
            <x v="47"/>
          </reference>
        </references>
      </pivotArea>
    </format>
    <format dxfId="521">
      <pivotArea dataOnly="0" labelOnly="1" outline="0" fieldPosition="0">
        <references count="3">
          <reference field="1" count="1" selected="0">
            <x v="37"/>
          </reference>
          <reference field="2" count="1" selected="0">
            <x v="4"/>
          </reference>
          <reference field="3" count="1">
            <x v="58"/>
          </reference>
        </references>
      </pivotArea>
    </format>
    <format dxfId="520">
      <pivotArea dataOnly="0" labelOnly="1" outline="0" fieldPosition="0">
        <references count="3">
          <reference field="1" count="1" selected="0">
            <x v="38"/>
          </reference>
          <reference field="2" count="1" selected="0">
            <x v="3"/>
          </reference>
          <reference field="3" count="1">
            <x v="39"/>
          </reference>
        </references>
      </pivotArea>
    </format>
    <format dxfId="519">
      <pivotArea dataOnly="0" labelOnly="1" outline="0" fieldPosition="0">
        <references count="3">
          <reference field="1" count="1" selected="0">
            <x v="39"/>
          </reference>
          <reference field="2" count="1" selected="0">
            <x v="3"/>
          </reference>
          <reference field="3" count="1">
            <x v="31"/>
          </reference>
        </references>
      </pivotArea>
    </format>
    <format dxfId="518">
      <pivotArea dataOnly="0" labelOnly="1" outline="0" fieldPosition="0">
        <references count="3">
          <reference field="1" count="1" selected="0">
            <x v="40"/>
          </reference>
          <reference field="2" count="1" selected="0">
            <x v="3"/>
          </reference>
          <reference field="3" count="1">
            <x v="23"/>
          </reference>
        </references>
      </pivotArea>
    </format>
    <format dxfId="517">
      <pivotArea dataOnly="0" labelOnly="1" outline="0" fieldPosition="0">
        <references count="3">
          <reference field="1" count="1" selected="0">
            <x v="41"/>
          </reference>
          <reference field="2" count="1" selected="0">
            <x v="3"/>
          </reference>
          <reference field="3" count="1">
            <x v="51"/>
          </reference>
        </references>
      </pivotArea>
    </format>
    <format dxfId="516">
      <pivotArea dataOnly="0" labelOnly="1" outline="0" fieldPosition="0">
        <references count="3">
          <reference field="1" count="1" selected="0">
            <x v="42"/>
          </reference>
          <reference field="2" count="1" selected="0">
            <x v="3"/>
          </reference>
          <reference field="3" count="1">
            <x v="44"/>
          </reference>
        </references>
      </pivotArea>
    </format>
    <format dxfId="515">
      <pivotArea dataOnly="0" labelOnly="1" outline="0" fieldPosition="0">
        <references count="3">
          <reference field="1" count="1" selected="0">
            <x v="43"/>
          </reference>
          <reference field="2" count="1" selected="0">
            <x v="3"/>
          </reference>
          <reference field="3" count="1">
            <x v="16"/>
          </reference>
        </references>
      </pivotArea>
    </format>
    <format dxfId="514">
      <pivotArea dataOnly="0" labelOnly="1" outline="0" fieldPosition="0">
        <references count="3">
          <reference field="1" count="1" selected="0">
            <x v="44"/>
          </reference>
          <reference field="2" count="1" selected="0">
            <x v="3"/>
          </reference>
          <reference field="3" count="1">
            <x v="28"/>
          </reference>
        </references>
      </pivotArea>
    </format>
    <format dxfId="513">
      <pivotArea dataOnly="0" labelOnly="1" outline="0" fieldPosition="0">
        <references count="3">
          <reference field="1" count="1" selected="0">
            <x v="45"/>
          </reference>
          <reference field="2" count="1" selected="0">
            <x v="3"/>
          </reference>
          <reference field="3" count="1">
            <x v="34"/>
          </reference>
        </references>
      </pivotArea>
    </format>
    <format dxfId="512">
      <pivotArea dataOnly="0" labelOnly="1" outline="0" fieldPosition="0">
        <references count="3">
          <reference field="1" count="1" selected="0">
            <x v="46"/>
          </reference>
          <reference field="2" count="1" selected="0">
            <x v="3"/>
          </reference>
          <reference field="3" count="1">
            <x v="36"/>
          </reference>
        </references>
      </pivotArea>
    </format>
    <format dxfId="511">
      <pivotArea dataOnly="0" labelOnly="1" outline="0" fieldPosition="0">
        <references count="3">
          <reference field="1" count="1" selected="0">
            <x v="47"/>
          </reference>
          <reference field="2" count="1" selected="0">
            <x v="3"/>
          </reference>
          <reference field="3" count="1">
            <x v="10"/>
          </reference>
        </references>
      </pivotArea>
    </format>
    <format dxfId="510">
      <pivotArea dataOnly="0" labelOnly="1" outline="0" fieldPosition="0">
        <references count="3">
          <reference field="1" count="1" selected="0">
            <x v="48"/>
          </reference>
          <reference field="2" count="1" selected="0">
            <x v="4"/>
          </reference>
          <reference field="3" count="1">
            <x v="59"/>
          </reference>
        </references>
      </pivotArea>
    </format>
    <format dxfId="509">
      <pivotArea dataOnly="0" labelOnly="1" outline="0" fieldPosition="0">
        <references count="3">
          <reference field="1" count="1" selected="0">
            <x v="49"/>
          </reference>
          <reference field="2" count="1" selected="0">
            <x v="3"/>
          </reference>
          <reference field="3" count="1">
            <x v="29"/>
          </reference>
        </references>
      </pivotArea>
    </format>
    <format dxfId="508">
      <pivotArea dataOnly="0" labelOnly="1" outline="0" fieldPosition="0">
        <references count="3">
          <reference field="1" count="1" selected="0">
            <x v="50"/>
          </reference>
          <reference field="2" count="1" selected="0">
            <x v="3"/>
          </reference>
          <reference field="3" count="1">
            <x v="38"/>
          </reference>
        </references>
      </pivotArea>
    </format>
    <format dxfId="507">
      <pivotArea dataOnly="0" labelOnly="1" outline="0" fieldPosition="0">
        <references count="3">
          <reference field="1" count="1" selected="0">
            <x v="51"/>
          </reference>
          <reference field="2" count="1" selected="0">
            <x v="6"/>
          </reference>
          <reference field="3" count="1">
            <x v="72"/>
          </reference>
        </references>
      </pivotArea>
    </format>
    <format dxfId="506">
      <pivotArea dataOnly="0" labelOnly="1" outline="0" fieldPosition="0">
        <references count="3">
          <reference field="1" count="1" selected="0">
            <x v="52"/>
          </reference>
          <reference field="2" count="1" selected="0">
            <x v="3"/>
          </reference>
          <reference field="3" count="1">
            <x v="17"/>
          </reference>
        </references>
      </pivotArea>
    </format>
    <format dxfId="505">
      <pivotArea dataOnly="0" labelOnly="1" outline="0" fieldPosition="0">
        <references count="3">
          <reference field="1" count="1" selected="0">
            <x v="53"/>
          </reference>
          <reference field="2" count="1" selected="0">
            <x v="3"/>
          </reference>
          <reference field="3" count="1">
            <x v="41"/>
          </reference>
        </references>
      </pivotArea>
    </format>
    <format dxfId="504">
      <pivotArea dataOnly="0" labelOnly="1" outline="0" fieldPosition="0">
        <references count="3">
          <reference field="1" count="1" selected="0">
            <x v="54"/>
          </reference>
          <reference field="2" count="1" selected="0">
            <x v="3"/>
          </reference>
          <reference field="3" count="1">
            <x v="25"/>
          </reference>
        </references>
      </pivotArea>
    </format>
    <format dxfId="503">
      <pivotArea dataOnly="0" labelOnly="1" outline="0" fieldPosition="0">
        <references count="3">
          <reference field="1" count="1" selected="0">
            <x v="55"/>
          </reference>
          <reference field="2" count="1" selected="0">
            <x v="3"/>
          </reference>
          <reference field="3" count="1">
            <x v="11"/>
          </reference>
        </references>
      </pivotArea>
    </format>
    <format dxfId="502">
      <pivotArea dataOnly="0" labelOnly="1" outline="0" fieldPosition="0">
        <references count="3">
          <reference field="1" count="1" selected="0">
            <x v="56"/>
          </reference>
          <reference field="2" count="1" selected="0">
            <x v="8"/>
          </reference>
          <reference field="3" count="1">
            <x v="73"/>
          </reference>
        </references>
      </pivotArea>
    </format>
    <format dxfId="501">
      <pivotArea dataOnly="0" labelOnly="1" outline="0" fieldPosition="0">
        <references count="3">
          <reference field="1" count="1" selected="0">
            <x v="57"/>
          </reference>
          <reference field="2" count="1" selected="0">
            <x v="2"/>
          </reference>
          <reference field="3" count="1">
            <x v="77"/>
          </reference>
        </references>
      </pivotArea>
    </format>
    <format dxfId="500">
      <pivotArea dataOnly="0" labelOnly="1" outline="0" fieldPosition="0">
        <references count="3">
          <reference field="1" count="1" selected="0">
            <x v="58"/>
          </reference>
          <reference field="2" count="1" selected="0">
            <x v="6"/>
          </reference>
          <reference field="3" count="1">
            <x v="60"/>
          </reference>
        </references>
      </pivotArea>
    </format>
    <format dxfId="499">
      <pivotArea dataOnly="0" labelOnly="1" outline="0" fieldPosition="0">
        <references count="3">
          <reference field="1" count="1" selected="0">
            <x v="59"/>
          </reference>
          <reference field="2" count="1" selected="0">
            <x v="8"/>
          </reference>
          <reference field="3" count="1">
            <x v="54"/>
          </reference>
        </references>
      </pivotArea>
    </format>
    <format dxfId="498">
      <pivotArea dataOnly="0" labelOnly="1" outline="0" fieldPosition="0">
        <references count="3">
          <reference field="1" count="1" selected="0">
            <x v="60"/>
          </reference>
          <reference field="2" count="1" selected="0">
            <x v="6"/>
          </reference>
          <reference field="3" count="1">
            <x v="64"/>
          </reference>
        </references>
      </pivotArea>
    </format>
    <format dxfId="497">
      <pivotArea dataOnly="0" labelOnly="1" outline="0" fieldPosition="0">
        <references count="3">
          <reference field="1" count="1" selected="0">
            <x v="61"/>
          </reference>
          <reference field="2" count="1" selected="0">
            <x v="8"/>
          </reference>
          <reference field="3" count="1">
            <x v="76"/>
          </reference>
        </references>
      </pivotArea>
    </format>
    <format dxfId="496">
      <pivotArea dataOnly="0" labelOnly="1" outline="0" fieldPosition="0">
        <references count="3">
          <reference field="1" count="1" selected="0">
            <x v="62"/>
          </reference>
          <reference field="2" count="1" selected="0">
            <x v="2"/>
          </reference>
          <reference field="3" count="1">
            <x v="79"/>
          </reference>
        </references>
      </pivotArea>
    </format>
    <format dxfId="495">
      <pivotArea dataOnly="0" labelOnly="1" outline="0" fieldPosition="0">
        <references count="3">
          <reference field="1" count="1" selected="0">
            <x v="63"/>
          </reference>
          <reference field="2" count="1" selected="0">
            <x v="6"/>
          </reference>
          <reference field="3" count="1">
            <x v="0"/>
          </reference>
        </references>
      </pivotArea>
    </format>
    <format dxfId="494">
      <pivotArea dataOnly="0" labelOnly="1" outline="0" fieldPosition="0">
        <references count="3">
          <reference field="1" count="1" selected="0">
            <x v="64"/>
          </reference>
          <reference field="2" count="1" selected="0">
            <x v="6"/>
          </reference>
          <reference field="3" count="1">
            <x v="61"/>
          </reference>
        </references>
      </pivotArea>
    </format>
    <format dxfId="493">
      <pivotArea dataOnly="0" labelOnly="1" outline="0" fieldPosition="0">
        <references count="3">
          <reference field="1" count="1" selected="0">
            <x v="65"/>
          </reference>
          <reference field="2" count="1" selected="0">
            <x v="6"/>
          </reference>
          <reference field="3" count="1">
            <x v="63"/>
          </reference>
        </references>
      </pivotArea>
    </format>
    <format dxfId="492">
      <pivotArea dataOnly="0" labelOnly="1" outline="0" fieldPosition="0">
        <references count="3">
          <reference field="1" count="1" selected="0">
            <x v="66"/>
          </reference>
          <reference field="2" count="1" selected="0">
            <x v="8"/>
          </reference>
          <reference field="3" count="1">
            <x v="65"/>
          </reference>
        </references>
      </pivotArea>
    </format>
    <format dxfId="491">
      <pivotArea dataOnly="0" labelOnly="1" outline="0" fieldPosition="0">
        <references count="3">
          <reference field="1" count="1" selected="0">
            <x v="67"/>
          </reference>
          <reference field="2" count="1" selected="0">
            <x v="8"/>
          </reference>
          <reference field="3" count="1">
            <x v="75"/>
          </reference>
        </references>
      </pivotArea>
    </format>
    <format dxfId="490">
      <pivotArea dataOnly="0" labelOnly="1" outline="0" fieldPosition="0">
        <references count="3">
          <reference field="1" count="1" selected="0">
            <x v="68"/>
          </reference>
          <reference field="2" count="1" selected="0">
            <x v="2"/>
          </reference>
          <reference field="3" count="1">
            <x v="78"/>
          </reference>
        </references>
      </pivotArea>
    </format>
    <format dxfId="489">
      <pivotArea dataOnly="0" labelOnly="1" outline="0" fieldPosition="0">
        <references count="3">
          <reference field="1" count="1" selected="0">
            <x v="69"/>
          </reference>
          <reference field="2" count="1" selected="0">
            <x v="6"/>
          </reference>
          <reference field="3" count="1">
            <x v="62"/>
          </reference>
        </references>
      </pivotArea>
    </format>
    <format dxfId="488">
      <pivotArea dataOnly="0" labelOnly="1" outline="0" fieldPosition="0">
        <references count="3">
          <reference field="1" count="1" selected="0">
            <x v="70"/>
          </reference>
          <reference field="2" count="1" selected="0">
            <x v="4"/>
          </reference>
          <reference field="3" count="1">
            <x v="55"/>
          </reference>
        </references>
      </pivotArea>
    </format>
    <format dxfId="487">
      <pivotArea dataOnly="0" labelOnly="1" outline="0" fieldPosition="0">
        <references count="3">
          <reference field="1" count="1" selected="0">
            <x v="71"/>
          </reference>
          <reference field="2" count="1" selected="0">
            <x v="4"/>
          </reference>
          <reference field="3" count="1">
            <x v="56"/>
          </reference>
        </references>
      </pivotArea>
    </format>
    <format dxfId="486">
      <pivotArea dataOnly="0" labelOnly="1" outline="0" fieldPosition="0">
        <references count="3">
          <reference field="1" count="1" selected="0">
            <x v="72"/>
          </reference>
          <reference field="2" count="1" selected="0">
            <x v="4"/>
          </reference>
          <reference field="3" count="1">
            <x v="68"/>
          </reference>
        </references>
      </pivotArea>
    </format>
    <format dxfId="485">
      <pivotArea dataOnly="0" labelOnly="1" outline="0" fieldPosition="0">
        <references count="3">
          <reference field="1" count="1" selected="0">
            <x v="73"/>
          </reference>
          <reference field="2" count="1" selected="0">
            <x v="3"/>
          </reference>
          <reference field="3" count="1">
            <x v="8"/>
          </reference>
        </references>
      </pivotArea>
    </format>
    <format dxfId="484">
      <pivotArea dataOnly="0" labelOnly="1" outline="0" fieldPosition="0">
        <references count="3">
          <reference field="1" count="1" selected="0">
            <x v="74"/>
          </reference>
          <reference field="2" count="1" selected="0">
            <x v="5"/>
          </reference>
          <reference field="3" count="1">
            <x v="69"/>
          </reference>
        </references>
      </pivotArea>
    </format>
    <format dxfId="483">
      <pivotArea dataOnly="0" labelOnly="1" outline="0" fieldPosition="0">
        <references count="3">
          <reference field="1" count="1" selected="0">
            <x v="75"/>
          </reference>
          <reference field="2" count="1" selected="0">
            <x v="0"/>
          </reference>
          <reference field="3" count="1">
            <x v="66"/>
          </reference>
        </references>
      </pivotArea>
    </format>
    <format dxfId="482">
      <pivotArea dataOnly="0" labelOnly="1" outline="0" fieldPosition="0">
        <references count="3">
          <reference field="1" count="1" selected="0">
            <x v="76"/>
          </reference>
          <reference field="2" count="1" selected="0">
            <x v="8"/>
          </reference>
          <reference field="3" count="1">
            <x v="74"/>
          </reference>
        </references>
      </pivotArea>
    </format>
    <format dxfId="481">
      <pivotArea dataOnly="0" labelOnly="1" outline="0" fieldPosition="0">
        <references count="3">
          <reference field="1" count="1" selected="0">
            <x v="77"/>
          </reference>
          <reference field="2" count="1" selected="0">
            <x v="1"/>
          </reference>
          <reference field="3" count="1">
            <x v="71"/>
          </reference>
        </references>
      </pivotArea>
    </format>
    <format dxfId="480">
      <pivotArea dataOnly="0" labelOnly="1" outline="0" fieldPosition="0">
        <references count="3">
          <reference field="1" count="1" selected="0">
            <x v="78"/>
          </reference>
          <reference field="2" count="1" selected="0">
            <x v="7"/>
          </reference>
          <reference field="3" count="1">
            <x v="4"/>
          </reference>
        </references>
      </pivotArea>
    </format>
    <format dxfId="479">
      <pivotArea dataOnly="0" labelOnly="1" outline="0" fieldPosition="0">
        <references count="3">
          <reference field="1" count="1" selected="0">
            <x v="79"/>
          </reference>
          <reference field="2" count="1" selected="0">
            <x v="1"/>
          </reference>
          <reference field="3" count="1">
            <x v="70"/>
          </reference>
        </references>
      </pivotArea>
    </format>
    <format dxfId="478">
      <pivotArea type="all" dataOnly="0" outline="0" fieldPosition="0"/>
    </format>
    <format dxfId="477">
      <pivotArea outline="0" fieldPosition="0"/>
    </format>
    <format dxfId="476">
      <pivotArea type="origin" dataOnly="0" labelOnly="1" outline="0" fieldPosition="0"/>
    </format>
    <format dxfId="475">
      <pivotArea field="1" type="button" dataOnly="0" labelOnly="1" outline="0" axis="axisCol" fieldPosition="0"/>
    </format>
    <format dxfId="474">
      <pivotArea field="2" type="button" dataOnly="0" labelOnly="1" outline="0" axis="axisCol" fieldPosition="1"/>
    </format>
    <format dxfId="473">
      <pivotArea field="3" type="button" dataOnly="0" labelOnly="1" outline="0" axis="axisCol" fieldPosition="2"/>
    </format>
    <format dxfId="472">
      <pivotArea type="topRight" dataOnly="0" labelOnly="1" outline="0" fieldPosition="0"/>
    </format>
    <format dxfId="471">
      <pivotArea field="5" type="button" dataOnly="0" labelOnly="1" outline="0" axis="axisRow" fieldPosition="0"/>
    </format>
    <format dxfId="470">
      <pivotArea field="6" type="button" dataOnly="0" labelOnly="1" outline="0" axis="axisRow" fieldPosition="1"/>
    </format>
    <format dxfId="469">
      <pivotArea field="8" type="button" dataOnly="0" labelOnly="1" outline="0" axis="axisRow" fieldPosition="2"/>
    </format>
    <format dxfId="468">
      <pivotArea dataOnly="0" labelOnly="1" outline="0" fieldPosition="0">
        <references count="1">
          <reference field="5"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7">
      <pivotArea dataOnly="0" labelOnly="1" outline="0" fieldPosition="0">
        <references count="1">
          <reference field="5"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66">
      <pivotArea dataOnly="0" labelOnly="1" outline="0" fieldPosition="0">
        <references count="1">
          <reference field="5"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65">
      <pivotArea dataOnly="0" labelOnly="1" outline="0" fieldPosition="0">
        <references count="1">
          <reference field="5" count="19">
            <x v="150"/>
            <x v="151"/>
            <x v="152"/>
            <x v="153"/>
            <x v="154"/>
            <x v="155"/>
            <x v="156"/>
            <x v="157"/>
            <x v="158"/>
            <x v="159"/>
            <x v="160"/>
            <x v="161"/>
            <x v="162"/>
            <x v="163"/>
            <x v="164"/>
            <x v="165"/>
            <x v="166"/>
            <x v="167"/>
            <x v="168"/>
          </reference>
        </references>
      </pivotArea>
    </format>
    <format dxfId="464">
      <pivotArea dataOnly="0" labelOnly="1" grandRow="1" outline="0" fieldPosition="0"/>
    </format>
    <format dxfId="463">
      <pivotArea dataOnly="0" labelOnly="1" outline="0" fieldPosition="0">
        <references count="2">
          <reference field="5" count="1" selected="0">
            <x v="0"/>
          </reference>
          <reference field="6" count="1">
            <x v="88"/>
          </reference>
        </references>
      </pivotArea>
    </format>
    <format dxfId="462">
      <pivotArea dataOnly="0" labelOnly="1" outline="0" fieldPosition="0">
        <references count="2">
          <reference field="5" count="1" selected="0">
            <x v="1"/>
          </reference>
          <reference field="6" count="1">
            <x v="20"/>
          </reference>
        </references>
      </pivotArea>
    </format>
    <format dxfId="461">
      <pivotArea dataOnly="0" labelOnly="1" outline="0" fieldPosition="0">
        <references count="2">
          <reference field="5" count="1" selected="0">
            <x v="2"/>
          </reference>
          <reference field="6" count="1">
            <x v="138"/>
          </reference>
        </references>
      </pivotArea>
    </format>
    <format dxfId="460">
      <pivotArea dataOnly="0" labelOnly="1" outline="0" fieldPosition="0">
        <references count="2">
          <reference field="5" count="1" selected="0">
            <x v="3"/>
          </reference>
          <reference field="6" count="1">
            <x v="31"/>
          </reference>
        </references>
      </pivotArea>
    </format>
    <format dxfId="459">
      <pivotArea dataOnly="0" labelOnly="1" outline="0" fieldPosition="0">
        <references count="2">
          <reference field="5" count="1" selected="0">
            <x v="4"/>
          </reference>
          <reference field="6" count="1">
            <x v="139"/>
          </reference>
        </references>
      </pivotArea>
    </format>
    <format dxfId="458">
      <pivotArea dataOnly="0" labelOnly="1" outline="0" fieldPosition="0">
        <references count="2">
          <reference field="5" count="1" selected="0">
            <x v="5"/>
          </reference>
          <reference field="6" count="1">
            <x v="13"/>
          </reference>
        </references>
      </pivotArea>
    </format>
    <format dxfId="457">
      <pivotArea dataOnly="0" labelOnly="1" outline="0" fieldPosition="0">
        <references count="2">
          <reference field="5" count="1" selected="0">
            <x v="6"/>
          </reference>
          <reference field="6" count="1">
            <x v="70"/>
          </reference>
        </references>
      </pivotArea>
    </format>
    <format dxfId="456">
      <pivotArea dataOnly="0" labelOnly="1" outline="0" fieldPosition="0">
        <references count="2">
          <reference field="5" count="1" selected="0">
            <x v="7"/>
          </reference>
          <reference field="6" count="1">
            <x v="10"/>
          </reference>
        </references>
      </pivotArea>
    </format>
    <format dxfId="455">
      <pivotArea dataOnly="0" labelOnly="1" outline="0" fieldPosition="0">
        <references count="2">
          <reference field="5" count="1" selected="0">
            <x v="8"/>
          </reference>
          <reference field="6" count="1">
            <x v="11"/>
          </reference>
        </references>
      </pivotArea>
    </format>
    <format dxfId="454">
      <pivotArea dataOnly="0" labelOnly="1" outline="0" fieldPosition="0">
        <references count="2">
          <reference field="5" count="1" selected="0">
            <x v="9"/>
          </reference>
          <reference field="6" count="1">
            <x v="12"/>
          </reference>
        </references>
      </pivotArea>
    </format>
    <format dxfId="453">
      <pivotArea dataOnly="0" labelOnly="1" outline="0" fieldPosition="0">
        <references count="2">
          <reference field="5" count="1" selected="0">
            <x v="10"/>
          </reference>
          <reference field="6" count="1">
            <x v="6"/>
          </reference>
        </references>
      </pivotArea>
    </format>
    <format dxfId="452">
      <pivotArea dataOnly="0" labelOnly="1" outline="0" fieldPosition="0">
        <references count="2">
          <reference field="5" count="1" selected="0">
            <x v="11"/>
          </reference>
          <reference field="6" count="1">
            <x v="7"/>
          </reference>
        </references>
      </pivotArea>
    </format>
    <format dxfId="451">
      <pivotArea dataOnly="0" labelOnly="1" outline="0" fieldPosition="0">
        <references count="2">
          <reference field="5" count="1" selected="0">
            <x v="12"/>
          </reference>
          <reference field="6" count="1">
            <x v="103"/>
          </reference>
        </references>
      </pivotArea>
    </format>
    <format dxfId="450">
      <pivotArea dataOnly="0" labelOnly="1" outline="0" fieldPosition="0">
        <references count="2">
          <reference field="5" count="1" selected="0">
            <x v="13"/>
          </reference>
          <reference field="6" count="1">
            <x v="26"/>
          </reference>
        </references>
      </pivotArea>
    </format>
    <format dxfId="449">
      <pivotArea dataOnly="0" labelOnly="1" outline="0" fieldPosition="0">
        <references count="2">
          <reference field="5" count="1" selected="0">
            <x v="14"/>
          </reference>
          <reference field="6" count="1">
            <x v="22"/>
          </reference>
        </references>
      </pivotArea>
    </format>
    <format dxfId="448">
      <pivotArea dataOnly="0" labelOnly="1" outline="0" fieldPosition="0">
        <references count="2">
          <reference field="5" count="1" selected="0">
            <x v="15"/>
          </reference>
          <reference field="6" count="1">
            <x v="93"/>
          </reference>
        </references>
      </pivotArea>
    </format>
    <format dxfId="447">
      <pivotArea dataOnly="0" labelOnly="1" outline="0" fieldPosition="0">
        <references count="2">
          <reference field="5" count="1" selected="0">
            <x v="16"/>
          </reference>
          <reference field="6" count="1">
            <x v="159"/>
          </reference>
        </references>
      </pivotArea>
    </format>
    <format dxfId="446">
      <pivotArea dataOnly="0" labelOnly="1" outline="0" fieldPosition="0">
        <references count="2">
          <reference field="5" count="1" selected="0">
            <x v="17"/>
          </reference>
          <reference field="6" count="1">
            <x v="0"/>
          </reference>
        </references>
      </pivotArea>
    </format>
    <format dxfId="445">
      <pivotArea dataOnly="0" labelOnly="1" outline="0" fieldPosition="0">
        <references count="2">
          <reference field="5" count="1" selected="0">
            <x v="18"/>
          </reference>
          <reference field="6" count="1">
            <x v="21"/>
          </reference>
        </references>
      </pivotArea>
    </format>
    <format dxfId="444">
      <pivotArea dataOnly="0" labelOnly="1" outline="0" fieldPosition="0">
        <references count="2">
          <reference field="5" count="1" selected="0">
            <x v="19"/>
          </reference>
          <reference field="6" count="1">
            <x v="5"/>
          </reference>
        </references>
      </pivotArea>
    </format>
    <format dxfId="443">
      <pivotArea dataOnly="0" labelOnly="1" outline="0" fieldPosition="0">
        <references count="2">
          <reference field="5" count="1" selected="0">
            <x v="20"/>
          </reference>
          <reference field="6" count="1">
            <x v="51"/>
          </reference>
        </references>
      </pivotArea>
    </format>
    <format dxfId="442">
      <pivotArea dataOnly="0" labelOnly="1" outline="0" fieldPosition="0">
        <references count="2">
          <reference field="5" count="1" selected="0">
            <x v="21"/>
          </reference>
          <reference field="6" count="1">
            <x v="15"/>
          </reference>
        </references>
      </pivotArea>
    </format>
    <format dxfId="441">
      <pivotArea dataOnly="0" labelOnly="1" outline="0" fieldPosition="0">
        <references count="2">
          <reference field="5" count="1" selected="0">
            <x v="22"/>
          </reference>
          <reference field="6" count="1">
            <x v="19"/>
          </reference>
        </references>
      </pivotArea>
    </format>
    <format dxfId="440">
      <pivotArea dataOnly="0" labelOnly="1" outline="0" fieldPosition="0">
        <references count="2">
          <reference field="5" count="1" selected="0">
            <x v="23"/>
          </reference>
          <reference field="6" count="1">
            <x v="14"/>
          </reference>
        </references>
      </pivotArea>
    </format>
    <format dxfId="439">
      <pivotArea dataOnly="0" labelOnly="1" outline="0" fieldPosition="0">
        <references count="2">
          <reference field="5" count="1" selected="0">
            <x v="24"/>
          </reference>
          <reference field="6" count="1">
            <x v="141"/>
          </reference>
        </references>
      </pivotArea>
    </format>
    <format dxfId="438">
      <pivotArea dataOnly="0" labelOnly="1" outline="0" fieldPosition="0">
        <references count="2">
          <reference field="5" count="1" selected="0">
            <x v="25"/>
          </reference>
          <reference field="6" count="1">
            <x v="142"/>
          </reference>
        </references>
      </pivotArea>
    </format>
    <format dxfId="437">
      <pivotArea dataOnly="0" labelOnly="1" outline="0" fieldPosition="0">
        <references count="2">
          <reference field="5" count="1" selected="0">
            <x v="26"/>
          </reference>
          <reference field="6" count="1">
            <x v="50"/>
          </reference>
        </references>
      </pivotArea>
    </format>
    <format dxfId="436">
      <pivotArea dataOnly="0" labelOnly="1" outline="0" fieldPosition="0">
        <references count="2">
          <reference field="5" count="1" selected="0">
            <x v="27"/>
          </reference>
          <reference field="6" count="1">
            <x v="4"/>
          </reference>
        </references>
      </pivotArea>
    </format>
    <format dxfId="435">
      <pivotArea dataOnly="0" labelOnly="1" outline="0" fieldPosition="0">
        <references count="2">
          <reference field="5" count="1" selected="0">
            <x v="28"/>
          </reference>
          <reference field="6" count="1">
            <x v="87"/>
          </reference>
        </references>
      </pivotArea>
    </format>
    <format dxfId="434">
      <pivotArea dataOnly="0" labelOnly="1" outline="0" fieldPosition="0">
        <references count="2">
          <reference field="5" count="1" selected="0">
            <x v="29"/>
          </reference>
          <reference field="6" count="1">
            <x v="78"/>
          </reference>
        </references>
      </pivotArea>
    </format>
    <format dxfId="433">
      <pivotArea dataOnly="0" labelOnly="1" outline="0" fieldPosition="0">
        <references count="2">
          <reference field="5" count="1" selected="0">
            <x v="30"/>
          </reference>
          <reference field="6" count="1">
            <x v="32"/>
          </reference>
        </references>
      </pivotArea>
    </format>
    <format dxfId="432">
      <pivotArea dataOnly="0" labelOnly="1" outline="0" fieldPosition="0">
        <references count="2">
          <reference field="5" count="1" selected="0">
            <x v="31"/>
          </reference>
          <reference field="6" count="1">
            <x v="151"/>
          </reference>
        </references>
      </pivotArea>
    </format>
    <format dxfId="431">
      <pivotArea dataOnly="0" labelOnly="1" outline="0" fieldPosition="0">
        <references count="2">
          <reference field="5" count="1" selected="0">
            <x v="32"/>
          </reference>
          <reference field="6" count="1">
            <x v="149"/>
          </reference>
        </references>
      </pivotArea>
    </format>
    <format dxfId="430">
      <pivotArea dataOnly="0" labelOnly="1" outline="0" fieldPosition="0">
        <references count="2">
          <reference field="5" count="1" selected="0">
            <x v="33"/>
          </reference>
          <reference field="6" count="1">
            <x v="150"/>
          </reference>
        </references>
      </pivotArea>
    </format>
    <format dxfId="429">
      <pivotArea dataOnly="0" labelOnly="1" outline="0" fieldPosition="0">
        <references count="2">
          <reference field="5" count="1" selected="0">
            <x v="34"/>
          </reference>
          <reference field="6" count="1">
            <x v="152"/>
          </reference>
        </references>
      </pivotArea>
    </format>
    <format dxfId="428">
      <pivotArea dataOnly="0" labelOnly="1" outline="0" fieldPosition="0">
        <references count="2">
          <reference field="5" count="1" selected="0">
            <x v="35"/>
          </reference>
          <reference field="6" count="1">
            <x v="168"/>
          </reference>
        </references>
      </pivotArea>
    </format>
    <format dxfId="427">
      <pivotArea dataOnly="0" labelOnly="1" outline="0" fieldPosition="0">
        <references count="2">
          <reference field="5" count="1" selected="0">
            <x v="36"/>
          </reference>
          <reference field="6" count="1">
            <x v="97"/>
          </reference>
        </references>
      </pivotArea>
    </format>
    <format dxfId="426">
      <pivotArea dataOnly="0" labelOnly="1" outline="0" fieldPosition="0">
        <references count="2">
          <reference field="5" count="1" selected="0">
            <x v="37"/>
          </reference>
          <reference field="6" count="1">
            <x v="98"/>
          </reference>
        </references>
      </pivotArea>
    </format>
    <format dxfId="425">
      <pivotArea dataOnly="0" labelOnly="1" outline="0" fieldPosition="0">
        <references count="2">
          <reference field="5" count="1" selected="0">
            <x v="38"/>
          </reference>
          <reference field="6" count="1">
            <x v="46"/>
          </reference>
        </references>
      </pivotArea>
    </format>
    <format dxfId="424">
      <pivotArea dataOnly="0" labelOnly="1" outline="0" fieldPosition="0">
        <references count="2">
          <reference field="5" count="1" selected="0">
            <x v="39"/>
          </reference>
          <reference field="6" count="1">
            <x v="33"/>
          </reference>
        </references>
      </pivotArea>
    </format>
    <format dxfId="423">
      <pivotArea dataOnly="0" labelOnly="1" outline="0" fieldPosition="0">
        <references count="2">
          <reference field="5" count="1" selected="0">
            <x v="40"/>
          </reference>
          <reference field="6" count="1">
            <x v="160"/>
          </reference>
        </references>
      </pivotArea>
    </format>
    <format dxfId="422">
      <pivotArea dataOnly="0" labelOnly="1" outline="0" fieldPosition="0">
        <references count="2">
          <reference field="5" count="1" selected="0">
            <x v="41"/>
          </reference>
          <reference field="6" count="1">
            <x v="90"/>
          </reference>
        </references>
      </pivotArea>
    </format>
    <format dxfId="421">
      <pivotArea dataOnly="0" labelOnly="1" outline="0" fieldPosition="0">
        <references count="2">
          <reference field="5" count="1" selected="0">
            <x v="42"/>
          </reference>
          <reference field="6" count="1">
            <x v="163"/>
          </reference>
        </references>
      </pivotArea>
    </format>
    <format dxfId="420">
      <pivotArea dataOnly="0" labelOnly="1" outline="0" fieldPosition="0">
        <references count="2">
          <reference field="5" count="1" selected="0">
            <x v="43"/>
          </reference>
          <reference field="6" count="1">
            <x v="80"/>
          </reference>
        </references>
      </pivotArea>
    </format>
    <format dxfId="419">
      <pivotArea dataOnly="0" labelOnly="1" outline="0" fieldPosition="0">
        <references count="2">
          <reference field="5" count="1" selected="0">
            <x v="44"/>
          </reference>
          <reference field="6" count="1">
            <x v="18"/>
          </reference>
        </references>
      </pivotArea>
    </format>
    <format dxfId="418">
      <pivotArea dataOnly="0" labelOnly="1" outline="0" fieldPosition="0">
        <references count="2">
          <reference field="5" count="1" selected="0">
            <x v="45"/>
          </reference>
          <reference field="6" count="1">
            <x v="130"/>
          </reference>
        </references>
      </pivotArea>
    </format>
    <format dxfId="417">
      <pivotArea dataOnly="0" labelOnly="1" outline="0" fieldPosition="0">
        <references count="2">
          <reference field="5" count="1" selected="0">
            <x v="46"/>
          </reference>
          <reference field="6" count="1">
            <x v="91"/>
          </reference>
        </references>
      </pivotArea>
    </format>
    <format dxfId="416">
      <pivotArea dataOnly="0" labelOnly="1" outline="0" fieldPosition="0">
        <references count="2">
          <reference field="5" count="1" selected="0">
            <x v="47"/>
          </reference>
          <reference field="6" count="1">
            <x v="116"/>
          </reference>
        </references>
      </pivotArea>
    </format>
    <format dxfId="415">
      <pivotArea dataOnly="0" labelOnly="1" outline="0" fieldPosition="0">
        <references count="2">
          <reference field="5" count="1" selected="0">
            <x v="48"/>
          </reference>
          <reference field="6" count="1">
            <x v="48"/>
          </reference>
        </references>
      </pivotArea>
    </format>
    <format dxfId="414">
      <pivotArea dataOnly="0" labelOnly="1" outline="0" fieldPosition="0">
        <references count="2">
          <reference field="5" count="1" selected="0">
            <x v="49"/>
          </reference>
          <reference field="6" count="1">
            <x v="3"/>
          </reference>
        </references>
      </pivotArea>
    </format>
    <format dxfId="413">
      <pivotArea dataOnly="0" labelOnly="1" outline="0" fieldPosition="0">
        <references count="2">
          <reference field="5" count="1" selected="0">
            <x v="50"/>
          </reference>
          <reference field="6" count="1">
            <x v="47"/>
          </reference>
        </references>
      </pivotArea>
    </format>
    <format dxfId="412">
      <pivotArea dataOnly="0" labelOnly="1" outline="0" fieldPosition="0">
        <references count="2">
          <reference field="5" count="1" selected="0">
            <x v="51"/>
          </reference>
          <reference field="6" count="1">
            <x v="165"/>
          </reference>
        </references>
      </pivotArea>
    </format>
    <format dxfId="411">
      <pivotArea dataOnly="0" labelOnly="1" outline="0" fieldPosition="0">
        <references count="2">
          <reference field="5" count="1" selected="0">
            <x v="52"/>
          </reference>
          <reference field="6" count="1">
            <x v="164"/>
          </reference>
        </references>
      </pivotArea>
    </format>
    <format dxfId="410">
      <pivotArea dataOnly="0" labelOnly="1" outline="0" fieldPosition="0">
        <references count="2">
          <reference field="5" count="1" selected="0">
            <x v="53"/>
          </reference>
          <reference field="6" count="1">
            <x v="86"/>
          </reference>
        </references>
      </pivotArea>
    </format>
    <format dxfId="409">
      <pivotArea dataOnly="0" labelOnly="1" outline="0" fieldPosition="0">
        <references count="2">
          <reference field="5" count="1" selected="0">
            <x v="54"/>
          </reference>
          <reference field="6" count="1">
            <x v="67"/>
          </reference>
        </references>
      </pivotArea>
    </format>
    <format dxfId="408">
      <pivotArea dataOnly="0" labelOnly="1" outline="0" fieldPosition="0">
        <references count="2">
          <reference field="5" count="1" selected="0">
            <x v="55"/>
          </reference>
          <reference field="6" count="1">
            <x v="79"/>
          </reference>
        </references>
      </pivotArea>
    </format>
    <format dxfId="407">
      <pivotArea dataOnly="0" labelOnly="1" outline="0" fieldPosition="0">
        <references count="2">
          <reference field="5" count="1" selected="0">
            <x v="56"/>
          </reference>
          <reference field="6" count="1">
            <x v="40"/>
          </reference>
        </references>
      </pivotArea>
    </format>
    <format dxfId="406">
      <pivotArea dataOnly="0" labelOnly="1" outline="0" fieldPosition="0">
        <references count="2">
          <reference field="5" count="1" selected="0">
            <x v="57"/>
          </reference>
          <reference field="6" count="1">
            <x v="62"/>
          </reference>
        </references>
      </pivotArea>
    </format>
    <format dxfId="405">
      <pivotArea dataOnly="0" labelOnly="1" outline="0" fieldPosition="0">
        <references count="2">
          <reference field="5" count="1" selected="0">
            <x v="58"/>
          </reference>
          <reference field="6" count="1">
            <x v="8"/>
          </reference>
        </references>
      </pivotArea>
    </format>
    <format dxfId="404">
      <pivotArea dataOnly="0" labelOnly="1" outline="0" fieldPosition="0">
        <references count="2">
          <reference field="5" count="1" selected="0">
            <x v="59"/>
          </reference>
          <reference field="6" count="1">
            <x v="134"/>
          </reference>
        </references>
      </pivotArea>
    </format>
    <format dxfId="403">
      <pivotArea dataOnly="0" labelOnly="1" outline="0" fieldPosition="0">
        <references count="2">
          <reference field="5" count="1" selected="0">
            <x v="60"/>
          </reference>
          <reference field="6" count="1">
            <x v="135"/>
          </reference>
        </references>
      </pivotArea>
    </format>
    <format dxfId="402">
      <pivotArea dataOnly="0" labelOnly="1" outline="0" fieldPosition="0">
        <references count="2">
          <reference field="5" count="1" selected="0">
            <x v="61"/>
          </reference>
          <reference field="6" count="1">
            <x v="126"/>
          </reference>
        </references>
      </pivotArea>
    </format>
    <format dxfId="401">
      <pivotArea dataOnly="0" labelOnly="1" outline="0" fieldPosition="0">
        <references count="2">
          <reference field="5" count="1" selected="0">
            <x v="62"/>
          </reference>
          <reference field="6" count="1">
            <x v="28"/>
          </reference>
        </references>
      </pivotArea>
    </format>
    <format dxfId="400">
      <pivotArea dataOnly="0" labelOnly="1" outline="0" fieldPosition="0">
        <references count="2">
          <reference field="5" count="1" selected="0">
            <x v="63"/>
          </reference>
          <reference field="6" count="1">
            <x v="127"/>
          </reference>
        </references>
      </pivotArea>
    </format>
    <format dxfId="399">
      <pivotArea dataOnly="0" labelOnly="1" outline="0" fieldPosition="0">
        <references count="2">
          <reference field="5" count="1" selected="0">
            <x v="64"/>
          </reference>
          <reference field="6" count="1">
            <x v="146"/>
          </reference>
        </references>
      </pivotArea>
    </format>
    <format dxfId="398">
      <pivotArea dataOnly="0" labelOnly="1" outline="0" fieldPosition="0">
        <references count="2">
          <reference field="5" count="1" selected="0">
            <x v="65"/>
          </reference>
          <reference field="6" count="1">
            <x v="148"/>
          </reference>
        </references>
      </pivotArea>
    </format>
    <format dxfId="397">
      <pivotArea dataOnly="0" labelOnly="1" outline="0" fieldPosition="0">
        <references count="2">
          <reference field="5" count="1" selected="0">
            <x v="66"/>
          </reference>
          <reference field="6" count="1">
            <x v="145"/>
          </reference>
        </references>
      </pivotArea>
    </format>
    <format dxfId="396">
      <pivotArea dataOnly="0" labelOnly="1" outline="0" fieldPosition="0">
        <references count="2">
          <reference field="5" count="1" selected="0">
            <x v="67"/>
          </reference>
          <reference field="6" count="1">
            <x v="147"/>
          </reference>
        </references>
      </pivotArea>
    </format>
    <format dxfId="395">
      <pivotArea dataOnly="0" labelOnly="1" outline="0" fieldPosition="0">
        <references count="2">
          <reference field="5" count="1" selected="0">
            <x v="68"/>
          </reference>
          <reference field="6" count="1">
            <x v="121"/>
          </reference>
        </references>
      </pivotArea>
    </format>
    <format dxfId="394">
      <pivotArea dataOnly="0" labelOnly="1" outline="0" fieldPosition="0">
        <references count="2">
          <reference field="5" count="1" selected="0">
            <x v="69"/>
          </reference>
          <reference field="6" count="1">
            <x v="96"/>
          </reference>
        </references>
      </pivotArea>
    </format>
    <format dxfId="393">
      <pivotArea dataOnly="0" labelOnly="1" outline="0" fieldPosition="0">
        <references count="2">
          <reference field="5" count="1" selected="0">
            <x v="70"/>
          </reference>
          <reference field="6" count="1">
            <x v="95"/>
          </reference>
        </references>
      </pivotArea>
    </format>
    <format dxfId="392">
      <pivotArea dataOnly="0" labelOnly="1" outline="0" fieldPosition="0">
        <references count="2">
          <reference field="5" count="1" selected="0">
            <x v="71"/>
          </reference>
          <reference field="6" count="1">
            <x v="108"/>
          </reference>
        </references>
      </pivotArea>
    </format>
    <format dxfId="391">
      <pivotArea dataOnly="0" labelOnly="1" outline="0" fieldPosition="0">
        <references count="2">
          <reference field="5" count="1" selected="0">
            <x v="72"/>
          </reference>
          <reference field="6" count="1">
            <x v="76"/>
          </reference>
        </references>
      </pivotArea>
    </format>
    <format dxfId="390">
      <pivotArea dataOnly="0" labelOnly="1" outline="0" fieldPosition="0">
        <references count="2">
          <reference field="5" count="1" selected="0">
            <x v="73"/>
          </reference>
          <reference field="6" count="1">
            <x v="144"/>
          </reference>
        </references>
      </pivotArea>
    </format>
    <format dxfId="389">
      <pivotArea dataOnly="0" labelOnly="1" outline="0" fieldPosition="0">
        <references count="2">
          <reference field="5" count="1" selected="0">
            <x v="74"/>
          </reference>
          <reference field="6" count="1">
            <x v="143"/>
          </reference>
        </references>
      </pivotArea>
    </format>
    <format dxfId="388">
      <pivotArea dataOnly="0" labelOnly="1" outline="0" fieldPosition="0">
        <references count="2">
          <reference field="5" count="1" selected="0">
            <x v="75"/>
          </reference>
          <reference field="6" count="1">
            <x v="153"/>
          </reference>
        </references>
      </pivotArea>
    </format>
    <format dxfId="387">
      <pivotArea dataOnly="0" labelOnly="1" outline="0" fieldPosition="0">
        <references count="2">
          <reference field="5" count="1" selected="0">
            <x v="76"/>
          </reference>
          <reference field="6" count="1">
            <x v="41"/>
          </reference>
        </references>
      </pivotArea>
    </format>
    <format dxfId="386">
      <pivotArea dataOnly="0" labelOnly="1" outline="0" fieldPosition="0">
        <references count="2">
          <reference field="5" count="1" selected="0">
            <x v="77"/>
          </reference>
          <reference field="6" count="1">
            <x v="1"/>
          </reference>
        </references>
      </pivotArea>
    </format>
    <format dxfId="385">
      <pivotArea dataOnly="0" labelOnly="1" outline="0" fieldPosition="0">
        <references count="2">
          <reference field="5" count="1" selected="0">
            <x v="78"/>
          </reference>
          <reference field="6" count="1">
            <x v="94"/>
          </reference>
        </references>
      </pivotArea>
    </format>
    <format dxfId="384">
      <pivotArea dataOnly="0" labelOnly="1" outline="0" fieldPosition="0">
        <references count="2">
          <reference field="5" count="1" selected="0">
            <x v="79"/>
          </reference>
          <reference field="6" count="1">
            <x v="92"/>
          </reference>
        </references>
      </pivotArea>
    </format>
    <format dxfId="383">
      <pivotArea dataOnly="0" labelOnly="1" outline="0" fieldPosition="0">
        <references count="2">
          <reference field="5" count="1" selected="0">
            <x v="80"/>
          </reference>
          <reference field="6" count="1">
            <x v="23"/>
          </reference>
        </references>
      </pivotArea>
    </format>
    <format dxfId="382">
      <pivotArea dataOnly="0" labelOnly="1" outline="0" fieldPosition="0">
        <references count="2">
          <reference field="5" count="1" selected="0">
            <x v="81"/>
          </reference>
          <reference field="6" count="1">
            <x v="24"/>
          </reference>
        </references>
      </pivotArea>
    </format>
    <format dxfId="381">
      <pivotArea dataOnly="0" labelOnly="1" outline="0" fieldPosition="0">
        <references count="2">
          <reference field="5" count="1" selected="0">
            <x v="82"/>
          </reference>
          <reference field="6" count="1">
            <x v="99"/>
          </reference>
        </references>
      </pivotArea>
    </format>
    <format dxfId="380">
      <pivotArea dataOnly="0" labelOnly="1" outline="0" fieldPosition="0">
        <references count="2">
          <reference field="5" count="1" selected="0">
            <x v="83"/>
          </reference>
          <reference field="6" count="1">
            <x v="100"/>
          </reference>
        </references>
      </pivotArea>
    </format>
    <format dxfId="379">
      <pivotArea dataOnly="0" labelOnly="1" outline="0" fieldPosition="0">
        <references count="2">
          <reference field="5" count="1" selected="0">
            <x v="84"/>
          </reference>
          <reference field="6" count="1">
            <x v="25"/>
          </reference>
        </references>
      </pivotArea>
    </format>
    <format dxfId="378">
      <pivotArea dataOnly="0" labelOnly="1" outline="0" fieldPosition="0">
        <references count="2">
          <reference field="5" count="1" selected="0">
            <x v="85"/>
          </reference>
          <reference field="6" count="1">
            <x v="45"/>
          </reference>
        </references>
      </pivotArea>
    </format>
    <format dxfId="377">
      <pivotArea dataOnly="0" labelOnly="1" outline="0" fieldPosition="0">
        <references count="2">
          <reference field="5" count="1" selected="0">
            <x v="86"/>
          </reference>
          <reference field="6" count="1">
            <x v="85"/>
          </reference>
        </references>
      </pivotArea>
    </format>
    <format dxfId="376">
      <pivotArea dataOnly="0" labelOnly="1" outline="0" fieldPosition="0">
        <references count="2">
          <reference field="5" count="1" selected="0">
            <x v="87"/>
          </reference>
          <reference field="6" count="1">
            <x v="136"/>
          </reference>
        </references>
      </pivotArea>
    </format>
    <format dxfId="375">
      <pivotArea dataOnly="0" labelOnly="1" outline="0" fieldPosition="0">
        <references count="2">
          <reference field="5" count="1" selected="0">
            <x v="88"/>
          </reference>
          <reference field="6" count="1">
            <x v="30"/>
          </reference>
        </references>
      </pivotArea>
    </format>
    <format dxfId="374">
      <pivotArea dataOnly="0" labelOnly="1" outline="0" fieldPosition="0">
        <references count="2">
          <reference field="5" count="1" selected="0">
            <x v="89"/>
          </reference>
          <reference field="6" count="1">
            <x v="61"/>
          </reference>
        </references>
      </pivotArea>
    </format>
    <format dxfId="373">
      <pivotArea dataOnly="0" labelOnly="1" outline="0" fieldPosition="0">
        <references count="2">
          <reference field="5" count="1" selected="0">
            <x v="90"/>
          </reference>
          <reference field="6" count="1">
            <x v="84"/>
          </reference>
        </references>
      </pivotArea>
    </format>
    <format dxfId="372">
      <pivotArea dataOnly="0" labelOnly="1" outline="0" fieldPosition="0">
        <references count="2">
          <reference field="5" count="1" selected="0">
            <x v="91"/>
          </reference>
          <reference field="6" count="1">
            <x v="83"/>
          </reference>
        </references>
      </pivotArea>
    </format>
    <format dxfId="371">
      <pivotArea dataOnly="0" labelOnly="1" outline="0" fieldPosition="0">
        <references count="2">
          <reference field="5" count="1" selected="0">
            <x v="92"/>
          </reference>
          <reference field="6" count="1">
            <x v="166"/>
          </reference>
        </references>
      </pivotArea>
    </format>
    <format dxfId="370">
      <pivotArea dataOnly="0" labelOnly="1" outline="0" fieldPosition="0">
        <references count="2">
          <reference field="5" count="1" selected="0">
            <x v="93"/>
          </reference>
          <reference field="6" count="1">
            <x v="140"/>
          </reference>
        </references>
      </pivotArea>
    </format>
    <format dxfId="369">
      <pivotArea dataOnly="0" labelOnly="1" outline="0" fieldPosition="0">
        <references count="2">
          <reference field="5" count="1" selected="0">
            <x v="94"/>
          </reference>
          <reference field="6" count="1">
            <x v="122"/>
          </reference>
        </references>
      </pivotArea>
    </format>
    <format dxfId="368">
      <pivotArea dataOnly="0" labelOnly="1" outline="0" fieldPosition="0">
        <references count="2">
          <reference field="5" count="1" selected="0">
            <x v="95"/>
          </reference>
          <reference field="6" count="1">
            <x v="137"/>
          </reference>
        </references>
      </pivotArea>
    </format>
    <format dxfId="367">
      <pivotArea dataOnly="0" labelOnly="1" outline="0" fieldPosition="0">
        <references count="2">
          <reference field="5" count="1" selected="0">
            <x v="96"/>
          </reference>
          <reference field="6" count="1">
            <x v="133"/>
          </reference>
        </references>
      </pivotArea>
    </format>
    <format dxfId="366">
      <pivotArea dataOnly="0" labelOnly="1" outline="0" fieldPosition="0">
        <references count="2">
          <reference field="5" count="1" selected="0">
            <x v="97"/>
          </reference>
          <reference field="6" count="1">
            <x v="132"/>
          </reference>
        </references>
      </pivotArea>
    </format>
    <format dxfId="365">
      <pivotArea dataOnly="0" labelOnly="1" outline="0" fieldPosition="0">
        <references count="2">
          <reference field="5" count="1" selected="0">
            <x v="98"/>
          </reference>
          <reference field="6" count="1">
            <x v="65"/>
          </reference>
        </references>
      </pivotArea>
    </format>
    <format dxfId="364">
      <pivotArea dataOnly="0" labelOnly="1" outline="0" fieldPosition="0">
        <references count="2">
          <reference field="5" count="1" selected="0">
            <x v="99"/>
          </reference>
          <reference field="6" count="1">
            <x v="125"/>
          </reference>
        </references>
      </pivotArea>
    </format>
    <format dxfId="363">
      <pivotArea dataOnly="0" labelOnly="1" outline="0" fieldPosition="0">
        <references count="2">
          <reference field="5" count="1" selected="0">
            <x v="100"/>
          </reference>
          <reference field="6" count="1">
            <x v="55"/>
          </reference>
        </references>
      </pivotArea>
    </format>
    <format dxfId="362">
      <pivotArea dataOnly="0" labelOnly="1" outline="0" fieldPosition="0">
        <references count="2">
          <reference field="5" count="1" selected="0">
            <x v="101"/>
          </reference>
          <reference field="6" count="1">
            <x v="54"/>
          </reference>
        </references>
      </pivotArea>
    </format>
    <format dxfId="361">
      <pivotArea dataOnly="0" labelOnly="1" outline="0" fieldPosition="0">
        <references count="2">
          <reference field="5" count="1" selected="0">
            <x v="102"/>
          </reference>
          <reference field="6" count="1">
            <x v="27"/>
          </reference>
        </references>
      </pivotArea>
    </format>
    <format dxfId="360">
      <pivotArea dataOnly="0" labelOnly="1" outline="0" fieldPosition="0">
        <references count="2">
          <reference field="5" count="1" selected="0">
            <x v="103"/>
          </reference>
          <reference field="6" count="1">
            <x v="109"/>
          </reference>
        </references>
      </pivotArea>
    </format>
    <format dxfId="359">
      <pivotArea dataOnly="0" labelOnly="1" outline="0" fieldPosition="0">
        <references count="2">
          <reference field="5" count="1" selected="0">
            <x v="104"/>
          </reference>
          <reference field="6" count="1">
            <x v="9"/>
          </reference>
        </references>
      </pivotArea>
    </format>
    <format dxfId="358">
      <pivotArea dataOnly="0" labelOnly="1" outline="0" fieldPosition="0">
        <references count="2">
          <reference field="5" count="1" selected="0">
            <x v="105"/>
          </reference>
          <reference field="6" count="1">
            <x v="63"/>
          </reference>
        </references>
      </pivotArea>
    </format>
    <format dxfId="357">
      <pivotArea dataOnly="0" labelOnly="1" outline="0" fieldPosition="0">
        <references count="2">
          <reference field="5" count="1" selected="0">
            <x v="106"/>
          </reference>
          <reference field="6" count="1">
            <x v="129"/>
          </reference>
        </references>
      </pivotArea>
    </format>
    <format dxfId="356">
      <pivotArea dataOnly="0" labelOnly="1" outline="0" fieldPosition="0">
        <references count="2">
          <reference field="5" count="1" selected="0">
            <x v="107"/>
          </reference>
          <reference field="6" count="1">
            <x v="29"/>
          </reference>
        </references>
      </pivotArea>
    </format>
    <format dxfId="355">
      <pivotArea dataOnly="0" labelOnly="1" outline="0" fieldPosition="0">
        <references count="2">
          <reference field="5" count="1" selected="0">
            <x v="108"/>
          </reference>
          <reference field="6" count="1">
            <x v="64"/>
          </reference>
        </references>
      </pivotArea>
    </format>
    <format dxfId="354">
      <pivotArea dataOnly="0" labelOnly="1" outline="0" fieldPosition="0">
        <references count="2">
          <reference field="5" count="1" selected="0">
            <x v="109"/>
          </reference>
          <reference field="6" count="1">
            <x v="43"/>
          </reference>
        </references>
      </pivotArea>
    </format>
    <format dxfId="353">
      <pivotArea dataOnly="0" labelOnly="1" outline="0" fieldPosition="0">
        <references count="2">
          <reference field="5" count="1" selected="0">
            <x v="110"/>
          </reference>
          <reference field="6" count="1">
            <x v="2"/>
          </reference>
        </references>
      </pivotArea>
    </format>
    <format dxfId="352">
      <pivotArea dataOnly="0" labelOnly="1" outline="0" fieldPosition="0">
        <references count="2">
          <reference field="5" count="1" selected="0">
            <x v="111"/>
          </reference>
          <reference field="6" count="1">
            <x v="42"/>
          </reference>
        </references>
      </pivotArea>
    </format>
    <format dxfId="351">
      <pivotArea dataOnly="0" labelOnly="1" outline="0" fieldPosition="0">
        <references count="2">
          <reference field="5" count="1" selected="0">
            <x v="112"/>
          </reference>
          <reference field="6" count="1">
            <x v="44"/>
          </reference>
        </references>
      </pivotArea>
    </format>
    <format dxfId="350">
      <pivotArea dataOnly="0" labelOnly="1" outline="0" fieldPosition="0">
        <references count="2">
          <reference field="5" count="1" selected="0">
            <x v="113"/>
          </reference>
          <reference field="6" count="1">
            <x v="110"/>
          </reference>
        </references>
      </pivotArea>
    </format>
    <format dxfId="349">
      <pivotArea dataOnly="0" labelOnly="1" outline="0" fieldPosition="0">
        <references count="2">
          <reference field="5" count="1" selected="0">
            <x v="114"/>
          </reference>
          <reference field="6" count="1">
            <x v="56"/>
          </reference>
        </references>
      </pivotArea>
    </format>
    <format dxfId="348">
      <pivotArea dataOnly="0" labelOnly="1" outline="0" fieldPosition="0">
        <references count="2">
          <reference field="5" count="1" selected="0">
            <x v="115"/>
          </reference>
          <reference field="6" count="1">
            <x v="81"/>
          </reference>
        </references>
      </pivotArea>
    </format>
    <format dxfId="347">
      <pivotArea dataOnly="0" labelOnly="1" outline="0" fieldPosition="0">
        <references count="2">
          <reference field="5" count="1" selected="0">
            <x v="116"/>
          </reference>
          <reference field="6" count="1">
            <x v="82"/>
          </reference>
        </references>
      </pivotArea>
    </format>
    <format dxfId="346">
      <pivotArea dataOnly="0" labelOnly="1" outline="0" fieldPosition="0">
        <references count="2">
          <reference field="5" count="1" selected="0">
            <x v="117"/>
          </reference>
          <reference field="6" count="1">
            <x v="117"/>
          </reference>
        </references>
      </pivotArea>
    </format>
    <format dxfId="345">
      <pivotArea dataOnly="0" labelOnly="1" outline="0" fieldPosition="0">
        <references count="2">
          <reference field="5" count="1" selected="0">
            <x v="118"/>
          </reference>
          <reference field="6" count="1">
            <x v="36"/>
          </reference>
        </references>
      </pivotArea>
    </format>
    <format dxfId="344">
      <pivotArea dataOnly="0" labelOnly="1" outline="0" fieldPosition="0">
        <references count="2">
          <reference field="5" count="1" selected="0">
            <x v="119"/>
          </reference>
          <reference field="6" count="1">
            <x v="58"/>
          </reference>
        </references>
      </pivotArea>
    </format>
    <format dxfId="343">
      <pivotArea dataOnly="0" labelOnly="1" outline="0" fieldPosition="0">
        <references count="2">
          <reference field="5" count="1" selected="0">
            <x v="120"/>
          </reference>
          <reference field="6" count="1">
            <x v="52"/>
          </reference>
        </references>
      </pivotArea>
    </format>
    <format dxfId="342">
      <pivotArea dataOnly="0" labelOnly="1" outline="0" fieldPosition="0">
        <references count="2">
          <reference field="5" count="1" selected="0">
            <x v="121"/>
          </reference>
          <reference field="6" count="1">
            <x v="105"/>
          </reference>
        </references>
      </pivotArea>
    </format>
    <format dxfId="341">
      <pivotArea dataOnly="0" labelOnly="1" outline="0" fieldPosition="0">
        <references count="2">
          <reference field="5" count="1" selected="0">
            <x v="122"/>
          </reference>
          <reference field="6" count="1">
            <x v="53"/>
          </reference>
        </references>
      </pivotArea>
    </format>
    <format dxfId="340">
      <pivotArea dataOnly="0" labelOnly="1" outline="0" fieldPosition="0">
        <references count="2">
          <reference field="5" count="1" selected="0">
            <x v="123"/>
          </reference>
          <reference field="6" count="1">
            <x v="72"/>
          </reference>
        </references>
      </pivotArea>
    </format>
    <format dxfId="339">
      <pivotArea dataOnly="0" labelOnly="1" outline="0" fieldPosition="0">
        <references count="2">
          <reference field="5" count="1" selected="0">
            <x v="124"/>
          </reference>
          <reference field="6" count="1">
            <x v="49"/>
          </reference>
        </references>
      </pivotArea>
    </format>
    <format dxfId="338">
      <pivotArea dataOnly="0" labelOnly="1" outline="0" fieldPosition="0">
        <references count="2">
          <reference field="5" count="1" selected="0">
            <x v="125"/>
          </reference>
          <reference field="6" count="1">
            <x v="39"/>
          </reference>
        </references>
      </pivotArea>
    </format>
    <format dxfId="337">
      <pivotArea dataOnly="0" labelOnly="1" outline="0" fieldPosition="0">
        <references count="2">
          <reference field="5" count="1" selected="0">
            <x v="126"/>
          </reference>
          <reference field="6" count="1">
            <x v="60"/>
          </reference>
        </references>
      </pivotArea>
    </format>
    <format dxfId="336">
      <pivotArea dataOnly="0" labelOnly="1" outline="0" fieldPosition="0">
        <references count="2">
          <reference field="5" count="1" selected="0">
            <x v="127"/>
          </reference>
          <reference field="6" count="1">
            <x v="155"/>
          </reference>
        </references>
      </pivotArea>
    </format>
    <format dxfId="335">
      <pivotArea dataOnly="0" labelOnly="1" outline="0" fieldPosition="0">
        <references count="2">
          <reference field="5" count="1" selected="0">
            <x v="128"/>
          </reference>
          <reference field="6" count="1">
            <x v="157"/>
          </reference>
        </references>
      </pivotArea>
    </format>
    <format dxfId="334">
      <pivotArea dataOnly="0" labelOnly="1" outline="0" fieldPosition="0">
        <references count="2">
          <reference field="5" count="1" selected="0">
            <x v="129"/>
          </reference>
          <reference field="6" count="1">
            <x v="156"/>
          </reference>
        </references>
      </pivotArea>
    </format>
    <format dxfId="333">
      <pivotArea dataOnly="0" labelOnly="1" outline="0" fieldPosition="0">
        <references count="2">
          <reference field="5" count="1" selected="0">
            <x v="130"/>
          </reference>
          <reference field="6" count="1">
            <x v="37"/>
          </reference>
        </references>
      </pivotArea>
    </format>
    <format dxfId="332">
      <pivotArea dataOnly="0" labelOnly="1" outline="0" fieldPosition="0">
        <references count="2">
          <reference field="5" count="1" selected="0">
            <x v="131"/>
          </reference>
          <reference field="6" count="1">
            <x v="68"/>
          </reference>
        </references>
      </pivotArea>
    </format>
    <format dxfId="331">
      <pivotArea dataOnly="0" labelOnly="1" outline="0" fieldPosition="0">
        <references count="2">
          <reference field="5" count="1" selected="0">
            <x v="132"/>
          </reference>
          <reference field="6" count="1">
            <x v="77"/>
          </reference>
        </references>
      </pivotArea>
    </format>
    <format dxfId="330">
      <pivotArea dataOnly="0" labelOnly="1" outline="0" fieldPosition="0">
        <references count="2">
          <reference field="5" count="1" selected="0">
            <x v="133"/>
          </reference>
          <reference field="6" count="1">
            <x v="38"/>
          </reference>
        </references>
      </pivotArea>
    </format>
    <format dxfId="329">
      <pivotArea dataOnly="0" labelOnly="1" outline="0" fieldPosition="0">
        <references count="2">
          <reference field="5" count="1" selected="0">
            <x v="134"/>
          </reference>
          <reference field="6" count="1">
            <x v="89"/>
          </reference>
        </references>
      </pivotArea>
    </format>
    <format dxfId="328">
      <pivotArea dataOnly="0" labelOnly="1" outline="0" fieldPosition="0">
        <references count="2">
          <reference field="5" count="1" selected="0">
            <x v="135"/>
          </reference>
          <reference field="6" count="1">
            <x v="115"/>
          </reference>
        </references>
      </pivotArea>
    </format>
    <format dxfId="327">
      <pivotArea dataOnly="0" labelOnly="1" outline="0" fieldPosition="0">
        <references count="2">
          <reference field="5" count="1" selected="0">
            <x v="136"/>
          </reference>
          <reference field="6" count="1">
            <x v="16"/>
          </reference>
        </references>
      </pivotArea>
    </format>
    <format dxfId="326">
      <pivotArea dataOnly="0" labelOnly="1" outline="0" fieldPosition="0">
        <references count="2">
          <reference field="5" count="1" selected="0">
            <x v="137"/>
          </reference>
          <reference field="6" count="1">
            <x v="158"/>
          </reference>
        </references>
      </pivotArea>
    </format>
    <format dxfId="325">
      <pivotArea dataOnly="0" labelOnly="1" outline="0" fieldPosition="0">
        <references count="2">
          <reference field="5" count="1" selected="0">
            <x v="138"/>
          </reference>
          <reference field="6" count="1">
            <x v="112"/>
          </reference>
        </references>
      </pivotArea>
    </format>
    <format dxfId="324">
      <pivotArea dataOnly="0" labelOnly="1" outline="0" fieldPosition="0">
        <references count="2">
          <reference field="5" count="1" selected="0">
            <x v="139"/>
          </reference>
          <reference field="6" count="1">
            <x v="111"/>
          </reference>
        </references>
      </pivotArea>
    </format>
    <format dxfId="323">
      <pivotArea dataOnly="0" labelOnly="1" outline="0" fieldPosition="0">
        <references count="2">
          <reference field="5" count="1" selected="0">
            <x v="140"/>
          </reference>
          <reference field="6" count="1">
            <x v="57"/>
          </reference>
        </references>
      </pivotArea>
    </format>
    <format dxfId="322">
      <pivotArea dataOnly="0" labelOnly="1" outline="0" fieldPosition="0">
        <references count="2">
          <reference field="5" count="1" selected="0">
            <x v="141"/>
          </reference>
          <reference field="6" count="1">
            <x v="104"/>
          </reference>
        </references>
      </pivotArea>
    </format>
    <format dxfId="321">
      <pivotArea dataOnly="0" labelOnly="1" outline="0" fieldPosition="0">
        <references count="2">
          <reference field="5" count="1" selected="0">
            <x v="142"/>
          </reference>
          <reference field="6" count="1">
            <x v="154"/>
          </reference>
        </references>
      </pivotArea>
    </format>
    <format dxfId="320">
      <pivotArea dataOnly="0" labelOnly="1" outline="0" fieldPosition="0">
        <references count="2">
          <reference field="5" count="1" selected="0">
            <x v="143"/>
          </reference>
          <reference field="6" count="1">
            <x v="113"/>
          </reference>
        </references>
      </pivotArea>
    </format>
    <format dxfId="319">
      <pivotArea dataOnly="0" labelOnly="1" outline="0" fieldPosition="0">
        <references count="2">
          <reference field="5" count="1" selected="0">
            <x v="144"/>
          </reference>
          <reference field="6" count="1">
            <x v="114"/>
          </reference>
        </references>
      </pivotArea>
    </format>
    <format dxfId="318">
      <pivotArea dataOnly="0" labelOnly="1" outline="0" fieldPosition="0">
        <references count="2">
          <reference field="5" count="1" selected="0">
            <x v="145"/>
          </reference>
          <reference field="6" count="1">
            <x v="131"/>
          </reference>
        </references>
      </pivotArea>
    </format>
    <format dxfId="317">
      <pivotArea dataOnly="0" labelOnly="1" outline="0" fieldPosition="0">
        <references count="2">
          <reference field="5" count="1" selected="0">
            <x v="146"/>
          </reference>
          <reference field="6" count="1">
            <x v="106"/>
          </reference>
        </references>
      </pivotArea>
    </format>
    <format dxfId="316">
      <pivotArea dataOnly="0" labelOnly="1" outline="0" fieldPosition="0">
        <references count="2">
          <reference field="5" count="1" selected="0">
            <x v="147"/>
          </reference>
          <reference field="6" count="1">
            <x v="107"/>
          </reference>
        </references>
      </pivotArea>
    </format>
    <format dxfId="315">
      <pivotArea dataOnly="0" labelOnly="1" outline="0" fieldPosition="0">
        <references count="2">
          <reference field="5" count="1" selected="0">
            <x v="148"/>
          </reference>
          <reference field="6" count="1">
            <x v="101"/>
          </reference>
        </references>
      </pivotArea>
    </format>
    <format dxfId="314">
      <pivotArea dataOnly="0" labelOnly="1" outline="0" fieldPosition="0">
        <references count="2">
          <reference field="5" count="1" selected="0">
            <x v="149"/>
          </reference>
          <reference field="6" count="1">
            <x v="123"/>
          </reference>
        </references>
      </pivotArea>
    </format>
    <format dxfId="313">
      <pivotArea dataOnly="0" labelOnly="1" outline="0" fieldPosition="0">
        <references count="2">
          <reference field="5" count="1" selected="0">
            <x v="150"/>
          </reference>
          <reference field="6" count="1">
            <x v="124"/>
          </reference>
        </references>
      </pivotArea>
    </format>
    <format dxfId="312">
      <pivotArea dataOnly="0" labelOnly="1" outline="0" fieldPosition="0">
        <references count="2">
          <reference field="5" count="1" selected="0">
            <x v="151"/>
          </reference>
          <reference field="6" count="1">
            <x v="102"/>
          </reference>
        </references>
      </pivotArea>
    </format>
    <format dxfId="311">
      <pivotArea dataOnly="0" labelOnly="1" outline="0" fieldPosition="0">
        <references count="2">
          <reference field="5" count="1" selected="0">
            <x v="152"/>
          </reference>
          <reference field="6" count="1">
            <x v="161"/>
          </reference>
        </references>
      </pivotArea>
    </format>
    <format dxfId="310">
      <pivotArea dataOnly="0" labelOnly="1" outline="0" fieldPosition="0">
        <references count="2">
          <reference field="5" count="1" selected="0">
            <x v="153"/>
          </reference>
          <reference field="6" count="1">
            <x v="162"/>
          </reference>
        </references>
      </pivotArea>
    </format>
    <format dxfId="309">
      <pivotArea dataOnly="0" labelOnly="1" outline="0" fieldPosition="0">
        <references count="2">
          <reference field="5" count="1" selected="0">
            <x v="154"/>
          </reference>
          <reference field="6" count="1">
            <x v="119"/>
          </reference>
        </references>
      </pivotArea>
    </format>
    <format dxfId="308">
      <pivotArea dataOnly="0" labelOnly="1" outline="0" fieldPosition="0">
        <references count="2">
          <reference field="5" count="1" selected="0">
            <x v="155"/>
          </reference>
          <reference field="6" count="1">
            <x v="128"/>
          </reference>
        </references>
      </pivotArea>
    </format>
    <format dxfId="307">
      <pivotArea dataOnly="0" labelOnly="1" outline="0" fieldPosition="0">
        <references count="2">
          <reference field="5" count="1" selected="0">
            <x v="156"/>
          </reference>
          <reference field="6" count="1">
            <x v="120"/>
          </reference>
        </references>
      </pivotArea>
    </format>
    <format dxfId="306">
      <pivotArea dataOnly="0" labelOnly="1" outline="0" fieldPosition="0">
        <references count="2">
          <reference field="5" count="1" selected="0">
            <x v="157"/>
          </reference>
          <reference field="6" count="1">
            <x v="17"/>
          </reference>
        </references>
      </pivotArea>
    </format>
    <format dxfId="305">
      <pivotArea dataOnly="0" labelOnly="1" outline="0" fieldPosition="0">
        <references count="2">
          <reference field="5" count="1" selected="0">
            <x v="158"/>
          </reference>
          <reference field="6" count="1">
            <x v="34"/>
          </reference>
        </references>
      </pivotArea>
    </format>
    <format dxfId="304">
      <pivotArea dataOnly="0" labelOnly="1" outline="0" fieldPosition="0">
        <references count="2">
          <reference field="5" count="1" selected="0">
            <x v="159"/>
          </reference>
          <reference field="6" count="1">
            <x v="35"/>
          </reference>
        </references>
      </pivotArea>
    </format>
    <format dxfId="303">
      <pivotArea dataOnly="0" labelOnly="1" outline="0" fieldPosition="0">
        <references count="2">
          <reference field="5" count="1" selected="0">
            <x v="160"/>
          </reference>
          <reference field="6" count="1">
            <x v="59"/>
          </reference>
        </references>
      </pivotArea>
    </format>
    <format dxfId="302">
      <pivotArea dataOnly="0" labelOnly="1" outline="0" fieldPosition="0">
        <references count="2">
          <reference field="5" count="1" selected="0">
            <x v="161"/>
          </reference>
          <reference field="6" count="1">
            <x v="74"/>
          </reference>
        </references>
      </pivotArea>
    </format>
    <format dxfId="301">
      <pivotArea dataOnly="0" labelOnly="1" outline="0" fieldPosition="0">
        <references count="2">
          <reference field="5" count="1" selected="0">
            <x v="162"/>
          </reference>
          <reference field="6" count="1">
            <x v="75"/>
          </reference>
        </references>
      </pivotArea>
    </format>
    <format dxfId="300">
      <pivotArea dataOnly="0" labelOnly="1" outline="0" fieldPosition="0">
        <references count="2">
          <reference field="5" count="1" selected="0">
            <x v="163"/>
          </reference>
          <reference field="6" count="1">
            <x v="73"/>
          </reference>
        </references>
      </pivotArea>
    </format>
    <format dxfId="299">
      <pivotArea dataOnly="0" labelOnly="1" outline="0" fieldPosition="0">
        <references count="2">
          <reference field="5" count="1" selected="0">
            <x v="164"/>
          </reference>
          <reference field="6" count="1">
            <x v="167"/>
          </reference>
        </references>
      </pivotArea>
    </format>
    <format dxfId="298">
      <pivotArea dataOnly="0" labelOnly="1" outline="0" fieldPosition="0">
        <references count="2">
          <reference field="5" count="1" selected="0">
            <x v="165"/>
          </reference>
          <reference field="6" count="1">
            <x v="118"/>
          </reference>
        </references>
      </pivotArea>
    </format>
    <format dxfId="297">
      <pivotArea dataOnly="0" labelOnly="1" outline="0" fieldPosition="0">
        <references count="2">
          <reference field="5" count="1" selected="0">
            <x v="166"/>
          </reference>
          <reference field="6" count="1">
            <x v="71"/>
          </reference>
        </references>
      </pivotArea>
    </format>
    <format dxfId="296">
      <pivotArea dataOnly="0" labelOnly="1" outline="0" fieldPosition="0">
        <references count="2">
          <reference field="5" count="1" selected="0">
            <x v="167"/>
          </reference>
          <reference field="6" count="1">
            <x v="69"/>
          </reference>
        </references>
      </pivotArea>
    </format>
    <format dxfId="295">
      <pivotArea dataOnly="0" labelOnly="1" outline="0" fieldPosition="0">
        <references count="2">
          <reference field="5" count="1" selected="0">
            <x v="168"/>
          </reference>
          <reference field="6" count="1">
            <x v="66"/>
          </reference>
        </references>
      </pivotArea>
    </format>
    <format dxfId="294">
      <pivotArea dataOnly="0" labelOnly="1" outline="0" fieldPosition="0">
        <references count="3">
          <reference field="5" count="1" selected="0">
            <x v="0"/>
          </reference>
          <reference field="6" count="1" selected="0">
            <x v="88"/>
          </reference>
          <reference field="8" count="1">
            <x v="1"/>
          </reference>
        </references>
      </pivotArea>
    </format>
    <format dxfId="293">
      <pivotArea dataOnly="0" labelOnly="1" outline="0" fieldPosition="0">
        <references count="3">
          <reference field="5" count="1" selected="0">
            <x v="1"/>
          </reference>
          <reference field="6" count="1" selected="0">
            <x v="20"/>
          </reference>
          <reference field="8" count="1">
            <x v="2"/>
          </reference>
        </references>
      </pivotArea>
    </format>
    <format dxfId="292">
      <pivotArea dataOnly="0" labelOnly="1" outline="0" fieldPosition="0">
        <references count="3">
          <reference field="5" count="1" selected="0">
            <x v="2"/>
          </reference>
          <reference field="6" count="1" selected="0">
            <x v="138"/>
          </reference>
          <reference field="8" count="1">
            <x v="1"/>
          </reference>
        </references>
      </pivotArea>
    </format>
    <format dxfId="291">
      <pivotArea dataOnly="0" labelOnly="1" outline="0" fieldPosition="0">
        <references count="3">
          <reference field="5" count="1" selected="0">
            <x v="3"/>
          </reference>
          <reference field="6" count="1" selected="0">
            <x v="31"/>
          </reference>
          <reference field="8" count="1">
            <x v="2"/>
          </reference>
        </references>
      </pivotArea>
    </format>
    <format dxfId="290">
      <pivotArea dataOnly="0" labelOnly="1" outline="0" fieldPosition="0">
        <references count="3">
          <reference field="5" count="1" selected="0">
            <x v="4"/>
          </reference>
          <reference field="6" count="1" selected="0">
            <x v="139"/>
          </reference>
          <reference field="8" count="1">
            <x v="1"/>
          </reference>
        </references>
      </pivotArea>
    </format>
    <format dxfId="289">
      <pivotArea dataOnly="0" labelOnly="1" outline="0" fieldPosition="0">
        <references count="3">
          <reference field="5" count="1" selected="0">
            <x v="5"/>
          </reference>
          <reference field="6" count="1" selected="0">
            <x v="13"/>
          </reference>
          <reference field="8" count="1">
            <x v="2"/>
          </reference>
        </references>
      </pivotArea>
    </format>
    <format dxfId="288">
      <pivotArea dataOnly="0" labelOnly="1" outline="0" fieldPosition="0">
        <references count="3">
          <reference field="5" count="1" selected="0">
            <x v="6"/>
          </reference>
          <reference field="6" count="1" selected="0">
            <x v="70"/>
          </reference>
          <reference field="8" count="1">
            <x v="1"/>
          </reference>
        </references>
      </pivotArea>
    </format>
    <format dxfId="287">
      <pivotArea dataOnly="0" labelOnly="1" outline="0" fieldPosition="0">
        <references count="3">
          <reference field="5" count="1" selected="0">
            <x v="7"/>
          </reference>
          <reference field="6" count="1" selected="0">
            <x v="10"/>
          </reference>
          <reference field="8" count="1">
            <x v="1"/>
          </reference>
        </references>
      </pivotArea>
    </format>
    <format dxfId="286">
      <pivotArea dataOnly="0" labelOnly="1" outline="0" fieldPosition="0">
        <references count="3">
          <reference field="5" count="1" selected="0">
            <x v="8"/>
          </reference>
          <reference field="6" count="1" selected="0">
            <x v="11"/>
          </reference>
          <reference field="8" count="1">
            <x v="2"/>
          </reference>
        </references>
      </pivotArea>
    </format>
    <format dxfId="285">
      <pivotArea dataOnly="0" labelOnly="1" outline="0" fieldPosition="0">
        <references count="3">
          <reference field="5" count="1" selected="0">
            <x v="9"/>
          </reference>
          <reference field="6" count="1" selected="0">
            <x v="12"/>
          </reference>
          <reference field="8" count="1">
            <x v="2"/>
          </reference>
        </references>
      </pivotArea>
    </format>
    <format dxfId="284">
      <pivotArea dataOnly="0" labelOnly="1" outline="0" fieldPosition="0">
        <references count="3">
          <reference field="5" count="1" selected="0">
            <x v="10"/>
          </reference>
          <reference field="6" count="1" selected="0">
            <x v="6"/>
          </reference>
          <reference field="8" count="1">
            <x v="1"/>
          </reference>
        </references>
      </pivotArea>
    </format>
    <format dxfId="283">
      <pivotArea dataOnly="0" labelOnly="1" outline="0" fieldPosition="0">
        <references count="3">
          <reference field="5" count="1" selected="0">
            <x v="11"/>
          </reference>
          <reference field="6" count="1" selected="0">
            <x v="7"/>
          </reference>
          <reference field="8" count="1">
            <x v="1"/>
          </reference>
        </references>
      </pivotArea>
    </format>
    <format dxfId="282">
      <pivotArea dataOnly="0" labelOnly="1" outline="0" fieldPosition="0">
        <references count="3">
          <reference field="5" count="1" selected="0">
            <x v="12"/>
          </reference>
          <reference field="6" count="1" selected="0">
            <x v="103"/>
          </reference>
          <reference field="8" count="1">
            <x v="1"/>
          </reference>
        </references>
      </pivotArea>
    </format>
    <format dxfId="281">
      <pivotArea dataOnly="0" labelOnly="1" outline="0" fieldPosition="0">
        <references count="3">
          <reference field="5" count="1" selected="0">
            <x v="13"/>
          </reference>
          <reference field="6" count="1" selected="0">
            <x v="26"/>
          </reference>
          <reference field="8" count="1">
            <x v="2"/>
          </reference>
        </references>
      </pivotArea>
    </format>
    <format dxfId="280">
      <pivotArea dataOnly="0" labelOnly="1" outline="0" fieldPosition="0">
        <references count="3">
          <reference field="5" count="1" selected="0">
            <x v="14"/>
          </reference>
          <reference field="6" count="1" selected="0">
            <x v="22"/>
          </reference>
          <reference field="8" count="1">
            <x v="2"/>
          </reference>
        </references>
      </pivotArea>
    </format>
    <format dxfId="279">
      <pivotArea dataOnly="0" labelOnly="1" outline="0" fieldPosition="0">
        <references count="3">
          <reference field="5" count="1" selected="0">
            <x v="15"/>
          </reference>
          <reference field="6" count="1" selected="0">
            <x v="93"/>
          </reference>
          <reference field="8" count="1">
            <x v="1"/>
          </reference>
        </references>
      </pivotArea>
    </format>
    <format dxfId="278">
      <pivotArea dataOnly="0" labelOnly="1" outline="0" fieldPosition="0">
        <references count="3">
          <reference field="5" count="1" selected="0">
            <x v="16"/>
          </reference>
          <reference field="6" count="1" selected="0">
            <x v="159"/>
          </reference>
          <reference field="8" count="1">
            <x v="1"/>
          </reference>
        </references>
      </pivotArea>
    </format>
    <format dxfId="277">
      <pivotArea dataOnly="0" labelOnly="1" outline="0" fieldPosition="0">
        <references count="3">
          <reference field="5" count="1" selected="0">
            <x v="17"/>
          </reference>
          <reference field="6" count="1" selected="0">
            <x v="0"/>
          </reference>
          <reference field="8" count="1">
            <x v="2"/>
          </reference>
        </references>
      </pivotArea>
    </format>
    <format dxfId="276">
      <pivotArea dataOnly="0" labelOnly="1" outline="0" fieldPosition="0">
        <references count="3">
          <reference field="5" count="1" selected="0">
            <x v="18"/>
          </reference>
          <reference field="6" count="1" selected="0">
            <x v="21"/>
          </reference>
          <reference field="8" count="1">
            <x v="2"/>
          </reference>
        </references>
      </pivotArea>
    </format>
    <format dxfId="275">
      <pivotArea dataOnly="0" labelOnly="1" outline="0" fieldPosition="0">
        <references count="3">
          <reference field="5" count="1" selected="0">
            <x v="19"/>
          </reference>
          <reference field="6" count="1" selected="0">
            <x v="5"/>
          </reference>
          <reference field="8" count="1">
            <x v="2"/>
          </reference>
        </references>
      </pivotArea>
    </format>
    <format dxfId="274">
      <pivotArea dataOnly="0" labelOnly="1" outline="0" fieldPosition="0">
        <references count="3">
          <reference field="5" count="1" selected="0">
            <x v="20"/>
          </reference>
          <reference field="6" count="1" selected="0">
            <x v="51"/>
          </reference>
          <reference field="8" count="1">
            <x v="1"/>
          </reference>
        </references>
      </pivotArea>
    </format>
    <format dxfId="273">
      <pivotArea dataOnly="0" labelOnly="1" outline="0" fieldPosition="0">
        <references count="3">
          <reference field="5" count="1" selected="0">
            <x v="21"/>
          </reference>
          <reference field="6" count="1" selected="0">
            <x v="15"/>
          </reference>
          <reference field="8" count="1">
            <x v="2"/>
          </reference>
        </references>
      </pivotArea>
    </format>
    <format dxfId="272">
      <pivotArea dataOnly="0" labelOnly="1" outline="0" fieldPosition="0">
        <references count="3">
          <reference field="5" count="1" selected="0">
            <x v="22"/>
          </reference>
          <reference field="6" count="1" selected="0">
            <x v="19"/>
          </reference>
          <reference field="8" count="1">
            <x v="2"/>
          </reference>
        </references>
      </pivotArea>
    </format>
    <format dxfId="271">
      <pivotArea dataOnly="0" labelOnly="1" outline="0" fieldPosition="0">
        <references count="3">
          <reference field="5" count="1" selected="0">
            <x v="23"/>
          </reference>
          <reference field="6" count="1" selected="0">
            <x v="14"/>
          </reference>
          <reference field="8" count="1">
            <x v="2"/>
          </reference>
        </references>
      </pivotArea>
    </format>
    <format dxfId="270">
      <pivotArea dataOnly="0" labelOnly="1" outline="0" fieldPosition="0">
        <references count="3">
          <reference field="5" count="1" selected="0">
            <x v="24"/>
          </reference>
          <reference field="6" count="1" selected="0">
            <x v="141"/>
          </reference>
          <reference field="8" count="1">
            <x v="1"/>
          </reference>
        </references>
      </pivotArea>
    </format>
    <format dxfId="269">
      <pivotArea dataOnly="0" labelOnly="1" outline="0" fieldPosition="0">
        <references count="3">
          <reference field="5" count="1" selected="0">
            <x v="25"/>
          </reference>
          <reference field="6" count="1" selected="0">
            <x v="142"/>
          </reference>
          <reference field="8" count="1">
            <x v="1"/>
          </reference>
        </references>
      </pivotArea>
    </format>
    <format dxfId="268">
      <pivotArea dataOnly="0" labelOnly="1" outline="0" fieldPosition="0">
        <references count="3">
          <reference field="5" count="1" selected="0">
            <x v="26"/>
          </reference>
          <reference field="6" count="1" selected="0">
            <x v="50"/>
          </reference>
          <reference field="8" count="1">
            <x v="1"/>
          </reference>
        </references>
      </pivotArea>
    </format>
    <format dxfId="267">
      <pivotArea dataOnly="0" labelOnly="1" outline="0" fieldPosition="0">
        <references count="3">
          <reference field="5" count="1" selected="0">
            <x v="27"/>
          </reference>
          <reference field="6" count="1" selected="0">
            <x v="4"/>
          </reference>
          <reference field="8" count="1">
            <x v="2"/>
          </reference>
        </references>
      </pivotArea>
    </format>
    <format dxfId="266">
      <pivotArea dataOnly="0" labelOnly="1" outline="0" fieldPosition="0">
        <references count="3">
          <reference field="5" count="1" selected="0">
            <x v="28"/>
          </reference>
          <reference field="6" count="1" selected="0">
            <x v="87"/>
          </reference>
          <reference field="8" count="1">
            <x v="1"/>
          </reference>
        </references>
      </pivotArea>
    </format>
    <format dxfId="265">
      <pivotArea dataOnly="0" labelOnly="1" outline="0" fieldPosition="0">
        <references count="3">
          <reference field="5" count="1" selected="0">
            <x v="29"/>
          </reference>
          <reference field="6" count="1" selected="0">
            <x v="78"/>
          </reference>
          <reference field="8" count="1">
            <x v="1"/>
          </reference>
        </references>
      </pivotArea>
    </format>
    <format dxfId="264">
      <pivotArea dataOnly="0" labelOnly="1" outline="0" fieldPosition="0">
        <references count="3">
          <reference field="5" count="1" selected="0">
            <x v="30"/>
          </reference>
          <reference field="6" count="1" selected="0">
            <x v="32"/>
          </reference>
          <reference field="8" count="1">
            <x v="2"/>
          </reference>
        </references>
      </pivotArea>
    </format>
    <format dxfId="263">
      <pivotArea dataOnly="0" labelOnly="1" outline="0" fieldPosition="0">
        <references count="3">
          <reference field="5" count="1" selected="0">
            <x v="31"/>
          </reference>
          <reference field="6" count="1" selected="0">
            <x v="151"/>
          </reference>
          <reference field="8" count="1">
            <x v="1"/>
          </reference>
        </references>
      </pivotArea>
    </format>
    <format dxfId="262">
      <pivotArea dataOnly="0" labelOnly="1" outline="0" fieldPosition="0">
        <references count="3">
          <reference field="5" count="1" selected="0">
            <x v="32"/>
          </reference>
          <reference field="6" count="1" selected="0">
            <x v="149"/>
          </reference>
          <reference field="8" count="1">
            <x v="1"/>
          </reference>
        </references>
      </pivotArea>
    </format>
    <format dxfId="261">
      <pivotArea dataOnly="0" labelOnly="1" outline="0" fieldPosition="0">
        <references count="3">
          <reference field="5" count="1" selected="0">
            <x v="33"/>
          </reference>
          <reference field="6" count="1" selected="0">
            <x v="150"/>
          </reference>
          <reference field="8" count="1">
            <x v="1"/>
          </reference>
        </references>
      </pivotArea>
    </format>
    <format dxfId="260">
      <pivotArea dataOnly="0" labelOnly="1" outline="0" fieldPosition="0">
        <references count="3">
          <reference field="5" count="1" selected="0">
            <x v="34"/>
          </reference>
          <reference field="6" count="1" selected="0">
            <x v="152"/>
          </reference>
          <reference field="8" count="1">
            <x v="1"/>
          </reference>
        </references>
      </pivotArea>
    </format>
    <format dxfId="259">
      <pivotArea dataOnly="0" labelOnly="1" outline="0" fieldPosition="0">
        <references count="3">
          <reference field="5" count="1" selected="0">
            <x v="35"/>
          </reference>
          <reference field="6" count="1" selected="0">
            <x v="168"/>
          </reference>
          <reference field="8" count="1">
            <x v="1"/>
          </reference>
        </references>
      </pivotArea>
    </format>
    <format dxfId="258">
      <pivotArea dataOnly="0" labelOnly="1" outline="0" fieldPosition="0">
        <references count="3">
          <reference field="5" count="1" selected="0">
            <x v="36"/>
          </reference>
          <reference field="6" count="1" selected="0">
            <x v="97"/>
          </reference>
          <reference field="8" count="1">
            <x v="1"/>
          </reference>
        </references>
      </pivotArea>
    </format>
    <format dxfId="257">
      <pivotArea dataOnly="0" labelOnly="1" outline="0" fieldPosition="0">
        <references count="3">
          <reference field="5" count="1" selected="0">
            <x v="37"/>
          </reference>
          <reference field="6" count="1" selected="0">
            <x v="98"/>
          </reference>
          <reference field="8" count="1">
            <x v="1"/>
          </reference>
        </references>
      </pivotArea>
    </format>
    <format dxfId="256">
      <pivotArea dataOnly="0" labelOnly="1" outline="0" fieldPosition="0">
        <references count="3">
          <reference field="5" count="1" selected="0">
            <x v="38"/>
          </reference>
          <reference field="6" count="1" selected="0">
            <x v="46"/>
          </reference>
          <reference field="8" count="1">
            <x v="1"/>
          </reference>
        </references>
      </pivotArea>
    </format>
    <format dxfId="255">
      <pivotArea dataOnly="0" labelOnly="1" outline="0" fieldPosition="0">
        <references count="3">
          <reference field="5" count="1" selected="0">
            <x v="39"/>
          </reference>
          <reference field="6" count="1" selected="0">
            <x v="33"/>
          </reference>
          <reference field="8" count="1">
            <x v="2"/>
          </reference>
        </references>
      </pivotArea>
    </format>
    <format dxfId="254">
      <pivotArea dataOnly="0" labelOnly="1" outline="0" fieldPosition="0">
        <references count="3">
          <reference field="5" count="1" selected="0">
            <x v="40"/>
          </reference>
          <reference field="6" count="1" selected="0">
            <x v="160"/>
          </reference>
          <reference field="8" count="1">
            <x v="1"/>
          </reference>
        </references>
      </pivotArea>
    </format>
    <format dxfId="253">
      <pivotArea dataOnly="0" labelOnly="1" outline="0" fieldPosition="0">
        <references count="3">
          <reference field="5" count="1" selected="0">
            <x v="41"/>
          </reference>
          <reference field="6" count="1" selected="0">
            <x v="90"/>
          </reference>
          <reference field="8" count="1">
            <x v="1"/>
          </reference>
        </references>
      </pivotArea>
    </format>
    <format dxfId="252">
      <pivotArea dataOnly="0" labelOnly="1" outline="0" fieldPosition="0">
        <references count="3">
          <reference field="5" count="1" selected="0">
            <x v="42"/>
          </reference>
          <reference field="6" count="1" selected="0">
            <x v="163"/>
          </reference>
          <reference field="8" count="1">
            <x v="1"/>
          </reference>
        </references>
      </pivotArea>
    </format>
    <format dxfId="251">
      <pivotArea dataOnly="0" labelOnly="1" outline="0" fieldPosition="0">
        <references count="3">
          <reference field="5" count="1" selected="0">
            <x v="43"/>
          </reference>
          <reference field="6" count="1" selected="0">
            <x v="80"/>
          </reference>
          <reference field="8" count="1">
            <x v="1"/>
          </reference>
        </references>
      </pivotArea>
    </format>
    <format dxfId="250">
      <pivotArea dataOnly="0" labelOnly="1" outline="0" fieldPosition="0">
        <references count="3">
          <reference field="5" count="1" selected="0">
            <x v="44"/>
          </reference>
          <reference field="6" count="1" selected="0">
            <x v="18"/>
          </reference>
          <reference field="8" count="1">
            <x v="2"/>
          </reference>
        </references>
      </pivotArea>
    </format>
    <format dxfId="249">
      <pivotArea dataOnly="0" labelOnly="1" outline="0" fieldPosition="0">
        <references count="3">
          <reference field="5" count="1" selected="0">
            <x v="45"/>
          </reference>
          <reference field="6" count="1" selected="0">
            <x v="130"/>
          </reference>
          <reference field="8" count="1">
            <x v="1"/>
          </reference>
        </references>
      </pivotArea>
    </format>
    <format dxfId="248">
      <pivotArea dataOnly="0" labelOnly="1" outline="0" fieldPosition="0">
        <references count="3">
          <reference field="5" count="1" selected="0">
            <x v="46"/>
          </reference>
          <reference field="6" count="1" selected="0">
            <x v="91"/>
          </reference>
          <reference field="8" count="1">
            <x v="1"/>
          </reference>
        </references>
      </pivotArea>
    </format>
    <format dxfId="247">
      <pivotArea dataOnly="0" labelOnly="1" outline="0" fieldPosition="0">
        <references count="3">
          <reference field="5" count="1" selected="0">
            <x v="47"/>
          </reference>
          <reference field="6" count="1" selected="0">
            <x v="116"/>
          </reference>
          <reference field="8" count="1">
            <x v="1"/>
          </reference>
        </references>
      </pivotArea>
    </format>
    <format dxfId="246">
      <pivotArea dataOnly="0" labelOnly="1" outline="0" fieldPosition="0">
        <references count="3">
          <reference field="5" count="1" selected="0">
            <x v="48"/>
          </reference>
          <reference field="6" count="1" selected="0">
            <x v="48"/>
          </reference>
          <reference field="8" count="1">
            <x v="1"/>
          </reference>
        </references>
      </pivotArea>
    </format>
    <format dxfId="245">
      <pivotArea dataOnly="0" labelOnly="1" outline="0" fieldPosition="0">
        <references count="3">
          <reference field="5" count="1" selected="0">
            <x v="49"/>
          </reference>
          <reference field="6" count="1" selected="0">
            <x v="3"/>
          </reference>
          <reference field="8" count="1">
            <x v="2"/>
          </reference>
        </references>
      </pivotArea>
    </format>
    <format dxfId="244">
      <pivotArea dataOnly="0" labelOnly="1" outline="0" fieldPosition="0">
        <references count="3">
          <reference field="5" count="1" selected="0">
            <x v="50"/>
          </reference>
          <reference field="6" count="1" selected="0">
            <x v="47"/>
          </reference>
          <reference field="8" count="1">
            <x v="1"/>
          </reference>
        </references>
      </pivotArea>
    </format>
    <format dxfId="243">
      <pivotArea dataOnly="0" labelOnly="1" outline="0" fieldPosition="0">
        <references count="3">
          <reference field="5" count="1" selected="0">
            <x v="51"/>
          </reference>
          <reference field="6" count="1" selected="0">
            <x v="165"/>
          </reference>
          <reference field="8" count="1">
            <x v="1"/>
          </reference>
        </references>
      </pivotArea>
    </format>
    <format dxfId="242">
      <pivotArea dataOnly="0" labelOnly="1" outline="0" fieldPosition="0">
        <references count="3">
          <reference field="5" count="1" selected="0">
            <x v="52"/>
          </reference>
          <reference field="6" count="1" selected="0">
            <x v="164"/>
          </reference>
          <reference field="8" count="1">
            <x v="1"/>
          </reference>
        </references>
      </pivotArea>
    </format>
    <format dxfId="241">
      <pivotArea dataOnly="0" labelOnly="1" outline="0" fieldPosition="0">
        <references count="3">
          <reference field="5" count="1" selected="0">
            <x v="53"/>
          </reference>
          <reference field="6" count="1" selected="0">
            <x v="86"/>
          </reference>
          <reference field="8" count="1">
            <x v="1"/>
          </reference>
        </references>
      </pivotArea>
    </format>
    <format dxfId="240">
      <pivotArea dataOnly="0" labelOnly="1" outline="0" fieldPosition="0">
        <references count="3">
          <reference field="5" count="1" selected="0">
            <x v="54"/>
          </reference>
          <reference field="6" count="1" selected="0">
            <x v="67"/>
          </reference>
          <reference field="8" count="1">
            <x v="1"/>
          </reference>
        </references>
      </pivotArea>
    </format>
    <format dxfId="239">
      <pivotArea dataOnly="0" labelOnly="1" outline="0" fieldPosition="0">
        <references count="3">
          <reference field="5" count="1" selected="0">
            <x v="55"/>
          </reference>
          <reference field="6" count="1" selected="0">
            <x v="79"/>
          </reference>
          <reference field="8" count="1">
            <x v="1"/>
          </reference>
        </references>
      </pivotArea>
    </format>
    <format dxfId="238">
      <pivotArea dataOnly="0" labelOnly="1" outline="0" fieldPosition="0">
        <references count="3">
          <reference field="5" count="1" selected="0">
            <x v="56"/>
          </reference>
          <reference field="6" count="1" selected="0">
            <x v="40"/>
          </reference>
          <reference field="8" count="1">
            <x v="1"/>
          </reference>
        </references>
      </pivotArea>
    </format>
    <format dxfId="237">
      <pivotArea dataOnly="0" labelOnly="1" outline="0" fieldPosition="0">
        <references count="3">
          <reference field="5" count="1" selected="0">
            <x v="57"/>
          </reference>
          <reference field="6" count="1" selected="0">
            <x v="62"/>
          </reference>
          <reference field="8" count="1">
            <x v="1"/>
          </reference>
        </references>
      </pivotArea>
    </format>
    <format dxfId="236">
      <pivotArea dataOnly="0" labelOnly="1" outline="0" fieldPosition="0">
        <references count="3">
          <reference field="5" count="1" selected="0">
            <x v="58"/>
          </reference>
          <reference field="6" count="1" selected="0">
            <x v="8"/>
          </reference>
          <reference field="8" count="1">
            <x v="2"/>
          </reference>
        </references>
      </pivotArea>
    </format>
    <format dxfId="235">
      <pivotArea dataOnly="0" labelOnly="1" outline="0" fieldPosition="0">
        <references count="3">
          <reference field="5" count="1" selected="0">
            <x v="59"/>
          </reference>
          <reference field="6" count="1" selected="0">
            <x v="134"/>
          </reference>
          <reference field="8" count="1">
            <x v="1"/>
          </reference>
        </references>
      </pivotArea>
    </format>
    <format dxfId="234">
      <pivotArea dataOnly="0" labelOnly="1" outline="0" fieldPosition="0">
        <references count="3">
          <reference field="5" count="1" selected="0">
            <x v="60"/>
          </reference>
          <reference field="6" count="1" selected="0">
            <x v="135"/>
          </reference>
          <reference field="8" count="1">
            <x v="1"/>
          </reference>
        </references>
      </pivotArea>
    </format>
    <format dxfId="233">
      <pivotArea dataOnly="0" labelOnly="1" outline="0" fieldPosition="0">
        <references count="3">
          <reference field="5" count="1" selected="0">
            <x v="61"/>
          </reference>
          <reference field="6" count="1" selected="0">
            <x v="126"/>
          </reference>
          <reference field="8" count="1">
            <x v="1"/>
          </reference>
        </references>
      </pivotArea>
    </format>
    <format dxfId="232">
      <pivotArea dataOnly="0" labelOnly="1" outline="0" fieldPosition="0">
        <references count="3">
          <reference field="5" count="1" selected="0">
            <x v="62"/>
          </reference>
          <reference field="6" count="1" selected="0">
            <x v="28"/>
          </reference>
          <reference field="8" count="1">
            <x v="2"/>
          </reference>
        </references>
      </pivotArea>
    </format>
    <format dxfId="231">
      <pivotArea dataOnly="0" labelOnly="1" outline="0" fieldPosition="0">
        <references count="3">
          <reference field="5" count="1" selected="0">
            <x v="63"/>
          </reference>
          <reference field="6" count="1" selected="0">
            <x v="127"/>
          </reference>
          <reference field="8" count="1">
            <x v="1"/>
          </reference>
        </references>
      </pivotArea>
    </format>
    <format dxfId="230">
      <pivotArea dataOnly="0" labelOnly="1" outline="0" fieldPosition="0">
        <references count="3">
          <reference field="5" count="1" selected="0">
            <x v="64"/>
          </reference>
          <reference field="6" count="1" selected="0">
            <x v="146"/>
          </reference>
          <reference field="8" count="1">
            <x v="1"/>
          </reference>
        </references>
      </pivotArea>
    </format>
    <format dxfId="229">
      <pivotArea dataOnly="0" labelOnly="1" outline="0" fieldPosition="0">
        <references count="3">
          <reference field="5" count="1" selected="0">
            <x v="65"/>
          </reference>
          <reference field="6" count="1" selected="0">
            <x v="148"/>
          </reference>
          <reference field="8" count="1">
            <x v="1"/>
          </reference>
        </references>
      </pivotArea>
    </format>
    <format dxfId="228">
      <pivotArea dataOnly="0" labelOnly="1" outline="0" fieldPosition="0">
        <references count="3">
          <reference field="5" count="1" selected="0">
            <x v="66"/>
          </reference>
          <reference field="6" count="1" selected="0">
            <x v="145"/>
          </reference>
          <reference field="8" count="1">
            <x v="1"/>
          </reference>
        </references>
      </pivotArea>
    </format>
    <format dxfId="227">
      <pivotArea dataOnly="0" labelOnly="1" outline="0" fieldPosition="0">
        <references count="3">
          <reference field="5" count="1" selected="0">
            <x v="67"/>
          </reference>
          <reference field="6" count="1" selected="0">
            <x v="147"/>
          </reference>
          <reference field="8" count="1">
            <x v="1"/>
          </reference>
        </references>
      </pivotArea>
    </format>
    <format dxfId="226">
      <pivotArea dataOnly="0" labelOnly="1" outline="0" fieldPosition="0">
        <references count="3">
          <reference field="5" count="1" selected="0">
            <x v="68"/>
          </reference>
          <reference field="6" count="1" selected="0">
            <x v="121"/>
          </reference>
          <reference field="8" count="1">
            <x v="1"/>
          </reference>
        </references>
      </pivotArea>
    </format>
    <format dxfId="225">
      <pivotArea dataOnly="0" labelOnly="1" outline="0" fieldPosition="0">
        <references count="3">
          <reference field="5" count="1" selected="0">
            <x v="69"/>
          </reference>
          <reference field="6" count="1" selected="0">
            <x v="96"/>
          </reference>
          <reference field="8" count="1">
            <x v="1"/>
          </reference>
        </references>
      </pivotArea>
    </format>
    <format dxfId="224">
      <pivotArea dataOnly="0" labelOnly="1" outline="0" fieldPosition="0">
        <references count="3">
          <reference field="5" count="1" selected="0">
            <x v="70"/>
          </reference>
          <reference field="6" count="1" selected="0">
            <x v="95"/>
          </reference>
          <reference field="8" count="1">
            <x v="1"/>
          </reference>
        </references>
      </pivotArea>
    </format>
    <format dxfId="223">
      <pivotArea dataOnly="0" labelOnly="1" outline="0" fieldPosition="0">
        <references count="3">
          <reference field="5" count="1" selected="0">
            <x v="71"/>
          </reference>
          <reference field="6" count="1" selected="0">
            <x v="108"/>
          </reference>
          <reference field="8" count="1">
            <x v="1"/>
          </reference>
        </references>
      </pivotArea>
    </format>
    <format dxfId="222">
      <pivotArea dataOnly="0" labelOnly="1" outline="0" fieldPosition="0">
        <references count="3">
          <reference field="5" count="1" selected="0">
            <x v="72"/>
          </reference>
          <reference field="6" count="1" selected="0">
            <x v="76"/>
          </reference>
          <reference field="8" count="1">
            <x v="1"/>
          </reference>
        </references>
      </pivotArea>
    </format>
    <format dxfId="221">
      <pivotArea dataOnly="0" labelOnly="1" outline="0" fieldPosition="0">
        <references count="3">
          <reference field="5" count="1" selected="0">
            <x v="73"/>
          </reference>
          <reference field="6" count="1" selected="0">
            <x v="144"/>
          </reference>
          <reference field="8" count="1">
            <x v="1"/>
          </reference>
        </references>
      </pivotArea>
    </format>
    <format dxfId="220">
      <pivotArea dataOnly="0" labelOnly="1" outline="0" fieldPosition="0">
        <references count="3">
          <reference field="5" count="1" selected="0">
            <x v="74"/>
          </reference>
          <reference field="6" count="1" selected="0">
            <x v="143"/>
          </reference>
          <reference field="8" count="1">
            <x v="1"/>
          </reference>
        </references>
      </pivotArea>
    </format>
    <format dxfId="219">
      <pivotArea dataOnly="0" labelOnly="1" outline="0" fieldPosition="0">
        <references count="3">
          <reference field="5" count="1" selected="0">
            <x v="75"/>
          </reference>
          <reference field="6" count="1" selected="0">
            <x v="153"/>
          </reference>
          <reference field="8" count="1">
            <x v="1"/>
          </reference>
        </references>
      </pivotArea>
    </format>
    <format dxfId="218">
      <pivotArea dataOnly="0" labelOnly="1" outline="0" fieldPosition="0">
        <references count="3">
          <reference field="5" count="1" selected="0">
            <x v="76"/>
          </reference>
          <reference field="6" count="1" selected="0">
            <x v="41"/>
          </reference>
          <reference field="8" count="1">
            <x v="1"/>
          </reference>
        </references>
      </pivotArea>
    </format>
    <format dxfId="217">
      <pivotArea dataOnly="0" labelOnly="1" outline="0" fieldPosition="0">
        <references count="3">
          <reference field="5" count="1" selected="0">
            <x v="77"/>
          </reference>
          <reference field="6" count="1" selected="0">
            <x v="1"/>
          </reference>
          <reference field="8" count="1">
            <x v="2"/>
          </reference>
        </references>
      </pivotArea>
    </format>
    <format dxfId="216">
      <pivotArea dataOnly="0" labelOnly="1" outline="0" fieldPosition="0">
        <references count="3">
          <reference field="5" count="1" selected="0">
            <x v="78"/>
          </reference>
          <reference field="6" count="1" selected="0">
            <x v="94"/>
          </reference>
          <reference field="8" count="1">
            <x v="1"/>
          </reference>
        </references>
      </pivotArea>
    </format>
    <format dxfId="215">
      <pivotArea dataOnly="0" labelOnly="1" outline="0" fieldPosition="0">
        <references count="3">
          <reference field="5" count="1" selected="0">
            <x v="79"/>
          </reference>
          <reference field="6" count="1" selected="0">
            <x v="92"/>
          </reference>
          <reference field="8" count="1">
            <x v="1"/>
          </reference>
        </references>
      </pivotArea>
    </format>
    <format dxfId="214">
      <pivotArea dataOnly="0" labelOnly="1" outline="0" fieldPosition="0">
        <references count="3">
          <reference field="5" count="1" selected="0">
            <x v="80"/>
          </reference>
          <reference field="6" count="1" selected="0">
            <x v="23"/>
          </reference>
          <reference field="8" count="1">
            <x v="2"/>
          </reference>
        </references>
      </pivotArea>
    </format>
    <format dxfId="213">
      <pivotArea dataOnly="0" labelOnly="1" outline="0" fieldPosition="0">
        <references count="3">
          <reference field="5" count="1" selected="0">
            <x v="81"/>
          </reference>
          <reference field="6" count="1" selected="0">
            <x v="24"/>
          </reference>
          <reference field="8" count="1">
            <x v="2"/>
          </reference>
        </references>
      </pivotArea>
    </format>
    <format dxfId="212">
      <pivotArea dataOnly="0" labelOnly="1" outline="0" fieldPosition="0">
        <references count="3">
          <reference field="5" count="1" selected="0">
            <x v="82"/>
          </reference>
          <reference field="6" count="1" selected="0">
            <x v="99"/>
          </reference>
          <reference field="8" count="1">
            <x v="1"/>
          </reference>
        </references>
      </pivotArea>
    </format>
    <format dxfId="211">
      <pivotArea dataOnly="0" labelOnly="1" outline="0" fieldPosition="0">
        <references count="3">
          <reference field="5" count="1" selected="0">
            <x v="83"/>
          </reference>
          <reference field="6" count="1" selected="0">
            <x v="100"/>
          </reference>
          <reference field="8" count="1">
            <x v="1"/>
          </reference>
        </references>
      </pivotArea>
    </format>
    <format dxfId="210">
      <pivotArea dataOnly="0" labelOnly="1" outline="0" fieldPosition="0">
        <references count="3">
          <reference field="5" count="1" selected="0">
            <x v="84"/>
          </reference>
          <reference field="6" count="1" selected="0">
            <x v="25"/>
          </reference>
          <reference field="8" count="1">
            <x v="2"/>
          </reference>
        </references>
      </pivotArea>
    </format>
    <format dxfId="209">
      <pivotArea dataOnly="0" labelOnly="1" outline="0" fieldPosition="0">
        <references count="3">
          <reference field="5" count="1" selected="0">
            <x v="85"/>
          </reference>
          <reference field="6" count="1" selected="0">
            <x v="45"/>
          </reference>
          <reference field="8" count="1">
            <x v="1"/>
          </reference>
        </references>
      </pivotArea>
    </format>
    <format dxfId="208">
      <pivotArea dataOnly="0" labelOnly="1" outline="0" fieldPosition="0">
        <references count="3">
          <reference field="5" count="1" selected="0">
            <x v="86"/>
          </reference>
          <reference field="6" count="1" selected="0">
            <x v="85"/>
          </reference>
          <reference field="8" count="1">
            <x v="1"/>
          </reference>
        </references>
      </pivotArea>
    </format>
    <format dxfId="207">
      <pivotArea dataOnly="0" labelOnly="1" outline="0" fieldPosition="0">
        <references count="3">
          <reference field="5" count="1" selected="0">
            <x v="87"/>
          </reference>
          <reference field="6" count="1" selected="0">
            <x v="136"/>
          </reference>
          <reference field="8" count="1">
            <x v="1"/>
          </reference>
        </references>
      </pivotArea>
    </format>
    <format dxfId="206">
      <pivotArea dataOnly="0" labelOnly="1" outline="0" fieldPosition="0">
        <references count="3">
          <reference field="5" count="1" selected="0">
            <x v="88"/>
          </reference>
          <reference field="6" count="1" selected="0">
            <x v="30"/>
          </reference>
          <reference field="8" count="1">
            <x v="2"/>
          </reference>
        </references>
      </pivotArea>
    </format>
    <format dxfId="205">
      <pivotArea dataOnly="0" labelOnly="1" outline="0" fieldPosition="0">
        <references count="3">
          <reference field="5" count="1" selected="0">
            <x v="89"/>
          </reference>
          <reference field="6" count="1" selected="0">
            <x v="61"/>
          </reference>
          <reference field="8" count="1">
            <x v="1"/>
          </reference>
        </references>
      </pivotArea>
    </format>
    <format dxfId="204">
      <pivotArea dataOnly="0" labelOnly="1" outline="0" fieldPosition="0">
        <references count="3">
          <reference field="5" count="1" selected="0">
            <x v="90"/>
          </reference>
          <reference field="6" count="1" selected="0">
            <x v="84"/>
          </reference>
          <reference field="8" count="1">
            <x v="1"/>
          </reference>
        </references>
      </pivotArea>
    </format>
    <format dxfId="203">
      <pivotArea dataOnly="0" labelOnly="1" outline="0" fieldPosition="0">
        <references count="3">
          <reference field="5" count="1" selected="0">
            <x v="91"/>
          </reference>
          <reference field="6" count="1" selected="0">
            <x v="83"/>
          </reference>
          <reference field="8" count="1">
            <x v="1"/>
          </reference>
        </references>
      </pivotArea>
    </format>
    <format dxfId="202">
      <pivotArea dataOnly="0" labelOnly="1" outline="0" fieldPosition="0">
        <references count="3">
          <reference field="5" count="1" selected="0">
            <x v="92"/>
          </reference>
          <reference field="6" count="1" selected="0">
            <x v="166"/>
          </reference>
          <reference field="8" count="1">
            <x v="1"/>
          </reference>
        </references>
      </pivotArea>
    </format>
    <format dxfId="201">
      <pivotArea dataOnly="0" labelOnly="1" outline="0" fieldPosition="0">
        <references count="3">
          <reference field="5" count="1" selected="0">
            <x v="93"/>
          </reference>
          <reference field="6" count="1" selected="0">
            <x v="140"/>
          </reference>
          <reference field="8" count="1">
            <x v="1"/>
          </reference>
        </references>
      </pivotArea>
    </format>
    <format dxfId="200">
      <pivotArea dataOnly="0" labelOnly="1" outline="0" fieldPosition="0">
        <references count="3">
          <reference field="5" count="1" selected="0">
            <x v="94"/>
          </reference>
          <reference field="6" count="1" selected="0">
            <x v="122"/>
          </reference>
          <reference field="8" count="1">
            <x v="1"/>
          </reference>
        </references>
      </pivotArea>
    </format>
    <format dxfId="199">
      <pivotArea dataOnly="0" labelOnly="1" outline="0" fieldPosition="0">
        <references count="3">
          <reference field="5" count="1" selected="0">
            <x v="95"/>
          </reference>
          <reference field="6" count="1" selected="0">
            <x v="137"/>
          </reference>
          <reference field="8" count="1">
            <x v="1"/>
          </reference>
        </references>
      </pivotArea>
    </format>
    <format dxfId="198">
      <pivotArea dataOnly="0" labelOnly="1" outline="0" fieldPosition="0">
        <references count="3">
          <reference field="5" count="1" selected="0">
            <x v="96"/>
          </reference>
          <reference field="6" count="1" selected="0">
            <x v="133"/>
          </reference>
          <reference field="8" count="1">
            <x v="1"/>
          </reference>
        </references>
      </pivotArea>
    </format>
    <format dxfId="197">
      <pivotArea dataOnly="0" labelOnly="1" outline="0" fieldPosition="0">
        <references count="3">
          <reference field="5" count="1" selected="0">
            <x v="97"/>
          </reference>
          <reference field="6" count="1" selected="0">
            <x v="132"/>
          </reference>
          <reference field="8" count="1">
            <x v="1"/>
          </reference>
        </references>
      </pivotArea>
    </format>
    <format dxfId="196">
      <pivotArea dataOnly="0" labelOnly="1" outline="0" fieldPosition="0">
        <references count="3">
          <reference field="5" count="1" selected="0">
            <x v="98"/>
          </reference>
          <reference field="6" count="1" selected="0">
            <x v="65"/>
          </reference>
          <reference field="8" count="1">
            <x v="1"/>
          </reference>
        </references>
      </pivotArea>
    </format>
    <format dxfId="195">
      <pivotArea dataOnly="0" labelOnly="1" outline="0" fieldPosition="0">
        <references count="3">
          <reference field="5" count="1" selected="0">
            <x v="99"/>
          </reference>
          <reference field="6" count="1" selected="0">
            <x v="125"/>
          </reference>
          <reference field="8" count="1">
            <x v="1"/>
          </reference>
        </references>
      </pivotArea>
    </format>
    <format dxfId="194">
      <pivotArea dataOnly="0" labelOnly="1" outline="0" fieldPosition="0">
        <references count="3">
          <reference field="5" count="1" selected="0">
            <x v="100"/>
          </reference>
          <reference field="6" count="1" selected="0">
            <x v="55"/>
          </reference>
          <reference field="8" count="1">
            <x v="1"/>
          </reference>
        </references>
      </pivotArea>
    </format>
    <format dxfId="193">
      <pivotArea dataOnly="0" labelOnly="1" outline="0" fieldPosition="0">
        <references count="3">
          <reference field="5" count="1" selected="0">
            <x v="101"/>
          </reference>
          <reference field="6" count="1" selected="0">
            <x v="54"/>
          </reference>
          <reference field="8" count="1">
            <x v="1"/>
          </reference>
        </references>
      </pivotArea>
    </format>
    <format dxfId="192">
      <pivotArea dataOnly="0" labelOnly="1" outline="0" fieldPosition="0">
        <references count="3">
          <reference field="5" count="1" selected="0">
            <x v="102"/>
          </reference>
          <reference field="6" count="1" selected="0">
            <x v="27"/>
          </reference>
          <reference field="8" count="1">
            <x v="1"/>
          </reference>
        </references>
      </pivotArea>
    </format>
    <format dxfId="191">
      <pivotArea dataOnly="0" labelOnly="1" outline="0" fieldPosition="0">
        <references count="3">
          <reference field="5" count="1" selected="0">
            <x v="103"/>
          </reference>
          <reference field="6" count="1" selected="0">
            <x v="109"/>
          </reference>
          <reference field="8" count="1">
            <x v="1"/>
          </reference>
        </references>
      </pivotArea>
    </format>
    <format dxfId="190">
      <pivotArea dataOnly="0" labelOnly="1" outline="0" fieldPosition="0">
        <references count="3">
          <reference field="5" count="1" selected="0">
            <x v="104"/>
          </reference>
          <reference field="6" count="1" selected="0">
            <x v="9"/>
          </reference>
          <reference field="8" count="1">
            <x v="1"/>
          </reference>
        </references>
      </pivotArea>
    </format>
    <format dxfId="189">
      <pivotArea dataOnly="0" labelOnly="1" outline="0" fieldPosition="0">
        <references count="3">
          <reference field="5" count="1" selected="0">
            <x v="105"/>
          </reference>
          <reference field="6" count="1" selected="0">
            <x v="63"/>
          </reference>
          <reference field="8" count="1">
            <x v="1"/>
          </reference>
        </references>
      </pivotArea>
    </format>
    <format dxfId="188">
      <pivotArea dataOnly="0" labelOnly="1" outline="0" fieldPosition="0">
        <references count="3">
          <reference field="5" count="1" selected="0">
            <x v="106"/>
          </reference>
          <reference field="6" count="1" selected="0">
            <x v="129"/>
          </reference>
          <reference field="8" count="1">
            <x v="1"/>
          </reference>
        </references>
      </pivotArea>
    </format>
    <format dxfId="187">
      <pivotArea dataOnly="0" labelOnly="1" outline="0" fieldPosition="0">
        <references count="3">
          <reference field="5" count="1" selected="0">
            <x v="107"/>
          </reference>
          <reference field="6" count="1" selected="0">
            <x v="29"/>
          </reference>
          <reference field="8" count="1">
            <x v="1"/>
          </reference>
        </references>
      </pivotArea>
    </format>
    <format dxfId="186">
      <pivotArea dataOnly="0" labelOnly="1" outline="0" fieldPosition="0">
        <references count="3">
          <reference field="5" count="1" selected="0">
            <x v="108"/>
          </reference>
          <reference field="6" count="1" selected="0">
            <x v="64"/>
          </reference>
          <reference field="8" count="1">
            <x v="1"/>
          </reference>
        </references>
      </pivotArea>
    </format>
    <format dxfId="185">
      <pivotArea dataOnly="0" labelOnly="1" outline="0" fieldPosition="0">
        <references count="3">
          <reference field="5" count="1" selected="0">
            <x v="109"/>
          </reference>
          <reference field="6" count="1" selected="0">
            <x v="43"/>
          </reference>
          <reference field="8" count="1">
            <x v="1"/>
          </reference>
        </references>
      </pivotArea>
    </format>
    <format dxfId="184">
      <pivotArea dataOnly="0" labelOnly="1" outline="0" fieldPosition="0">
        <references count="3">
          <reference field="5" count="1" selected="0">
            <x v="110"/>
          </reference>
          <reference field="6" count="1" selected="0">
            <x v="2"/>
          </reference>
          <reference field="8" count="1">
            <x v="1"/>
          </reference>
        </references>
      </pivotArea>
    </format>
    <format dxfId="183">
      <pivotArea dataOnly="0" labelOnly="1" outline="0" fieldPosition="0">
        <references count="3">
          <reference field="5" count="1" selected="0">
            <x v="111"/>
          </reference>
          <reference field="6" count="1" selected="0">
            <x v="42"/>
          </reference>
          <reference field="8" count="1">
            <x v="1"/>
          </reference>
        </references>
      </pivotArea>
    </format>
    <format dxfId="182">
      <pivotArea dataOnly="0" labelOnly="1" outline="0" fieldPosition="0">
        <references count="3">
          <reference field="5" count="1" selected="0">
            <x v="112"/>
          </reference>
          <reference field="6" count="1" selected="0">
            <x v="44"/>
          </reference>
          <reference field="8" count="1">
            <x v="1"/>
          </reference>
        </references>
      </pivotArea>
    </format>
    <format dxfId="181">
      <pivotArea dataOnly="0" labelOnly="1" outline="0" fieldPosition="0">
        <references count="3">
          <reference field="5" count="1" selected="0">
            <x v="113"/>
          </reference>
          <reference field="6" count="1" selected="0">
            <x v="110"/>
          </reference>
          <reference field="8" count="1">
            <x v="1"/>
          </reference>
        </references>
      </pivotArea>
    </format>
    <format dxfId="180">
      <pivotArea dataOnly="0" labelOnly="1" outline="0" fieldPosition="0">
        <references count="3">
          <reference field="5" count="1" selected="0">
            <x v="114"/>
          </reference>
          <reference field="6" count="1" selected="0">
            <x v="56"/>
          </reference>
          <reference field="8" count="1">
            <x v="1"/>
          </reference>
        </references>
      </pivotArea>
    </format>
    <format dxfId="179">
      <pivotArea dataOnly="0" labelOnly="1" outline="0" fieldPosition="0">
        <references count="3">
          <reference field="5" count="1" selected="0">
            <x v="115"/>
          </reference>
          <reference field="6" count="1" selected="0">
            <x v="81"/>
          </reference>
          <reference field="8" count="1">
            <x v="1"/>
          </reference>
        </references>
      </pivotArea>
    </format>
    <format dxfId="178">
      <pivotArea dataOnly="0" labelOnly="1" outline="0" fieldPosition="0">
        <references count="3">
          <reference field="5" count="1" selected="0">
            <x v="116"/>
          </reference>
          <reference field="6" count="1" selected="0">
            <x v="82"/>
          </reference>
          <reference field="8" count="1">
            <x v="1"/>
          </reference>
        </references>
      </pivotArea>
    </format>
    <format dxfId="177">
      <pivotArea dataOnly="0" labelOnly="1" outline="0" fieldPosition="0">
        <references count="3">
          <reference field="5" count="1" selected="0">
            <x v="117"/>
          </reference>
          <reference field="6" count="1" selected="0">
            <x v="117"/>
          </reference>
          <reference field="8" count="1">
            <x v="1"/>
          </reference>
        </references>
      </pivotArea>
    </format>
    <format dxfId="176">
      <pivotArea dataOnly="0" labelOnly="1" outline="0" fieldPosition="0">
        <references count="3">
          <reference field="5" count="1" selected="0">
            <x v="118"/>
          </reference>
          <reference field="6" count="1" selected="0">
            <x v="36"/>
          </reference>
          <reference field="8" count="1">
            <x v="1"/>
          </reference>
        </references>
      </pivotArea>
    </format>
    <format dxfId="175">
      <pivotArea dataOnly="0" labelOnly="1" outline="0" fieldPosition="0">
        <references count="3">
          <reference field="5" count="1" selected="0">
            <x v="119"/>
          </reference>
          <reference field="6" count="1" selected="0">
            <x v="58"/>
          </reference>
          <reference field="8" count="1">
            <x v="1"/>
          </reference>
        </references>
      </pivotArea>
    </format>
    <format dxfId="174">
      <pivotArea dataOnly="0" labelOnly="1" outline="0" fieldPosition="0">
        <references count="3">
          <reference field="5" count="1" selected="0">
            <x v="120"/>
          </reference>
          <reference field="6" count="1" selected="0">
            <x v="52"/>
          </reference>
          <reference field="8" count="1">
            <x v="1"/>
          </reference>
        </references>
      </pivotArea>
    </format>
    <format dxfId="173">
      <pivotArea dataOnly="0" labelOnly="1" outline="0" fieldPosition="0">
        <references count="3">
          <reference field="5" count="1" selected="0">
            <x v="121"/>
          </reference>
          <reference field="6" count="1" selected="0">
            <x v="105"/>
          </reference>
          <reference field="8" count="1">
            <x v="1"/>
          </reference>
        </references>
      </pivotArea>
    </format>
    <format dxfId="172">
      <pivotArea dataOnly="0" labelOnly="1" outline="0" fieldPosition="0">
        <references count="3">
          <reference field="5" count="1" selected="0">
            <x v="122"/>
          </reference>
          <reference field="6" count="1" selected="0">
            <x v="53"/>
          </reference>
          <reference field="8" count="1">
            <x v="1"/>
          </reference>
        </references>
      </pivotArea>
    </format>
    <format dxfId="171">
      <pivotArea dataOnly="0" labelOnly="1" outline="0" fieldPosition="0">
        <references count="3">
          <reference field="5" count="1" selected="0">
            <x v="123"/>
          </reference>
          <reference field="6" count="1" selected="0">
            <x v="72"/>
          </reference>
          <reference field="8" count="1">
            <x v="1"/>
          </reference>
        </references>
      </pivotArea>
    </format>
    <format dxfId="170">
      <pivotArea dataOnly="0" labelOnly="1" outline="0" fieldPosition="0">
        <references count="3">
          <reference field="5" count="1" selected="0">
            <x v="124"/>
          </reference>
          <reference field="6" count="1" selected="0">
            <x v="49"/>
          </reference>
          <reference field="8" count="1">
            <x v="1"/>
          </reference>
        </references>
      </pivotArea>
    </format>
    <format dxfId="169">
      <pivotArea dataOnly="0" labelOnly="1" outline="0" fieldPosition="0">
        <references count="3">
          <reference field="5" count="1" selected="0">
            <x v="125"/>
          </reference>
          <reference field="6" count="1" selected="0">
            <x v="39"/>
          </reference>
          <reference field="8" count="1">
            <x v="1"/>
          </reference>
        </references>
      </pivotArea>
    </format>
    <format dxfId="168">
      <pivotArea dataOnly="0" labelOnly="1" outline="0" fieldPosition="0">
        <references count="3">
          <reference field="5" count="1" selected="0">
            <x v="126"/>
          </reference>
          <reference field="6" count="1" selected="0">
            <x v="60"/>
          </reference>
          <reference field="8" count="1">
            <x v="1"/>
          </reference>
        </references>
      </pivotArea>
    </format>
    <format dxfId="167">
      <pivotArea dataOnly="0" labelOnly="1" outline="0" fieldPosition="0">
        <references count="3">
          <reference field="5" count="1" selected="0">
            <x v="127"/>
          </reference>
          <reference field="6" count="1" selected="0">
            <x v="155"/>
          </reference>
          <reference field="8" count="1">
            <x v="1"/>
          </reference>
        </references>
      </pivotArea>
    </format>
    <format dxfId="166">
      <pivotArea dataOnly="0" labelOnly="1" outline="0" fieldPosition="0">
        <references count="3">
          <reference field="5" count="1" selected="0">
            <x v="128"/>
          </reference>
          <reference field="6" count="1" selected="0">
            <x v="157"/>
          </reference>
          <reference field="8" count="1">
            <x v="1"/>
          </reference>
        </references>
      </pivotArea>
    </format>
    <format dxfId="165">
      <pivotArea dataOnly="0" labelOnly="1" outline="0" fieldPosition="0">
        <references count="3">
          <reference field="5" count="1" selected="0">
            <x v="129"/>
          </reference>
          <reference field="6" count="1" selected="0">
            <x v="156"/>
          </reference>
          <reference field="8" count="1">
            <x v="1"/>
          </reference>
        </references>
      </pivotArea>
    </format>
    <format dxfId="164">
      <pivotArea dataOnly="0" labelOnly="1" outline="0" fieldPosition="0">
        <references count="3">
          <reference field="5" count="1" selected="0">
            <x v="130"/>
          </reference>
          <reference field="6" count="1" selected="0">
            <x v="37"/>
          </reference>
          <reference field="8" count="1">
            <x v="1"/>
          </reference>
        </references>
      </pivotArea>
    </format>
    <format dxfId="163">
      <pivotArea dataOnly="0" labelOnly="1" outline="0" fieldPosition="0">
        <references count="3">
          <reference field="5" count="1" selected="0">
            <x v="131"/>
          </reference>
          <reference field="6" count="1" selected="0">
            <x v="68"/>
          </reference>
          <reference field="8" count="1">
            <x v="1"/>
          </reference>
        </references>
      </pivotArea>
    </format>
    <format dxfId="162">
      <pivotArea dataOnly="0" labelOnly="1" outline="0" fieldPosition="0">
        <references count="3">
          <reference field="5" count="1" selected="0">
            <x v="132"/>
          </reference>
          <reference field="6" count="1" selected="0">
            <x v="77"/>
          </reference>
          <reference field="8" count="1">
            <x v="1"/>
          </reference>
        </references>
      </pivotArea>
    </format>
    <format dxfId="161">
      <pivotArea dataOnly="0" labelOnly="1" outline="0" fieldPosition="0">
        <references count="3">
          <reference field="5" count="1" selected="0">
            <x v="133"/>
          </reference>
          <reference field="6" count="1" selected="0">
            <x v="38"/>
          </reference>
          <reference field="8" count="1">
            <x v="1"/>
          </reference>
        </references>
      </pivotArea>
    </format>
    <format dxfId="160">
      <pivotArea dataOnly="0" labelOnly="1" outline="0" fieldPosition="0">
        <references count="3">
          <reference field="5" count="1" selected="0">
            <x v="134"/>
          </reference>
          <reference field="6" count="1" selected="0">
            <x v="89"/>
          </reference>
          <reference field="8" count="1">
            <x v="1"/>
          </reference>
        </references>
      </pivotArea>
    </format>
    <format dxfId="159">
      <pivotArea dataOnly="0" labelOnly="1" outline="0" fieldPosition="0">
        <references count="3">
          <reference field="5" count="1" selected="0">
            <x v="135"/>
          </reference>
          <reference field="6" count="1" selected="0">
            <x v="115"/>
          </reference>
          <reference field="8" count="1">
            <x v="1"/>
          </reference>
        </references>
      </pivotArea>
    </format>
    <format dxfId="158">
      <pivotArea dataOnly="0" labelOnly="1" outline="0" fieldPosition="0">
        <references count="3">
          <reference field="5" count="1" selected="0">
            <x v="136"/>
          </reference>
          <reference field="6" count="1" selected="0">
            <x v="16"/>
          </reference>
          <reference field="8" count="1">
            <x v="1"/>
          </reference>
        </references>
      </pivotArea>
    </format>
    <format dxfId="157">
      <pivotArea dataOnly="0" labelOnly="1" outline="0" fieldPosition="0">
        <references count="3">
          <reference field="5" count="1" selected="0">
            <x v="137"/>
          </reference>
          <reference field="6" count="1" selected="0">
            <x v="158"/>
          </reference>
          <reference field="8" count="1">
            <x v="1"/>
          </reference>
        </references>
      </pivotArea>
    </format>
    <format dxfId="156">
      <pivotArea dataOnly="0" labelOnly="1" outline="0" fieldPosition="0">
        <references count="3">
          <reference field="5" count="1" selected="0">
            <x v="138"/>
          </reference>
          <reference field="6" count="1" selected="0">
            <x v="112"/>
          </reference>
          <reference field="8" count="1">
            <x v="1"/>
          </reference>
        </references>
      </pivotArea>
    </format>
    <format dxfId="155">
      <pivotArea dataOnly="0" labelOnly="1" outline="0" fieldPosition="0">
        <references count="3">
          <reference field="5" count="1" selected="0">
            <x v="139"/>
          </reference>
          <reference field="6" count="1" selected="0">
            <x v="111"/>
          </reference>
          <reference field="8" count="1">
            <x v="1"/>
          </reference>
        </references>
      </pivotArea>
    </format>
    <format dxfId="154">
      <pivotArea dataOnly="0" labelOnly="1" outline="0" fieldPosition="0">
        <references count="3">
          <reference field="5" count="1" selected="0">
            <x v="140"/>
          </reference>
          <reference field="6" count="1" selected="0">
            <x v="57"/>
          </reference>
          <reference field="8" count="1">
            <x v="1"/>
          </reference>
        </references>
      </pivotArea>
    </format>
    <format dxfId="153">
      <pivotArea dataOnly="0" labelOnly="1" outline="0" fieldPosition="0">
        <references count="3">
          <reference field="5" count="1" selected="0">
            <x v="141"/>
          </reference>
          <reference field="6" count="1" selected="0">
            <x v="104"/>
          </reference>
          <reference field="8" count="1">
            <x v="1"/>
          </reference>
        </references>
      </pivotArea>
    </format>
    <format dxfId="152">
      <pivotArea dataOnly="0" labelOnly="1" outline="0" fieldPosition="0">
        <references count="3">
          <reference field="5" count="1" selected="0">
            <x v="142"/>
          </reference>
          <reference field="6" count="1" selected="0">
            <x v="154"/>
          </reference>
          <reference field="8" count="1">
            <x v="1"/>
          </reference>
        </references>
      </pivotArea>
    </format>
    <format dxfId="151">
      <pivotArea dataOnly="0" labelOnly="1" outline="0" fieldPosition="0">
        <references count="3">
          <reference field="5" count="1" selected="0">
            <x v="143"/>
          </reference>
          <reference field="6" count="1" selected="0">
            <x v="113"/>
          </reference>
          <reference field="8" count="1">
            <x v="1"/>
          </reference>
        </references>
      </pivotArea>
    </format>
    <format dxfId="150">
      <pivotArea dataOnly="0" labelOnly="1" outline="0" fieldPosition="0">
        <references count="3">
          <reference field="5" count="1" selected="0">
            <x v="144"/>
          </reference>
          <reference field="6" count="1" selected="0">
            <x v="114"/>
          </reference>
          <reference field="8" count="1">
            <x v="1"/>
          </reference>
        </references>
      </pivotArea>
    </format>
    <format dxfId="149">
      <pivotArea dataOnly="0" labelOnly="1" outline="0" fieldPosition="0">
        <references count="3">
          <reference field="5" count="1" selected="0">
            <x v="145"/>
          </reference>
          <reference field="6" count="1" selected="0">
            <x v="131"/>
          </reference>
          <reference field="8" count="1">
            <x v="1"/>
          </reference>
        </references>
      </pivotArea>
    </format>
    <format dxfId="148">
      <pivotArea dataOnly="0" labelOnly="1" outline="0" fieldPosition="0">
        <references count="3">
          <reference field="5" count="1" selected="0">
            <x v="146"/>
          </reference>
          <reference field="6" count="1" selected="0">
            <x v="106"/>
          </reference>
          <reference field="8" count="1">
            <x v="1"/>
          </reference>
        </references>
      </pivotArea>
    </format>
    <format dxfId="147">
      <pivotArea dataOnly="0" labelOnly="1" outline="0" fieldPosition="0">
        <references count="3">
          <reference field="5" count="1" selected="0">
            <x v="147"/>
          </reference>
          <reference field="6" count="1" selected="0">
            <x v="107"/>
          </reference>
          <reference field="8" count="1">
            <x v="1"/>
          </reference>
        </references>
      </pivotArea>
    </format>
    <format dxfId="146">
      <pivotArea dataOnly="0" labelOnly="1" outline="0" fieldPosition="0">
        <references count="3">
          <reference field="5" count="1" selected="0">
            <x v="148"/>
          </reference>
          <reference field="6" count="1" selected="0">
            <x v="101"/>
          </reference>
          <reference field="8" count="1">
            <x v="1"/>
          </reference>
        </references>
      </pivotArea>
    </format>
    <format dxfId="145">
      <pivotArea dataOnly="0" labelOnly="1" outline="0" fieldPosition="0">
        <references count="3">
          <reference field="5" count="1" selected="0">
            <x v="149"/>
          </reference>
          <reference field="6" count="1" selected="0">
            <x v="123"/>
          </reference>
          <reference field="8" count="1">
            <x v="1"/>
          </reference>
        </references>
      </pivotArea>
    </format>
    <format dxfId="144">
      <pivotArea dataOnly="0" labelOnly="1" outline="0" fieldPosition="0">
        <references count="3">
          <reference field="5" count="1" selected="0">
            <x v="150"/>
          </reference>
          <reference field="6" count="1" selected="0">
            <x v="124"/>
          </reference>
          <reference field="8" count="1">
            <x v="1"/>
          </reference>
        </references>
      </pivotArea>
    </format>
    <format dxfId="143">
      <pivotArea dataOnly="0" labelOnly="1" outline="0" fieldPosition="0">
        <references count="3">
          <reference field="5" count="1" selected="0">
            <x v="151"/>
          </reference>
          <reference field="6" count="1" selected="0">
            <x v="102"/>
          </reference>
          <reference field="8" count="1">
            <x v="1"/>
          </reference>
        </references>
      </pivotArea>
    </format>
    <format dxfId="142">
      <pivotArea dataOnly="0" labelOnly="1" outline="0" fieldPosition="0">
        <references count="3">
          <reference field="5" count="1" selected="0">
            <x v="152"/>
          </reference>
          <reference field="6" count="1" selected="0">
            <x v="161"/>
          </reference>
          <reference field="8" count="1">
            <x v="1"/>
          </reference>
        </references>
      </pivotArea>
    </format>
    <format dxfId="141">
      <pivotArea dataOnly="0" labelOnly="1" outline="0" fieldPosition="0">
        <references count="3">
          <reference field="5" count="1" selected="0">
            <x v="153"/>
          </reference>
          <reference field="6" count="1" selected="0">
            <x v="162"/>
          </reference>
          <reference field="8" count="1">
            <x v="1"/>
          </reference>
        </references>
      </pivotArea>
    </format>
    <format dxfId="140">
      <pivotArea dataOnly="0" labelOnly="1" outline="0" fieldPosition="0">
        <references count="3">
          <reference field="5" count="1" selected="0">
            <x v="154"/>
          </reference>
          <reference field="6" count="1" selected="0">
            <x v="119"/>
          </reference>
          <reference field="8" count="1">
            <x v="1"/>
          </reference>
        </references>
      </pivotArea>
    </format>
    <format dxfId="139">
      <pivotArea dataOnly="0" labelOnly="1" outline="0" fieldPosition="0">
        <references count="3">
          <reference field="5" count="1" selected="0">
            <x v="155"/>
          </reference>
          <reference field="6" count="1" selected="0">
            <x v="128"/>
          </reference>
          <reference field="8" count="1">
            <x v="1"/>
          </reference>
        </references>
      </pivotArea>
    </format>
    <format dxfId="138">
      <pivotArea dataOnly="0" labelOnly="1" outline="0" fieldPosition="0">
        <references count="3">
          <reference field="5" count="1" selected="0">
            <x v="156"/>
          </reference>
          <reference field="6" count="1" selected="0">
            <x v="120"/>
          </reference>
          <reference field="8" count="1">
            <x v="1"/>
          </reference>
        </references>
      </pivotArea>
    </format>
    <format dxfId="137">
      <pivotArea dataOnly="0" labelOnly="1" outline="0" fieldPosition="0">
        <references count="3">
          <reference field="5" count="1" selected="0">
            <x v="157"/>
          </reference>
          <reference field="6" count="1" selected="0">
            <x v="17"/>
          </reference>
          <reference field="8" count="1">
            <x v="2"/>
          </reference>
        </references>
      </pivotArea>
    </format>
    <format dxfId="136">
      <pivotArea dataOnly="0" labelOnly="1" outline="0" fieldPosition="0">
        <references count="3">
          <reference field="5" count="1" selected="0">
            <x v="158"/>
          </reference>
          <reference field="6" count="1" selected="0">
            <x v="34"/>
          </reference>
          <reference field="8" count="1">
            <x v="2"/>
          </reference>
        </references>
      </pivotArea>
    </format>
    <format dxfId="135">
      <pivotArea dataOnly="0" labelOnly="1" outline="0" fieldPosition="0">
        <references count="3">
          <reference field="5" count="1" selected="0">
            <x v="159"/>
          </reference>
          <reference field="6" count="1" selected="0">
            <x v="35"/>
          </reference>
          <reference field="8" count="1">
            <x v="2"/>
          </reference>
        </references>
      </pivotArea>
    </format>
    <format dxfId="134">
      <pivotArea dataOnly="0" labelOnly="1" outline="0" fieldPosition="0">
        <references count="3">
          <reference field="5" count="1" selected="0">
            <x v="160"/>
          </reference>
          <reference field="6" count="1" selected="0">
            <x v="59"/>
          </reference>
          <reference field="8" count="1">
            <x v="0"/>
          </reference>
        </references>
      </pivotArea>
    </format>
    <format dxfId="133">
      <pivotArea dataOnly="0" labelOnly="1" outline="0" fieldPosition="0">
        <references count="3">
          <reference field="5" count="1" selected="0">
            <x v="161"/>
          </reference>
          <reference field="6" count="1" selected="0">
            <x v="74"/>
          </reference>
          <reference field="8" count="1">
            <x v="0"/>
          </reference>
        </references>
      </pivotArea>
    </format>
    <format dxfId="132">
      <pivotArea dataOnly="0" labelOnly="1" outline="0" fieldPosition="0">
        <references count="3">
          <reference field="5" count="1" selected="0">
            <x v="162"/>
          </reference>
          <reference field="6" count="1" selected="0">
            <x v="75"/>
          </reference>
          <reference field="8" count="1">
            <x v="0"/>
          </reference>
        </references>
      </pivotArea>
    </format>
    <format dxfId="131">
      <pivotArea dataOnly="0" labelOnly="1" outline="0" fieldPosition="0">
        <references count="3">
          <reference field="5" count="1" selected="0">
            <x v="163"/>
          </reference>
          <reference field="6" count="1" selected="0">
            <x v="73"/>
          </reference>
          <reference field="8" count="1">
            <x v="0"/>
          </reference>
        </references>
      </pivotArea>
    </format>
    <format dxfId="130">
      <pivotArea dataOnly="0" labelOnly="1" outline="0" fieldPosition="0">
        <references count="3">
          <reference field="5" count="1" selected="0">
            <x v="164"/>
          </reference>
          <reference field="6" count="1" selected="0">
            <x v="167"/>
          </reference>
          <reference field="8" count="1">
            <x v="0"/>
          </reference>
        </references>
      </pivotArea>
    </format>
    <format dxfId="129">
      <pivotArea dataOnly="0" labelOnly="1" outline="0" fieldPosition="0">
        <references count="3">
          <reference field="5" count="1" selected="0">
            <x v="165"/>
          </reference>
          <reference field="6" count="1" selected="0">
            <x v="118"/>
          </reference>
          <reference field="8" count="1">
            <x v="0"/>
          </reference>
        </references>
      </pivotArea>
    </format>
    <format dxfId="128">
      <pivotArea dataOnly="0" labelOnly="1" outline="0" fieldPosition="0">
        <references count="3">
          <reference field="5" count="1" selected="0">
            <x v="166"/>
          </reference>
          <reference field="6" count="1" selected="0">
            <x v="71"/>
          </reference>
          <reference field="8" count="1">
            <x v="0"/>
          </reference>
        </references>
      </pivotArea>
    </format>
    <format dxfId="127">
      <pivotArea dataOnly="0" labelOnly="1" outline="0" fieldPosition="0">
        <references count="3">
          <reference field="5" count="1" selected="0">
            <x v="167"/>
          </reference>
          <reference field="6" count="1" selected="0">
            <x v="69"/>
          </reference>
          <reference field="8" count="1">
            <x v="0"/>
          </reference>
        </references>
      </pivotArea>
    </format>
    <format dxfId="126">
      <pivotArea dataOnly="0" labelOnly="1" outline="0" fieldPosition="0">
        <references count="3">
          <reference field="5" count="1" selected="0">
            <x v="168"/>
          </reference>
          <reference field="6" count="1" selected="0">
            <x v="66"/>
          </reference>
          <reference field="8" count="1">
            <x v="1"/>
          </reference>
        </references>
      </pivotArea>
    </format>
    <format dxfId="125">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24">
      <pivotArea dataOnly="0" labelOnly="1" outline="0" fieldPosition="0">
        <references count="1">
          <reference field="1" count="30">
            <x v="50"/>
            <x v="51"/>
            <x v="52"/>
            <x v="53"/>
            <x v="54"/>
            <x v="55"/>
            <x v="56"/>
            <x v="57"/>
            <x v="58"/>
            <x v="59"/>
            <x v="60"/>
            <x v="61"/>
            <x v="62"/>
            <x v="63"/>
            <x v="64"/>
            <x v="65"/>
            <x v="66"/>
            <x v="67"/>
            <x v="68"/>
            <x v="69"/>
            <x v="70"/>
            <x v="71"/>
            <x v="72"/>
            <x v="73"/>
            <x v="74"/>
            <x v="75"/>
            <x v="76"/>
            <x v="77"/>
            <x v="78"/>
            <x v="79"/>
          </reference>
        </references>
      </pivotArea>
    </format>
    <format dxfId="123">
      <pivotArea dataOnly="0" labelOnly="1" grandCol="1" outline="0" fieldPosition="0"/>
    </format>
    <format dxfId="122">
      <pivotArea dataOnly="0" labelOnly="1" outline="0" fieldPosition="0">
        <references count="2">
          <reference field="1" count="1" selected="0">
            <x v="0"/>
          </reference>
          <reference field="2" count="1">
            <x v="4"/>
          </reference>
        </references>
      </pivotArea>
    </format>
    <format dxfId="121">
      <pivotArea dataOnly="0" labelOnly="1" outline="0" fieldPosition="0">
        <references count="2">
          <reference field="1" count="1" selected="0">
            <x v="1"/>
          </reference>
          <reference field="2" count="1">
            <x v="2"/>
          </reference>
        </references>
      </pivotArea>
    </format>
    <format dxfId="120">
      <pivotArea dataOnly="0" labelOnly="1" outline="0" fieldPosition="0">
        <references count="2">
          <reference field="1" count="1" selected="0">
            <x v="2"/>
          </reference>
          <reference field="2" count="1">
            <x v="4"/>
          </reference>
        </references>
      </pivotArea>
    </format>
    <format dxfId="119">
      <pivotArea dataOnly="0" labelOnly="1" outline="0" fieldPosition="0">
        <references count="2">
          <reference field="1" count="1" selected="0">
            <x v="7"/>
          </reference>
          <reference field="2" count="1">
            <x v="3"/>
          </reference>
        </references>
      </pivotArea>
    </format>
    <format dxfId="118">
      <pivotArea dataOnly="0" labelOnly="1" outline="0" fieldPosition="0">
        <references count="2">
          <reference field="1" count="1" selected="0">
            <x v="37"/>
          </reference>
          <reference field="2" count="1">
            <x v="4"/>
          </reference>
        </references>
      </pivotArea>
    </format>
    <format dxfId="117">
      <pivotArea dataOnly="0" labelOnly="1" outline="0" fieldPosition="0">
        <references count="2">
          <reference field="1" count="1" selected="0">
            <x v="38"/>
          </reference>
          <reference field="2" count="1">
            <x v="3"/>
          </reference>
        </references>
      </pivotArea>
    </format>
    <format dxfId="116">
      <pivotArea dataOnly="0" labelOnly="1" outline="0" fieldPosition="0">
        <references count="2">
          <reference field="1" count="1" selected="0">
            <x v="48"/>
          </reference>
          <reference field="2" count="1">
            <x v="4"/>
          </reference>
        </references>
      </pivotArea>
    </format>
    <format dxfId="115">
      <pivotArea dataOnly="0" labelOnly="1" outline="0" fieldPosition="0">
        <references count="2">
          <reference field="1" count="1" selected="0">
            <x v="49"/>
          </reference>
          <reference field="2" count="1">
            <x v="3"/>
          </reference>
        </references>
      </pivotArea>
    </format>
    <format dxfId="114">
      <pivotArea dataOnly="0" labelOnly="1" outline="0" fieldPosition="0">
        <references count="2">
          <reference field="1" count="1" selected="0">
            <x v="51"/>
          </reference>
          <reference field="2" count="1">
            <x v="6"/>
          </reference>
        </references>
      </pivotArea>
    </format>
    <format dxfId="113">
      <pivotArea dataOnly="0" labelOnly="1" outline="0" fieldPosition="0">
        <references count="2">
          <reference field="1" count="1" selected="0">
            <x v="52"/>
          </reference>
          <reference field="2" count="1">
            <x v="3"/>
          </reference>
        </references>
      </pivotArea>
    </format>
    <format dxfId="112">
      <pivotArea dataOnly="0" labelOnly="1" outline="0" fieldPosition="0">
        <references count="2">
          <reference field="1" count="1" selected="0">
            <x v="56"/>
          </reference>
          <reference field="2" count="1">
            <x v="8"/>
          </reference>
        </references>
      </pivotArea>
    </format>
    <format dxfId="111">
      <pivotArea dataOnly="0" labelOnly="1" outline="0" fieldPosition="0">
        <references count="2">
          <reference field="1" count="1" selected="0">
            <x v="57"/>
          </reference>
          <reference field="2" count="1">
            <x v="2"/>
          </reference>
        </references>
      </pivotArea>
    </format>
    <format dxfId="110">
      <pivotArea dataOnly="0" labelOnly="1" outline="0" fieldPosition="0">
        <references count="2">
          <reference field="1" count="1" selected="0">
            <x v="58"/>
          </reference>
          <reference field="2" count="1">
            <x v="6"/>
          </reference>
        </references>
      </pivotArea>
    </format>
    <format dxfId="109">
      <pivotArea dataOnly="0" labelOnly="1" outline="0" fieldPosition="0">
        <references count="2">
          <reference field="1" count="1" selected="0">
            <x v="59"/>
          </reference>
          <reference field="2" count="1">
            <x v="8"/>
          </reference>
        </references>
      </pivotArea>
    </format>
    <format dxfId="108">
      <pivotArea dataOnly="0" labelOnly="1" outline="0" fieldPosition="0">
        <references count="2">
          <reference field="1" count="1" selected="0">
            <x v="60"/>
          </reference>
          <reference field="2" count="1">
            <x v="6"/>
          </reference>
        </references>
      </pivotArea>
    </format>
    <format dxfId="107">
      <pivotArea dataOnly="0" labelOnly="1" outline="0" fieldPosition="0">
        <references count="2">
          <reference field="1" count="1" selected="0">
            <x v="61"/>
          </reference>
          <reference field="2" count="1">
            <x v="8"/>
          </reference>
        </references>
      </pivotArea>
    </format>
    <format dxfId="106">
      <pivotArea dataOnly="0" labelOnly="1" outline="0" fieldPosition="0">
        <references count="2">
          <reference field="1" count="1" selected="0">
            <x v="62"/>
          </reference>
          <reference field="2" count="1">
            <x v="2"/>
          </reference>
        </references>
      </pivotArea>
    </format>
    <format dxfId="105">
      <pivotArea dataOnly="0" labelOnly="1" outline="0" fieldPosition="0">
        <references count="2">
          <reference field="1" count="1" selected="0">
            <x v="63"/>
          </reference>
          <reference field="2" count="1">
            <x v="6"/>
          </reference>
        </references>
      </pivotArea>
    </format>
    <format dxfId="104">
      <pivotArea dataOnly="0" labelOnly="1" outline="0" fieldPosition="0">
        <references count="2">
          <reference field="1" count="1" selected="0">
            <x v="66"/>
          </reference>
          <reference field="2" count="1">
            <x v="8"/>
          </reference>
        </references>
      </pivotArea>
    </format>
    <format dxfId="103">
      <pivotArea dataOnly="0" labelOnly="1" outline="0" fieldPosition="0">
        <references count="2">
          <reference field="1" count="1" selected="0">
            <x v="68"/>
          </reference>
          <reference field="2" count="1">
            <x v="2"/>
          </reference>
        </references>
      </pivotArea>
    </format>
    <format dxfId="102">
      <pivotArea dataOnly="0" labelOnly="1" outline="0" fieldPosition="0">
        <references count="2">
          <reference field="1" count="1" selected="0">
            <x v="69"/>
          </reference>
          <reference field="2" count="1">
            <x v="6"/>
          </reference>
        </references>
      </pivotArea>
    </format>
    <format dxfId="101">
      <pivotArea dataOnly="0" labelOnly="1" outline="0" fieldPosition="0">
        <references count="2">
          <reference field="1" count="1" selected="0">
            <x v="70"/>
          </reference>
          <reference field="2" count="1">
            <x v="4"/>
          </reference>
        </references>
      </pivotArea>
    </format>
    <format dxfId="100">
      <pivotArea dataOnly="0" labelOnly="1" outline="0" fieldPosition="0">
        <references count="2">
          <reference field="1" count="1" selected="0">
            <x v="73"/>
          </reference>
          <reference field="2" count="1">
            <x v="3"/>
          </reference>
        </references>
      </pivotArea>
    </format>
    <format dxfId="99">
      <pivotArea dataOnly="0" labelOnly="1" outline="0" fieldPosition="0">
        <references count="2">
          <reference field="1" count="1" selected="0">
            <x v="74"/>
          </reference>
          <reference field="2" count="1">
            <x v="5"/>
          </reference>
        </references>
      </pivotArea>
    </format>
    <format dxfId="98">
      <pivotArea dataOnly="0" labelOnly="1" outline="0" fieldPosition="0">
        <references count="2">
          <reference field="1" count="1" selected="0">
            <x v="75"/>
          </reference>
          <reference field="2" count="1">
            <x v="0"/>
          </reference>
        </references>
      </pivotArea>
    </format>
    <format dxfId="97">
      <pivotArea dataOnly="0" labelOnly="1" outline="0" fieldPosition="0">
        <references count="2">
          <reference field="1" count="1" selected="0">
            <x v="76"/>
          </reference>
          <reference field="2" count="1">
            <x v="8"/>
          </reference>
        </references>
      </pivotArea>
    </format>
    <format dxfId="96">
      <pivotArea dataOnly="0" labelOnly="1" outline="0" fieldPosition="0">
        <references count="2">
          <reference field="1" count="1" selected="0">
            <x v="77"/>
          </reference>
          <reference field="2" count="1">
            <x v="1"/>
          </reference>
        </references>
      </pivotArea>
    </format>
    <format dxfId="95">
      <pivotArea dataOnly="0" labelOnly="1" outline="0" fieldPosition="0">
        <references count="2">
          <reference field="1" count="1" selected="0">
            <x v="78"/>
          </reference>
          <reference field="2" count="1">
            <x v="7"/>
          </reference>
        </references>
      </pivotArea>
    </format>
    <format dxfId="94">
      <pivotArea dataOnly="0" labelOnly="1" outline="0" fieldPosition="0">
        <references count="2">
          <reference field="1" count="1" selected="0">
            <x v="79"/>
          </reference>
          <reference field="2" count="1">
            <x v="1"/>
          </reference>
        </references>
      </pivotArea>
    </format>
    <format dxfId="93">
      <pivotArea dataOnly="0" labelOnly="1" outline="0" fieldPosition="0">
        <references count="3">
          <reference field="1" count="1" selected="0">
            <x v="0"/>
          </reference>
          <reference field="2" count="1" selected="0">
            <x v="4"/>
          </reference>
          <reference field="3" count="1">
            <x v="57"/>
          </reference>
        </references>
      </pivotArea>
    </format>
    <format dxfId="92">
      <pivotArea dataOnly="0" labelOnly="1" outline="0" fieldPosition="0">
        <references count="3">
          <reference field="1" count="1" selected="0">
            <x v="1"/>
          </reference>
          <reference field="2" count="1" selected="0">
            <x v="2"/>
          </reference>
          <reference field="3" count="1">
            <x v="1"/>
          </reference>
        </references>
      </pivotArea>
    </format>
    <format dxfId="91">
      <pivotArea dataOnly="0" labelOnly="1" outline="0" fieldPosition="0">
        <references count="3">
          <reference field="1" count="1" selected="0">
            <x v="2"/>
          </reference>
          <reference field="2" count="1" selected="0">
            <x v="4"/>
          </reference>
          <reference field="3" count="1">
            <x v="52"/>
          </reference>
        </references>
      </pivotArea>
    </format>
    <format dxfId="90">
      <pivotArea dataOnly="0" labelOnly="1" outline="0" fieldPosition="0">
        <references count="3">
          <reference field="1" count="1" selected="0">
            <x v="3"/>
          </reference>
          <reference field="2" count="1" selected="0">
            <x v="4"/>
          </reference>
          <reference field="3" count="1">
            <x v="67"/>
          </reference>
        </references>
      </pivotArea>
    </format>
    <format dxfId="89">
      <pivotArea dataOnly="0" labelOnly="1" outline="0" fieldPosition="0">
        <references count="3">
          <reference field="1" count="1" selected="0">
            <x v="4"/>
          </reference>
          <reference field="2" count="1" selected="0">
            <x v="4"/>
          </reference>
          <reference field="3" count="1">
            <x v="53"/>
          </reference>
        </references>
      </pivotArea>
    </format>
    <format dxfId="88">
      <pivotArea dataOnly="0" labelOnly="1" outline="0" fieldPosition="0">
        <references count="3">
          <reference field="1" count="1" selected="0">
            <x v="5"/>
          </reference>
          <reference field="2" count="1" selected="0">
            <x v="4"/>
          </reference>
          <reference field="3" count="1">
            <x v="2"/>
          </reference>
        </references>
      </pivotArea>
    </format>
    <format dxfId="87">
      <pivotArea dataOnly="0" labelOnly="1" outline="0" fieldPosition="0">
        <references count="3">
          <reference field="1" count="1" selected="0">
            <x v="6"/>
          </reference>
          <reference field="2" count="1" selected="0">
            <x v="4"/>
          </reference>
          <reference field="3" count="1">
            <x v="3"/>
          </reference>
        </references>
      </pivotArea>
    </format>
    <format dxfId="86">
      <pivotArea dataOnly="0" labelOnly="1" outline="0" fieldPosition="0">
        <references count="3">
          <reference field="1" count="1" selected="0">
            <x v="7"/>
          </reference>
          <reference field="2" count="1" selected="0">
            <x v="3"/>
          </reference>
          <reference field="3" count="1">
            <x v="5"/>
          </reference>
        </references>
      </pivotArea>
    </format>
    <format dxfId="85">
      <pivotArea dataOnly="0" labelOnly="1" outline="0" fieldPosition="0">
        <references count="3">
          <reference field="1" count="1" selected="0">
            <x v="8"/>
          </reference>
          <reference field="2" count="1" selected="0">
            <x v="3"/>
          </reference>
          <reference field="3" count="1">
            <x v="14"/>
          </reference>
        </references>
      </pivotArea>
    </format>
    <format dxfId="84">
      <pivotArea dataOnly="0" labelOnly="1" outline="0" fieldPosition="0">
        <references count="3">
          <reference field="1" count="1" selected="0">
            <x v="9"/>
          </reference>
          <reference field="2" count="1" selected="0">
            <x v="3"/>
          </reference>
          <reference field="3" count="1">
            <x v="26"/>
          </reference>
        </references>
      </pivotArea>
    </format>
    <format dxfId="83">
      <pivotArea dataOnly="0" labelOnly="1" outline="0" fieldPosition="0">
        <references count="3">
          <reference field="1" count="1" selected="0">
            <x v="10"/>
          </reference>
          <reference field="2" count="1" selected="0">
            <x v="3"/>
          </reference>
          <reference field="3" count="1">
            <x v="42"/>
          </reference>
        </references>
      </pivotArea>
    </format>
    <format dxfId="82">
      <pivotArea dataOnly="0" labelOnly="1" outline="0" fieldPosition="0">
        <references count="3">
          <reference field="1" count="1" selected="0">
            <x v="11"/>
          </reference>
          <reference field="2" count="1" selected="0">
            <x v="3"/>
          </reference>
          <reference field="3" count="1">
            <x v="21"/>
          </reference>
        </references>
      </pivotArea>
    </format>
    <format dxfId="81">
      <pivotArea dataOnly="0" labelOnly="1" outline="0" fieldPosition="0">
        <references count="3">
          <reference field="1" count="1" selected="0">
            <x v="12"/>
          </reference>
          <reference field="2" count="1" selected="0">
            <x v="3"/>
          </reference>
          <reference field="3" count="1">
            <x v="40"/>
          </reference>
        </references>
      </pivotArea>
    </format>
    <format dxfId="80">
      <pivotArea dataOnly="0" labelOnly="1" outline="0" fieldPosition="0">
        <references count="3">
          <reference field="1" count="1" selected="0">
            <x v="13"/>
          </reference>
          <reference field="2" count="1" selected="0">
            <x v="3"/>
          </reference>
          <reference field="3" count="1">
            <x v="18"/>
          </reference>
        </references>
      </pivotArea>
    </format>
    <format dxfId="79">
      <pivotArea dataOnly="0" labelOnly="1" outline="0" fieldPosition="0">
        <references count="3">
          <reference field="1" count="1" selected="0">
            <x v="14"/>
          </reference>
          <reference field="2" count="1" selected="0">
            <x v="3"/>
          </reference>
          <reference field="3" count="1">
            <x v="49"/>
          </reference>
        </references>
      </pivotArea>
    </format>
    <format dxfId="78">
      <pivotArea dataOnly="0" labelOnly="1" outline="0" fieldPosition="0">
        <references count="3">
          <reference field="1" count="1" selected="0">
            <x v="15"/>
          </reference>
          <reference field="2" count="1" selected="0">
            <x v="3"/>
          </reference>
          <reference field="3" count="1">
            <x v="37"/>
          </reference>
        </references>
      </pivotArea>
    </format>
    <format dxfId="77">
      <pivotArea dataOnly="0" labelOnly="1" outline="0" fieldPosition="0">
        <references count="3">
          <reference field="1" count="1" selected="0">
            <x v="16"/>
          </reference>
          <reference field="2" count="1" selected="0">
            <x v="3"/>
          </reference>
          <reference field="3" count="1">
            <x v="15"/>
          </reference>
        </references>
      </pivotArea>
    </format>
    <format dxfId="76">
      <pivotArea dataOnly="0" labelOnly="1" outline="0" fieldPosition="0">
        <references count="3">
          <reference field="1" count="1" selected="0">
            <x v="17"/>
          </reference>
          <reference field="2" count="1" selected="0">
            <x v="3"/>
          </reference>
          <reference field="3" count="1">
            <x v="9"/>
          </reference>
        </references>
      </pivotArea>
    </format>
    <format dxfId="75">
      <pivotArea dataOnly="0" labelOnly="1" outline="0" fieldPosition="0">
        <references count="3">
          <reference field="1" count="1" selected="0">
            <x v="18"/>
          </reference>
          <reference field="2" count="1" selected="0">
            <x v="3"/>
          </reference>
          <reference field="3" count="1">
            <x v="7"/>
          </reference>
        </references>
      </pivotArea>
    </format>
    <format dxfId="74">
      <pivotArea dataOnly="0" labelOnly="1" outline="0" fieldPosition="0">
        <references count="3">
          <reference field="1" count="1" selected="0">
            <x v="19"/>
          </reference>
          <reference field="2" count="1" selected="0">
            <x v="3"/>
          </reference>
          <reference field="3" count="1">
            <x v="27"/>
          </reference>
        </references>
      </pivotArea>
    </format>
    <format dxfId="73">
      <pivotArea dataOnly="0" labelOnly="1" outline="0" fieldPosition="0">
        <references count="3">
          <reference field="1" count="1" selected="0">
            <x v="20"/>
          </reference>
          <reference field="2" count="1" selected="0">
            <x v="3"/>
          </reference>
          <reference field="3" count="1">
            <x v="30"/>
          </reference>
        </references>
      </pivotArea>
    </format>
    <format dxfId="72">
      <pivotArea dataOnly="0" labelOnly="1" outline="0" fieldPosition="0">
        <references count="3">
          <reference field="1" count="1" selected="0">
            <x v="21"/>
          </reference>
          <reference field="2" count="1" selected="0">
            <x v="3"/>
          </reference>
          <reference field="3" count="1">
            <x v="33"/>
          </reference>
        </references>
      </pivotArea>
    </format>
    <format dxfId="71">
      <pivotArea dataOnly="0" labelOnly="1" outline="0" fieldPosition="0">
        <references count="3">
          <reference field="1" count="1" selected="0">
            <x v="22"/>
          </reference>
          <reference field="2" count="1" selected="0">
            <x v="3"/>
          </reference>
          <reference field="3" count="1">
            <x v="43"/>
          </reference>
        </references>
      </pivotArea>
    </format>
    <format dxfId="70">
      <pivotArea dataOnly="0" labelOnly="1" outline="0" fieldPosition="0">
        <references count="3">
          <reference field="1" count="1" selected="0">
            <x v="23"/>
          </reference>
          <reference field="2" count="1" selected="0">
            <x v="3"/>
          </reference>
          <reference field="3" count="1">
            <x v="50"/>
          </reference>
        </references>
      </pivotArea>
    </format>
    <format dxfId="69">
      <pivotArea dataOnly="0" labelOnly="1" outline="0" fieldPosition="0">
        <references count="3">
          <reference field="1" count="1" selected="0">
            <x v="24"/>
          </reference>
          <reference field="2" count="1" selected="0">
            <x v="3"/>
          </reference>
          <reference field="3" count="1">
            <x v="35"/>
          </reference>
        </references>
      </pivotArea>
    </format>
    <format dxfId="68">
      <pivotArea dataOnly="0" labelOnly="1" outline="0" fieldPosition="0">
        <references count="3">
          <reference field="1" count="1" selected="0">
            <x v="25"/>
          </reference>
          <reference field="2" count="1" selected="0">
            <x v="3"/>
          </reference>
          <reference field="3" count="1">
            <x v="13"/>
          </reference>
        </references>
      </pivotArea>
    </format>
    <format dxfId="67">
      <pivotArea dataOnly="0" labelOnly="1" outline="0" fieldPosition="0">
        <references count="3">
          <reference field="1" count="1" selected="0">
            <x v="26"/>
          </reference>
          <reference field="2" count="1" selected="0">
            <x v="3"/>
          </reference>
          <reference field="3" count="1">
            <x v="19"/>
          </reference>
        </references>
      </pivotArea>
    </format>
    <format dxfId="66">
      <pivotArea dataOnly="0" labelOnly="1" outline="0" fieldPosition="0">
        <references count="3">
          <reference field="1" count="1" selected="0">
            <x v="27"/>
          </reference>
          <reference field="2" count="1" selected="0">
            <x v="3"/>
          </reference>
          <reference field="3" count="1">
            <x v="6"/>
          </reference>
        </references>
      </pivotArea>
    </format>
    <format dxfId="65">
      <pivotArea dataOnly="0" labelOnly="1" outline="0" fieldPosition="0">
        <references count="3">
          <reference field="1" count="1" selected="0">
            <x v="28"/>
          </reference>
          <reference field="2" count="1" selected="0">
            <x v="3"/>
          </reference>
          <reference field="3" count="1">
            <x v="45"/>
          </reference>
        </references>
      </pivotArea>
    </format>
    <format dxfId="64">
      <pivotArea dataOnly="0" labelOnly="1" outline="0" fieldPosition="0">
        <references count="3">
          <reference field="1" count="1" selected="0">
            <x v="29"/>
          </reference>
          <reference field="2" count="1" selected="0">
            <x v="3"/>
          </reference>
          <reference field="3" count="1">
            <x v="24"/>
          </reference>
        </references>
      </pivotArea>
    </format>
    <format dxfId="63">
      <pivotArea dataOnly="0" labelOnly="1" outline="0" fieldPosition="0">
        <references count="3">
          <reference field="1" count="1" selected="0">
            <x v="30"/>
          </reference>
          <reference field="2" count="1" selected="0">
            <x v="3"/>
          </reference>
          <reference field="3" count="1">
            <x v="22"/>
          </reference>
        </references>
      </pivotArea>
    </format>
    <format dxfId="62">
      <pivotArea dataOnly="0" labelOnly="1" outline="0" fieldPosition="0">
        <references count="3">
          <reference field="1" count="1" selected="0">
            <x v="31"/>
          </reference>
          <reference field="2" count="1" selected="0">
            <x v="3"/>
          </reference>
          <reference field="3" count="1">
            <x v="46"/>
          </reference>
        </references>
      </pivotArea>
    </format>
    <format dxfId="61">
      <pivotArea dataOnly="0" labelOnly="1" outline="0" fieldPosition="0">
        <references count="3">
          <reference field="1" count="1" selected="0">
            <x v="32"/>
          </reference>
          <reference field="2" count="1" selected="0">
            <x v="3"/>
          </reference>
          <reference field="3" count="1">
            <x v="32"/>
          </reference>
        </references>
      </pivotArea>
    </format>
    <format dxfId="60">
      <pivotArea dataOnly="0" labelOnly="1" outline="0" fieldPosition="0">
        <references count="3">
          <reference field="1" count="1" selected="0">
            <x v="33"/>
          </reference>
          <reference field="2" count="1" selected="0">
            <x v="3"/>
          </reference>
          <reference field="3" count="1">
            <x v="12"/>
          </reference>
        </references>
      </pivotArea>
    </format>
    <format dxfId="59">
      <pivotArea dataOnly="0" labelOnly="1" outline="0" fieldPosition="0">
        <references count="3">
          <reference field="1" count="1" selected="0">
            <x v="34"/>
          </reference>
          <reference field="2" count="1" selected="0">
            <x v="3"/>
          </reference>
          <reference field="3" count="1">
            <x v="20"/>
          </reference>
        </references>
      </pivotArea>
    </format>
    <format dxfId="58">
      <pivotArea dataOnly="0" labelOnly="1" outline="0" fieldPosition="0">
        <references count="3">
          <reference field="1" count="1" selected="0">
            <x v="35"/>
          </reference>
          <reference field="2" count="1" selected="0">
            <x v="3"/>
          </reference>
          <reference field="3" count="1">
            <x v="48"/>
          </reference>
        </references>
      </pivotArea>
    </format>
    <format dxfId="57">
      <pivotArea dataOnly="0" labelOnly="1" outline="0" fieldPosition="0">
        <references count="3">
          <reference field="1" count="1" selected="0">
            <x v="36"/>
          </reference>
          <reference field="2" count="1" selected="0">
            <x v="3"/>
          </reference>
          <reference field="3" count="1">
            <x v="47"/>
          </reference>
        </references>
      </pivotArea>
    </format>
    <format dxfId="56">
      <pivotArea dataOnly="0" labelOnly="1" outline="0" fieldPosition="0">
        <references count="3">
          <reference field="1" count="1" selected="0">
            <x v="37"/>
          </reference>
          <reference field="2" count="1" selected="0">
            <x v="4"/>
          </reference>
          <reference field="3" count="1">
            <x v="58"/>
          </reference>
        </references>
      </pivotArea>
    </format>
    <format dxfId="55">
      <pivotArea dataOnly="0" labelOnly="1" outline="0" fieldPosition="0">
        <references count="3">
          <reference field="1" count="1" selected="0">
            <x v="38"/>
          </reference>
          <reference field="2" count="1" selected="0">
            <x v="3"/>
          </reference>
          <reference field="3" count="1">
            <x v="39"/>
          </reference>
        </references>
      </pivotArea>
    </format>
    <format dxfId="54">
      <pivotArea dataOnly="0" labelOnly="1" outline="0" fieldPosition="0">
        <references count="3">
          <reference field="1" count="1" selected="0">
            <x v="39"/>
          </reference>
          <reference field="2" count="1" selected="0">
            <x v="3"/>
          </reference>
          <reference field="3" count="1">
            <x v="31"/>
          </reference>
        </references>
      </pivotArea>
    </format>
    <format dxfId="53">
      <pivotArea dataOnly="0" labelOnly="1" outline="0" fieldPosition="0">
        <references count="3">
          <reference field="1" count="1" selected="0">
            <x v="40"/>
          </reference>
          <reference field="2" count="1" selected="0">
            <x v="3"/>
          </reference>
          <reference field="3" count="1">
            <x v="23"/>
          </reference>
        </references>
      </pivotArea>
    </format>
    <format dxfId="52">
      <pivotArea dataOnly="0" labelOnly="1" outline="0" fieldPosition="0">
        <references count="3">
          <reference field="1" count="1" selected="0">
            <x v="41"/>
          </reference>
          <reference field="2" count="1" selected="0">
            <x v="3"/>
          </reference>
          <reference field="3" count="1">
            <x v="51"/>
          </reference>
        </references>
      </pivotArea>
    </format>
    <format dxfId="51">
      <pivotArea dataOnly="0" labelOnly="1" outline="0" fieldPosition="0">
        <references count="3">
          <reference field="1" count="1" selected="0">
            <x v="42"/>
          </reference>
          <reference field="2" count="1" selected="0">
            <x v="3"/>
          </reference>
          <reference field="3" count="1">
            <x v="44"/>
          </reference>
        </references>
      </pivotArea>
    </format>
    <format dxfId="50">
      <pivotArea dataOnly="0" labelOnly="1" outline="0" fieldPosition="0">
        <references count="3">
          <reference field="1" count="1" selected="0">
            <x v="43"/>
          </reference>
          <reference field="2" count="1" selected="0">
            <x v="3"/>
          </reference>
          <reference field="3" count="1">
            <x v="16"/>
          </reference>
        </references>
      </pivotArea>
    </format>
    <format dxfId="49">
      <pivotArea dataOnly="0" labelOnly="1" outline="0" fieldPosition="0">
        <references count="3">
          <reference field="1" count="1" selected="0">
            <x v="44"/>
          </reference>
          <reference field="2" count="1" selected="0">
            <x v="3"/>
          </reference>
          <reference field="3" count="1">
            <x v="28"/>
          </reference>
        </references>
      </pivotArea>
    </format>
    <format dxfId="48">
      <pivotArea dataOnly="0" labelOnly="1" outline="0" fieldPosition="0">
        <references count="3">
          <reference field="1" count="1" selected="0">
            <x v="45"/>
          </reference>
          <reference field="2" count="1" selected="0">
            <x v="3"/>
          </reference>
          <reference field="3" count="1">
            <x v="34"/>
          </reference>
        </references>
      </pivotArea>
    </format>
    <format dxfId="47">
      <pivotArea dataOnly="0" labelOnly="1" outline="0" fieldPosition="0">
        <references count="3">
          <reference field="1" count="1" selected="0">
            <x v="46"/>
          </reference>
          <reference field="2" count="1" selected="0">
            <x v="3"/>
          </reference>
          <reference field="3" count="1">
            <x v="36"/>
          </reference>
        </references>
      </pivotArea>
    </format>
    <format dxfId="46">
      <pivotArea dataOnly="0" labelOnly="1" outline="0" fieldPosition="0">
        <references count="3">
          <reference field="1" count="1" selected="0">
            <x v="47"/>
          </reference>
          <reference field="2" count="1" selected="0">
            <x v="3"/>
          </reference>
          <reference field="3" count="1">
            <x v="10"/>
          </reference>
        </references>
      </pivotArea>
    </format>
    <format dxfId="45">
      <pivotArea dataOnly="0" labelOnly="1" outline="0" fieldPosition="0">
        <references count="3">
          <reference field="1" count="1" selected="0">
            <x v="48"/>
          </reference>
          <reference field="2" count="1" selected="0">
            <x v="4"/>
          </reference>
          <reference field="3" count="1">
            <x v="59"/>
          </reference>
        </references>
      </pivotArea>
    </format>
    <format dxfId="44">
      <pivotArea dataOnly="0" labelOnly="1" outline="0" fieldPosition="0">
        <references count="3">
          <reference field="1" count="1" selected="0">
            <x v="49"/>
          </reference>
          <reference field="2" count="1" selected="0">
            <x v="3"/>
          </reference>
          <reference field="3" count="1">
            <x v="29"/>
          </reference>
        </references>
      </pivotArea>
    </format>
    <format dxfId="43">
      <pivotArea dataOnly="0" labelOnly="1" outline="0" fieldPosition="0">
        <references count="3">
          <reference field="1" count="1" selected="0">
            <x v="50"/>
          </reference>
          <reference field="2" count="1" selected="0">
            <x v="3"/>
          </reference>
          <reference field="3" count="1">
            <x v="38"/>
          </reference>
        </references>
      </pivotArea>
    </format>
    <format dxfId="42">
      <pivotArea dataOnly="0" labelOnly="1" outline="0" fieldPosition="0">
        <references count="3">
          <reference field="1" count="1" selected="0">
            <x v="51"/>
          </reference>
          <reference field="2" count="1" selected="0">
            <x v="6"/>
          </reference>
          <reference field="3" count="1">
            <x v="72"/>
          </reference>
        </references>
      </pivotArea>
    </format>
    <format dxfId="41">
      <pivotArea dataOnly="0" labelOnly="1" outline="0" fieldPosition="0">
        <references count="3">
          <reference field="1" count="1" selected="0">
            <x v="52"/>
          </reference>
          <reference field="2" count="1" selected="0">
            <x v="3"/>
          </reference>
          <reference field="3" count="1">
            <x v="17"/>
          </reference>
        </references>
      </pivotArea>
    </format>
    <format dxfId="40">
      <pivotArea dataOnly="0" labelOnly="1" outline="0" fieldPosition="0">
        <references count="3">
          <reference field="1" count="1" selected="0">
            <x v="53"/>
          </reference>
          <reference field="2" count="1" selected="0">
            <x v="3"/>
          </reference>
          <reference field="3" count="1">
            <x v="41"/>
          </reference>
        </references>
      </pivotArea>
    </format>
    <format dxfId="39">
      <pivotArea dataOnly="0" labelOnly="1" outline="0" fieldPosition="0">
        <references count="3">
          <reference field="1" count="1" selected="0">
            <x v="54"/>
          </reference>
          <reference field="2" count="1" selected="0">
            <x v="3"/>
          </reference>
          <reference field="3" count="1">
            <x v="25"/>
          </reference>
        </references>
      </pivotArea>
    </format>
    <format dxfId="38">
      <pivotArea dataOnly="0" labelOnly="1" outline="0" fieldPosition="0">
        <references count="3">
          <reference field="1" count="1" selected="0">
            <x v="55"/>
          </reference>
          <reference field="2" count="1" selected="0">
            <x v="3"/>
          </reference>
          <reference field="3" count="1">
            <x v="11"/>
          </reference>
        </references>
      </pivotArea>
    </format>
    <format dxfId="37">
      <pivotArea dataOnly="0" labelOnly="1" outline="0" fieldPosition="0">
        <references count="3">
          <reference field="1" count="1" selected="0">
            <x v="56"/>
          </reference>
          <reference field="2" count="1" selected="0">
            <x v="8"/>
          </reference>
          <reference field="3" count="1">
            <x v="73"/>
          </reference>
        </references>
      </pivotArea>
    </format>
    <format dxfId="36">
      <pivotArea dataOnly="0" labelOnly="1" outline="0" fieldPosition="0">
        <references count="3">
          <reference field="1" count="1" selected="0">
            <x v="57"/>
          </reference>
          <reference field="2" count="1" selected="0">
            <x v="2"/>
          </reference>
          <reference field="3" count="1">
            <x v="77"/>
          </reference>
        </references>
      </pivotArea>
    </format>
    <format dxfId="35">
      <pivotArea dataOnly="0" labelOnly="1" outline="0" fieldPosition="0">
        <references count="3">
          <reference field="1" count="1" selected="0">
            <x v="58"/>
          </reference>
          <reference field="2" count="1" selected="0">
            <x v="6"/>
          </reference>
          <reference field="3" count="1">
            <x v="60"/>
          </reference>
        </references>
      </pivotArea>
    </format>
    <format dxfId="34">
      <pivotArea dataOnly="0" labelOnly="1" outline="0" fieldPosition="0">
        <references count="3">
          <reference field="1" count="1" selected="0">
            <x v="59"/>
          </reference>
          <reference field="2" count="1" selected="0">
            <x v="8"/>
          </reference>
          <reference field="3" count="1">
            <x v="54"/>
          </reference>
        </references>
      </pivotArea>
    </format>
    <format dxfId="33">
      <pivotArea dataOnly="0" labelOnly="1" outline="0" fieldPosition="0">
        <references count="3">
          <reference field="1" count="1" selected="0">
            <x v="60"/>
          </reference>
          <reference field="2" count="1" selected="0">
            <x v="6"/>
          </reference>
          <reference field="3" count="1">
            <x v="64"/>
          </reference>
        </references>
      </pivotArea>
    </format>
    <format dxfId="32">
      <pivotArea dataOnly="0" labelOnly="1" outline="0" fieldPosition="0">
        <references count="3">
          <reference field="1" count="1" selected="0">
            <x v="61"/>
          </reference>
          <reference field="2" count="1" selected="0">
            <x v="8"/>
          </reference>
          <reference field="3" count="1">
            <x v="76"/>
          </reference>
        </references>
      </pivotArea>
    </format>
    <format dxfId="31">
      <pivotArea dataOnly="0" labelOnly="1" outline="0" fieldPosition="0">
        <references count="3">
          <reference field="1" count="1" selected="0">
            <x v="62"/>
          </reference>
          <reference field="2" count="1" selected="0">
            <x v="2"/>
          </reference>
          <reference field="3" count="1">
            <x v="79"/>
          </reference>
        </references>
      </pivotArea>
    </format>
    <format dxfId="30">
      <pivotArea dataOnly="0" labelOnly="1" outline="0" fieldPosition="0">
        <references count="3">
          <reference field="1" count="1" selected="0">
            <x v="63"/>
          </reference>
          <reference field="2" count="1" selected="0">
            <x v="6"/>
          </reference>
          <reference field="3" count="1">
            <x v="0"/>
          </reference>
        </references>
      </pivotArea>
    </format>
    <format dxfId="29">
      <pivotArea dataOnly="0" labelOnly="1" outline="0" fieldPosition="0">
        <references count="3">
          <reference field="1" count="1" selected="0">
            <x v="64"/>
          </reference>
          <reference field="2" count="1" selected="0">
            <x v="6"/>
          </reference>
          <reference field="3" count="1">
            <x v="61"/>
          </reference>
        </references>
      </pivotArea>
    </format>
    <format dxfId="28">
      <pivotArea dataOnly="0" labelOnly="1" outline="0" fieldPosition="0">
        <references count="3">
          <reference field="1" count="1" selected="0">
            <x v="65"/>
          </reference>
          <reference field="2" count="1" selected="0">
            <x v="6"/>
          </reference>
          <reference field="3" count="1">
            <x v="63"/>
          </reference>
        </references>
      </pivotArea>
    </format>
    <format dxfId="27">
      <pivotArea dataOnly="0" labelOnly="1" outline="0" fieldPosition="0">
        <references count="3">
          <reference field="1" count="1" selected="0">
            <x v="66"/>
          </reference>
          <reference field="2" count="1" selected="0">
            <x v="8"/>
          </reference>
          <reference field="3" count="1">
            <x v="65"/>
          </reference>
        </references>
      </pivotArea>
    </format>
    <format dxfId="26">
      <pivotArea dataOnly="0" labelOnly="1" outline="0" fieldPosition="0">
        <references count="3">
          <reference field="1" count="1" selected="0">
            <x v="67"/>
          </reference>
          <reference field="2" count="1" selected="0">
            <x v="8"/>
          </reference>
          <reference field="3" count="1">
            <x v="75"/>
          </reference>
        </references>
      </pivotArea>
    </format>
    <format dxfId="25">
      <pivotArea dataOnly="0" labelOnly="1" outline="0" fieldPosition="0">
        <references count="3">
          <reference field="1" count="1" selected="0">
            <x v="68"/>
          </reference>
          <reference field="2" count="1" selected="0">
            <x v="2"/>
          </reference>
          <reference field="3" count="1">
            <x v="78"/>
          </reference>
        </references>
      </pivotArea>
    </format>
    <format dxfId="24">
      <pivotArea dataOnly="0" labelOnly="1" outline="0" fieldPosition="0">
        <references count="3">
          <reference field="1" count="1" selected="0">
            <x v="69"/>
          </reference>
          <reference field="2" count="1" selected="0">
            <x v="6"/>
          </reference>
          <reference field="3" count="1">
            <x v="62"/>
          </reference>
        </references>
      </pivotArea>
    </format>
    <format dxfId="23">
      <pivotArea dataOnly="0" labelOnly="1" outline="0" fieldPosition="0">
        <references count="3">
          <reference field="1" count="1" selected="0">
            <x v="70"/>
          </reference>
          <reference field="2" count="1" selected="0">
            <x v="4"/>
          </reference>
          <reference field="3" count="1">
            <x v="55"/>
          </reference>
        </references>
      </pivotArea>
    </format>
    <format dxfId="22">
      <pivotArea dataOnly="0" labelOnly="1" outline="0" fieldPosition="0">
        <references count="3">
          <reference field="1" count="1" selected="0">
            <x v="71"/>
          </reference>
          <reference field="2" count="1" selected="0">
            <x v="4"/>
          </reference>
          <reference field="3" count="1">
            <x v="56"/>
          </reference>
        </references>
      </pivotArea>
    </format>
    <format dxfId="21">
      <pivotArea dataOnly="0" labelOnly="1" outline="0" fieldPosition="0">
        <references count="3">
          <reference field="1" count="1" selected="0">
            <x v="72"/>
          </reference>
          <reference field="2" count="1" selected="0">
            <x v="4"/>
          </reference>
          <reference field="3" count="1">
            <x v="68"/>
          </reference>
        </references>
      </pivotArea>
    </format>
    <format dxfId="20">
      <pivotArea dataOnly="0" labelOnly="1" outline="0" fieldPosition="0">
        <references count="3">
          <reference field="1" count="1" selected="0">
            <x v="73"/>
          </reference>
          <reference field="2" count="1" selected="0">
            <x v="3"/>
          </reference>
          <reference field="3" count="1">
            <x v="8"/>
          </reference>
        </references>
      </pivotArea>
    </format>
    <format dxfId="19">
      <pivotArea dataOnly="0" labelOnly="1" outline="0" fieldPosition="0">
        <references count="3">
          <reference field="1" count="1" selected="0">
            <x v="74"/>
          </reference>
          <reference field="2" count="1" selected="0">
            <x v="5"/>
          </reference>
          <reference field="3" count="1">
            <x v="69"/>
          </reference>
        </references>
      </pivotArea>
    </format>
    <format dxfId="18">
      <pivotArea dataOnly="0" labelOnly="1" outline="0" fieldPosition="0">
        <references count="3">
          <reference field="1" count="1" selected="0">
            <x v="75"/>
          </reference>
          <reference field="2" count="1" selected="0">
            <x v="0"/>
          </reference>
          <reference field="3" count="1">
            <x v="66"/>
          </reference>
        </references>
      </pivotArea>
    </format>
    <format dxfId="17">
      <pivotArea dataOnly="0" labelOnly="1" outline="0" fieldPosition="0">
        <references count="3">
          <reference field="1" count="1" selected="0">
            <x v="76"/>
          </reference>
          <reference field="2" count="1" selected="0">
            <x v="8"/>
          </reference>
          <reference field="3" count="1">
            <x v="74"/>
          </reference>
        </references>
      </pivotArea>
    </format>
    <format dxfId="16">
      <pivotArea dataOnly="0" labelOnly="1" outline="0" fieldPosition="0">
        <references count="3">
          <reference field="1" count="1" selected="0">
            <x v="77"/>
          </reference>
          <reference field="2" count="1" selected="0">
            <x v="1"/>
          </reference>
          <reference field="3" count="1">
            <x v="71"/>
          </reference>
        </references>
      </pivotArea>
    </format>
    <format dxfId="15">
      <pivotArea dataOnly="0" labelOnly="1" outline="0" fieldPosition="0">
        <references count="3">
          <reference field="1" count="1" selected="0">
            <x v="78"/>
          </reference>
          <reference field="2" count="1" selected="0">
            <x v="7"/>
          </reference>
          <reference field="3" count="1">
            <x v="4"/>
          </reference>
        </references>
      </pivotArea>
    </format>
    <format dxfId="14">
      <pivotArea dataOnly="0" labelOnly="1" outline="0" fieldPosition="0">
        <references count="3">
          <reference field="1" count="1" selected="0">
            <x v="79"/>
          </reference>
          <reference field="2" count="1" selected="0">
            <x v="1"/>
          </reference>
          <reference field="3" count="1">
            <x v="70"/>
          </reference>
        </references>
      </pivotArea>
    </format>
    <format dxfId="13">
      <pivotArea type="origin" dataOnly="0" labelOnly="1" outline="0" fieldPosition="0"/>
    </format>
    <format dxfId="12">
      <pivotArea dataOnly="0" labelOnly="1" outline="0" fieldPosition="0">
        <references count="1">
          <reference field="5"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
      <pivotArea dataOnly="0" labelOnly="1" outline="0" fieldPosition="0">
        <references count="1">
          <reference field="5"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0">
      <pivotArea dataOnly="0" labelOnly="1" outline="0" fieldPosition="0">
        <references count="1">
          <reference field="5"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9">
      <pivotArea dataOnly="0" labelOnly="1" outline="0" fieldPosition="0">
        <references count="1">
          <reference field="5" count="19">
            <x v="150"/>
            <x v="151"/>
            <x v="152"/>
            <x v="153"/>
            <x v="154"/>
            <x v="155"/>
            <x v="156"/>
            <x v="157"/>
            <x v="158"/>
            <x v="159"/>
            <x v="160"/>
            <x v="161"/>
            <x v="162"/>
            <x v="163"/>
            <x v="164"/>
            <x v="165"/>
            <x v="166"/>
            <x v="167"/>
            <x v="168"/>
          </reference>
        </references>
      </pivotArea>
    </format>
    <format dxfId="8">
      <pivotArea dataOnly="0" labelOnly="1" grandRow="1" outline="0" fieldPosition="0"/>
    </format>
    <format dxfId="7">
      <pivotArea field="5" type="button" dataOnly="0" labelOnly="1" outline="0" axis="axisRow" fieldPosition="0"/>
    </format>
    <format dxfId="6">
      <pivotArea field="6" type="button" dataOnly="0" labelOnly="1" outline="0" axis="axisRow" fieldPosition="1"/>
    </format>
    <format dxfId="5">
      <pivotArea field="8" type="button" dataOnly="0" labelOnly="1" outline="0" axis="axisRow" fieldPosition="2"/>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F5E870-E7B8-4A36-B759-F8F6E22C2ABB}" name="テーブル1" displayName="テーブル1" ref="A3:I23" totalsRowShown="0">
  <autoFilter ref="A3:I23" xr:uid="{55F5E870-E7B8-4A36-B759-F8F6E22C2ABB}"/>
  <sortState xmlns:xlrd2="http://schemas.microsoft.com/office/spreadsheetml/2017/richdata2" ref="A4:I23">
    <sortCondition descending="1" ref="H3:H23"/>
  </sortState>
  <tableColumns count="9">
    <tableColumn id="1" xr3:uid="{0A4AE3A9-5079-403F-9838-BA71FBF95EE0}" name="得意先EDPNo"/>
    <tableColumn id="2" xr3:uid="{E27ACDCD-E75E-4187-A8EC-776166DBA6C7}" name="得意先コード"/>
    <tableColumn id="3" xr3:uid="{E7898564-6AFA-4DA4-80AD-743BB280017B}" name="配送"/>
    <tableColumn id="4" xr3:uid="{B39225DF-C2BF-4EEC-AD30-BCBCB141367F}" name="得意先名"/>
    <tableColumn id="5" xr3:uid="{011A01E7-787E-46C2-9695-ADAF0480EC1C}" name="商品EDPNo"/>
    <tableColumn id="6" xr3:uid="{2CECC916-6641-48E2-AB60-A15F2C4539D1}" name="商品コード"/>
    <tableColumn id="7" xr3:uid="{E44B7775-B714-411B-A86E-D5DA515833A1}" name="商品名"/>
    <tableColumn id="8" xr3:uid="{4241B41D-A85A-41D5-81E2-B5E3E18997D4}" name="数量"/>
    <tableColumn id="9" xr3:uid="{9B9D998E-DF40-4C94-BBBC-455385377C59}" name="箱/こ/不"/>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4D05DE-B1FA-4829-BFB0-039D1A217373}" name="テーブル2" displayName="テーブル2" ref="A3:J49" totalsRowShown="0" headerRowDxfId="942">
  <autoFilter ref="A3:J49" xr:uid="{7E4D05DE-B1FA-4829-BFB0-039D1A217373}"/>
  <sortState xmlns:xlrd2="http://schemas.microsoft.com/office/spreadsheetml/2017/richdata2" ref="A4:J49">
    <sortCondition descending="1" ref="J3:J49"/>
  </sortState>
  <tableColumns count="10">
    <tableColumn id="1" xr3:uid="{956797B6-11CB-4737-B634-86F24E71FA53}" name="得意先EDPNo"/>
    <tableColumn id="2" xr3:uid="{0199DDD1-7162-4A63-8794-A6DCD79C81E2}" name="得意先コード"/>
    <tableColumn id="3" xr3:uid="{DB4360CD-762B-4186-815A-4E412D05D024}" name="配送"/>
    <tableColumn id="4" xr3:uid="{F5AFFC47-74C9-4B5C-A7B9-B1193E540018}" name="得意先名" dataDxfId="941"/>
    <tableColumn id="6" xr3:uid="{BC292F8B-CC61-406F-9DD4-0AF6432878AE}" name="商品コード" dataDxfId="940"/>
    <tableColumn id="7" xr3:uid="{500B3797-4D40-4F60-B43B-44DA5769BC97}" name="商品名" dataDxfId="939"/>
    <tableColumn id="8" xr3:uid="{73C20593-EC3A-49A3-BBC9-6267C38CF882}" name="数量" dataDxfId="938"/>
    <tableColumn id="9" xr3:uid="{F173134D-8AF2-498A-AE91-0B30BB9BEA04}" name="本体価格" dataDxfId="937"/>
    <tableColumn id="10" xr3:uid="{D4B8DDCE-9811-4A81-AE7D-44B02F634571}" name="置き場" dataDxfId="936"/>
    <tableColumn id="11" xr3:uid="{BD03E77F-B070-4614-8EE2-0CD5DF0E6CA3}" name="シール" dataDxfId="9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53D77C-E55C-4DB9-A755-53704C10114E}" name="テーブル46" displayName="テーブル46" ref="A1:I44" totalsRowShown="0">
  <autoFilter ref="A1:I44" xr:uid="{3053D77C-E55C-4DB9-A755-53704C10114E}"/>
  <sortState xmlns:xlrd2="http://schemas.microsoft.com/office/spreadsheetml/2017/richdata2" ref="A2:I44">
    <sortCondition descending="1" ref="I1:I44"/>
  </sortState>
  <tableColumns count="9">
    <tableColumn id="1" xr3:uid="{11396F38-3E80-4A31-B4D3-58CCD199F5D5}" name="得意先EDPNo"/>
    <tableColumn id="2" xr3:uid="{22572BE9-3F95-4DD7-BCEF-2604F337960C}" name="得意先コード"/>
    <tableColumn id="3" xr3:uid="{40FF282C-3877-491C-BA17-6C4C3712E1E2}" name="配送"/>
    <tableColumn id="4" xr3:uid="{0EA6EE21-08FF-4A92-87F6-7F6E7B250E6C}" name="得意先名"/>
    <tableColumn id="6" xr3:uid="{64186F30-4AEB-4D28-8E49-8DD72F4EDB6C}" name="商品コード"/>
    <tableColumn id="7" xr3:uid="{75581CBE-76A7-491B-B321-0BEF2DADE1BF}" name="商品名"/>
    <tableColumn id="8" xr3:uid="{A70E1299-DA62-4D93-8487-266E9907A43C}" name="数量"/>
    <tableColumn id="10" xr3:uid="{CCD320C4-441C-497E-A2A1-667AD16D3587}" name="商品コード2"/>
    <tableColumn id="9" xr3:uid="{0E2FA808-7BCA-4648-8711-B874AC01A7FC}" name="本体価格" dataDxfId="0">
      <calculatedColumnFormula>VLOOKUP(テーブル46[[#This Row],[商品コード2]],'[2]出荷予定表＆ご注文用紙'!$F$12:$F$144,2,0)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StockSum">
    <pageSetUpPr fitToPage="1"/>
  </sheetPr>
  <dimension ref="A1:AU263"/>
  <sheetViews>
    <sheetView tabSelected="1" zoomScaleNormal="100" zoomScaleSheetLayoutView="100" workbookViewId="0">
      <pane xSplit="2" ySplit="7" topLeftCell="C8" activePane="bottomRight" state="frozen"/>
      <selection pane="topRight" activeCell="C1" sqref="C1"/>
      <selection pane="bottomLeft" activeCell="A8" sqref="A8"/>
      <selection pane="bottomRight" activeCell="I172" sqref="I172"/>
    </sheetView>
  </sheetViews>
  <sheetFormatPr defaultColWidth="5.625" defaultRowHeight="13.5" x14ac:dyDescent="0.15"/>
  <cols>
    <col min="1" max="1" width="8.625" style="5" customWidth="1"/>
    <col min="2" max="2" width="24.625" style="5" customWidth="1"/>
    <col min="3" max="44" width="5.625" style="5" customWidth="1"/>
    <col min="45" max="45" width="12.625" style="5" customWidth="1"/>
    <col min="46" max="46" width="5.625" style="5" customWidth="1"/>
    <col min="47" max="47" width="15.625" style="5" customWidth="1"/>
    <col min="48" max="702" width="5.625" style="5" customWidth="1"/>
    <col min="703" max="16384" width="5.625" style="5"/>
  </cols>
  <sheetData>
    <row r="1" spans="1:47" s="6" customFormat="1" x14ac:dyDescent="0.15"/>
    <row r="2" spans="1:47" s="6" customFormat="1" x14ac:dyDescent="0.15">
      <c r="A2" s="7" t="s">
        <v>3</v>
      </c>
      <c r="B2" s="8">
        <v>45816</v>
      </c>
    </row>
    <row r="3" spans="1:47" s="6" customFormat="1" x14ac:dyDescent="0.15">
      <c r="A3" s="7" t="s">
        <v>4</v>
      </c>
      <c r="B3" s="8">
        <v>45822</v>
      </c>
    </row>
    <row r="4" spans="1:47" s="6" customFormat="1" x14ac:dyDescent="0.15"/>
    <row r="5" spans="1:47" x14ac:dyDescent="0.15">
      <c r="E5" s="72">
        <v>45816</v>
      </c>
      <c r="J5" s="27">
        <v>45817</v>
      </c>
      <c r="O5" s="29">
        <v>45818</v>
      </c>
      <c r="T5" s="31">
        <v>45819</v>
      </c>
      <c r="Y5" s="32">
        <v>45820</v>
      </c>
      <c r="AD5" s="34">
        <v>45821</v>
      </c>
      <c r="AI5" s="60">
        <v>45822</v>
      </c>
    </row>
    <row r="6" spans="1:47" x14ac:dyDescent="0.15">
      <c r="E6" s="25" t="s">
        <v>105</v>
      </c>
      <c r="J6" s="26" t="s">
        <v>41</v>
      </c>
      <c r="O6" s="28" t="s">
        <v>45</v>
      </c>
      <c r="T6" s="30" t="s">
        <v>49</v>
      </c>
      <c r="Y6" s="15" t="s">
        <v>53</v>
      </c>
      <c r="AD6" s="33" t="s">
        <v>57</v>
      </c>
      <c r="AI6" s="24" t="s">
        <v>94</v>
      </c>
    </row>
    <row r="7" spans="1:47" x14ac:dyDescent="0.15">
      <c r="A7" s="5" t="s">
        <v>16</v>
      </c>
      <c r="B7" s="5" t="s">
        <v>17</v>
      </c>
      <c r="C7" s="5" t="s">
        <v>36</v>
      </c>
      <c r="D7" s="24" t="s">
        <v>102</v>
      </c>
      <c r="E7" s="25" t="s">
        <v>25</v>
      </c>
      <c r="F7" s="24" t="s">
        <v>103</v>
      </c>
      <c r="G7" s="24" t="s">
        <v>37</v>
      </c>
      <c r="H7" s="24" t="s">
        <v>104</v>
      </c>
      <c r="I7" s="25" t="s">
        <v>38</v>
      </c>
      <c r="J7" s="26" t="s">
        <v>25</v>
      </c>
      <c r="K7" s="25" t="s">
        <v>39</v>
      </c>
      <c r="L7" s="25" t="s">
        <v>37</v>
      </c>
      <c r="M7" s="25" t="s">
        <v>40</v>
      </c>
      <c r="N7" s="26" t="s">
        <v>42</v>
      </c>
      <c r="O7" s="28" t="s">
        <v>25</v>
      </c>
      <c r="P7" s="26" t="s">
        <v>43</v>
      </c>
      <c r="Q7" s="26" t="s">
        <v>37</v>
      </c>
      <c r="R7" s="26" t="s">
        <v>44</v>
      </c>
      <c r="S7" s="28" t="s">
        <v>46</v>
      </c>
      <c r="T7" s="30" t="s">
        <v>25</v>
      </c>
      <c r="U7" s="28" t="s">
        <v>47</v>
      </c>
      <c r="V7" s="28" t="s">
        <v>37</v>
      </c>
      <c r="W7" s="28" t="s">
        <v>48</v>
      </c>
      <c r="X7" s="30" t="s">
        <v>50</v>
      </c>
      <c r="Y7" s="15" t="s">
        <v>25</v>
      </c>
      <c r="Z7" s="30" t="s">
        <v>51</v>
      </c>
      <c r="AA7" s="30" t="s">
        <v>37</v>
      </c>
      <c r="AB7" s="30" t="s">
        <v>52</v>
      </c>
      <c r="AC7" s="15" t="s">
        <v>54</v>
      </c>
      <c r="AD7" s="33" t="s">
        <v>25</v>
      </c>
      <c r="AE7" s="15" t="s">
        <v>55</v>
      </c>
      <c r="AF7" s="15" t="s">
        <v>37</v>
      </c>
      <c r="AG7" s="15" t="s">
        <v>56</v>
      </c>
      <c r="AH7" s="33" t="s">
        <v>91</v>
      </c>
      <c r="AI7" s="24" t="s">
        <v>25</v>
      </c>
      <c r="AJ7" s="33" t="s">
        <v>92</v>
      </c>
      <c r="AK7" s="33" t="s">
        <v>37</v>
      </c>
      <c r="AL7" s="33" t="s">
        <v>93</v>
      </c>
      <c r="AM7" s="35" t="s">
        <v>58</v>
      </c>
      <c r="AN7" s="35" t="s">
        <v>59</v>
      </c>
      <c r="AO7" s="35" t="s">
        <v>60</v>
      </c>
      <c r="AP7" s="35" t="s">
        <v>61</v>
      </c>
      <c r="AQ7" s="35" t="s">
        <v>62</v>
      </c>
      <c r="AR7" s="35" t="s">
        <v>63</v>
      </c>
      <c r="AS7" s="35" t="s">
        <v>64</v>
      </c>
      <c r="AT7" s="35" t="s">
        <v>65</v>
      </c>
      <c r="AU7" s="35" t="s">
        <v>66</v>
      </c>
    </row>
    <row r="8" spans="1:47" x14ac:dyDescent="0.15">
      <c r="A8" s="14" t="s">
        <v>791</v>
      </c>
      <c r="B8" s="5" t="s">
        <v>792</v>
      </c>
      <c r="C8" s="36">
        <v>17</v>
      </c>
      <c r="D8" s="36">
        <v>0</v>
      </c>
      <c r="E8" s="5">
        <v>0</v>
      </c>
      <c r="F8" s="37">
        <f t="shared" ref="F8:F71" si="0">D8-E8+C8</f>
        <v>17</v>
      </c>
      <c r="G8" s="38">
        <v>0</v>
      </c>
      <c r="H8" s="37">
        <f t="shared" ref="H8:H71" si="1">F8+G8</f>
        <v>17</v>
      </c>
      <c r="I8" s="36">
        <v>40</v>
      </c>
      <c r="J8" s="5">
        <v>31</v>
      </c>
      <c r="K8" s="37">
        <f t="shared" ref="K8:K71" si="2">I8-J8+H8</f>
        <v>26</v>
      </c>
      <c r="L8" s="38">
        <v>0</v>
      </c>
      <c r="M8" s="37">
        <f t="shared" ref="M8:M71" si="3">K8+L8</f>
        <v>26</v>
      </c>
      <c r="N8" s="36">
        <v>0</v>
      </c>
      <c r="O8" s="5">
        <v>5</v>
      </c>
      <c r="P8" s="37">
        <f t="shared" ref="P8:P71" si="4">N8-O8+M8</f>
        <v>21</v>
      </c>
      <c r="Q8" s="38">
        <v>0</v>
      </c>
      <c r="R8" s="37">
        <f t="shared" ref="R8:R71" si="5">P8+Q8</f>
        <v>21</v>
      </c>
      <c r="S8" s="36">
        <v>0</v>
      </c>
      <c r="T8" s="5">
        <v>20</v>
      </c>
      <c r="U8" s="37">
        <f t="shared" ref="U8:U71" si="6">S8-T8+R8</f>
        <v>1</v>
      </c>
      <c r="V8" s="38">
        <v>0</v>
      </c>
      <c r="W8" s="37">
        <f t="shared" ref="W8:W71" si="7">U8+V8</f>
        <v>1</v>
      </c>
      <c r="X8" s="36">
        <v>0</v>
      </c>
      <c r="Y8" s="5">
        <v>5</v>
      </c>
      <c r="Z8" s="37">
        <f t="shared" ref="Z8:Z71" si="8">X8-Y8+W8</f>
        <v>-4</v>
      </c>
      <c r="AA8" s="38">
        <v>0</v>
      </c>
      <c r="AB8" s="37">
        <f t="shared" ref="AB8:AB71" si="9">Z8+AA8</f>
        <v>-4</v>
      </c>
      <c r="AC8" s="36">
        <v>0</v>
      </c>
      <c r="AD8" s="5">
        <v>8</v>
      </c>
      <c r="AE8" s="37">
        <f t="shared" ref="AE8:AE71" si="10">AC8-AD8+AB8</f>
        <v>-12</v>
      </c>
      <c r="AF8" s="38">
        <v>0</v>
      </c>
      <c r="AG8" s="37">
        <f t="shared" ref="AG8:AG71" si="11">AE8+AF8</f>
        <v>-12</v>
      </c>
      <c r="AH8" s="36">
        <v>0</v>
      </c>
      <c r="AI8" s="5">
        <v>38</v>
      </c>
      <c r="AJ8" s="37">
        <f t="shared" ref="AJ8:AJ71" si="12">AH8-AI8+AG8</f>
        <v>-50</v>
      </c>
      <c r="AK8" s="38">
        <v>0</v>
      </c>
      <c r="AL8" s="37">
        <f t="shared" ref="AL8:AL71" si="13">AJ8+AK8</f>
        <v>-50</v>
      </c>
      <c r="AM8" s="35" t="s">
        <v>885</v>
      </c>
      <c r="AN8" s="35" t="s">
        <v>68</v>
      </c>
      <c r="AO8" s="5">
        <v>360</v>
      </c>
      <c r="AP8" s="5">
        <v>0</v>
      </c>
      <c r="AQ8" s="35"/>
      <c r="AR8" s="35"/>
      <c r="AS8" s="122"/>
      <c r="AT8" s="35">
        <v>603</v>
      </c>
      <c r="AU8" s="35" t="s">
        <v>886</v>
      </c>
    </row>
    <row r="9" spans="1:47" x14ac:dyDescent="0.15">
      <c r="A9" s="14" t="s">
        <v>560</v>
      </c>
      <c r="B9" s="5" t="s">
        <v>561</v>
      </c>
      <c r="C9" s="36">
        <v>79</v>
      </c>
      <c r="D9" s="36">
        <v>0</v>
      </c>
      <c r="E9" s="5">
        <v>0</v>
      </c>
      <c r="F9" s="37">
        <f t="shared" si="0"/>
        <v>79</v>
      </c>
      <c r="G9" s="38">
        <v>0</v>
      </c>
      <c r="H9" s="37">
        <f t="shared" si="1"/>
        <v>79</v>
      </c>
      <c r="I9" s="36">
        <v>0</v>
      </c>
      <c r="J9" s="5">
        <v>3</v>
      </c>
      <c r="K9" s="37">
        <f t="shared" si="2"/>
        <v>76</v>
      </c>
      <c r="L9" s="38">
        <v>-3</v>
      </c>
      <c r="M9" s="37">
        <f t="shared" si="3"/>
        <v>73</v>
      </c>
      <c r="N9" s="36">
        <v>0</v>
      </c>
      <c r="O9" s="5">
        <v>0</v>
      </c>
      <c r="P9" s="37">
        <f t="shared" si="4"/>
        <v>73</v>
      </c>
      <c r="Q9" s="38">
        <v>0</v>
      </c>
      <c r="R9" s="37">
        <f t="shared" si="5"/>
        <v>73</v>
      </c>
      <c r="S9" s="36">
        <v>0</v>
      </c>
      <c r="T9" s="5">
        <v>3</v>
      </c>
      <c r="U9" s="37">
        <f t="shared" si="6"/>
        <v>70</v>
      </c>
      <c r="V9" s="38">
        <v>0</v>
      </c>
      <c r="W9" s="37">
        <f t="shared" si="7"/>
        <v>70</v>
      </c>
      <c r="X9" s="36">
        <v>0</v>
      </c>
      <c r="Y9" s="5">
        <v>0</v>
      </c>
      <c r="Z9" s="37">
        <f t="shared" si="8"/>
        <v>70</v>
      </c>
      <c r="AA9" s="38">
        <v>0</v>
      </c>
      <c r="AB9" s="37">
        <f t="shared" si="9"/>
        <v>70</v>
      </c>
      <c r="AC9" s="36">
        <v>0</v>
      </c>
      <c r="AD9" s="5">
        <v>1</v>
      </c>
      <c r="AE9" s="37">
        <f t="shared" si="10"/>
        <v>69</v>
      </c>
      <c r="AF9" s="38">
        <v>0</v>
      </c>
      <c r="AG9" s="37">
        <f t="shared" si="11"/>
        <v>69</v>
      </c>
      <c r="AH9" s="36">
        <v>0</v>
      </c>
      <c r="AI9" s="5">
        <v>2</v>
      </c>
      <c r="AJ9" s="37">
        <f t="shared" si="12"/>
        <v>67</v>
      </c>
      <c r="AK9" s="38">
        <v>0</v>
      </c>
      <c r="AL9" s="37">
        <f t="shared" si="13"/>
        <v>67</v>
      </c>
      <c r="AM9" s="35" t="s">
        <v>885</v>
      </c>
      <c r="AN9" s="35" t="s">
        <v>69</v>
      </c>
      <c r="AO9" s="163">
        <v>4200</v>
      </c>
      <c r="AP9" s="5">
        <v>0</v>
      </c>
      <c r="AQ9" s="35"/>
      <c r="AR9" s="35"/>
      <c r="AS9" s="122"/>
      <c r="AT9" s="35">
        <v>603</v>
      </c>
      <c r="AU9" s="35" t="s">
        <v>886</v>
      </c>
    </row>
    <row r="10" spans="1:47" x14ac:dyDescent="0.15">
      <c r="A10" s="14" t="s">
        <v>598</v>
      </c>
      <c r="B10" s="5" t="s">
        <v>599</v>
      </c>
      <c r="C10" s="36">
        <v>4</v>
      </c>
      <c r="D10" s="36">
        <v>0</v>
      </c>
      <c r="E10" s="5">
        <v>0</v>
      </c>
      <c r="F10" s="37">
        <f t="shared" si="0"/>
        <v>4</v>
      </c>
      <c r="G10" s="38">
        <v>0</v>
      </c>
      <c r="H10" s="37">
        <f t="shared" si="1"/>
        <v>4</v>
      </c>
      <c r="I10" s="36">
        <v>0</v>
      </c>
      <c r="J10" s="5">
        <v>0</v>
      </c>
      <c r="K10" s="37">
        <f t="shared" si="2"/>
        <v>4</v>
      </c>
      <c r="L10" s="38">
        <v>0</v>
      </c>
      <c r="M10" s="37">
        <f t="shared" si="3"/>
        <v>4</v>
      </c>
      <c r="N10" s="36">
        <v>0</v>
      </c>
      <c r="O10" s="5">
        <v>0</v>
      </c>
      <c r="P10" s="37">
        <f t="shared" si="4"/>
        <v>4</v>
      </c>
      <c r="Q10" s="38">
        <v>0</v>
      </c>
      <c r="R10" s="37">
        <f t="shared" si="5"/>
        <v>4</v>
      </c>
      <c r="S10" s="36">
        <v>0</v>
      </c>
      <c r="T10" s="5">
        <v>0</v>
      </c>
      <c r="U10" s="37">
        <f t="shared" si="6"/>
        <v>4</v>
      </c>
      <c r="V10" s="38">
        <v>0</v>
      </c>
      <c r="W10" s="37">
        <f t="shared" si="7"/>
        <v>4</v>
      </c>
      <c r="X10" s="36">
        <v>0</v>
      </c>
      <c r="Y10" s="5">
        <v>0</v>
      </c>
      <c r="Z10" s="37">
        <f t="shared" si="8"/>
        <v>4</v>
      </c>
      <c r="AA10" s="38">
        <v>0</v>
      </c>
      <c r="AB10" s="37">
        <f t="shared" si="9"/>
        <v>4</v>
      </c>
      <c r="AC10" s="36">
        <v>0</v>
      </c>
      <c r="AD10" s="5">
        <v>0</v>
      </c>
      <c r="AE10" s="37">
        <f t="shared" si="10"/>
        <v>4</v>
      </c>
      <c r="AF10" s="38">
        <v>0</v>
      </c>
      <c r="AG10" s="37">
        <f t="shared" si="11"/>
        <v>4</v>
      </c>
      <c r="AH10" s="36">
        <v>0</v>
      </c>
      <c r="AI10" s="5">
        <v>0</v>
      </c>
      <c r="AJ10" s="37">
        <f t="shared" si="12"/>
        <v>4</v>
      </c>
      <c r="AK10" s="38">
        <v>0</v>
      </c>
      <c r="AL10" s="37">
        <f t="shared" si="13"/>
        <v>4</v>
      </c>
      <c r="AM10" s="35" t="s">
        <v>885</v>
      </c>
      <c r="AN10" s="35" t="s">
        <v>69</v>
      </c>
      <c r="AO10" s="163">
        <v>4800</v>
      </c>
      <c r="AP10" s="5">
        <v>0</v>
      </c>
      <c r="AQ10" s="35"/>
      <c r="AR10" s="35"/>
      <c r="AS10" s="122"/>
      <c r="AT10" s="35">
        <v>603</v>
      </c>
      <c r="AU10" s="35" t="s">
        <v>886</v>
      </c>
    </row>
    <row r="11" spans="1:47" x14ac:dyDescent="0.15">
      <c r="A11" s="14" t="s">
        <v>768</v>
      </c>
      <c r="B11" s="5" t="s">
        <v>769</v>
      </c>
      <c r="C11" s="36">
        <v>1</v>
      </c>
      <c r="D11" s="36">
        <v>0</v>
      </c>
      <c r="E11" s="5">
        <v>0</v>
      </c>
      <c r="F11" s="37">
        <f t="shared" si="0"/>
        <v>1</v>
      </c>
      <c r="G11" s="38">
        <v>0</v>
      </c>
      <c r="H11" s="37">
        <f t="shared" si="1"/>
        <v>1</v>
      </c>
      <c r="I11" s="36">
        <v>0</v>
      </c>
      <c r="J11" s="5">
        <v>0</v>
      </c>
      <c r="K11" s="37">
        <f t="shared" si="2"/>
        <v>1</v>
      </c>
      <c r="L11" s="38">
        <v>0</v>
      </c>
      <c r="M11" s="37">
        <f t="shared" si="3"/>
        <v>1</v>
      </c>
      <c r="N11" s="36">
        <v>0</v>
      </c>
      <c r="O11" s="5">
        <v>0</v>
      </c>
      <c r="P11" s="37">
        <f t="shared" si="4"/>
        <v>1</v>
      </c>
      <c r="Q11" s="38">
        <v>0</v>
      </c>
      <c r="R11" s="37">
        <f t="shared" si="5"/>
        <v>1</v>
      </c>
      <c r="S11" s="36">
        <v>0</v>
      </c>
      <c r="T11" s="5">
        <v>0</v>
      </c>
      <c r="U11" s="37">
        <f t="shared" si="6"/>
        <v>1</v>
      </c>
      <c r="V11" s="38">
        <v>0</v>
      </c>
      <c r="W11" s="37">
        <f t="shared" si="7"/>
        <v>1</v>
      </c>
      <c r="X11" s="36">
        <v>0</v>
      </c>
      <c r="Y11" s="5">
        <v>0</v>
      </c>
      <c r="Z11" s="37">
        <f t="shared" si="8"/>
        <v>1</v>
      </c>
      <c r="AA11" s="38">
        <v>0</v>
      </c>
      <c r="AB11" s="37">
        <f t="shared" si="9"/>
        <v>1</v>
      </c>
      <c r="AC11" s="36">
        <v>0</v>
      </c>
      <c r="AD11" s="5">
        <v>0</v>
      </c>
      <c r="AE11" s="37">
        <f t="shared" si="10"/>
        <v>1</v>
      </c>
      <c r="AF11" s="38">
        <v>0</v>
      </c>
      <c r="AG11" s="37">
        <f t="shared" si="11"/>
        <v>1</v>
      </c>
      <c r="AH11" s="36">
        <v>0</v>
      </c>
      <c r="AI11" s="5">
        <v>0</v>
      </c>
      <c r="AJ11" s="37">
        <f t="shared" si="12"/>
        <v>1</v>
      </c>
      <c r="AK11" s="38">
        <v>0</v>
      </c>
      <c r="AL11" s="37">
        <f t="shared" si="13"/>
        <v>1</v>
      </c>
      <c r="AM11" s="35" t="s">
        <v>885</v>
      </c>
      <c r="AN11" s="35" t="s">
        <v>69</v>
      </c>
      <c r="AO11" s="163">
        <v>3200</v>
      </c>
      <c r="AP11" s="5">
        <v>0</v>
      </c>
      <c r="AQ11" s="35"/>
      <c r="AR11" s="35"/>
      <c r="AS11" s="122"/>
      <c r="AT11" s="35">
        <v>603</v>
      </c>
      <c r="AU11" s="35" t="s">
        <v>886</v>
      </c>
    </row>
    <row r="12" spans="1:47" x14ac:dyDescent="0.15">
      <c r="A12" s="14" t="s">
        <v>572</v>
      </c>
      <c r="B12" s="5" t="s">
        <v>573</v>
      </c>
      <c r="C12" s="36">
        <v>0</v>
      </c>
      <c r="D12" s="36">
        <v>0</v>
      </c>
      <c r="E12" s="5">
        <v>0</v>
      </c>
      <c r="F12" s="37">
        <f t="shared" si="0"/>
        <v>0</v>
      </c>
      <c r="G12" s="38">
        <v>0</v>
      </c>
      <c r="H12" s="37">
        <f t="shared" si="1"/>
        <v>0</v>
      </c>
      <c r="I12" s="36">
        <v>0</v>
      </c>
      <c r="J12" s="5">
        <v>0</v>
      </c>
      <c r="K12" s="37">
        <f t="shared" si="2"/>
        <v>0</v>
      </c>
      <c r="L12" s="38">
        <v>0</v>
      </c>
      <c r="M12" s="37">
        <f t="shared" si="3"/>
        <v>0</v>
      </c>
      <c r="N12" s="36">
        <v>0</v>
      </c>
      <c r="O12" s="5">
        <v>0</v>
      </c>
      <c r="P12" s="37">
        <f t="shared" si="4"/>
        <v>0</v>
      </c>
      <c r="Q12" s="38">
        <v>0</v>
      </c>
      <c r="R12" s="37">
        <f t="shared" si="5"/>
        <v>0</v>
      </c>
      <c r="S12" s="36">
        <v>0</v>
      </c>
      <c r="T12" s="5">
        <v>0</v>
      </c>
      <c r="U12" s="37">
        <f t="shared" si="6"/>
        <v>0</v>
      </c>
      <c r="V12" s="38">
        <v>0</v>
      </c>
      <c r="W12" s="37">
        <f t="shared" si="7"/>
        <v>0</v>
      </c>
      <c r="X12" s="36">
        <v>0</v>
      </c>
      <c r="Y12" s="5">
        <v>0</v>
      </c>
      <c r="Z12" s="37">
        <f t="shared" si="8"/>
        <v>0</v>
      </c>
      <c r="AA12" s="38">
        <v>0</v>
      </c>
      <c r="AB12" s="37">
        <f t="shared" si="9"/>
        <v>0</v>
      </c>
      <c r="AC12" s="36">
        <v>0</v>
      </c>
      <c r="AD12" s="5">
        <v>0</v>
      </c>
      <c r="AE12" s="37">
        <f t="shared" si="10"/>
        <v>0</v>
      </c>
      <c r="AF12" s="38">
        <v>0</v>
      </c>
      <c r="AG12" s="37">
        <f t="shared" si="11"/>
        <v>0</v>
      </c>
      <c r="AH12" s="36">
        <v>0</v>
      </c>
      <c r="AI12" s="5">
        <v>0</v>
      </c>
      <c r="AJ12" s="37">
        <f t="shared" si="12"/>
        <v>0</v>
      </c>
      <c r="AK12" s="38">
        <v>0</v>
      </c>
      <c r="AL12" s="37">
        <f t="shared" si="13"/>
        <v>0</v>
      </c>
      <c r="AM12" s="35" t="s">
        <v>885</v>
      </c>
      <c r="AN12" s="35" t="s">
        <v>68</v>
      </c>
      <c r="AO12" s="5">
        <v>350</v>
      </c>
      <c r="AP12" s="5">
        <v>0</v>
      </c>
      <c r="AQ12" s="35"/>
      <c r="AR12" s="35"/>
      <c r="AS12" s="122"/>
      <c r="AT12" s="35"/>
      <c r="AU12" s="35"/>
    </row>
    <row r="13" spans="1:47" x14ac:dyDescent="0.15">
      <c r="A13" s="14" t="s">
        <v>632</v>
      </c>
      <c r="B13" s="5" t="s">
        <v>633</v>
      </c>
      <c r="C13" s="36">
        <v>10</v>
      </c>
      <c r="D13" s="36">
        <v>0</v>
      </c>
      <c r="E13" s="5">
        <v>0</v>
      </c>
      <c r="F13" s="37">
        <f t="shared" si="0"/>
        <v>10</v>
      </c>
      <c r="G13" s="38">
        <v>0</v>
      </c>
      <c r="H13" s="37">
        <f t="shared" si="1"/>
        <v>10</v>
      </c>
      <c r="I13" s="36">
        <v>0</v>
      </c>
      <c r="J13" s="5">
        <v>0</v>
      </c>
      <c r="K13" s="37">
        <f t="shared" si="2"/>
        <v>10</v>
      </c>
      <c r="L13" s="38">
        <v>-2</v>
      </c>
      <c r="M13" s="37">
        <f t="shared" si="3"/>
        <v>8</v>
      </c>
      <c r="N13" s="36">
        <v>0</v>
      </c>
      <c r="O13" s="5">
        <v>0</v>
      </c>
      <c r="P13" s="37">
        <f t="shared" si="4"/>
        <v>8</v>
      </c>
      <c r="Q13" s="38">
        <v>0</v>
      </c>
      <c r="R13" s="37">
        <f t="shared" si="5"/>
        <v>8</v>
      </c>
      <c r="S13" s="36">
        <v>0</v>
      </c>
      <c r="T13" s="5">
        <v>0</v>
      </c>
      <c r="U13" s="37">
        <f t="shared" si="6"/>
        <v>8</v>
      </c>
      <c r="V13" s="38">
        <v>0</v>
      </c>
      <c r="W13" s="37">
        <f t="shared" si="7"/>
        <v>8</v>
      </c>
      <c r="X13" s="36">
        <v>0</v>
      </c>
      <c r="Y13" s="5">
        <v>0</v>
      </c>
      <c r="Z13" s="37">
        <f t="shared" si="8"/>
        <v>8</v>
      </c>
      <c r="AA13" s="38">
        <v>0</v>
      </c>
      <c r="AB13" s="37">
        <f t="shared" si="9"/>
        <v>8</v>
      </c>
      <c r="AC13" s="36">
        <v>0</v>
      </c>
      <c r="AD13" s="5">
        <v>0</v>
      </c>
      <c r="AE13" s="37">
        <f t="shared" si="10"/>
        <v>8</v>
      </c>
      <c r="AF13" s="38">
        <v>0</v>
      </c>
      <c r="AG13" s="37">
        <f t="shared" si="11"/>
        <v>8</v>
      </c>
      <c r="AH13" s="36">
        <v>0</v>
      </c>
      <c r="AI13" s="5">
        <v>0</v>
      </c>
      <c r="AJ13" s="37">
        <f t="shared" si="12"/>
        <v>8</v>
      </c>
      <c r="AK13" s="38">
        <v>0</v>
      </c>
      <c r="AL13" s="37">
        <f t="shared" si="13"/>
        <v>8</v>
      </c>
      <c r="AM13" s="35" t="s">
        <v>887</v>
      </c>
      <c r="AN13" s="35" t="s">
        <v>69</v>
      </c>
      <c r="AO13" s="163">
        <v>8400</v>
      </c>
      <c r="AP13" s="5">
        <v>0</v>
      </c>
      <c r="AQ13" s="35" t="s">
        <v>67</v>
      </c>
      <c r="AR13" s="35"/>
      <c r="AS13" s="122"/>
      <c r="AT13" s="35">
        <v>662</v>
      </c>
      <c r="AU13" s="35" t="s">
        <v>888</v>
      </c>
    </row>
    <row r="14" spans="1:47" x14ac:dyDescent="0.15">
      <c r="A14" s="14" t="s">
        <v>634</v>
      </c>
      <c r="B14" s="5" t="s">
        <v>635</v>
      </c>
      <c r="C14" s="36">
        <v>3</v>
      </c>
      <c r="D14" s="36">
        <v>0</v>
      </c>
      <c r="E14" s="5">
        <v>0</v>
      </c>
      <c r="F14" s="37">
        <f t="shared" si="0"/>
        <v>3</v>
      </c>
      <c r="G14" s="38">
        <v>0</v>
      </c>
      <c r="H14" s="37">
        <f t="shared" si="1"/>
        <v>3</v>
      </c>
      <c r="I14" s="36">
        <v>0</v>
      </c>
      <c r="J14" s="5">
        <v>0</v>
      </c>
      <c r="K14" s="37">
        <f t="shared" si="2"/>
        <v>3</v>
      </c>
      <c r="L14" s="38">
        <v>0</v>
      </c>
      <c r="M14" s="37">
        <f t="shared" si="3"/>
        <v>3</v>
      </c>
      <c r="N14" s="36">
        <v>0</v>
      </c>
      <c r="O14" s="5">
        <v>0</v>
      </c>
      <c r="P14" s="37">
        <f t="shared" si="4"/>
        <v>3</v>
      </c>
      <c r="Q14" s="38">
        <v>0</v>
      </c>
      <c r="R14" s="37">
        <f t="shared" si="5"/>
        <v>3</v>
      </c>
      <c r="S14" s="36">
        <v>0</v>
      </c>
      <c r="T14" s="5">
        <v>0</v>
      </c>
      <c r="U14" s="37">
        <f t="shared" si="6"/>
        <v>3</v>
      </c>
      <c r="V14" s="38">
        <v>0</v>
      </c>
      <c r="W14" s="37">
        <f t="shared" si="7"/>
        <v>3</v>
      </c>
      <c r="X14" s="36">
        <v>0</v>
      </c>
      <c r="Y14" s="5">
        <v>0</v>
      </c>
      <c r="Z14" s="37">
        <f t="shared" si="8"/>
        <v>3</v>
      </c>
      <c r="AA14" s="38">
        <v>0</v>
      </c>
      <c r="AB14" s="37">
        <f t="shared" si="9"/>
        <v>3</v>
      </c>
      <c r="AC14" s="36">
        <v>0</v>
      </c>
      <c r="AD14" s="5">
        <v>0</v>
      </c>
      <c r="AE14" s="37">
        <f t="shared" si="10"/>
        <v>3</v>
      </c>
      <c r="AF14" s="38">
        <v>0</v>
      </c>
      <c r="AG14" s="37">
        <f t="shared" si="11"/>
        <v>3</v>
      </c>
      <c r="AH14" s="36">
        <v>0</v>
      </c>
      <c r="AI14" s="5">
        <v>0</v>
      </c>
      <c r="AJ14" s="37">
        <f t="shared" si="12"/>
        <v>3</v>
      </c>
      <c r="AK14" s="38">
        <v>0</v>
      </c>
      <c r="AL14" s="37">
        <f t="shared" si="13"/>
        <v>3</v>
      </c>
      <c r="AM14" s="35" t="s">
        <v>887</v>
      </c>
      <c r="AN14" s="35" t="s">
        <v>69</v>
      </c>
      <c r="AO14" s="5">
        <v>0</v>
      </c>
      <c r="AP14" s="5">
        <v>0</v>
      </c>
      <c r="AQ14" s="35" t="s">
        <v>67</v>
      </c>
      <c r="AR14" s="35"/>
      <c r="AS14" s="122"/>
      <c r="AT14" s="35">
        <v>662</v>
      </c>
      <c r="AU14" s="35" t="s">
        <v>888</v>
      </c>
    </row>
    <row r="15" spans="1:47" x14ac:dyDescent="0.15">
      <c r="A15" s="14" t="s">
        <v>409</v>
      </c>
      <c r="B15" s="5" t="s">
        <v>410</v>
      </c>
      <c r="C15" s="36">
        <v>14</v>
      </c>
      <c r="D15" s="36">
        <v>0</v>
      </c>
      <c r="E15" s="5">
        <v>0</v>
      </c>
      <c r="F15" s="37">
        <f t="shared" si="0"/>
        <v>14</v>
      </c>
      <c r="G15" s="38">
        <v>0</v>
      </c>
      <c r="H15" s="37">
        <f t="shared" si="1"/>
        <v>14</v>
      </c>
      <c r="I15" s="36">
        <v>0</v>
      </c>
      <c r="J15" s="5">
        <v>0</v>
      </c>
      <c r="K15" s="37">
        <f t="shared" si="2"/>
        <v>14</v>
      </c>
      <c r="L15" s="38">
        <v>0</v>
      </c>
      <c r="M15" s="37">
        <f t="shared" si="3"/>
        <v>14</v>
      </c>
      <c r="N15" s="36">
        <v>0</v>
      </c>
      <c r="O15" s="5">
        <v>0</v>
      </c>
      <c r="P15" s="37">
        <f t="shared" si="4"/>
        <v>14</v>
      </c>
      <c r="Q15" s="38">
        <v>0</v>
      </c>
      <c r="R15" s="37">
        <f t="shared" si="5"/>
        <v>14</v>
      </c>
      <c r="S15" s="36">
        <v>0</v>
      </c>
      <c r="T15" s="5">
        <v>0</v>
      </c>
      <c r="U15" s="37">
        <f t="shared" si="6"/>
        <v>14</v>
      </c>
      <c r="V15" s="38">
        <v>0</v>
      </c>
      <c r="W15" s="37">
        <f t="shared" si="7"/>
        <v>14</v>
      </c>
      <c r="X15" s="36">
        <v>0</v>
      </c>
      <c r="Y15" s="5">
        <v>0</v>
      </c>
      <c r="Z15" s="37">
        <f t="shared" si="8"/>
        <v>14</v>
      </c>
      <c r="AA15" s="38">
        <v>0</v>
      </c>
      <c r="AB15" s="37">
        <f t="shared" si="9"/>
        <v>14</v>
      </c>
      <c r="AC15" s="36">
        <v>0</v>
      </c>
      <c r="AD15" s="5">
        <v>0</v>
      </c>
      <c r="AE15" s="37">
        <f t="shared" si="10"/>
        <v>14</v>
      </c>
      <c r="AF15" s="38">
        <v>0</v>
      </c>
      <c r="AG15" s="37">
        <f t="shared" si="11"/>
        <v>14</v>
      </c>
      <c r="AH15" s="36">
        <v>0</v>
      </c>
      <c r="AI15" s="5">
        <v>0</v>
      </c>
      <c r="AJ15" s="37">
        <f t="shared" si="12"/>
        <v>14</v>
      </c>
      <c r="AK15" s="38">
        <v>0</v>
      </c>
      <c r="AL15" s="37">
        <f t="shared" si="13"/>
        <v>14</v>
      </c>
      <c r="AM15" s="35" t="s">
        <v>887</v>
      </c>
      <c r="AN15" s="35" t="s">
        <v>69</v>
      </c>
      <c r="AO15" s="5">
        <v>0</v>
      </c>
      <c r="AP15" s="5">
        <v>0</v>
      </c>
      <c r="AQ15" s="35" t="s">
        <v>67</v>
      </c>
      <c r="AR15" s="35"/>
      <c r="AS15" s="122"/>
      <c r="AT15" s="35">
        <v>662</v>
      </c>
      <c r="AU15" s="35" t="s">
        <v>888</v>
      </c>
    </row>
    <row r="16" spans="1:47" x14ac:dyDescent="0.15">
      <c r="A16" s="14" t="s">
        <v>636</v>
      </c>
      <c r="B16" s="5" t="s">
        <v>637</v>
      </c>
      <c r="C16" s="36">
        <v>1</v>
      </c>
      <c r="D16" s="36">
        <v>0</v>
      </c>
      <c r="E16" s="5">
        <v>0</v>
      </c>
      <c r="F16" s="37">
        <f t="shared" si="0"/>
        <v>1</v>
      </c>
      <c r="G16" s="38">
        <v>0</v>
      </c>
      <c r="H16" s="37">
        <f t="shared" si="1"/>
        <v>1</v>
      </c>
      <c r="I16" s="36">
        <v>0</v>
      </c>
      <c r="J16" s="5">
        <v>0</v>
      </c>
      <c r="K16" s="37">
        <f t="shared" si="2"/>
        <v>1</v>
      </c>
      <c r="L16" s="38">
        <v>0</v>
      </c>
      <c r="M16" s="37">
        <f t="shared" si="3"/>
        <v>1</v>
      </c>
      <c r="N16" s="36">
        <v>0</v>
      </c>
      <c r="O16" s="5">
        <v>0</v>
      </c>
      <c r="P16" s="37">
        <f t="shared" si="4"/>
        <v>1</v>
      </c>
      <c r="Q16" s="38">
        <v>0</v>
      </c>
      <c r="R16" s="37">
        <f t="shared" si="5"/>
        <v>1</v>
      </c>
      <c r="S16" s="36">
        <v>0</v>
      </c>
      <c r="T16" s="5">
        <v>0</v>
      </c>
      <c r="U16" s="37">
        <f t="shared" si="6"/>
        <v>1</v>
      </c>
      <c r="V16" s="38">
        <v>0</v>
      </c>
      <c r="W16" s="37">
        <f t="shared" si="7"/>
        <v>1</v>
      </c>
      <c r="X16" s="36">
        <v>0</v>
      </c>
      <c r="Y16" s="5">
        <v>0</v>
      </c>
      <c r="Z16" s="37">
        <f t="shared" si="8"/>
        <v>1</v>
      </c>
      <c r="AA16" s="38">
        <v>0</v>
      </c>
      <c r="AB16" s="37">
        <f t="shared" si="9"/>
        <v>1</v>
      </c>
      <c r="AC16" s="36">
        <v>0</v>
      </c>
      <c r="AD16" s="5">
        <v>0</v>
      </c>
      <c r="AE16" s="37">
        <f t="shared" si="10"/>
        <v>1</v>
      </c>
      <c r="AF16" s="38">
        <v>0</v>
      </c>
      <c r="AG16" s="37">
        <f t="shared" si="11"/>
        <v>1</v>
      </c>
      <c r="AH16" s="36">
        <v>0</v>
      </c>
      <c r="AI16" s="5">
        <v>0</v>
      </c>
      <c r="AJ16" s="37">
        <f t="shared" si="12"/>
        <v>1</v>
      </c>
      <c r="AK16" s="38">
        <v>0</v>
      </c>
      <c r="AL16" s="37">
        <f t="shared" si="13"/>
        <v>1</v>
      </c>
      <c r="AM16" s="35" t="s">
        <v>887</v>
      </c>
      <c r="AN16" s="35" t="s">
        <v>69</v>
      </c>
      <c r="AO16" s="5">
        <v>0</v>
      </c>
      <c r="AP16" s="5">
        <v>0</v>
      </c>
      <c r="AQ16" s="35" t="s">
        <v>67</v>
      </c>
      <c r="AR16" s="35"/>
      <c r="AS16" s="122"/>
      <c r="AT16" s="35">
        <v>662</v>
      </c>
      <c r="AU16" s="35" t="s">
        <v>888</v>
      </c>
    </row>
    <row r="17" spans="1:47" x14ac:dyDescent="0.15">
      <c r="A17" s="14" t="s">
        <v>889</v>
      </c>
      <c r="B17" s="5" t="s">
        <v>890</v>
      </c>
      <c r="C17" s="36">
        <v>6</v>
      </c>
      <c r="D17" s="36">
        <v>0</v>
      </c>
      <c r="E17" s="5">
        <v>0</v>
      </c>
      <c r="F17" s="37">
        <f t="shared" si="0"/>
        <v>6</v>
      </c>
      <c r="G17" s="38">
        <v>0</v>
      </c>
      <c r="H17" s="37">
        <f t="shared" si="1"/>
        <v>6</v>
      </c>
      <c r="I17" s="36">
        <v>0</v>
      </c>
      <c r="J17" s="5">
        <v>0</v>
      </c>
      <c r="K17" s="37">
        <f t="shared" si="2"/>
        <v>6</v>
      </c>
      <c r="L17" s="38">
        <v>0</v>
      </c>
      <c r="M17" s="37">
        <f t="shared" si="3"/>
        <v>6</v>
      </c>
      <c r="N17" s="36">
        <v>0</v>
      </c>
      <c r="O17" s="5">
        <v>0</v>
      </c>
      <c r="P17" s="37">
        <f t="shared" si="4"/>
        <v>6</v>
      </c>
      <c r="Q17" s="38">
        <v>0</v>
      </c>
      <c r="R17" s="37">
        <f t="shared" si="5"/>
        <v>6</v>
      </c>
      <c r="S17" s="36">
        <v>0</v>
      </c>
      <c r="T17" s="5">
        <v>0</v>
      </c>
      <c r="U17" s="37">
        <f t="shared" si="6"/>
        <v>6</v>
      </c>
      <c r="V17" s="38">
        <v>0</v>
      </c>
      <c r="W17" s="37">
        <f t="shared" si="7"/>
        <v>6</v>
      </c>
      <c r="X17" s="36">
        <v>0</v>
      </c>
      <c r="Y17" s="5">
        <v>0</v>
      </c>
      <c r="Z17" s="37">
        <f t="shared" si="8"/>
        <v>6</v>
      </c>
      <c r="AA17" s="38">
        <v>0</v>
      </c>
      <c r="AB17" s="37">
        <f t="shared" si="9"/>
        <v>6</v>
      </c>
      <c r="AC17" s="36">
        <v>0</v>
      </c>
      <c r="AD17" s="5">
        <v>0</v>
      </c>
      <c r="AE17" s="37">
        <f t="shared" si="10"/>
        <v>6</v>
      </c>
      <c r="AF17" s="38">
        <v>0</v>
      </c>
      <c r="AG17" s="37">
        <f t="shared" si="11"/>
        <v>6</v>
      </c>
      <c r="AH17" s="36">
        <v>0</v>
      </c>
      <c r="AI17" s="5">
        <v>0</v>
      </c>
      <c r="AJ17" s="37">
        <f t="shared" si="12"/>
        <v>6</v>
      </c>
      <c r="AK17" s="38">
        <v>0</v>
      </c>
      <c r="AL17" s="37">
        <f t="shared" si="13"/>
        <v>6</v>
      </c>
      <c r="AM17" s="35" t="s">
        <v>891</v>
      </c>
      <c r="AN17" s="35" t="s">
        <v>69</v>
      </c>
      <c r="AO17" s="163">
        <v>6000</v>
      </c>
      <c r="AP17" s="5">
        <v>0</v>
      </c>
      <c r="AQ17" s="35" t="s">
        <v>67</v>
      </c>
      <c r="AR17" s="35"/>
      <c r="AS17" s="122"/>
      <c r="AT17" s="35">
        <v>596</v>
      </c>
      <c r="AU17" s="35" t="s">
        <v>892</v>
      </c>
    </row>
    <row r="18" spans="1:47" x14ac:dyDescent="0.15">
      <c r="A18" s="14" t="s">
        <v>600</v>
      </c>
      <c r="B18" s="5" t="s">
        <v>601</v>
      </c>
      <c r="C18" s="36">
        <v>1</v>
      </c>
      <c r="D18" s="36">
        <v>8</v>
      </c>
      <c r="E18" s="5">
        <v>0</v>
      </c>
      <c r="F18" s="37">
        <f t="shared" si="0"/>
        <v>9</v>
      </c>
      <c r="G18" s="38">
        <v>0</v>
      </c>
      <c r="H18" s="37">
        <f t="shared" si="1"/>
        <v>9</v>
      </c>
      <c r="I18" s="36">
        <v>0</v>
      </c>
      <c r="J18" s="5">
        <v>0</v>
      </c>
      <c r="K18" s="37">
        <f t="shared" si="2"/>
        <v>9</v>
      </c>
      <c r="L18" s="38">
        <v>0</v>
      </c>
      <c r="M18" s="37">
        <f t="shared" si="3"/>
        <v>9</v>
      </c>
      <c r="N18" s="36">
        <v>0</v>
      </c>
      <c r="O18" s="5">
        <v>0</v>
      </c>
      <c r="P18" s="37">
        <f t="shared" si="4"/>
        <v>9</v>
      </c>
      <c r="Q18" s="38">
        <v>0</v>
      </c>
      <c r="R18" s="37">
        <f t="shared" si="5"/>
        <v>9</v>
      </c>
      <c r="S18" s="36">
        <v>0</v>
      </c>
      <c r="T18" s="5">
        <v>0</v>
      </c>
      <c r="U18" s="37">
        <f t="shared" si="6"/>
        <v>9</v>
      </c>
      <c r="V18" s="38">
        <v>0</v>
      </c>
      <c r="W18" s="37">
        <f t="shared" si="7"/>
        <v>9</v>
      </c>
      <c r="X18" s="36">
        <v>0</v>
      </c>
      <c r="Y18" s="5">
        <v>0</v>
      </c>
      <c r="Z18" s="37">
        <f t="shared" si="8"/>
        <v>9</v>
      </c>
      <c r="AA18" s="38">
        <v>0</v>
      </c>
      <c r="AB18" s="37">
        <f t="shared" si="9"/>
        <v>9</v>
      </c>
      <c r="AC18" s="36">
        <v>0</v>
      </c>
      <c r="AD18" s="5">
        <v>0</v>
      </c>
      <c r="AE18" s="37">
        <f t="shared" si="10"/>
        <v>9</v>
      </c>
      <c r="AF18" s="38">
        <v>0</v>
      </c>
      <c r="AG18" s="37">
        <f t="shared" si="11"/>
        <v>9</v>
      </c>
      <c r="AH18" s="36">
        <v>0</v>
      </c>
      <c r="AI18" s="5">
        <v>0</v>
      </c>
      <c r="AJ18" s="37">
        <f t="shared" si="12"/>
        <v>9</v>
      </c>
      <c r="AK18" s="38">
        <v>0</v>
      </c>
      <c r="AL18" s="37">
        <f t="shared" si="13"/>
        <v>9</v>
      </c>
      <c r="AM18" s="35" t="s">
        <v>885</v>
      </c>
      <c r="AN18" s="35" t="s">
        <v>69</v>
      </c>
      <c r="AO18" s="5">
        <v>0</v>
      </c>
      <c r="AP18" s="5">
        <v>0</v>
      </c>
      <c r="AQ18" s="35"/>
      <c r="AR18" s="35"/>
      <c r="AS18" s="122"/>
      <c r="AT18" s="35">
        <v>603</v>
      </c>
      <c r="AU18" s="35" t="s">
        <v>886</v>
      </c>
    </row>
    <row r="19" spans="1:47" x14ac:dyDescent="0.15">
      <c r="A19" s="14" t="s">
        <v>384</v>
      </c>
      <c r="B19" s="5" t="s">
        <v>385</v>
      </c>
      <c r="C19" s="36">
        <v>2</v>
      </c>
      <c r="D19" s="36">
        <v>0</v>
      </c>
      <c r="E19" s="5">
        <v>0</v>
      </c>
      <c r="F19" s="37">
        <f t="shared" si="0"/>
        <v>2</v>
      </c>
      <c r="G19" s="38">
        <v>0</v>
      </c>
      <c r="H19" s="37">
        <f t="shared" si="1"/>
        <v>2</v>
      </c>
      <c r="I19" s="36">
        <v>0</v>
      </c>
      <c r="J19" s="5">
        <v>0</v>
      </c>
      <c r="K19" s="37">
        <f t="shared" si="2"/>
        <v>2</v>
      </c>
      <c r="L19" s="38">
        <v>0</v>
      </c>
      <c r="M19" s="37">
        <f t="shared" si="3"/>
        <v>2</v>
      </c>
      <c r="N19" s="36">
        <v>0</v>
      </c>
      <c r="O19" s="5">
        <v>0</v>
      </c>
      <c r="P19" s="37">
        <f t="shared" si="4"/>
        <v>2</v>
      </c>
      <c r="Q19" s="38">
        <v>0</v>
      </c>
      <c r="R19" s="37">
        <f t="shared" si="5"/>
        <v>2</v>
      </c>
      <c r="S19" s="36">
        <v>0</v>
      </c>
      <c r="T19" s="5">
        <v>0</v>
      </c>
      <c r="U19" s="37">
        <f t="shared" si="6"/>
        <v>2</v>
      </c>
      <c r="V19" s="38">
        <v>0</v>
      </c>
      <c r="W19" s="37">
        <f t="shared" si="7"/>
        <v>2</v>
      </c>
      <c r="X19" s="36">
        <v>0</v>
      </c>
      <c r="Y19" s="5">
        <v>0</v>
      </c>
      <c r="Z19" s="37">
        <f t="shared" si="8"/>
        <v>2</v>
      </c>
      <c r="AA19" s="38">
        <v>0</v>
      </c>
      <c r="AB19" s="37">
        <f t="shared" si="9"/>
        <v>2</v>
      </c>
      <c r="AC19" s="36">
        <v>0</v>
      </c>
      <c r="AD19" s="5">
        <v>0</v>
      </c>
      <c r="AE19" s="37">
        <f t="shared" si="10"/>
        <v>2</v>
      </c>
      <c r="AF19" s="38">
        <v>0</v>
      </c>
      <c r="AG19" s="37">
        <f t="shared" si="11"/>
        <v>2</v>
      </c>
      <c r="AH19" s="36">
        <v>0</v>
      </c>
      <c r="AI19" s="5">
        <v>0</v>
      </c>
      <c r="AJ19" s="37">
        <f t="shared" si="12"/>
        <v>2</v>
      </c>
      <c r="AK19" s="38">
        <v>0</v>
      </c>
      <c r="AL19" s="37">
        <f t="shared" si="13"/>
        <v>2</v>
      </c>
      <c r="AM19" s="35" t="s">
        <v>891</v>
      </c>
      <c r="AN19" s="35" t="s">
        <v>69</v>
      </c>
      <c r="AO19" s="5">
        <v>0</v>
      </c>
      <c r="AP19" s="5">
        <v>0</v>
      </c>
      <c r="AQ19" s="35" t="s">
        <v>67</v>
      </c>
      <c r="AR19" s="35"/>
      <c r="AS19" s="122"/>
      <c r="AT19" s="35">
        <v>596</v>
      </c>
      <c r="AU19" s="35" t="s">
        <v>892</v>
      </c>
    </row>
    <row r="20" spans="1:47" x14ac:dyDescent="0.15">
      <c r="A20" s="14" t="s">
        <v>638</v>
      </c>
      <c r="B20" s="5" t="s">
        <v>639</v>
      </c>
      <c r="C20" s="36">
        <v>1</v>
      </c>
      <c r="D20" s="36">
        <v>0</v>
      </c>
      <c r="E20" s="5">
        <v>0</v>
      </c>
      <c r="F20" s="37">
        <f t="shared" si="0"/>
        <v>1</v>
      </c>
      <c r="G20" s="38">
        <v>0</v>
      </c>
      <c r="H20" s="37">
        <f t="shared" si="1"/>
        <v>1</v>
      </c>
      <c r="I20" s="36">
        <v>0</v>
      </c>
      <c r="J20" s="5">
        <v>0</v>
      </c>
      <c r="K20" s="37">
        <f t="shared" si="2"/>
        <v>1</v>
      </c>
      <c r="L20" s="38">
        <v>0</v>
      </c>
      <c r="M20" s="37">
        <f t="shared" si="3"/>
        <v>1</v>
      </c>
      <c r="N20" s="36">
        <v>0</v>
      </c>
      <c r="O20" s="5">
        <v>0</v>
      </c>
      <c r="P20" s="37">
        <f t="shared" si="4"/>
        <v>1</v>
      </c>
      <c r="Q20" s="38">
        <v>0</v>
      </c>
      <c r="R20" s="37">
        <f t="shared" si="5"/>
        <v>1</v>
      </c>
      <c r="S20" s="36">
        <v>0</v>
      </c>
      <c r="T20" s="5">
        <v>0</v>
      </c>
      <c r="U20" s="37">
        <f t="shared" si="6"/>
        <v>1</v>
      </c>
      <c r="V20" s="38">
        <v>0</v>
      </c>
      <c r="W20" s="37">
        <f t="shared" si="7"/>
        <v>1</v>
      </c>
      <c r="X20" s="36">
        <v>0</v>
      </c>
      <c r="Y20" s="5">
        <v>0</v>
      </c>
      <c r="Z20" s="37">
        <f t="shared" si="8"/>
        <v>1</v>
      </c>
      <c r="AA20" s="38">
        <v>0</v>
      </c>
      <c r="AB20" s="37">
        <f t="shared" si="9"/>
        <v>1</v>
      </c>
      <c r="AC20" s="36">
        <v>0</v>
      </c>
      <c r="AD20" s="5">
        <v>0</v>
      </c>
      <c r="AE20" s="37">
        <f t="shared" si="10"/>
        <v>1</v>
      </c>
      <c r="AF20" s="38">
        <v>0</v>
      </c>
      <c r="AG20" s="37">
        <f t="shared" si="11"/>
        <v>1</v>
      </c>
      <c r="AH20" s="36">
        <v>0</v>
      </c>
      <c r="AI20" s="5">
        <v>0</v>
      </c>
      <c r="AJ20" s="37">
        <f t="shared" si="12"/>
        <v>1</v>
      </c>
      <c r="AK20" s="38">
        <v>0</v>
      </c>
      <c r="AL20" s="37">
        <f t="shared" si="13"/>
        <v>1</v>
      </c>
      <c r="AM20" s="35" t="s">
        <v>887</v>
      </c>
      <c r="AN20" s="35" t="s">
        <v>69</v>
      </c>
      <c r="AO20" s="5">
        <v>0</v>
      </c>
      <c r="AP20" s="5">
        <v>0</v>
      </c>
      <c r="AQ20" s="35" t="s">
        <v>67</v>
      </c>
      <c r="AR20" s="35"/>
      <c r="AS20" s="122"/>
      <c r="AT20" s="35">
        <v>175</v>
      </c>
      <c r="AU20" s="35" t="s">
        <v>893</v>
      </c>
    </row>
    <row r="21" spans="1:47" x14ac:dyDescent="0.15">
      <c r="A21" s="14" t="s">
        <v>734</v>
      </c>
      <c r="B21" s="5" t="s">
        <v>735</v>
      </c>
      <c r="C21" s="36">
        <v>0</v>
      </c>
      <c r="D21" s="36">
        <v>0</v>
      </c>
      <c r="E21" s="5">
        <v>0</v>
      </c>
      <c r="F21" s="37">
        <f t="shared" si="0"/>
        <v>0</v>
      </c>
      <c r="G21" s="38">
        <v>0</v>
      </c>
      <c r="H21" s="37">
        <f t="shared" si="1"/>
        <v>0</v>
      </c>
      <c r="I21" s="36">
        <v>10</v>
      </c>
      <c r="J21" s="5">
        <v>9</v>
      </c>
      <c r="K21" s="37">
        <f t="shared" si="2"/>
        <v>1</v>
      </c>
      <c r="L21" s="38">
        <v>0</v>
      </c>
      <c r="M21" s="37">
        <f t="shared" si="3"/>
        <v>1</v>
      </c>
      <c r="N21" s="36">
        <v>0</v>
      </c>
      <c r="O21" s="5">
        <v>3</v>
      </c>
      <c r="P21" s="37">
        <f t="shared" si="4"/>
        <v>-2</v>
      </c>
      <c r="Q21" s="38">
        <v>0</v>
      </c>
      <c r="R21" s="37">
        <f t="shared" si="5"/>
        <v>-2</v>
      </c>
      <c r="S21" s="36">
        <v>0</v>
      </c>
      <c r="T21" s="5">
        <v>9</v>
      </c>
      <c r="U21" s="37">
        <f t="shared" si="6"/>
        <v>-11</v>
      </c>
      <c r="V21" s="38">
        <v>0</v>
      </c>
      <c r="W21" s="37">
        <f t="shared" si="7"/>
        <v>-11</v>
      </c>
      <c r="X21" s="36">
        <v>0</v>
      </c>
      <c r="Y21" s="5">
        <v>2</v>
      </c>
      <c r="Z21" s="37">
        <f t="shared" si="8"/>
        <v>-13</v>
      </c>
      <c r="AA21" s="38">
        <v>0</v>
      </c>
      <c r="AB21" s="37">
        <f t="shared" si="9"/>
        <v>-13</v>
      </c>
      <c r="AC21" s="36">
        <v>0</v>
      </c>
      <c r="AD21" s="5">
        <v>5</v>
      </c>
      <c r="AE21" s="37">
        <f t="shared" si="10"/>
        <v>-18</v>
      </c>
      <c r="AF21" s="38">
        <v>0</v>
      </c>
      <c r="AG21" s="37">
        <f t="shared" si="11"/>
        <v>-18</v>
      </c>
      <c r="AH21" s="36">
        <v>0</v>
      </c>
      <c r="AI21" s="5">
        <v>4</v>
      </c>
      <c r="AJ21" s="37">
        <f t="shared" si="12"/>
        <v>-22</v>
      </c>
      <c r="AK21" s="38">
        <v>0</v>
      </c>
      <c r="AL21" s="37">
        <f t="shared" si="13"/>
        <v>-22</v>
      </c>
      <c r="AM21" s="35" t="s">
        <v>887</v>
      </c>
      <c r="AN21" s="35" t="s">
        <v>68</v>
      </c>
      <c r="AO21" s="5">
        <v>780</v>
      </c>
      <c r="AP21" s="5">
        <v>0</v>
      </c>
      <c r="AQ21" s="35"/>
      <c r="AR21" s="35"/>
      <c r="AS21" s="122"/>
      <c r="AT21" s="35">
        <v>662</v>
      </c>
      <c r="AU21" s="35" t="s">
        <v>888</v>
      </c>
    </row>
    <row r="22" spans="1:47" x14ac:dyDescent="0.15">
      <c r="A22" s="14" t="s">
        <v>306</v>
      </c>
      <c r="B22" s="5" t="s">
        <v>307</v>
      </c>
      <c r="C22" s="36">
        <v>6</v>
      </c>
      <c r="D22" s="36">
        <v>0</v>
      </c>
      <c r="E22" s="5">
        <v>0</v>
      </c>
      <c r="F22" s="37">
        <f t="shared" si="0"/>
        <v>6</v>
      </c>
      <c r="G22" s="38">
        <v>0</v>
      </c>
      <c r="H22" s="37">
        <f t="shared" si="1"/>
        <v>6</v>
      </c>
      <c r="I22" s="36">
        <v>0</v>
      </c>
      <c r="J22" s="5">
        <v>0</v>
      </c>
      <c r="K22" s="37">
        <f t="shared" si="2"/>
        <v>6</v>
      </c>
      <c r="L22" s="38">
        <v>0</v>
      </c>
      <c r="M22" s="37">
        <f t="shared" si="3"/>
        <v>6</v>
      </c>
      <c r="N22" s="36">
        <v>0</v>
      </c>
      <c r="O22" s="5">
        <v>0</v>
      </c>
      <c r="P22" s="37">
        <f t="shared" si="4"/>
        <v>6</v>
      </c>
      <c r="Q22" s="38">
        <v>0</v>
      </c>
      <c r="R22" s="37">
        <f t="shared" si="5"/>
        <v>6</v>
      </c>
      <c r="S22" s="36">
        <v>0</v>
      </c>
      <c r="T22" s="5">
        <v>0</v>
      </c>
      <c r="U22" s="37">
        <f t="shared" si="6"/>
        <v>6</v>
      </c>
      <c r="V22" s="38">
        <v>0</v>
      </c>
      <c r="W22" s="37">
        <f t="shared" si="7"/>
        <v>6</v>
      </c>
      <c r="X22" s="36">
        <v>0</v>
      </c>
      <c r="Y22" s="5">
        <v>0</v>
      </c>
      <c r="Z22" s="37">
        <f t="shared" si="8"/>
        <v>6</v>
      </c>
      <c r="AA22" s="38">
        <v>0</v>
      </c>
      <c r="AB22" s="37">
        <f t="shared" si="9"/>
        <v>6</v>
      </c>
      <c r="AC22" s="36">
        <v>0</v>
      </c>
      <c r="AD22" s="5">
        <v>0</v>
      </c>
      <c r="AE22" s="37">
        <f t="shared" si="10"/>
        <v>6</v>
      </c>
      <c r="AF22" s="38">
        <v>0</v>
      </c>
      <c r="AG22" s="37">
        <f t="shared" si="11"/>
        <v>6</v>
      </c>
      <c r="AH22" s="36">
        <v>0</v>
      </c>
      <c r="AI22" s="5">
        <v>0</v>
      </c>
      <c r="AJ22" s="37">
        <f t="shared" si="12"/>
        <v>6</v>
      </c>
      <c r="AK22" s="38">
        <v>0</v>
      </c>
      <c r="AL22" s="37">
        <f t="shared" si="13"/>
        <v>6</v>
      </c>
      <c r="AM22" s="35" t="s">
        <v>887</v>
      </c>
      <c r="AN22" s="35" t="s">
        <v>69</v>
      </c>
      <c r="AO22" s="5">
        <v>0</v>
      </c>
      <c r="AP22" s="5">
        <v>0</v>
      </c>
      <c r="AQ22" s="35" t="s">
        <v>67</v>
      </c>
      <c r="AR22" s="35"/>
      <c r="AS22" s="122"/>
      <c r="AT22" s="35">
        <v>662</v>
      </c>
      <c r="AU22" s="35" t="s">
        <v>888</v>
      </c>
    </row>
    <row r="23" spans="1:47" x14ac:dyDescent="0.15">
      <c r="A23" s="14" t="s">
        <v>894</v>
      </c>
      <c r="B23" s="5" t="s">
        <v>895</v>
      </c>
      <c r="C23" s="36">
        <v>0</v>
      </c>
      <c r="D23" s="36">
        <v>0</v>
      </c>
      <c r="E23" s="5">
        <v>0</v>
      </c>
      <c r="F23" s="37">
        <f t="shared" si="0"/>
        <v>0</v>
      </c>
      <c r="G23" s="38">
        <v>0</v>
      </c>
      <c r="H23" s="37">
        <f t="shared" si="1"/>
        <v>0</v>
      </c>
      <c r="I23" s="36">
        <v>1</v>
      </c>
      <c r="J23" s="5">
        <v>1</v>
      </c>
      <c r="K23" s="37">
        <f t="shared" si="2"/>
        <v>0</v>
      </c>
      <c r="L23" s="38">
        <v>0</v>
      </c>
      <c r="M23" s="37">
        <f t="shared" si="3"/>
        <v>0</v>
      </c>
      <c r="N23" s="36">
        <v>0</v>
      </c>
      <c r="O23" s="5">
        <v>0</v>
      </c>
      <c r="P23" s="37">
        <f t="shared" si="4"/>
        <v>0</v>
      </c>
      <c r="Q23" s="38">
        <v>0</v>
      </c>
      <c r="R23" s="37">
        <f t="shared" si="5"/>
        <v>0</v>
      </c>
      <c r="S23" s="36">
        <v>0</v>
      </c>
      <c r="T23" s="5">
        <v>0</v>
      </c>
      <c r="U23" s="37">
        <f t="shared" si="6"/>
        <v>0</v>
      </c>
      <c r="V23" s="38">
        <v>0</v>
      </c>
      <c r="W23" s="37">
        <f t="shared" si="7"/>
        <v>0</v>
      </c>
      <c r="X23" s="36">
        <v>0</v>
      </c>
      <c r="Y23" s="5">
        <v>0</v>
      </c>
      <c r="Z23" s="37">
        <f t="shared" si="8"/>
        <v>0</v>
      </c>
      <c r="AA23" s="38">
        <v>0</v>
      </c>
      <c r="AB23" s="37">
        <f t="shared" si="9"/>
        <v>0</v>
      </c>
      <c r="AC23" s="36">
        <v>0</v>
      </c>
      <c r="AD23" s="5">
        <v>1</v>
      </c>
      <c r="AE23" s="37">
        <f t="shared" si="10"/>
        <v>-1</v>
      </c>
      <c r="AF23" s="38">
        <v>0</v>
      </c>
      <c r="AG23" s="37">
        <f t="shared" si="11"/>
        <v>-1</v>
      </c>
      <c r="AH23" s="36">
        <v>0</v>
      </c>
      <c r="AI23" s="5">
        <v>0</v>
      </c>
      <c r="AJ23" s="37">
        <f t="shared" si="12"/>
        <v>-1</v>
      </c>
      <c r="AK23" s="38">
        <v>0</v>
      </c>
      <c r="AL23" s="37">
        <f t="shared" si="13"/>
        <v>-1</v>
      </c>
      <c r="AM23" s="35" t="s">
        <v>887</v>
      </c>
      <c r="AN23" s="35" t="s">
        <v>69</v>
      </c>
      <c r="AO23" s="163">
        <v>7000</v>
      </c>
      <c r="AP23" s="5">
        <v>0</v>
      </c>
      <c r="AQ23" s="35"/>
      <c r="AR23" s="35"/>
      <c r="AS23" s="122"/>
      <c r="AT23" s="35">
        <v>662</v>
      </c>
      <c r="AU23" s="35" t="s">
        <v>888</v>
      </c>
    </row>
    <row r="24" spans="1:47" x14ac:dyDescent="0.15">
      <c r="A24" s="14" t="s">
        <v>816</v>
      </c>
      <c r="B24" s="5" t="s">
        <v>817</v>
      </c>
      <c r="C24" s="36">
        <v>5</v>
      </c>
      <c r="D24" s="36">
        <v>0</v>
      </c>
      <c r="E24" s="5">
        <v>0</v>
      </c>
      <c r="F24" s="37">
        <f t="shared" si="0"/>
        <v>5</v>
      </c>
      <c r="G24" s="38">
        <v>0</v>
      </c>
      <c r="H24" s="37">
        <f t="shared" si="1"/>
        <v>5</v>
      </c>
      <c r="I24" s="36">
        <v>0</v>
      </c>
      <c r="J24" s="5">
        <v>4</v>
      </c>
      <c r="K24" s="37">
        <f t="shared" si="2"/>
        <v>1</v>
      </c>
      <c r="L24" s="38">
        <v>0</v>
      </c>
      <c r="M24" s="37">
        <f t="shared" si="3"/>
        <v>1</v>
      </c>
      <c r="N24" s="36">
        <v>0</v>
      </c>
      <c r="O24" s="5">
        <v>4</v>
      </c>
      <c r="P24" s="37">
        <f t="shared" si="4"/>
        <v>-3</v>
      </c>
      <c r="Q24" s="38">
        <v>0</v>
      </c>
      <c r="R24" s="37">
        <f t="shared" si="5"/>
        <v>-3</v>
      </c>
      <c r="S24" s="36">
        <v>0</v>
      </c>
      <c r="T24" s="5">
        <v>4</v>
      </c>
      <c r="U24" s="37">
        <f t="shared" si="6"/>
        <v>-7</v>
      </c>
      <c r="V24" s="38">
        <v>0</v>
      </c>
      <c r="W24" s="37">
        <f t="shared" si="7"/>
        <v>-7</v>
      </c>
      <c r="X24" s="36">
        <v>0</v>
      </c>
      <c r="Y24" s="5">
        <v>4</v>
      </c>
      <c r="Z24" s="37">
        <f t="shared" si="8"/>
        <v>-11</v>
      </c>
      <c r="AA24" s="38">
        <v>0</v>
      </c>
      <c r="AB24" s="37">
        <f t="shared" si="9"/>
        <v>-11</v>
      </c>
      <c r="AC24" s="36">
        <v>0</v>
      </c>
      <c r="AD24" s="5">
        <v>4</v>
      </c>
      <c r="AE24" s="37">
        <f t="shared" si="10"/>
        <v>-15</v>
      </c>
      <c r="AF24" s="38">
        <v>0</v>
      </c>
      <c r="AG24" s="37">
        <f t="shared" si="11"/>
        <v>-15</v>
      </c>
      <c r="AH24" s="36">
        <v>0</v>
      </c>
      <c r="AI24" s="5">
        <v>8</v>
      </c>
      <c r="AJ24" s="37">
        <f t="shared" si="12"/>
        <v>-23</v>
      </c>
      <c r="AK24" s="38">
        <v>0</v>
      </c>
      <c r="AL24" s="37">
        <f t="shared" si="13"/>
        <v>-23</v>
      </c>
      <c r="AM24" s="35" t="s">
        <v>887</v>
      </c>
      <c r="AN24" s="35" t="s">
        <v>68</v>
      </c>
      <c r="AO24" s="5">
        <v>150</v>
      </c>
      <c r="AP24" s="5">
        <v>0</v>
      </c>
      <c r="AQ24" s="35"/>
      <c r="AR24" s="35"/>
      <c r="AS24" s="122">
        <v>4580450000000</v>
      </c>
      <c r="AT24" s="35">
        <v>662</v>
      </c>
      <c r="AU24" s="35" t="s">
        <v>888</v>
      </c>
    </row>
    <row r="25" spans="1:47" x14ac:dyDescent="0.15">
      <c r="A25" s="14" t="s">
        <v>519</v>
      </c>
      <c r="B25" s="5" t="s">
        <v>520</v>
      </c>
      <c r="C25" s="36">
        <v>3</v>
      </c>
      <c r="D25" s="36">
        <v>20</v>
      </c>
      <c r="E25" s="5">
        <v>0</v>
      </c>
      <c r="F25" s="37">
        <f t="shared" si="0"/>
        <v>23</v>
      </c>
      <c r="G25" s="38">
        <v>0</v>
      </c>
      <c r="H25" s="37">
        <f t="shared" si="1"/>
        <v>23</v>
      </c>
      <c r="I25" s="36">
        <v>0</v>
      </c>
      <c r="J25" s="5">
        <v>6</v>
      </c>
      <c r="K25" s="37">
        <f t="shared" si="2"/>
        <v>17</v>
      </c>
      <c r="L25" s="38">
        <v>0</v>
      </c>
      <c r="M25" s="37">
        <f t="shared" si="3"/>
        <v>17</v>
      </c>
      <c r="N25" s="36">
        <v>0</v>
      </c>
      <c r="O25" s="5">
        <v>2</v>
      </c>
      <c r="P25" s="37">
        <f t="shared" si="4"/>
        <v>15</v>
      </c>
      <c r="Q25" s="38">
        <v>0</v>
      </c>
      <c r="R25" s="37">
        <f t="shared" si="5"/>
        <v>15</v>
      </c>
      <c r="S25" s="36">
        <v>0</v>
      </c>
      <c r="T25" s="5">
        <v>6</v>
      </c>
      <c r="U25" s="37">
        <f t="shared" si="6"/>
        <v>9</v>
      </c>
      <c r="V25" s="38">
        <v>0</v>
      </c>
      <c r="W25" s="37">
        <f t="shared" si="7"/>
        <v>9</v>
      </c>
      <c r="X25" s="36">
        <v>0</v>
      </c>
      <c r="Y25" s="5">
        <v>1</v>
      </c>
      <c r="Z25" s="37">
        <f t="shared" si="8"/>
        <v>8</v>
      </c>
      <c r="AA25" s="38">
        <v>0</v>
      </c>
      <c r="AB25" s="37">
        <f t="shared" si="9"/>
        <v>8</v>
      </c>
      <c r="AC25" s="36">
        <v>20</v>
      </c>
      <c r="AD25" s="5">
        <v>1</v>
      </c>
      <c r="AE25" s="37">
        <f t="shared" si="10"/>
        <v>27</v>
      </c>
      <c r="AF25" s="38">
        <v>0</v>
      </c>
      <c r="AG25" s="37">
        <f t="shared" si="11"/>
        <v>27</v>
      </c>
      <c r="AH25" s="36">
        <v>0</v>
      </c>
      <c r="AI25" s="5">
        <v>5</v>
      </c>
      <c r="AJ25" s="37">
        <f t="shared" si="12"/>
        <v>22</v>
      </c>
      <c r="AK25" s="38">
        <v>0</v>
      </c>
      <c r="AL25" s="37">
        <f t="shared" si="13"/>
        <v>22</v>
      </c>
      <c r="AM25" s="35" t="s">
        <v>896</v>
      </c>
      <c r="AN25" s="35" t="s">
        <v>69</v>
      </c>
      <c r="AO25" s="163">
        <v>3800</v>
      </c>
      <c r="AP25" s="5">
        <v>0</v>
      </c>
      <c r="AQ25" s="35" t="s">
        <v>67</v>
      </c>
      <c r="AR25" s="35"/>
      <c r="AS25" s="122"/>
      <c r="AT25" s="35"/>
      <c r="AU25" s="35"/>
    </row>
    <row r="26" spans="1:47" x14ac:dyDescent="0.15">
      <c r="A26" s="14" t="s">
        <v>793</v>
      </c>
      <c r="B26" s="5" t="s">
        <v>794</v>
      </c>
      <c r="C26" s="36">
        <v>24</v>
      </c>
      <c r="D26" s="36">
        <v>0</v>
      </c>
      <c r="E26" s="5">
        <v>0</v>
      </c>
      <c r="F26" s="37">
        <f t="shared" si="0"/>
        <v>24</v>
      </c>
      <c r="G26" s="38">
        <v>0</v>
      </c>
      <c r="H26" s="37">
        <f t="shared" si="1"/>
        <v>24</v>
      </c>
      <c r="I26" s="36">
        <v>0</v>
      </c>
      <c r="J26" s="5">
        <v>20</v>
      </c>
      <c r="K26" s="37">
        <f t="shared" si="2"/>
        <v>4</v>
      </c>
      <c r="L26" s="38">
        <v>0</v>
      </c>
      <c r="M26" s="37">
        <f t="shared" si="3"/>
        <v>4</v>
      </c>
      <c r="N26" s="36">
        <v>0</v>
      </c>
      <c r="O26" s="5">
        <v>0</v>
      </c>
      <c r="P26" s="37">
        <f t="shared" si="4"/>
        <v>4</v>
      </c>
      <c r="Q26" s="38">
        <v>0</v>
      </c>
      <c r="R26" s="37">
        <f t="shared" si="5"/>
        <v>4</v>
      </c>
      <c r="S26" s="36">
        <v>0</v>
      </c>
      <c r="T26" s="5">
        <v>5</v>
      </c>
      <c r="U26" s="37">
        <f t="shared" si="6"/>
        <v>-1</v>
      </c>
      <c r="V26" s="38">
        <v>0</v>
      </c>
      <c r="W26" s="37">
        <f t="shared" si="7"/>
        <v>-1</v>
      </c>
      <c r="X26" s="36">
        <v>0</v>
      </c>
      <c r="Y26" s="5">
        <v>0</v>
      </c>
      <c r="Z26" s="37">
        <f t="shared" si="8"/>
        <v>-1</v>
      </c>
      <c r="AA26" s="38">
        <v>0</v>
      </c>
      <c r="AB26" s="37">
        <f t="shared" si="9"/>
        <v>-1</v>
      </c>
      <c r="AC26" s="36">
        <v>0</v>
      </c>
      <c r="AD26" s="5">
        <v>0</v>
      </c>
      <c r="AE26" s="37">
        <f t="shared" si="10"/>
        <v>-1</v>
      </c>
      <c r="AF26" s="38">
        <v>0</v>
      </c>
      <c r="AG26" s="37">
        <f t="shared" si="11"/>
        <v>-1</v>
      </c>
      <c r="AH26" s="36">
        <v>0</v>
      </c>
      <c r="AI26" s="5">
        <v>10</v>
      </c>
      <c r="AJ26" s="37">
        <f t="shared" si="12"/>
        <v>-11</v>
      </c>
      <c r="AK26" s="38">
        <v>0</v>
      </c>
      <c r="AL26" s="37">
        <f t="shared" si="13"/>
        <v>-11</v>
      </c>
      <c r="AM26" s="35" t="s">
        <v>896</v>
      </c>
      <c r="AN26" s="35" t="s">
        <v>68</v>
      </c>
      <c r="AO26" s="5">
        <v>380</v>
      </c>
      <c r="AP26" s="5">
        <v>0</v>
      </c>
      <c r="AQ26" s="35"/>
      <c r="AR26" s="35"/>
      <c r="AS26" s="122"/>
      <c r="AT26" s="35"/>
      <c r="AU26" s="35"/>
    </row>
    <row r="27" spans="1:47" x14ac:dyDescent="0.15">
      <c r="A27" s="14" t="s">
        <v>494</v>
      </c>
      <c r="B27" s="5" t="s">
        <v>495</v>
      </c>
      <c r="C27" s="36">
        <v>1</v>
      </c>
      <c r="D27" s="36">
        <v>0</v>
      </c>
      <c r="E27" s="5">
        <v>0</v>
      </c>
      <c r="F27" s="37">
        <f t="shared" si="0"/>
        <v>1</v>
      </c>
      <c r="G27" s="38">
        <v>0</v>
      </c>
      <c r="H27" s="37">
        <f t="shared" si="1"/>
        <v>1</v>
      </c>
      <c r="I27" s="36">
        <v>0</v>
      </c>
      <c r="J27" s="5">
        <v>1</v>
      </c>
      <c r="K27" s="37">
        <f t="shared" si="2"/>
        <v>0</v>
      </c>
      <c r="L27" s="38">
        <v>0</v>
      </c>
      <c r="M27" s="37">
        <f t="shared" si="3"/>
        <v>0</v>
      </c>
      <c r="N27" s="36">
        <v>0</v>
      </c>
      <c r="O27" s="5">
        <v>0</v>
      </c>
      <c r="P27" s="37">
        <f t="shared" si="4"/>
        <v>0</v>
      </c>
      <c r="Q27" s="38">
        <v>0</v>
      </c>
      <c r="R27" s="37">
        <f t="shared" si="5"/>
        <v>0</v>
      </c>
      <c r="S27" s="36">
        <v>0</v>
      </c>
      <c r="T27" s="5">
        <v>0</v>
      </c>
      <c r="U27" s="37">
        <f t="shared" si="6"/>
        <v>0</v>
      </c>
      <c r="V27" s="38">
        <v>0</v>
      </c>
      <c r="W27" s="37">
        <f t="shared" si="7"/>
        <v>0</v>
      </c>
      <c r="X27" s="36">
        <v>0</v>
      </c>
      <c r="Y27" s="5">
        <v>0</v>
      </c>
      <c r="Z27" s="37">
        <f t="shared" si="8"/>
        <v>0</v>
      </c>
      <c r="AA27" s="38">
        <v>0</v>
      </c>
      <c r="AB27" s="37">
        <f t="shared" si="9"/>
        <v>0</v>
      </c>
      <c r="AC27" s="36">
        <v>0</v>
      </c>
      <c r="AD27" s="5">
        <v>0</v>
      </c>
      <c r="AE27" s="37">
        <f t="shared" si="10"/>
        <v>0</v>
      </c>
      <c r="AF27" s="38">
        <v>0</v>
      </c>
      <c r="AG27" s="37">
        <f t="shared" si="11"/>
        <v>0</v>
      </c>
      <c r="AH27" s="36">
        <v>0</v>
      </c>
      <c r="AI27" s="5">
        <v>0</v>
      </c>
      <c r="AJ27" s="37">
        <f t="shared" si="12"/>
        <v>0</v>
      </c>
      <c r="AK27" s="38">
        <v>0</v>
      </c>
      <c r="AL27" s="37">
        <f t="shared" si="13"/>
        <v>0</v>
      </c>
      <c r="AM27" s="35" t="s">
        <v>897</v>
      </c>
      <c r="AN27" s="35" t="s">
        <v>68</v>
      </c>
      <c r="AO27" s="163">
        <v>3700</v>
      </c>
      <c r="AP27" s="5">
        <v>0</v>
      </c>
      <c r="AQ27" s="35" t="s">
        <v>67</v>
      </c>
      <c r="AR27" s="35"/>
      <c r="AS27" s="122"/>
      <c r="AT27" s="35">
        <v>505</v>
      </c>
      <c r="AU27" s="35" t="s">
        <v>898</v>
      </c>
    </row>
    <row r="28" spans="1:47" x14ac:dyDescent="0.15">
      <c r="A28" s="14" t="s">
        <v>655</v>
      </c>
      <c r="B28" s="5" t="s">
        <v>656</v>
      </c>
      <c r="C28" s="36">
        <v>4</v>
      </c>
      <c r="D28" s="36">
        <v>0</v>
      </c>
      <c r="E28" s="5">
        <v>0</v>
      </c>
      <c r="F28" s="37">
        <f t="shared" si="0"/>
        <v>4</v>
      </c>
      <c r="G28" s="38">
        <v>0</v>
      </c>
      <c r="H28" s="37">
        <f t="shared" si="1"/>
        <v>4</v>
      </c>
      <c r="I28" s="36">
        <v>0</v>
      </c>
      <c r="J28" s="5">
        <v>3</v>
      </c>
      <c r="K28" s="37">
        <f t="shared" si="2"/>
        <v>1</v>
      </c>
      <c r="L28" s="38">
        <v>0</v>
      </c>
      <c r="M28" s="37">
        <f t="shared" si="3"/>
        <v>1</v>
      </c>
      <c r="N28" s="36">
        <v>0</v>
      </c>
      <c r="O28" s="5">
        <v>0</v>
      </c>
      <c r="P28" s="37">
        <f t="shared" si="4"/>
        <v>1</v>
      </c>
      <c r="Q28" s="38">
        <v>0</v>
      </c>
      <c r="R28" s="37">
        <f t="shared" si="5"/>
        <v>1</v>
      </c>
      <c r="S28" s="36">
        <v>10</v>
      </c>
      <c r="T28" s="5">
        <v>2</v>
      </c>
      <c r="U28" s="37">
        <f t="shared" si="6"/>
        <v>9</v>
      </c>
      <c r="V28" s="38">
        <v>0</v>
      </c>
      <c r="W28" s="37">
        <f t="shared" si="7"/>
        <v>9</v>
      </c>
      <c r="X28" s="36">
        <v>0</v>
      </c>
      <c r="Y28" s="5">
        <v>1</v>
      </c>
      <c r="Z28" s="37">
        <f t="shared" si="8"/>
        <v>8</v>
      </c>
      <c r="AA28" s="38">
        <v>0</v>
      </c>
      <c r="AB28" s="37">
        <f t="shared" si="9"/>
        <v>8</v>
      </c>
      <c r="AC28" s="36">
        <v>0</v>
      </c>
      <c r="AD28" s="5">
        <v>1</v>
      </c>
      <c r="AE28" s="37">
        <f t="shared" si="10"/>
        <v>7</v>
      </c>
      <c r="AF28" s="38">
        <v>0</v>
      </c>
      <c r="AG28" s="37">
        <f t="shared" si="11"/>
        <v>7</v>
      </c>
      <c r="AH28" s="36">
        <v>0</v>
      </c>
      <c r="AI28" s="5">
        <v>0</v>
      </c>
      <c r="AJ28" s="37">
        <f t="shared" si="12"/>
        <v>7</v>
      </c>
      <c r="AK28" s="38">
        <v>0</v>
      </c>
      <c r="AL28" s="37">
        <f t="shared" si="13"/>
        <v>7</v>
      </c>
      <c r="AM28" s="35" t="s">
        <v>899</v>
      </c>
      <c r="AN28" s="35" t="s">
        <v>69</v>
      </c>
      <c r="AO28" s="163">
        <v>8500</v>
      </c>
      <c r="AP28" s="5">
        <v>0</v>
      </c>
      <c r="AQ28" s="35" t="s">
        <v>67</v>
      </c>
      <c r="AR28" s="35"/>
      <c r="AS28" s="122"/>
      <c r="AT28" s="35">
        <v>532</v>
      </c>
      <c r="AU28" s="35" t="s">
        <v>900</v>
      </c>
    </row>
    <row r="29" spans="1:47" x14ac:dyDescent="0.15">
      <c r="A29" s="14" t="s">
        <v>710</v>
      </c>
      <c r="B29" s="5" t="s">
        <v>711</v>
      </c>
      <c r="C29" s="36">
        <v>2</v>
      </c>
      <c r="D29" s="36">
        <v>0</v>
      </c>
      <c r="E29" s="5">
        <v>0</v>
      </c>
      <c r="F29" s="37">
        <f t="shared" si="0"/>
        <v>2</v>
      </c>
      <c r="G29" s="38">
        <v>0</v>
      </c>
      <c r="H29" s="37">
        <f t="shared" si="1"/>
        <v>2</v>
      </c>
      <c r="I29" s="36">
        <v>0</v>
      </c>
      <c r="J29" s="5">
        <v>2</v>
      </c>
      <c r="K29" s="37">
        <f t="shared" si="2"/>
        <v>0</v>
      </c>
      <c r="L29" s="38">
        <v>0</v>
      </c>
      <c r="M29" s="37">
        <f t="shared" si="3"/>
        <v>0</v>
      </c>
      <c r="N29" s="36">
        <v>0</v>
      </c>
      <c r="O29" s="5">
        <v>0</v>
      </c>
      <c r="P29" s="37">
        <f t="shared" si="4"/>
        <v>0</v>
      </c>
      <c r="Q29" s="38">
        <v>0</v>
      </c>
      <c r="R29" s="37">
        <f t="shared" si="5"/>
        <v>0</v>
      </c>
      <c r="S29" s="36">
        <v>0</v>
      </c>
      <c r="T29" s="5">
        <v>0</v>
      </c>
      <c r="U29" s="37">
        <f t="shared" si="6"/>
        <v>0</v>
      </c>
      <c r="V29" s="38">
        <v>0</v>
      </c>
      <c r="W29" s="37">
        <f t="shared" si="7"/>
        <v>0</v>
      </c>
      <c r="X29" s="36">
        <v>0</v>
      </c>
      <c r="Y29" s="5">
        <v>0</v>
      </c>
      <c r="Z29" s="37">
        <f t="shared" si="8"/>
        <v>0</v>
      </c>
      <c r="AA29" s="38">
        <v>0</v>
      </c>
      <c r="AB29" s="37">
        <f t="shared" si="9"/>
        <v>0</v>
      </c>
      <c r="AC29" s="36">
        <v>0</v>
      </c>
      <c r="AD29" s="5">
        <v>0</v>
      </c>
      <c r="AE29" s="37">
        <f t="shared" si="10"/>
        <v>0</v>
      </c>
      <c r="AF29" s="38">
        <v>0</v>
      </c>
      <c r="AG29" s="37">
        <f t="shared" si="11"/>
        <v>0</v>
      </c>
      <c r="AH29" s="36">
        <v>0</v>
      </c>
      <c r="AI29" s="5">
        <v>0</v>
      </c>
      <c r="AJ29" s="37">
        <f t="shared" si="12"/>
        <v>0</v>
      </c>
      <c r="AK29" s="38">
        <v>0</v>
      </c>
      <c r="AL29" s="37">
        <f t="shared" si="13"/>
        <v>0</v>
      </c>
      <c r="AM29" s="35" t="s">
        <v>899</v>
      </c>
      <c r="AN29" s="35" t="s">
        <v>69</v>
      </c>
      <c r="AO29" s="163">
        <v>8500</v>
      </c>
      <c r="AP29" s="5">
        <v>0</v>
      </c>
      <c r="AQ29" s="35"/>
      <c r="AR29" s="35"/>
      <c r="AS29" s="122"/>
      <c r="AT29" s="35">
        <v>532</v>
      </c>
      <c r="AU29" s="35" t="s">
        <v>900</v>
      </c>
    </row>
    <row r="30" spans="1:47" x14ac:dyDescent="0.15">
      <c r="A30" s="14" t="s">
        <v>827</v>
      </c>
      <c r="B30" s="5" t="s">
        <v>828</v>
      </c>
      <c r="C30" s="36">
        <v>0</v>
      </c>
      <c r="D30" s="36">
        <v>0</v>
      </c>
      <c r="E30" s="5">
        <v>0</v>
      </c>
      <c r="F30" s="37">
        <f t="shared" si="0"/>
        <v>0</v>
      </c>
      <c r="G30" s="38">
        <v>0</v>
      </c>
      <c r="H30" s="37">
        <f t="shared" si="1"/>
        <v>0</v>
      </c>
      <c r="I30" s="36">
        <v>10</v>
      </c>
      <c r="J30" s="5">
        <v>2</v>
      </c>
      <c r="K30" s="37">
        <f t="shared" si="2"/>
        <v>8</v>
      </c>
      <c r="L30" s="38">
        <v>0</v>
      </c>
      <c r="M30" s="37">
        <f t="shared" si="3"/>
        <v>8</v>
      </c>
      <c r="N30" s="36">
        <v>0</v>
      </c>
      <c r="O30" s="5">
        <v>0</v>
      </c>
      <c r="P30" s="37">
        <f t="shared" si="4"/>
        <v>8</v>
      </c>
      <c r="Q30" s="38">
        <v>0</v>
      </c>
      <c r="R30" s="37">
        <f t="shared" si="5"/>
        <v>8</v>
      </c>
      <c r="S30" s="36">
        <v>0</v>
      </c>
      <c r="T30" s="5">
        <v>4</v>
      </c>
      <c r="U30" s="37">
        <f t="shared" si="6"/>
        <v>4</v>
      </c>
      <c r="V30" s="38">
        <v>0</v>
      </c>
      <c r="W30" s="37">
        <f t="shared" si="7"/>
        <v>4</v>
      </c>
      <c r="X30" s="36">
        <v>10</v>
      </c>
      <c r="Y30" s="5">
        <v>1</v>
      </c>
      <c r="Z30" s="37">
        <f t="shared" si="8"/>
        <v>13</v>
      </c>
      <c r="AA30" s="38">
        <v>0</v>
      </c>
      <c r="AB30" s="37">
        <f t="shared" si="9"/>
        <v>13</v>
      </c>
      <c r="AC30" s="36">
        <v>0</v>
      </c>
      <c r="AD30" s="5">
        <v>1</v>
      </c>
      <c r="AE30" s="37">
        <f t="shared" si="10"/>
        <v>12</v>
      </c>
      <c r="AF30" s="38">
        <v>0</v>
      </c>
      <c r="AG30" s="37">
        <f t="shared" si="11"/>
        <v>12</v>
      </c>
      <c r="AH30" s="36">
        <v>0</v>
      </c>
      <c r="AI30" s="5">
        <v>1</v>
      </c>
      <c r="AJ30" s="37">
        <f t="shared" si="12"/>
        <v>11</v>
      </c>
      <c r="AK30" s="38">
        <v>0</v>
      </c>
      <c r="AL30" s="37">
        <f t="shared" si="13"/>
        <v>11</v>
      </c>
      <c r="AM30" s="35" t="s">
        <v>901</v>
      </c>
      <c r="AN30" s="35" t="s">
        <v>68</v>
      </c>
      <c r="AO30" s="163">
        <v>3600</v>
      </c>
      <c r="AP30" s="5">
        <v>0</v>
      </c>
      <c r="AQ30" s="35" t="s">
        <v>67</v>
      </c>
      <c r="AR30" s="35"/>
      <c r="AS30" s="122"/>
      <c r="AT30" s="35">
        <v>172</v>
      </c>
      <c r="AU30" s="35" t="s">
        <v>902</v>
      </c>
    </row>
    <row r="31" spans="1:47" x14ac:dyDescent="0.15">
      <c r="A31" s="14" t="s">
        <v>797</v>
      </c>
      <c r="B31" s="5" t="s">
        <v>798</v>
      </c>
      <c r="C31" s="36">
        <v>8</v>
      </c>
      <c r="D31" s="36">
        <v>0</v>
      </c>
      <c r="E31" s="5">
        <v>0</v>
      </c>
      <c r="F31" s="37">
        <f t="shared" si="0"/>
        <v>8</v>
      </c>
      <c r="G31" s="38">
        <v>0</v>
      </c>
      <c r="H31" s="37">
        <f t="shared" si="1"/>
        <v>8</v>
      </c>
      <c r="I31" s="36">
        <v>0</v>
      </c>
      <c r="J31" s="5">
        <v>6</v>
      </c>
      <c r="K31" s="37">
        <f t="shared" si="2"/>
        <v>2</v>
      </c>
      <c r="L31" s="38">
        <v>0</v>
      </c>
      <c r="M31" s="37">
        <f t="shared" si="3"/>
        <v>2</v>
      </c>
      <c r="N31" s="36">
        <v>5</v>
      </c>
      <c r="O31" s="5">
        <v>1</v>
      </c>
      <c r="P31" s="37">
        <f t="shared" si="4"/>
        <v>6</v>
      </c>
      <c r="Q31" s="38">
        <v>0</v>
      </c>
      <c r="R31" s="37">
        <f t="shared" si="5"/>
        <v>6</v>
      </c>
      <c r="S31" s="36">
        <v>0</v>
      </c>
      <c r="T31" s="5">
        <v>2</v>
      </c>
      <c r="U31" s="37">
        <f t="shared" si="6"/>
        <v>4</v>
      </c>
      <c r="V31" s="38">
        <v>0</v>
      </c>
      <c r="W31" s="37">
        <f t="shared" si="7"/>
        <v>4</v>
      </c>
      <c r="X31" s="36">
        <v>0</v>
      </c>
      <c r="Y31" s="5">
        <v>0</v>
      </c>
      <c r="Z31" s="37">
        <f t="shared" si="8"/>
        <v>4</v>
      </c>
      <c r="AA31" s="38">
        <v>0</v>
      </c>
      <c r="AB31" s="37">
        <f t="shared" si="9"/>
        <v>4</v>
      </c>
      <c r="AC31" s="36">
        <v>0</v>
      </c>
      <c r="AD31" s="5">
        <v>2</v>
      </c>
      <c r="AE31" s="37">
        <f t="shared" si="10"/>
        <v>2</v>
      </c>
      <c r="AF31" s="38">
        <v>0</v>
      </c>
      <c r="AG31" s="37">
        <f t="shared" si="11"/>
        <v>2</v>
      </c>
      <c r="AH31" s="36">
        <v>0</v>
      </c>
      <c r="AI31" s="5">
        <v>0</v>
      </c>
      <c r="AJ31" s="37">
        <f t="shared" si="12"/>
        <v>2</v>
      </c>
      <c r="AK31" s="38">
        <v>0</v>
      </c>
      <c r="AL31" s="37">
        <f t="shared" si="13"/>
        <v>2</v>
      </c>
      <c r="AM31" s="35" t="s">
        <v>901</v>
      </c>
      <c r="AN31" s="35" t="s">
        <v>68</v>
      </c>
      <c r="AO31" s="163">
        <v>3600</v>
      </c>
      <c r="AP31" s="5">
        <v>0</v>
      </c>
      <c r="AQ31" s="35" t="s">
        <v>67</v>
      </c>
      <c r="AR31" s="35"/>
      <c r="AS31" s="122"/>
      <c r="AT31" s="35">
        <v>172</v>
      </c>
      <c r="AU31" s="35" t="s">
        <v>902</v>
      </c>
    </row>
    <row r="32" spans="1:47" x14ac:dyDescent="0.15">
      <c r="A32" s="14" t="s">
        <v>845</v>
      </c>
      <c r="B32" s="5" t="s">
        <v>874</v>
      </c>
      <c r="C32" s="36">
        <v>20</v>
      </c>
      <c r="D32" s="36">
        <v>10</v>
      </c>
      <c r="E32" s="5">
        <v>0</v>
      </c>
      <c r="F32" s="37">
        <f t="shared" si="0"/>
        <v>30</v>
      </c>
      <c r="G32" s="38">
        <v>0</v>
      </c>
      <c r="H32" s="37">
        <f t="shared" si="1"/>
        <v>30</v>
      </c>
      <c r="I32" s="36">
        <v>0</v>
      </c>
      <c r="J32" s="5">
        <v>0</v>
      </c>
      <c r="K32" s="37">
        <f t="shared" si="2"/>
        <v>30</v>
      </c>
      <c r="L32" s="38">
        <v>0</v>
      </c>
      <c r="M32" s="37">
        <f t="shared" si="3"/>
        <v>30</v>
      </c>
      <c r="N32" s="36">
        <v>0</v>
      </c>
      <c r="O32" s="5">
        <v>0</v>
      </c>
      <c r="P32" s="37">
        <f t="shared" si="4"/>
        <v>30</v>
      </c>
      <c r="Q32" s="38">
        <v>0</v>
      </c>
      <c r="R32" s="37">
        <f t="shared" si="5"/>
        <v>30</v>
      </c>
      <c r="S32" s="36">
        <v>0</v>
      </c>
      <c r="T32" s="5">
        <v>0</v>
      </c>
      <c r="U32" s="37">
        <f t="shared" si="6"/>
        <v>30</v>
      </c>
      <c r="V32" s="38">
        <v>0</v>
      </c>
      <c r="W32" s="37">
        <f t="shared" si="7"/>
        <v>30</v>
      </c>
      <c r="X32" s="36">
        <v>0</v>
      </c>
      <c r="Y32" s="5">
        <v>0</v>
      </c>
      <c r="Z32" s="37">
        <f t="shared" si="8"/>
        <v>30</v>
      </c>
      <c r="AA32" s="38">
        <v>0</v>
      </c>
      <c r="AB32" s="37">
        <f t="shared" si="9"/>
        <v>30</v>
      </c>
      <c r="AC32" s="36">
        <v>0</v>
      </c>
      <c r="AD32" s="5">
        <v>0</v>
      </c>
      <c r="AE32" s="37">
        <f t="shared" si="10"/>
        <v>30</v>
      </c>
      <c r="AF32" s="38">
        <v>0</v>
      </c>
      <c r="AG32" s="37">
        <f t="shared" si="11"/>
        <v>30</v>
      </c>
      <c r="AH32" s="36">
        <v>0</v>
      </c>
      <c r="AI32" s="5">
        <v>0</v>
      </c>
      <c r="AJ32" s="37">
        <f t="shared" si="12"/>
        <v>30</v>
      </c>
      <c r="AK32" s="38">
        <v>0</v>
      </c>
      <c r="AL32" s="37">
        <f t="shared" si="13"/>
        <v>30</v>
      </c>
      <c r="AM32" s="35" t="s">
        <v>574</v>
      </c>
      <c r="AN32" s="35" t="s">
        <v>69</v>
      </c>
      <c r="AO32" s="163">
        <v>5400</v>
      </c>
      <c r="AP32" s="5">
        <v>0</v>
      </c>
      <c r="AQ32" s="35"/>
      <c r="AR32" s="35"/>
      <c r="AS32" s="122">
        <v>4528947025314</v>
      </c>
      <c r="AT32" s="35">
        <v>188</v>
      </c>
      <c r="AU32" s="35" t="s">
        <v>903</v>
      </c>
    </row>
    <row r="33" spans="1:47" x14ac:dyDescent="0.15">
      <c r="A33" s="14" t="s">
        <v>562</v>
      </c>
      <c r="B33" s="5" t="s">
        <v>563</v>
      </c>
      <c r="C33" s="36">
        <v>8</v>
      </c>
      <c r="D33" s="36">
        <v>0</v>
      </c>
      <c r="E33" s="5">
        <v>0</v>
      </c>
      <c r="F33" s="37">
        <f t="shared" si="0"/>
        <v>8</v>
      </c>
      <c r="G33" s="38">
        <v>0</v>
      </c>
      <c r="H33" s="37">
        <f t="shared" si="1"/>
        <v>8</v>
      </c>
      <c r="I33" s="36">
        <v>15</v>
      </c>
      <c r="J33" s="5">
        <v>16</v>
      </c>
      <c r="K33" s="37">
        <f t="shared" si="2"/>
        <v>7</v>
      </c>
      <c r="L33" s="38">
        <v>0</v>
      </c>
      <c r="M33" s="37">
        <f t="shared" si="3"/>
        <v>7</v>
      </c>
      <c r="N33" s="36">
        <v>16</v>
      </c>
      <c r="O33" s="5">
        <v>8</v>
      </c>
      <c r="P33" s="37">
        <f t="shared" si="4"/>
        <v>15</v>
      </c>
      <c r="Q33" s="38">
        <v>0</v>
      </c>
      <c r="R33" s="37">
        <f t="shared" si="5"/>
        <v>15</v>
      </c>
      <c r="S33" s="36">
        <v>16</v>
      </c>
      <c r="T33" s="5">
        <v>18</v>
      </c>
      <c r="U33" s="37">
        <f t="shared" si="6"/>
        <v>13</v>
      </c>
      <c r="V33" s="38">
        <v>0</v>
      </c>
      <c r="W33" s="37">
        <f t="shared" si="7"/>
        <v>13</v>
      </c>
      <c r="X33" s="36">
        <v>0</v>
      </c>
      <c r="Y33" s="5">
        <v>8</v>
      </c>
      <c r="Z33" s="37">
        <f t="shared" si="8"/>
        <v>5</v>
      </c>
      <c r="AA33" s="38">
        <v>0</v>
      </c>
      <c r="AB33" s="37">
        <f t="shared" si="9"/>
        <v>5</v>
      </c>
      <c r="AC33" s="36">
        <v>16</v>
      </c>
      <c r="AD33" s="5">
        <v>9</v>
      </c>
      <c r="AE33" s="37">
        <f t="shared" si="10"/>
        <v>12</v>
      </c>
      <c r="AF33" s="38">
        <v>0</v>
      </c>
      <c r="AG33" s="37">
        <f t="shared" si="11"/>
        <v>12</v>
      </c>
      <c r="AH33" s="36">
        <v>16</v>
      </c>
      <c r="AI33" s="5">
        <v>17</v>
      </c>
      <c r="AJ33" s="37">
        <f t="shared" si="12"/>
        <v>11</v>
      </c>
      <c r="AK33" s="38">
        <v>0</v>
      </c>
      <c r="AL33" s="37">
        <f t="shared" si="13"/>
        <v>11</v>
      </c>
      <c r="AM33" s="35" t="s">
        <v>904</v>
      </c>
      <c r="AN33" s="35" t="s">
        <v>68</v>
      </c>
      <c r="AO33" s="5">
        <v>440</v>
      </c>
      <c r="AP33" s="5">
        <v>0</v>
      </c>
      <c r="AQ33" s="35"/>
      <c r="AR33" s="35"/>
      <c r="AS33" s="122"/>
      <c r="AT33" s="35">
        <v>210</v>
      </c>
      <c r="AU33" s="35" t="s">
        <v>905</v>
      </c>
    </row>
    <row r="34" spans="1:47" x14ac:dyDescent="0.15">
      <c r="A34" s="14" t="s">
        <v>550</v>
      </c>
      <c r="B34" s="5" t="s">
        <v>551</v>
      </c>
      <c r="C34" s="36">
        <v>1</v>
      </c>
      <c r="D34" s="36">
        <v>8</v>
      </c>
      <c r="E34" s="5">
        <v>0</v>
      </c>
      <c r="F34" s="37">
        <f t="shared" si="0"/>
        <v>9</v>
      </c>
      <c r="G34" s="38">
        <v>0</v>
      </c>
      <c r="H34" s="37">
        <f t="shared" si="1"/>
        <v>9</v>
      </c>
      <c r="I34" s="36">
        <v>0</v>
      </c>
      <c r="J34" s="5">
        <v>1</v>
      </c>
      <c r="K34" s="37">
        <f t="shared" si="2"/>
        <v>8</v>
      </c>
      <c r="L34" s="38">
        <v>-1</v>
      </c>
      <c r="M34" s="37">
        <f t="shared" si="3"/>
        <v>7</v>
      </c>
      <c r="N34" s="36">
        <v>0</v>
      </c>
      <c r="O34" s="5">
        <v>0</v>
      </c>
      <c r="P34" s="37">
        <f t="shared" si="4"/>
        <v>7</v>
      </c>
      <c r="Q34" s="38">
        <v>-1</v>
      </c>
      <c r="R34" s="37">
        <f t="shared" si="5"/>
        <v>6</v>
      </c>
      <c r="S34" s="36">
        <v>0</v>
      </c>
      <c r="T34" s="5">
        <v>1</v>
      </c>
      <c r="U34" s="37">
        <f t="shared" si="6"/>
        <v>5</v>
      </c>
      <c r="V34" s="38">
        <v>-1</v>
      </c>
      <c r="W34" s="37">
        <f t="shared" si="7"/>
        <v>4</v>
      </c>
      <c r="X34" s="36">
        <v>0</v>
      </c>
      <c r="Y34" s="5">
        <v>0</v>
      </c>
      <c r="Z34" s="37">
        <f t="shared" si="8"/>
        <v>4</v>
      </c>
      <c r="AA34" s="38">
        <v>0</v>
      </c>
      <c r="AB34" s="37">
        <f t="shared" si="9"/>
        <v>4</v>
      </c>
      <c r="AC34" s="36">
        <v>0</v>
      </c>
      <c r="AD34" s="5">
        <v>1</v>
      </c>
      <c r="AE34" s="37">
        <f t="shared" si="10"/>
        <v>3</v>
      </c>
      <c r="AF34" s="38">
        <v>-1</v>
      </c>
      <c r="AG34" s="37">
        <f t="shared" si="11"/>
        <v>2</v>
      </c>
      <c r="AH34" s="36">
        <v>0</v>
      </c>
      <c r="AI34" s="5">
        <v>0</v>
      </c>
      <c r="AJ34" s="37">
        <f t="shared" si="12"/>
        <v>2</v>
      </c>
      <c r="AK34" s="38">
        <v>-1</v>
      </c>
      <c r="AL34" s="37">
        <f t="shared" si="13"/>
        <v>1</v>
      </c>
      <c r="AM34" s="35" t="s">
        <v>904</v>
      </c>
      <c r="AN34" s="35" t="s">
        <v>69</v>
      </c>
      <c r="AO34" s="163">
        <v>6600</v>
      </c>
      <c r="AP34" s="5">
        <v>0</v>
      </c>
      <c r="AQ34" s="35" t="s">
        <v>67</v>
      </c>
      <c r="AR34" s="35"/>
      <c r="AS34" s="122"/>
      <c r="AT34" s="35">
        <v>210</v>
      </c>
      <c r="AU34" s="35" t="s">
        <v>905</v>
      </c>
    </row>
    <row r="35" spans="1:47" x14ac:dyDescent="0.15">
      <c r="A35" s="14" t="s">
        <v>770</v>
      </c>
      <c r="B35" s="5" t="s">
        <v>771</v>
      </c>
      <c r="C35" s="36">
        <v>1</v>
      </c>
      <c r="D35" s="36">
        <v>14</v>
      </c>
      <c r="E35" s="5">
        <v>0</v>
      </c>
      <c r="F35" s="37">
        <f t="shared" si="0"/>
        <v>15</v>
      </c>
      <c r="G35" s="38">
        <v>0</v>
      </c>
      <c r="H35" s="37">
        <f t="shared" si="1"/>
        <v>15</v>
      </c>
      <c r="I35" s="36">
        <v>0</v>
      </c>
      <c r="J35" s="5">
        <v>1</v>
      </c>
      <c r="K35" s="37">
        <f t="shared" si="2"/>
        <v>14</v>
      </c>
      <c r="L35" s="38">
        <v>-1</v>
      </c>
      <c r="M35" s="37">
        <f t="shared" si="3"/>
        <v>13</v>
      </c>
      <c r="N35" s="36">
        <v>0</v>
      </c>
      <c r="O35" s="5">
        <v>0</v>
      </c>
      <c r="P35" s="37">
        <f t="shared" si="4"/>
        <v>13</v>
      </c>
      <c r="Q35" s="38">
        <v>-1</v>
      </c>
      <c r="R35" s="37">
        <f t="shared" si="5"/>
        <v>12</v>
      </c>
      <c r="S35" s="36">
        <v>0</v>
      </c>
      <c r="T35" s="5">
        <v>1</v>
      </c>
      <c r="U35" s="37">
        <f t="shared" si="6"/>
        <v>11</v>
      </c>
      <c r="V35" s="38">
        <v>-1</v>
      </c>
      <c r="W35" s="37">
        <f t="shared" si="7"/>
        <v>10</v>
      </c>
      <c r="X35" s="36">
        <v>0</v>
      </c>
      <c r="Y35" s="5">
        <v>0</v>
      </c>
      <c r="Z35" s="37">
        <f t="shared" si="8"/>
        <v>10</v>
      </c>
      <c r="AA35" s="38">
        <v>-1</v>
      </c>
      <c r="AB35" s="37">
        <f t="shared" si="9"/>
        <v>9</v>
      </c>
      <c r="AC35" s="36">
        <v>0</v>
      </c>
      <c r="AD35" s="5">
        <v>1</v>
      </c>
      <c r="AE35" s="37">
        <f t="shared" si="10"/>
        <v>8</v>
      </c>
      <c r="AF35" s="38">
        <v>-2</v>
      </c>
      <c r="AG35" s="37">
        <f t="shared" si="11"/>
        <v>6</v>
      </c>
      <c r="AH35" s="36">
        <v>0</v>
      </c>
      <c r="AI35" s="5">
        <v>0</v>
      </c>
      <c r="AJ35" s="37">
        <f t="shared" si="12"/>
        <v>6</v>
      </c>
      <c r="AK35" s="38">
        <v>-1</v>
      </c>
      <c r="AL35" s="37">
        <f t="shared" si="13"/>
        <v>5</v>
      </c>
      <c r="AM35" s="35" t="s">
        <v>904</v>
      </c>
      <c r="AN35" s="35" t="s">
        <v>69</v>
      </c>
      <c r="AO35" s="163">
        <v>3540</v>
      </c>
      <c r="AP35" s="5">
        <v>0</v>
      </c>
      <c r="AQ35" s="35" t="s">
        <v>67</v>
      </c>
      <c r="AR35" s="35"/>
      <c r="AS35" s="122"/>
      <c r="AT35" s="35">
        <v>210</v>
      </c>
      <c r="AU35" s="35" t="s">
        <v>905</v>
      </c>
    </row>
    <row r="36" spans="1:47" x14ac:dyDescent="0.15">
      <c r="A36" s="14" t="s">
        <v>736</v>
      </c>
      <c r="B36" s="5" t="s">
        <v>737</v>
      </c>
      <c r="C36" s="36">
        <v>14</v>
      </c>
      <c r="D36" s="36">
        <v>0</v>
      </c>
      <c r="E36" s="5">
        <v>0</v>
      </c>
      <c r="F36" s="37">
        <f t="shared" si="0"/>
        <v>14</v>
      </c>
      <c r="G36" s="38">
        <v>0</v>
      </c>
      <c r="H36" s="37">
        <f t="shared" si="1"/>
        <v>14</v>
      </c>
      <c r="I36" s="36">
        <v>10</v>
      </c>
      <c r="J36" s="5">
        <v>13</v>
      </c>
      <c r="K36" s="37">
        <f t="shared" si="2"/>
        <v>11</v>
      </c>
      <c r="L36" s="38">
        <v>0</v>
      </c>
      <c r="M36" s="37">
        <f t="shared" si="3"/>
        <v>11</v>
      </c>
      <c r="N36" s="36">
        <v>10</v>
      </c>
      <c r="O36" s="5">
        <v>5</v>
      </c>
      <c r="P36" s="37">
        <f t="shared" si="4"/>
        <v>16</v>
      </c>
      <c r="Q36" s="38">
        <v>0</v>
      </c>
      <c r="R36" s="37">
        <f t="shared" si="5"/>
        <v>16</v>
      </c>
      <c r="S36" s="36">
        <v>10</v>
      </c>
      <c r="T36" s="5">
        <v>14</v>
      </c>
      <c r="U36" s="37">
        <f t="shared" si="6"/>
        <v>12</v>
      </c>
      <c r="V36" s="38">
        <v>0</v>
      </c>
      <c r="W36" s="37">
        <f t="shared" si="7"/>
        <v>12</v>
      </c>
      <c r="X36" s="36">
        <v>10</v>
      </c>
      <c r="Y36" s="5">
        <v>7</v>
      </c>
      <c r="Z36" s="37">
        <f t="shared" si="8"/>
        <v>15</v>
      </c>
      <c r="AA36" s="38">
        <v>0</v>
      </c>
      <c r="AB36" s="37">
        <f t="shared" si="9"/>
        <v>15</v>
      </c>
      <c r="AC36" s="36">
        <v>20</v>
      </c>
      <c r="AD36" s="5">
        <v>18</v>
      </c>
      <c r="AE36" s="37">
        <f t="shared" si="10"/>
        <v>17</v>
      </c>
      <c r="AF36" s="38">
        <v>0</v>
      </c>
      <c r="AG36" s="37">
        <f t="shared" si="11"/>
        <v>17</v>
      </c>
      <c r="AH36" s="36">
        <v>10</v>
      </c>
      <c r="AI36" s="5">
        <v>20</v>
      </c>
      <c r="AJ36" s="37">
        <f t="shared" si="12"/>
        <v>7</v>
      </c>
      <c r="AK36" s="38">
        <v>0</v>
      </c>
      <c r="AL36" s="37">
        <f t="shared" si="13"/>
        <v>7</v>
      </c>
      <c r="AM36" s="35" t="s">
        <v>904</v>
      </c>
      <c r="AN36" s="35" t="s">
        <v>68</v>
      </c>
      <c r="AO36" s="5">
        <v>390</v>
      </c>
      <c r="AP36" s="5">
        <v>0</v>
      </c>
      <c r="AQ36" s="35"/>
      <c r="AR36" s="35"/>
      <c r="AS36" s="122"/>
      <c r="AT36" s="35">
        <v>210</v>
      </c>
      <c r="AU36" s="35" t="s">
        <v>905</v>
      </c>
    </row>
    <row r="37" spans="1:47" x14ac:dyDescent="0.15">
      <c r="A37" s="14" t="s">
        <v>1014</v>
      </c>
      <c r="B37" s="5" t="s">
        <v>1015</v>
      </c>
      <c r="C37" s="36">
        <v>0</v>
      </c>
      <c r="D37" s="36">
        <v>0</v>
      </c>
      <c r="E37" s="5">
        <v>0</v>
      </c>
      <c r="F37" s="37">
        <f t="shared" si="0"/>
        <v>0</v>
      </c>
      <c r="G37" s="38">
        <v>0</v>
      </c>
      <c r="H37" s="37">
        <f t="shared" si="1"/>
        <v>0</v>
      </c>
      <c r="I37" s="36">
        <v>28</v>
      </c>
      <c r="J37" s="5">
        <v>28</v>
      </c>
      <c r="K37" s="37">
        <f t="shared" si="2"/>
        <v>0</v>
      </c>
      <c r="L37" s="38">
        <v>0</v>
      </c>
      <c r="M37" s="37">
        <f t="shared" si="3"/>
        <v>0</v>
      </c>
      <c r="N37" s="36">
        <v>0</v>
      </c>
      <c r="O37" s="5">
        <v>0</v>
      </c>
      <c r="P37" s="37">
        <f t="shared" si="4"/>
        <v>0</v>
      </c>
      <c r="Q37" s="38">
        <v>0</v>
      </c>
      <c r="R37" s="37">
        <f t="shared" si="5"/>
        <v>0</v>
      </c>
      <c r="S37" s="36">
        <v>0</v>
      </c>
      <c r="T37" s="5">
        <v>0</v>
      </c>
      <c r="U37" s="37">
        <f t="shared" si="6"/>
        <v>0</v>
      </c>
      <c r="V37" s="38">
        <v>0</v>
      </c>
      <c r="W37" s="37">
        <f t="shared" si="7"/>
        <v>0</v>
      </c>
      <c r="X37" s="36">
        <v>0</v>
      </c>
      <c r="Y37" s="5">
        <v>0</v>
      </c>
      <c r="Z37" s="37">
        <f t="shared" si="8"/>
        <v>0</v>
      </c>
      <c r="AA37" s="38">
        <v>0</v>
      </c>
      <c r="AB37" s="37">
        <f t="shared" si="9"/>
        <v>0</v>
      </c>
      <c r="AC37" s="36">
        <v>0</v>
      </c>
      <c r="AD37" s="5">
        <v>0</v>
      </c>
      <c r="AE37" s="37">
        <f t="shared" si="10"/>
        <v>0</v>
      </c>
      <c r="AF37" s="38">
        <v>0</v>
      </c>
      <c r="AG37" s="37">
        <f t="shared" si="11"/>
        <v>0</v>
      </c>
      <c r="AH37" s="36">
        <v>0</v>
      </c>
      <c r="AI37" s="5">
        <v>0</v>
      </c>
      <c r="AJ37" s="37">
        <f t="shared" si="12"/>
        <v>0</v>
      </c>
      <c r="AK37" s="38">
        <v>0</v>
      </c>
      <c r="AL37" s="37">
        <f t="shared" si="13"/>
        <v>0</v>
      </c>
      <c r="AM37" s="35" t="s">
        <v>1016</v>
      </c>
      <c r="AN37" s="35" t="s">
        <v>68</v>
      </c>
      <c r="AO37" s="163">
        <v>1650</v>
      </c>
      <c r="AP37" s="5">
        <v>0</v>
      </c>
      <c r="AQ37" s="35" t="s">
        <v>67</v>
      </c>
      <c r="AR37" s="35"/>
      <c r="AS37" s="122">
        <v>4580450000000</v>
      </c>
      <c r="AT37" s="35">
        <v>183</v>
      </c>
      <c r="AU37" s="35" t="s">
        <v>991</v>
      </c>
    </row>
    <row r="38" spans="1:47" x14ac:dyDescent="0.15">
      <c r="A38" s="14" t="s">
        <v>1012</v>
      </c>
      <c r="B38" s="5" t="s">
        <v>1013</v>
      </c>
      <c r="C38" s="36">
        <v>0</v>
      </c>
      <c r="D38" s="36">
        <v>0</v>
      </c>
      <c r="E38" s="5">
        <v>0</v>
      </c>
      <c r="F38" s="37">
        <f t="shared" si="0"/>
        <v>0</v>
      </c>
      <c r="G38" s="38">
        <v>0</v>
      </c>
      <c r="H38" s="37">
        <f t="shared" si="1"/>
        <v>0</v>
      </c>
      <c r="I38" s="36">
        <v>0</v>
      </c>
      <c r="J38" s="5">
        <v>0</v>
      </c>
      <c r="K38" s="37">
        <f t="shared" si="2"/>
        <v>0</v>
      </c>
      <c r="L38" s="38">
        <v>0</v>
      </c>
      <c r="M38" s="37">
        <f t="shared" si="3"/>
        <v>0</v>
      </c>
      <c r="N38" s="36">
        <v>0</v>
      </c>
      <c r="O38" s="5">
        <v>0</v>
      </c>
      <c r="P38" s="37">
        <f t="shared" si="4"/>
        <v>0</v>
      </c>
      <c r="Q38" s="38">
        <v>0</v>
      </c>
      <c r="R38" s="37">
        <f t="shared" si="5"/>
        <v>0</v>
      </c>
      <c r="S38" s="36">
        <v>0</v>
      </c>
      <c r="T38" s="5">
        <v>0</v>
      </c>
      <c r="U38" s="37">
        <f t="shared" si="6"/>
        <v>0</v>
      </c>
      <c r="V38" s="38">
        <v>0</v>
      </c>
      <c r="W38" s="37">
        <f t="shared" si="7"/>
        <v>0</v>
      </c>
      <c r="X38" s="36">
        <v>0</v>
      </c>
      <c r="Y38" s="5">
        <v>0</v>
      </c>
      <c r="Z38" s="37">
        <f t="shared" si="8"/>
        <v>0</v>
      </c>
      <c r="AA38" s="38">
        <v>0</v>
      </c>
      <c r="AB38" s="37">
        <f t="shared" si="9"/>
        <v>0</v>
      </c>
      <c r="AC38" s="36">
        <v>0</v>
      </c>
      <c r="AD38" s="5">
        <v>0</v>
      </c>
      <c r="AE38" s="37">
        <f t="shared" si="10"/>
        <v>0</v>
      </c>
      <c r="AF38" s="38">
        <v>0</v>
      </c>
      <c r="AG38" s="37">
        <f t="shared" si="11"/>
        <v>0</v>
      </c>
      <c r="AH38" s="36">
        <v>0</v>
      </c>
      <c r="AI38" s="5">
        <v>0</v>
      </c>
      <c r="AJ38" s="37">
        <f t="shared" si="12"/>
        <v>0</v>
      </c>
      <c r="AK38" s="38">
        <v>0</v>
      </c>
      <c r="AL38" s="37">
        <f t="shared" si="13"/>
        <v>0</v>
      </c>
      <c r="AM38" s="35"/>
      <c r="AN38" s="35"/>
      <c r="AO38" s="5">
        <v>0</v>
      </c>
      <c r="AP38" s="5">
        <v>0</v>
      </c>
      <c r="AQ38" s="35"/>
      <c r="AR38" s="35"/>
      <c r="AS38" s="122"/>
      <c r="AT38" s="35"/>
      <c r="AU38" s="35"/>
    </row>
    <row r="39" spans="1:47" x14ac:dyDescent="0.15">
      <c r="A39" s="14" t="s">
        <v>852</v>
      </c>
      <c r="B39" s="5" t="s">
        <v>853</v>
      </c>
      <c r="C39" s="36">
        <v>0</v>
      </c>
      <c r="D39" s="36">
        <v>0</v>
      </c>
      <c r="E39" s="5">
        <v>0</v>
      </c>
      <c r="F39" s="37">
        <f t="shared" si="0"/>
        <v>0</v>
      </c>
      <c r="G39" s="38">
        <v>0</v>
      </c>
      <c r="H39" s="37">
        <f t="shared" si="1"/>
        <v>0</v>
      </c>
      <c r="I39" s="36">
        <v>0</v>
      </c>
      <c r="J39" s="5">
        <v>0</v>
      </c>
      <c r="K39" s="37">
        <f t="shared" si="2"/>
        <v>0</v>
      </c>
      <c r="L39" s="38">
        <v>0</v>
      </c>
      <c r="M39" s="37">
        <f t="shared" si="3"/>
        <v>0</v>
      </c>
      <c r="N39" s="36">
        <v>0</v>
      </c>
      <c r="O39" s="5">
        <v>0</v>
      </c>
      <c r="P39" s="37">
        <f t="shared" si="4"/>
        <v>0</v>
      </c>
      <c r="Q39" s="38">
        <v>0</v>
      </c>
      <c r="R39" s="37">
        <f t="shared" si="5"/>
        <v>0</v>
      </c>
      <c r="S39" s="36">
        <v>0</v>
      </c>
      <c r="T39" s="5">
        <v>0</v>
      </c>
      <c r="U39" s="37">
        <f t="shared" si="6"/>
        <v>0</v>
      </c>
      <c r="V39" s="38">
        <v>0</v>
      </c>
      <c r="W39" s="37">
        <f t="shared" si="7"/>
        <v>0</v>
      </c>
      <c r="X39" s="36">
        <v>0</v>
      </c>
      <c r="Y39" s="5">
        <v>0</v>
      </c>
      <c r="Z39" s="37">
        <f t="shared" si="8"/>
        <v>0</v>
      </c>
      <c r="AA39" s="38">
        <v>0</v>
      </c>
      <c r="AB39" s="37">
        <f t="shared" si="9"/>
        <v>0</v>
      </c>
      <c r="AC39" s="36">
        <v>0</v>
      </c>
      <c r="AD39" s="5">
        <v>0</v>
      </c>
      <c r="AE39" s="37">
        <f t="shared" si="10"/>
        <v>0</v>
      </c>
      <c r="AF39" s="38">
        <v>0</v>
      </c>
      <c r="AG39" s="37">
        <f t="shared" si="11"/>
        <v>0</v>
      </c>
      <c r="AH39" s="36">
        <v>0</v>
      </c>
      <c r="AI39" s="5">
        <v>0</v>
      </c>
      <c r="AJ39" s="37">
        <f t="shared" si="12"/>
        <v>0</v>
      </c>
      <c r="AK39" s="38">
        <v>0</v>
      </c>
      <c r="AL39" s="37">
        <f t="shared" si="13"/>
        <v>0</v>
      </c>
      <c r="AM39" s="35" t="s">
        <v>906</v>
      </c>
      <c r="AN39" s="35" t="s">
        <v>68</v>
      </c>
      <c r="AO39" s="5">
        <v>0</v>
      </c>
      <c r="AP39" s="5">
        <v>0</v>
      </c>
      <c r="AQ39" s="35" t="s">
        <v>67</v>
      </c>
      <c r="AR39" s="35"/>
      <c r="AS39" s="122">
        <v>4580450000000</v>
      </c>
      <c r="AT39" s="35">
        <v>763</v>
      </c>
      <c r="AU39" s="35" t="s">
        <v>907</v>
      </c>
    </row>
    <row r="40" spans="1:47" x14ac:dyDescent="0.15">
      <c r="A40" s="14" t="s">
        <v>316</v>
      </c>
      <c r="B40" s="5" t="s">
        <v>319</v>
      </c>
      <c r="C40" s="36">
        <v>0</v>
      </c>
      <c r="D40" s="36">
        <v>0</v>
      </c>
      <c r="E40" s="5">
        <v>0</v>
      </c>
      <c r="F40" s="37">
        <f t="shared" si="0"/>
        <v>0</v>
      </c>
      <c r="G40" s="38">
        <v>0</v>
      </c>
      <c r="H40" s="37">
        <f t="shared" si="1"/>
        <v>0</v>
      </c>
      <c r="I40" s="36">
        <v>0</v>
      </c>
      <c r="J40" s="5">
        <v>0</v>
      </c>
      <c r="K40" s="37">
        <f t="shared" si="2"/>
        <v>0</v>
      </c>
      <c r="L40" s="38">
        <v>0</v>
      </c>
      <c r="M40" s="37">
        <f t="shared" si="3"/>
        <v>0</v>
      </c>
      <c r="N40" s="36">
        <v>1</v>
      </c>
      <c r="O40" s="5">
        <v>1</v>
      </c>
      <c r="P40" s="37">
        <f t="shared" si="4"/>
        <v>0</v>
      </c>
      <c r="Q40" s="38">
        <v>0</v>
      </c>
      <c r="R40" s="37">
        <f t="shared" si="5"/>
        <v>0</v>
      </c>
      <c r="S40" s="36">
        <v>0</v>
      </c>
      <c r="T40" s="5">
        <v>0</v>
      </c>
      <c r="U40" s="37">
        <f t="shared" si="6"/>
        <v>0</v>
      </c>
      <c r="V40" s="38">
        <v>0</v>
      </c>
      <c r="W40" s="37">
        <f t="shared" si="7"/>
        <v>0</v>
      </c>
      <c r="X40" s="36">
        <v>1</v>
      </c>
      <c r="Y40" s="5">
        <v>1</v>
      </c>
      <c r="Z40" s="37">
        <f t="shared" si="8"/>
        <v>0</v>
      </c>
      <c r="AA40" s="38">
        <v>0</v>
      </c>
      <c r="AB40" s="37">
        <f t="shared" si="9"/>
        <v>0</v>
      </c>
      <c r="AC40" s="36">
        <v>0</v>
      </c>
      <c r="AD40" s="5">
        <v>0</v>
      </c>
      <c r="AE40" s="37">
        <f t="shared" si="10"/>
        <v>0</v>
      </c>
      <c r="AF40" s="38">
        <v>0</v>
      </c>
      <c r="AG40" s="37">
        <f t="shared" si="11"/>
        <v>0</v>
      </c>
      <c r="AH40" s="36">
        <v>1</v>
      </c>
      <c r="AI40" s="5">
        <v>1</v>
      </c>
      <c r="AJ40" s="37">
        <f t="shared" si="12"/>
        <v>0</v>
      </c>
      <c r="AK40" s="38">
        <v>0</v>
      </c>
      <c r="AL40" s="37">
        <f t="shared" si="13"/>
        <v>0</v>
      </c>
      <c r="AM40" s="35" t="s">
        <v>908</v>
      </c>
      <c r="AN40" s="35" t="s">
        <v>69</v>
      </c>
      <c r="AO40" s="163">
        <v>5120</v>
      </c>
      <c r="AP40" s="5">
        <v>0</v>
      </c>
      <c r="AQ40" s="35" t="s">
        <v>67</v>
      </c>
      <c r="AR40" s="35"/>
      <c r="AS40" s="122"/>
      <c r="AT40" s="35"/>
      <c r="AU40" s="35"/>
    </row>
    <row r="41" spans="1:47" x14ac:dyDescent="0.15">
      <c r="A41" s="14" t="s">
        <v>730</v>
      </c>
      <c r="B41" s="5" t="s">
        <v>731</v>
      </c>
      <c r="C41" s="36">
        <v>0</v>
      </c>
      <c r="D41" s="36">
        <v>1</v>
      </c>
      <c r="E41" s="5">
        <v>0</v>
      </c>
      <c r="F41" s="37">
        <f t="shared" si="0"/>
        <v>1</v>
      </c>
      <c r="G41" s="38">
        <v>0</v>
      </c>
      <c r="H41" s="37">
        <f t="shared" si="1"/>
        <v>1</v>
      </c>
      <c r="I41" s="36">
        <v>0</v>
      </c>
      <c r="J41" s="5">
        <v>1</v>
      </c>
      <c r="K41" s="37">
        <f t="shared" si="2"/>
        <v>0</v>
      </c>
      <c r="L41" s="38">
        <v>0</v>
      </c>
      <c r="M41" s="37">
        <f t="shared" si="3"/>
        <v>0</v>
      </c>
      <c r="N41" s="36">
        <v>1</v>
      </c>
      <c r="O41" s="5">
        <v>1</v>
      </c>
      <c r="P41" s="37">
        <f t="shared" si="4"/>
        <v>0</v>
      </c>
      <c r="Q41" s="38">
        <v>0</v>
      </c>
      <c r="R41" s="37">
        <f t="shared" si="5"/>
        <v>0</v>
      </c>
      <c r="S41" s="36">
        <v>1</v>
      </c>
      <c r="T41" s="5">
        <v>1</v>
      </c>
      <c r="U41" s="37">
        <f t="shared" si="6"/>
        <v>0</v>
      </c>
      <c r="V41" s="38">
        <v>0</v>
      </c>
      <c r="W41" s="37">
        <f t="shared" si="7"/>
        <v>0</v>
      </c>
      <c r="X41" s="36">
        <v>1</v>
      </c>
      <c r="Y41" s="5">
        <v>1</v>
      </c>
      <c r="Z41" s="37">
        <f t="shared" si="8"/>
        <v>0</v>
      </c>
      <c r="AA41" s="38">
        <v>0</v>
      </c>
      <c r="AB41" s="37">
        <f t="shared" si="9"/>
        <v>0</v>
      </c>
      <c r="AC41" s="36">
        <v>1</v>
      </c>
      <c r="AD41" s="5">
        <v>1</v>
      </c>
      <c r="AE41" s="37">
        <f t="shared" si="10"/>
        <v>0</v>
      </c>
      <c r="AF41" s="38">
        <v>0</v>
      </c>
      <c r="AG41" s="37">
        <f t="shared" si="11"/>
        <v>0</v>
      </c>
      <c r="AH41" s="36">
        <v>1</v>
      </c>
      <c r="AI41" s="5">
        <v>1</v>
      </c>
      <c r="AJ41" s="37">
        <f t="shared" si="12"/>
        <v>0</v>
      </c>
      <c r="AK41" s="38">
        <v>0</v>
      </c>
      <c r="AL41" s="37">
        <f t="shared" si="13"/>
        <v>0</v>
      </c>
      <c r="AM41" s="35" t="s">
        <v>909</v>
      </c>
      <c r="AN41" s="35" t="s">
        <v>69</v>
      </c>
      <c r="AO41" s="163">
        <v>5120</v>
      </c>
      <c r="AP41" s="5">
        <v>0</v>
      </c>
      <c r="AQ41" s="35" t="s">
        <v>67</v>
      </c>
      <c r="AR41" s="35"/>
      <c r="AS41" s="122"/>
      <c r="AT41" s="35"/>
      <c r="AU41" s="35"/>
    </row>
    <row r="42" spans="1:47" x14ac:dyDescent="0.15">
      <c r="A42" s="14" t="s">
        <v>875</v>
      </c>
      <c r="B42" s="5" t="s">
        <v>876</v>
      </c>
      <c r="C42" s="36">
        <v>0</v>
      </c>
      <c r="D42" s="36">
        <v>1</v>
      </c>
      <c r="E42" s="5">
        <v>0</v>
      </c>
      <c r="F42" s="37">
        <f t="shared" si="0"/>
        <v>1</v>
      </c>
      <c r="G42" s="38">
        <v>0</v>
      </c>
      <c r="H42" s="37">
        <f t="shared" si="1"/>
        <v>1</v>
      </c>
      <c r="I42" s="36">
        <v>0</v>
      </c>
      <c r="J42" s="5">
        <v>1</v>
      </c>
      <c r="K42" s="37">
        <f t="shared" si="2"/>
        <v>0</v>
      </c>
      <c r="L42" s="38">
        <v>0</v>
      </c>
      <c r="M42" s="37">
        <f t="shared" si="3"/>
        <v>0</v>
      </c>
      <c r="N42" s="36">
        <v>0</v>
      </c>
      <c r="O42" s="5">
        <v>0</v>
      </c>
      <c r="P42" s="37">
        <f t="shared" si="4"/>
        <v>0</v>
      </c>
      <c r="Q42" s="38">
        <v>0</v>
      </c>
      <c r="R42" s="37">
        <f t="shared" si="5"/>
        <v>0</v>
      </c>
      <c r="S42" s="36">
        <v>0</v>
      </c>
      <c r="T42" s="5">
        <v>0</v>
      </c>
      <c r="U42" s="37">
        <f t="shared" si="6"/>
        <v>0</v>
      </c>
      <c r="V42" s="38">
        <v>0</v>
      </c>
      <c r="W42" s="37">
        <f t="shared" si="7"/>
        <v>0</v>
      </c>
      <c r="X42" s="36">
        <v>0</v>
      </c>
      <c r="Y42" s="5">
        <v>0</v>
      </c>
      <c r="Z42" s="37">
        <f t="shared" si="8"/>
        <v>0</v>
      </c>
      <c r="AA42" s="38">
        <v>0</v>
      </c>
      <c r="AB42" s="37">
        <f t="shared" si="9"/>
        <v>0</v>
      </c>
      <c r="AC42" s="36">
        <v>0</v>
      </c>
      <c r="AD42" s="5">
        <v>0</v>
      </c>
      <c r="AE42" s="37">
        <f t="shared" si="10"/>
        <v>0</v>
      </c>
      <c r="AF42" s="38">
        <v>0</v>
      </c>
      <c r="AG42" s="37">
        <f t="shared" si="11"/>
        <v>0</v>
      </c>
      <c r="AH42" s="36">
        <v>0</v>
      </c>
      <c r="AI42" s="5">
        <v>0</v>
      </c>
      <c r="AJ42" s="37">
        <f t="shared" si="12"/>
        <v>0</v>
      </c>
      <c r="AK42" s="38">
        <v>0</v>
      </c>
      <c r="AL42" s="37">
        <f t="shared" si="13"/>
        <v>0</v>
      </c>
      <c r="AM42" s="35" t="s">
        <v>908</v>
      </c>
      <c r="AN42" s="35" t="s">
        <v>69</v>
      </c>
      <c r="AO42" s="163">
        <v>2560</v>
      </c>
      <c r="AP42" s="5">
        <v>0</v>
      </c>
      <c r="AQ42" s="35" t="s">
        <v>67</v>
      </c>
      <c r="AR42" s="35"/>
      <c r="AS42" s="122"/>
      <c r="AT42" s="35"/>
      <c r="AU42" s="35"/>
    </row>
    <row r="43" spans="1:47" x14ac:dyDescent="0.15">
      <c r="A43" s="14" t="s">
        <v>910</v>
      </c>
      <c r="B43" s="5" t="s">
        <v>911</v>
      </c>
      <c r="C43" s="36">
        <v>0</v>
      </c>
      <c r="D43" s="36">
        <v>0</v>
      </c>
      <c r="E43" s="5">
        <v>0</v>
      </c>
      <c r="F43" s="37">
        <f t="shared" si="0"/>
        <v>0</v>
      </c>
      <c r="G43" s="38">
        <v>0</v>
      </c>
      <c r="H43" s="37">
        <f t="shared" si="1"/>
        <v>0</v>
      </c>
      <c r="I43" s="36">
        <v>0</v>
      </c>
      <c r="J43" s="5">
        <v>0</v>
      </c>
      <c r="K43" s="37">
        <f t="shared" si="2"/>
        <v>0</v>
      </c>
      <c r="L43" s="38">
        <v>0</v>
      </c>
      <c r="M43" s="37">
        <f t="shared" si="3"/>
        <v>0</v>
      </c>
      <c r="N43" s="36">
        <v>0</v>
      </c>
      <c r="O43" s="5">
        <v>0</v>
      </c>
      <c r="P43" s="37">
        <f t="shared" si="4"/>
        <v>0</v>
      </c>
      <c r="Q43" s="38">
        <v>0</v>
      </c>
      <c r="R43" s="37">
        <f t="shared" si="5"/>
        <v>0</v>
      </c>
      <c r="S43" s="36">
        <v>0</v>
      </c>
      <c r="T43" s="5">
        <v>0</v>
      </c>
      <c r="U43" s="37">
        <f t="shared" si="6"/>
        <v>0</v>
      </c>
      <c r="V43" s="38">
        <v>0</v>
      </c>
      <c r="W43" s="37">
        <f t="shared" si="7"/>
        <v>0</v>
      </c>
      <c r="X43" s="36">
        <v>0</v>
      </c>
      <c r="Y43" s="5">
        <v>0</v>
      </c>
      <c r="Z43" s="37">
        <f t="shared" si="8"/>
        <v>0</v>
      </c>
      <c r="AA43" s="38">
        <v>0</v>
      </c>
      <c r="AB43" s="37">
        <f t="shared" si="9"/>
        <v>0</v>
      </c>
      <c r="AC43" s="36">
        <v>0</v>
      </c>
      <c r="AD43" s="5">
        <v>0</v>
      </c>
      <c r="AE43" s="37">
        <f t="shared" si="10"/>
        <v>0</v>
      </c>
      <c r="AF43" s="38">
        <v>0</v>
      </c>
      <c r="AG43" s="37">
        <f t="shared" si="11"/>
        <v>0</v>
      </c>
      <c r="AH43" s="36">
        <v>0</v>
      </c>
      <c r="AI43" s="5">
        <v>0</v>
      </c>
      <c r="AJ43" s="37">
        <f t="shared" si="12"/>
        <v>0</v>
      </c>
      <c r="AK43" s="38">
        <v>0</v>
      </c>
      <c r="AL43" s="37">
        <f t="shared" si="13"/>
        <v>0</v>
      </c>
      <c r="AM43" s="35" t="s">
        <v>908</v>
      </c>
      <c r="AN43" s="35" t="s">
        <v>69</v>
      </c>
      <c r="AO43" s="163">
        <v>2560</v>
      </c>
      <c r="AP43" s="5">
        <v>0</v>
      </c>
      <c r="AQ43" s="35" t="s">
        <v>67</v>
      </c>
      <c r="AR43" s="35"/>
      <c r="AS43" s="122"/>
      <c r="AT43" s="35"/>
      <c r="AU43" s="35"/>
    </row>
    <row r="44" spans="1:47" x14ac:dyDescent="0.15">
      <c r="A44" s="14" t="s">
        <v>564</v>
      </c>
      <c r="B44" s="5" t="s">
        <v>565</v>
      </c>
      <c r="C44" s="36">
        <v>12</v>
      </c>
      <c r="D44" s="36">
        <v>0</v>
      </c>
      <c r="E44" s="5">
        <v>0</v>
      </c>
      <c r="F44" s="37">
        <f t="shared" si="0"/>
        <v>12</v>
      </c>
      <c r="G44" s="38">
        <v>0</v>
      </c>
      <c r="H44" s="37">
        <f t="shared" si="1"/>
        <v>12</v>
      </c>
      <c r="I44" s="36">
        <v>0</v>
      </c>
      <c r="J44" s="5">
        <v>0</v>
      </c>
      <c r="K44" s="37">
        <f t="shared" si="2"/>
        <v>12</v>
      </c>
      <c r="L44" s="38">
        <v>0</v>
      </c>
      <c r="M44" s="37">
        <f t="shared" si="3"/>
        <v>12</v>
      </c>
      <c r="N44" s="36">
        <v>0</v>
      </c>
      <c r="O44" s="5">
        <v>1</v>
      </c>
      <c r="P44" s="37">
        <f t="shared" si="4"/>
        <v>11</v>
      </c>
      <c r="Q44" s="38">
        <v>0</v>
      </c>
      <c r="R44" s="37">
        <f t="shared" si="5"/>
        <v>11</v>
      </c>
      <c r="S44" s="36">
        <v>0</v>
      </c>
      <c r="T44" s="5">
        <v>5</v>
      </c>
      <c r="U44" s="37">
        <f t="shared" si="6"/>
        <v>6</v>
      </c>
      <c r="V44" s="38">
        <v>0</v>
      </c>
      <c r="W44" s="37">
        <f t="shared" si="7"/>
        <v>6</v>
      </c>
      <c r="X44" s="36">
        <v>0</v>
      </c>
      <c r="Y44" s="5">
        <v>0</v>
      </c>
      <c r="Z44" s="37">
        <f t="shared" si="8"/>
        <v>6</v>
      </c>
      <c r="AA44" s="38">
        <v>0</v>
      </c>
      <c r="AB44" s="37">
        <f t="shared" si="9"/>
        <v>6</v>
      </c>
      <c r="AC44" s="36">
        <v>0</v>
      </c>
      <c r="AD44" s="5">
        <v>0</v>
      </c>
      <c r="AE44" s="37">
        <f t="shared" si="10"/>
        <v>6</v>
      </c>
      <c r="AF44" s="38">
        <v>0</v>
      </c>
      <c r="AG44" s="37">
        <f t="shared" si="11"/>
        <v>6</v>
      </c>
      <c r="AH44" s="36">
        <v>0</v>
      </c>
      <c r="AI44" s="5">
        <v>0</v>
      </c>
      <c r="AJ44" s="37">
        <f t="shared" si="12"/>
        <v>6</v>
      </c>
      <c r="AK44" s="38">
        <v>0</v>
      </c>
      <c r="AL44" s="37">
        <f t="shared" si="13"/>
        <v>6</v>
      </c>
      <c r="AM44" s="35" t="s">
        <v>912</v>
      </c>
      <c r="AN44" s="35" t="s">
        <v>68</v>
      </c>
      <c r="AO44" s="5">
        <v>980</v>
      </c>
      <c r="AP44" s="5">
        <v>0</v>
      </c>
      <c r="AQ44" s="35"/>
      <c r="AR44" s="35"/>
      <c r="AS44" s="122"/>
      <c r="AT44" s="35"/>
      <c r="AU44" s="35"/>
    </row>
    <row r="45" spans="1:47" x14ac:dyDescent="0.15">
      <c r="A45" s="14" t="s">
        <v>566</v>
      </c>
      <c r="B45" s="5" t="s">
        <v>567</v>
      </c>
      <c r="C45" s="36">
        <v>0</v>
      </c>
      <c r="D45" s="36">
        <v>0</v>
      </c>
      <c r="E45" s="5">
        <v>0</v>
      </c>
      <c r="F45" s="37">
        <f t="shared" si="0"/>
        <v>0</v>
      </c>
      <c r="G45" s="38">
        <v>0</v>
      </c>
      <c r="H45" s="37">
        <f t="shared" si="1"/>
        <v>0</v>
      </c>
      <c r="I45" s="36">
        <v>0</v>
      </c>
      <c r="J45" s="5">
        <v>0</v>
      </c>
      <c r="K45" s="37">
        <f t="shared" si="2"/>
        <v>0</v>
      </c>
      <c r="L45" s="38">
        <v>0</v>
      </c>
      <c r="M45" s="37">
        <f t="shared" si="3"/>
        <v>0</v>
      </c>
      <c r="N45" s="36">
        <v>0</v>
      </c>
      <c r="O45" s="5">
        <v>0</v>
      </c>
      <c r="P45" s="37">
        <f t="shared" si="4"/>
        <v>0</v>
      </c>
      <c r="Q45" s="38">
        <v>0</v>
      </c>
      <c r="R45" s="37">
        <f t="shared" si="5"/>
        <v>0</v>
      </c>
      <c r="S45" s="36">
        <v>0</v>
      </c>
      <c r="T45" s="5">
        <v>0</v>
      </c>
      <c r="U45" s="37">
        <f t="shared" si="6"/>
        <v>0</v>
      </c>
      <c r="V45" s="38">
        <v>0</v>
      </c>
      <c r="W45" s="37">
        <f t="shared" si="7"/>
        <v>0</v>
      </c>
      <c r="X45" s="36">
        <v>0</v>
      </c>
      <c r="Y45" s="5">
        <v>0</v>
      </c>
      <c r="Z45" s="37">
        <f t="shared" si="8"/>
        <v>0</v>
      </c>
      <c r="AA45" s="38">
        <v>0</v>
      </c>
      <c r="AB45" s="37">
        <f t="shared" si="9"/>
        <v>0</v>
      </c>
      <c r="AC45" s="36">
        <v>0</v>
      </c>
      <c r="AD45" s="5">
        <v>0</v>
      </c>
      <c r="AE45" s="37">
        <f t="shared" si="10"/>
        <v>0</v>
      </c>
      <c r="AF45" s="38">
        <v>0</v>
      </c>
      <c r="AG45" s="37">
        <f t="shared" si="11"/>
        <v>0</v>
      </c>
      <c r="AH45" s="36">
        <v>0</v>
      </c>
      <c r="AI45" s="5">
        <v>0</v>
      </c>
      <c r="AJ45" s="37">
        <f t="shared" si="12"/>
        <v>0</v>
      </c>
      <c r="AK45" s="38">
        <v>0</v>
      </c>
      <c r="AL45" s="37">
        <f t="shared" si="13"/>
        <v>0</v>
      </c>
      <c r="AM45" s="35" t="s">
        <v>912</v>
      </c>
      <c r="AN45" s="35" t="s">
        <v>69</v>
      </c>
      <c r="AO45" s="163">
        <v>14240</v>
      </c>
      <c r="AP45" s="5">
        <v>0</v>
      </c>
      <c r="AQ45" s="35" t="s">
        <v>67</v>
      </c>
      <c r="AR45" s="35"/>
      <c r="AS45" s="122"/>
      <c r="AT45" s="35"/>
      <c r="AU45" s="35"/>
    </row>
    <row r="46" spans="1:47" x14ac:dyDescent="0.15">
      <c r="A46" s="14" t="s">
        <v>317</v>
      </c>
      <c r="B46" s="5" t="s">
        <v>318</v>
      </c>
      <c r="C46" s="36">
        <v>0</v>
      </c>
      <c r="D46" s="36">
        <v>0</v>
      </c>
      <c r="E46" s="5">
        <v>0</v>
      </c>
      <c r="F46" s="37">
        <f t="shared" si="0"/>
        <v>0</v>
      </c>
      <c r="G46" s="38">
        <v>0</v>
      </c>
      <c r="H46" s="37">
        <f t="shared" si="1"/>
        <v>0</v>
      </c>
      <c r="I46" s="36">
        <v>0</v>
      </c>
      <c r="J46" s="5">
        <v>0</v>
      </c>
      <c r="K46" s="37">
        <f t="shared" si="2"/>
        <v>0</v>
      </c>
      <c r="L46" s="38">
        <v>0</v>
      </c>
      <c r="M46" s="37">
        <f t="shared" si="3"/>
        <v>0</v>
      </c>
      <c r="N46" s="36">
        <v>1</v>
      </c>
      <c r="O46" s="5">
        <v>1</v>
      </c>
      <c r="P46" s="37">
        <f t="shared" si="4"/>
        <v>0</v>
      </c>
      <c r="Q46" s="38">
        <v>0</v>
      </c>
      <c r="R46" s="37">
        <f t="shared" si="5"/>
        <v>0</v>
      </c>
      <c r="S46" s="36">
        <v>0</v>
      </c>
      <c r="T46" s="5">
        <v>0</v>
      </c>
      <c r="U46" s="37">
        <f t="shared" si="6"/>
        <v>0</v>
      </c>
      <c r="V46" s="38">
        <v>0</v>
      </c>
      <c r="W46" s="37">
        <f t="shared" si="7"/>
        <v>0</v>
      </c>
      <c r="X46" s="36">
        <v>0</v>
      </c>
      <c r="Y46" s="5">
        <v>0</v>
      </c>
      <c r="Z46" s="37">
        <f t="shared" si="8"/>
        <v>0</v>
      </c>
      <c r="AA46" s="38">
        <v>0</v>
      </c>
      <c r="AB46" s="37">
        <f t="shared" si="9"/>
        <v>0</v>
      </c>
      <c r="AC46" s="36">
        <v>0</v>
      </c>
      <c r="AD46" s="5">
        <v>0</v>
      </c>
      <c r="AE46" s="37">
        <f t="shared" si="10"/>
        <v>0</v>
      </c>
      <c r="AF46" s="38">
        <v>0</v>
      </c>
      <c r="AG46" s="37">
        <f t="shared" si="11"/>
        <v>0</v>
      </c>
      <c r="AH46" s="36">
        <v>0</v>
      </c>
      <c r="AI46" s="5">
        <v>0</v>
      </c>
      <c r="AJ46" s="37">
        <f t="shared" si="12"/>
        <v>0</v>
      </c>
      <c r="AK46" s="38">
        <v>0</v>
      </c>
      <c r="AL46" s="37">
        <f t="shared" si="13"/>
        <v>0</v>
      </c>
      <c r="AM46" s="35"/>
      <c r="AN46" s="35" t="s">
        <v>69</v>
      </c>
      <c r="AO46" s="5">
        <v>0</v>
      </c>
      <c r="AP46" s="5">
        <v>0</v>
      </c>
      <c r="AQ46" s="35" t="s">
        <v>67</v>
      </c>
      <c r="AR46" s="35"/>
      <c r="AS46" s="122"/>
      <c r="AT46" s="35"/>
      <c r="AU46" s="35"/>
    </row>
    <row r="47" spans="1:47" x14ac:dyDescent="0.15">
      <c r="A47" s="14" t="s">
        <v>829</v>
      </c>
      <c r="B47" s="5" t="s">
        <v>854</v>
      </c>
      <c r="C47" s="36">
        <v>16</v>
      </c>
      <c r="D47" s="36">
        <v>0</v>
      </c>
      <c r="E47" s="5">
        <v>0</v>
      </c>
      <c r="F47" s="37">
        <f t="shared" si="0"/>
        <v>16</v>
      </c>
      <c r="G47" s="38">
        <v>0</v>
      </c>
      <c r="H47" s="37">
        <f t="shared" si="1"/>
        <v>16</v>
      </c>
      <c r="I47" s="36">
        <v>0</v>
      </c>
      <c r="J47" s="5">
        <v>3</v>
      </c>
      <c r="K47" s="37">
        <f t="shared" si="2"/>
        <v>13</v>
      </c>
      <c r="L47" s="38">
        <v>-1</v>
      </c>
      <c r="M47" s="37">
        <f t="shared" si="3"/>
        <v>12</v>
      </c>
      <c r="N47" s="36">
        <v>0</v>
      </c>
      <c r="O47" s="5">
        <v>0</v>
      </c>
      <c r="P47" s="37">
        <f t="shared" si="4"/>
        <v>12</v>
      </c>
      <c r="Q47" s="38">
        <v>0</v>
      </c>
      <c r="R47" s="37">
        <f t="shared" si="5"/>
        <v>12</v>
      </c>
      <c r="S47" s="36">
        <v>0</v>
      </c>
      <c r="T47" s="5">
        <v>1</v>
      </c>
      <c r="U47" s="37">
        <f t="shared" si="6"/>
        <v>11</v>
      </c>
      <c r="V47" s="38">
        <v>0</v>
      </c>
      <c r="W47" s="37">
        <f t="shared" si="7"/>
        <v>11</v>
      </c>
      <c r="X47" s="36">
        <v>0</v>
      </c>
      <c r="Y47" s="5">
        <v>0</v>
      </c>
      <c r="Z47" s="37">
        <f t="shared" si="8"/>
        <v>11</v>
      </c>
      <c r="AA47" s="38">
        <v>0</v>
      </c>
      <c r="AB47" s="37">
        <f t="shared" si="9"/>
        <v>11</v>
      </c>
      <c r="AC47" s="36">
        <v>0</v>
      </c>
      <c r="AD47" s="5">
        <v>1</v>
      </c>
      <c r="AE47" s="37">
        <f t="shared" si="10"/>
        <v>10</v>
      </c>
      <c r="AF47" s="38">
        <v>0</v>
      </c>
      <c r="AG47" s="37">
        <f t="shared" si="11"/>
        <v>10</v>
      </c>
      <c r="AH47" s="36">
        <v>0</v>
      </c>
      <c r="AI47" s="5">
        <v>1</v>
      </c>
      <c r="AJ47" s="37">
        <f t="shared" si="12"/>
        <v>9</v>
      </c>
      <c r="AK47" s="38">
        <v>0</v>
      </c>
      <c r="AL47" s="37">
        <f t="shared" si="13"/>
        <v>9</v>
      </c>
      <c r="AM47" s="35" t="s">
        <v>901</v>
      </c>
      <c r="AN47" s="35" t="s">
        <v>69</v>
      </c>
      <c r="AO47" s="163">
        <v>4000</v>
      </c>
      <c r="AP47" s="5">
        <v>0</v>
      </c>
      <c r="AQ47" s="35" t="s">
        <v>67</v>
      </c>
      <c r="AR47" s="35"/>
      <c r="AS47" s="122"/>
      <c r="AT47" s="35">
        <v>172</v>
      </c>
      <c r="AU47" s="35" t="s">
        <v>902</v>
      </c>
    </row>
    <row r="48" spans="1:47" x14ac:dyDescent="0.15">
      <c r="A48" s="14" t="s">
        <v>830</v>
      </c>
      <c r="B48" s="5" t="s">
        <v>855</v>
      </c>
      <c r="C48" s="36">
        <v>7</v>
      </c>
      <c r="D48" s="36">
        <v>0</v>
      </c>
      <c r="E48" s="5">
        <v>0</v>
      </c>
      <c r="F48" s="37">
        <f t="shared" si="0"/>
        <v>7</v>
      </c>
      <c r="G48" s="38">
        <v>0</v>
      </c>
      <c r="H48" s="37">
        <f t="shared" si="1"/>
        <v>7</v>
      </c>
      <c r="I48" s="36">
        <v>20</v>
      </c>
      <c r="J48" s="5">
        <v>13</v>
      </c>
      <c r="K48" s="37">
        <f t="shared" si="2"/>
        <v>14</v>
      </c>
      <c r="L48" s="38">
        <v>0</v>
      </c>
      <c r="M48" s="37">
        <f t="shared" si="3"/>
        <v>14</v>
      </c>
      <c r="N48" s="36">
        <v>0</v>
      </c>
      <c r="O48" s="5">
        <v>17</v>
      </c>
      <c r="P48" s="37">
        <f t="shared" si="4"/>
        <v>-3</v>
      </c>
      <c r="Q48" s="38">
        <v>0</v>
      </c>
      <c r="R48" s="37">
        <f t="shared" si="5"/>
        <v>-3</v>
      </c>
      <c r="S48" s="36">
        <v>0</v>
      </c>
      <c r="T48" s="5">
        <v>21</v>
      </c>
      <c r="U48" s="37">
        <f t="shared" si="6"/>
        <v>-24</v>
      </c>
      <c r="V48" s="38">
        <v>0</v>
      </c>
      <c r="W48" s="37">
        <f t="shared" si="7"/>
        <v>-24</v>
      </c>
      <c r="X48" s="36">
        <v>0</v>
      </c>
      <c r="Y48" s="5">
        <v>13</v>
      </c>
      <c r="Z48" s="37">
        <f t="shared" si="8"/>
        <v>-37</v>
      </c>
      <c r="AA48" s="38">
        <v>0</v>
      </c>
      <c r="AB48" s="37">
        <f t="shared" si="9"/>
        <v>-37</v>
      </c>
      <c r="AC48" s="36">
        <v>0</v>
      </c>
      <c r="AD48" s="5">
        <v>34</v>
      </c>
      <c r="AE48" s="37">
        <f t="shared" si="10"/>
        <v>-71</v>
      </c>
      <c r="AF48" s="38">
        <v>0</v>
      </c>
      <c r="AG48" s="37">
        <f t="shared" si="11"/>
        <v>-71</v>
      </c>
      <c r="AH48" s="36">
        <v>0</v>
      </c>
      <c r="AI48" s="5">
        <v>27</v>
      </c>
      <c r="AJ48" s="37">
        <f t="shared" si="12"/>
        <v>-98</v>
      </c>
      <c r="AK48" s="38">
        <v>0</v>
      </c>
      <c r="AL48" s="37">
        <f t="shared" si="13"/>
        <v>-98</v>
      </c>
      <c r="AM48" s="35" t="s">
        <v>901</v>
      </c>
      <c r="AN48" s="35" t="s">
        <v>68</v>
      </c>
      <c r="AO48" s="5">
        <v>235</v>
      </c>
      <c r="AP48" s="5">
        <v>0</v>
      </c>
      <c r="AQ48" s="35"/>
      <c r="AR48" s="35"/>
      <c r="AS48" s="122"/>
      <c r="AT48" s="35">
        <v>172</v>
      </c>
      <c r="AU48" s="35" t="s">
        <v>902</v>
      </c>
    </row>
    <row r="49" spans="1:47" x14ac:dyDescent="0.15">
      <c r="A49" s="14" t="s">
        <v>820</v>
      </c>
      <c r="B49" s="5" t="s">
        <v>837</v>
      </c>
      <c r="C49" s="36">
        <v>5</v>
      </c>
      <c r="D49" s="36">
        <v>0</v>
      </c>
      <c r="E49" s="5">
        <v>0</v>
      </c>
      <c r="F49" s="37">
        <f t="shared" si="0"/>
        <v>5</v>
      </c>
      <c r="G49" s="38">
        <v>0</v>
      </c>
      <c r="H49" s="37">
        <f t="shared" si="1"/>
        <v>5</v>
      </c>
      <c r="I49" s="36">
        <v>10</v>
      </c>
      <c r="J49" s="5">
        <v>0</v>
      </c>
      <c r="K49" s="37">
        <f t="shared" si="2"/>
        <v>15</v>
      </c>
      <c r="L49" s="38">
        <v>0</v>
      </c>
      <c r="M49" s="37">
        <f t="shared" si="3"/>
        <v>15</v>
      </c>
      <c r="N49" s="36">
        <v>0</v>
      </c>
      <c r="O49" s="5">
        <v>8</v>
      </c>
      <c r="P49" s="37">
        <f t="shared" si="4"/>
        <v>7</v>
      </c>
      <c r="Q49" s="38">
        <v>0</v>
      </c>
      <c r="R49" s="37">
        <f t="shared" si="5"/>
        <v>7</v>
      </c>
      <c r="S49" s="36">
        <v>0</v>
      </c>
      <c r="T49" s="5">
        <v>0</v>
      </c>
      <c r="U49" s="37">
        <f t="shared" si="6"/>
        <v>7</v>
      </c>
      <c r="V49" s="38">
        <v>0</v>
      </c>
      <c r="W49" s="37">
        <f t="shared" si="7"/>
        <v>7</v>
      </c>
      <c r="X49" s="36">
        <v>0</v>
      </c>
      <c r="Y49" s="5">
        <v>0</v>
      </c>
      <c r="Z49" s="37">
        <f t="shared" si="8"/>
        <v>7</v>
      </c>
      <c r="AA49" s="38">
        <v>0</v>
      </c>
      <c r="AB49" s="37">
        <f t="shared" si="9"/>
        <v>7</v>
      </c>
      <c r="AC49" s="36">
        <v>20</v>
      </c>
      <c r="AD49" s="5">
        <v>10</v>
      </c>
      <c r="AE49" s="37">
        <f t="shared" si="10"/>
        <v>17</v>
      </c>
      <c r="AF49" s="38">
        <v>0</v>
      </c>
      <c r="AG49" s="37">
        <f t="shared" si="11"/>
        <v>17</v>
      </c>
      <c r="AH49" s="36">
        <v>0</v>
      </c>
      <c r="AI49" s="5">
        <v>14</v>
      </c>
      <c r="AJ49" s="37">
        <f t="shared" si="12"/>
        <v>3</v>
      </c>
      <c r="AK49" s="38">
        <v>0</v>
      </c>
      <c r="AL49" s="37">
        <f t="shared" si="13"/>
        <v>3</v>
      </c>
      <c r="AM49" s="35" t="s">
        <v>913</v>
      </c>
      <c r="AN49" s="35" t="s">
        <v>68</v>
      </c>
      <c r="AO49" s="5">
        <v>200</v>
      </c>
      <c r="AP49" s="5">
        <v>0</v>
      </c>
      <c r="AQ49" s="35"/>
      <c r="AR49" s="35"/>
      <c r="AS49" s="122">
        <v>4580450000000</v>
      </c>
      <c r="AT49" s="35">
        <v>709</v>
      </c>
      <c r="AU49" s="35" t="s">
        <v>914</v>
      </c>
    </row>
    <row r="50" spans="1:47" x14ac:dyDescent="0.15">
      <c r="A50" s="14" t="s">
        <v>719</v>
      </c>
      <c r="B50" s="5" t="s">
        <v>720</v>
      </c>
      <c r="C50" s="36">
        <v>9</v>
      </c>
      <c r="D50" s="36">
        <v>0</v>
      </c>
      <c r="E50" s="5">
        <v>0</v>
      </c>
      <c r="F50" s="37">
        <f t="shared" si="0"/>
        <v>9</v>
      </c>
      <c r="G50" s="38">
        <v>0</v>
      </c>
      <c r="H50" s="37">
        <f t="shared" si="1"/>
        <v>9</v>
      </c>
      <c r="I50" s="36">
        <v>0</v>
      </c>
      <c r="J50" s="5">
        <v>0</v>
      </c>
      <c r="K50" s="37">
        <f t="shared" si="2"/>
        <v>9</v>
      </c>
      <c r="L50" s="38">
        <v>0</v>
      </c>
      <c r="M50" s="37">
        <f t="shared" si="3"/>
        <v>9</v>
      </c>
      <c r="N50" s="36">
        <v>30</v>
      </c>
      <c r="O50" s="5">
        <v>0</v>
      </c>
      <c r="P50" s="37">
        <f t="shared" si="4"/>
        <v>39</v>
      </c>
      <c r="Q50" s="38">
        <v>0</v>
      </c>
      <c r="R50" s="37">
        <f t="shared" si="5"/>
        <v>39</v>
      </c>
      <c r="S50" s="36">
        <v>0</v>
      </c>
      <c r="T50" s="5">
        <v>0</v>
      </c>
      <c r="U50" s="37">
        <f t="shared" si="6"/>
        <v>39</v>
      </c>
      <c r="V50" s="38">
        <v>0</v>
      </c>
      <c r="W50" s="37">
        <f t="shared" si="7"/>
        <v>39</v>
      </c>
      <c r="X50" s="36">
        <v>0</v>
      </c>
      <c r="Y50" s="5">
        <v>0</v>
      </c>
      <c r="Z50" s="37">
        <f t="shared" si="8"/>
        <v>39</v>
      </c>
      <c r="AA50" s="38">
        <v>0</v>
      </c>
      <c r="AB50" s="37">
        <f t="shared" si="9"/>
        <v>39</v>
      </c>
      <c r="AC50" s="36">
        <v>0</v>
      </c>
      <c r="AD50" s="5">
        <v>0</v>
      </c>
      <c r="AE50" s="37">
        <f t="shared" si="10"/>
        <v>39</v>
      </c>
      <c r="AF50" s="38">
        <v>0</v>
      </c>
      <c r="AG50" s="37">
        <f t="shared" si="11"/>
        <v>39</v>
      </c>
      <c r="AH50" s="36">
        <v>0</v>
      </c>
      <c r="AI50" s="5">
        <v>0</v>
      </c>
      <c r="AJ50" s="37">
        <f t="shared" si="12"/>
        <v>39</v>
      </c>
      <c r="AK50" s="38">
        <v>0</v>
      </c>
      <c r="AL50" s="37">
        <f t="shared" si="13"/>
        <v>39</v>
      </c>
      <c r="AM50" s="35" t="s">
        <v>915</v>
      </c>
      <c r="AN50" s="35" t="s">
        <v>69</v>
      </c>
      <c r="AO50" s="163">
        <v>4700</v>
      </c>
      <c r="AP50" s="5">
        <v>0</v>
      </c>
      <c r="AQ50" s="35" t="s">
        <v>67</v>
      </c>
      <c r="AR50" s="35"/>
      <c r="AS50" s="122"/>
      <c r="AT50" s="35"/>
      <c r="AU50" s="35"/>
    </row>
    <row r="51" spans="1:47" x14ac:dyDescent="0.15">
      <c r="A51" s="14" t="s">
        <v>723</v>
      </c>
      <c r="B51" s="5" t="s">
        <v>724</v>
      </c>
      <c r="C51" s="36">
        <v>10</v>
      </c>
      <c r="D51" s="36">
        <v>0</v>
      </c>
      <c r="E51" s="5">
        <v>0</v>
      </c>
      <c r="F51" s="37">
        <f t="shared" si="0"/>
        <v>10</v>
      </c>
      <c r="G51" s="38">
        <v>0</v>
      </c>
      <c r="H51" s="37">
        <f t="shared" si="1"/>
        <v>10</v>
      </c>
      <c r="I51" s="36">
        <v>0</v>
      </c>
      <c r="J51" s="5">
        <v>0</v>
      </c>
      <c r="K51" s="37">
        <f t="shared" si="2"/>
        <v>10</v>
      </c>
      <c r="L51" s="38">
        <v>0</v>
      </c>
      <c r="M51" s="37">
        <f t="shared" si="3"/>
        <v>10</v>
      </c>
      <c r="N51" s="36">
        <v>0</v>
      </c>
      <c r="O51" s="5">
        <v>0</v>
      </c>
      <c r="P51" s="37">
        <f t="shared" si="4"/>
        <v>10</v>
      </c>
      <c r="Q51" s="38">
        <v>0</v>
      </c>
      <c r="R51" s="37">
        <f t="shared" si="5"/>
        <v>10</v>
      </c>
      <c r="S51" s="36">
        <v>0</v>
      </c>
      <c r="T51" s="5">
        <v>0</v>
      </c>
      <c r="U51" s="37">
        <f t="shared" si="6"/>
        <v>10</v>
      </c>
      <c r="V51" s="38">
        <v>0</v>
      </c>
      <c r="W51" s="37">
        <f t="shared" si="7"/>
        <v>10</v>
      </c>
      <c r="X51" s="36">
        <v>0</v>
      </c>
      <c r="Y51" s="5">
        <v>0</v>
      </c>
      <c r="Z51" s="37">
        <f t="shared" si="8"/>
        <v>10</v>
      </c>
      <c r="AA51" s="38">
        <v>0</v>
      </c>
      <c r="AB51" s="37">
        <f t="shared" si="9"/>
        <v>10</v>
      </c>
      <c r="AC51" s="36">
        <v>0</v>
      </c>
      <c r="AD51" s="5">
        <v>0</v>
      </c>
      <c r="AE51" s="37">
        <f t="shared" si="10"/>
        <v>10</v>
      </c>
      <c r="AF51" s="38">
        <v>0</v>
      </c>
      <c r="AG51" s="37">
        <f t="shared" si="11"/>
        <v>10</v>
      </c>
      <c r="AH51" s="36">
        <v>0</v>
      </c>
      <c r="AI51" s="5">
        <v>10</v>
      </c>
      <c r="AJ51" s="37">
        <f t="shared" si="12"/>
        <v>0</v>
      </c>
      <c r="AK51" s="38">
        <v>0</v>
      </c>
      <c r="AL51" s="37">
        <f t="shared" si="13"/>
        <v>0</v>
      </c>
      <c r="AM51" s="35" t="s">
        <v>915</v>
      </c>
      <c r="AN51" s="35" t="s">
        <v>69</v>
      </c>
      <c r="AO51" s="163">
        <v>4700</v>
      </c>
      <c r="AP51" s="5">
        <v>0</v>
      </c>
      <c r="AQ51" s="35" t="s">
        <v>67</v>
      </c>
      <c r="AR51" s="35"/>
      <c r="AS51" s="122"/>
      <c r="AT51" s="35"/>
      <c r="AU51" s="35"/>
    </row>
    <row r="52" spans="1:47" x14ac:dyDescent="0.15">
      <c r="A52" s="14" t="s">
        <v>879</v>
      </c>
      <c r="B52" s="5" t="s">
        <v>1048</v>
      </c>
      <c r="C52" s="36">
        <v>0</v>
      </c>
      <c r="D52" s="36">
        <v>0</v>
      </c>
      <c r="E52" s="5">
        <v>0</v>
      </c>
      <c r="F52" s="37">
        <f t="shared" si="0"/>
        <v>0</v>
      </c>
      <c r="G52" s="38">
        <v>0</v>
      </c>
      <c r="H52" s="37">
        <f t="shared" si="1"/>
        <v>0</v>
      </c>
      <c r="I52" s="36">
        <v>0</v>
      </c>
      <c r="J52" s="5">
        <v>1</v>
      </c>
      <c r="K52" s="37">
        <f t="shared" si="2"/>
        <v>-1</v>
      </c>
      <c r="L52" s="38">
        <v>0</v>
      </c>
      <c r="M52" s="37">
        <f t="shared" si="3"/>
        <v>-1</v>
      </c>
      <c r="N52" s="36">
        <v>0</v>
      </c>
      <c r="O52" s="5">
        <v>0</v>
      </c>
      <c r="P52" s="37">
        <f t="shared" si="4"/>
        <v>-1</v>
      </c>
      <c r="Q52" s="38">
        <v>0</v>
      </c>
      <c r="R52" s="37">
        <f t="shared" si="5"/>
        <v>-1</v>
      </c>
      <c r="S52" s="36">
        <v>0</v>
      </c>
      <c r="T52" s="5">
        <v>0</v>
      </c>
      <c r="U52" s="37">
        <f t="shared" si="6"/>
        <v>-1</v>
      </c>
      <c r="V52" s="38">
        <v>0</v>
      </c>
      <c r="W52" s="37">
        <f t="shared" si="7"/>
        <v>-1</v>
      </c>
      <c r="X52" s="36">
        <v>0</v>
      </c>
      <c r="Y52" s="5">
        <v>0</v>
      </c>
      <c r="Z52" s="37">
        <f t="shared" si="8"/>
        <v>-1</v>
      </c>
      <c r="AA52" s="38">
        <v>0</v>
      </c>
      <c r="AB52" s="37">
        <f t="shared" si="9"/>
        <v>-1</v>
      </c>
      <c r="AC52" s="36">
        <v>0</v>
      </c>
      <c r="AD52" s="5">
        <v>0</v>
      </c>
      <c r="AE52" s="37">
        <f t="shared" si="10"/>
        <v>-1</v>
      </c>
      <c r="AF52" s="38">
        <v>0</v>
      </c>
      <c r="AG52" s="37">
        <f t="shared" si="11"/>
        <v>-1</v>
      </c>
      <c r="AH52" s="36">
        <v>0</v>
      </c>
      <c r="AI52" s="5">
        <v>0</v>
      </c>
      <c r="AJ52" s="37">
        <f t="shared" si="12"/>
        <v>-1</v>
      </c>
      <c r="AK52" s="38">
        <v>0</v>
      </c>
      <c r="AL52" s="37">
        <f t="shared" si="13"/>
        <v>-1</v>
      </c>
      <c r="AM52" s="35" t="s">
        <v>901</v>
      </c>
      <c r="AN52" s="35" t="s">
        <v>69</v>
      </c>
      <c r="AO52" s="163">
        <v>3600</v>
      </c>
      <c r="AP52" s="5">
        <v>0</v>
      </c>
      <c r="AQ52" s="35"/>
      <c r="AR52" s="35"/>
      <c r="AS52" s="122" t="s">
        <v>916</v>
      </c>
      <c r="AT52" s="35"/>
      <c r="AU52" s="35"/>
    </row>
    <row r="53" spans="1:47" x14ac:dyDescent="0.15">
      <c r="A53" s="14" t="s">
        <v>474</v>
      </c>
      <c r="B53" s="5" t="s">
        <v>869</v>
      </c>
      <c r="C53" s="36">
        <v>15</v>
      </c>
      <c r="D53" s="36">
        <v>0</v>
      </c>
      <c r="E53" s="5">
        <v>0</v>
      </c>
      <c r="F53" s="37">
        <f t="shared" si="0"/>
        <v>15</v>
      </c>
      <c r="G53" s="38">
        <v>0</v>
      </c>
      <c r="H53" s="37">
        <f t="shared" si="1"/>
        <v>15</v>
      </c>
      <c r="I53" s="36">
        <v>20</v>
      </c>
      <c r="J53" s="5">
        <v>9</v>
      </c>
      <c r="K53" s="37">
        <f t="shared" si="2"/>
        <v>26</v>
      </c>
      <c r="L53" s="38">
        <v>-2</v>
      </c>
      <c r="M53" s="37">
        <f t="shared" si="3"/>
        <v>24</v>
      </c>
      <c r="N53" s="36">
        <v>0</v>
      </c>
      <c r="O53" s="5">
        <v>2</v>
      </c>
      <c r="P53" s="37">
        <f t="shared" si="4"/>
        <v>22</v>
      </c>
      <c r="Q53" s="38">
        <v>0</v>
      </c>
      <c r="R53" s="37">
        <f t="shared" si="5"/>
        <v>22</v>
      </c>
      <c r="S53" s="36">
        <v>0</v>
      </c>
      <c r="T53" s="5">
        <v>7</v>
      </c>
      <c r="U53" s="37">
        <f t="shared" si="6"/>
        <v>15</v>
      </c>
      <c r="V53" s="38">
        <v>0</v>
      </c>
      <c r="W53" s="37">
        <f t="shared" si="7"/>
        <v>15</v>
      </c>
      <c r="X53" s="36">
        <v>20</v>
      </c>
      <c r="Y53" s="5">
        <v>1</v>
      </c>
      <c r="Z53" s="37">
        <f t="shared" si="8"/>
        <v>34</v>
      </c>
      <c r="AA53" s="38">
        <v>0</v>
      </c>
      <c r="AB53" s="37">
        <f t="shared" si="9"/>
        <v>34</v>
      </c>
      <c r="AC53" s="36">
        <v>0</v>
      </c>
      <c r="AD53" s="5">
        <v>4</v>
      </c>
      <c r="AE53" s="37">
        <f t="shared" si="10"/>
        <v>30</v>
      </c>
      <c r="AF53" s="38">
        <v>0</v>
      </c>
      <c r="AG53" s="37">
        <f t="shared" si="11"/>
        <v>30</v>
      </c>
      <c r="AH53" s="36">
        <v>0</v>
      </c>
      <c r="AI53" s="5">
        <v>3</v>
      </c>
      <c r="AJ53" s="37">
        <f t="shared" si="12"/>
        <v>27</v>
      </c>
      <c r="AK53" s="38">
        <v>0</v>
      </c>
      <c r="AL53" s="37">
        <f t="shared" si="13"/>
        <v>27</v>
      </c>
      <c r="AM53" s="35" t="s">
        <v>901</v>
      </c>
      <c r="AN53" s="35" t="s">
        <v>69</v>
      </c>
      <c r="AO53" s="163">
        <v>3000</v>
      </c>
      <c r="AP53" s="5">
        <v>0</v>
      </c>
      <c r="AQ53" s="35" t="s">
        <v>67</v>
      </c>
      <c r="AR53" s="35"/>
      <c r="AS53" s="122" t="s">
        <v>916</v>
      </c>
      <c r="AT53" s="35">
        <v>172</v>
      </c>
      <c r="AU53" s="35" t="s">
        <v>902</v>
      </c>
    </row>
    <row r="54" spans="1:47" x14ac:dyDescent="0.15">
      <c r="A54" s="14" t="s">
        <v>492</v>
      </c>
      <c r="B54" s="5" t="s">
        <v>870</v>
      </c>
      <c r="C54" s="36">
        <v>4</v>
      </c>
      <c r="D54" s="36">
        <v>0</v>
      </c>
      <c r="E54" s="5">
        <v>0</v>
      </c>
      <c r="F54" s="37">
        <f t="shared" si="0"/>
        <v>4</v>
      </c>
      <c r="G54" s="38">
        <v>0</v>
      </c>
      <c r="H54" s="37">
        <f t="shared" si="1"/>
        <v>4</v>
      </c>
      <c r="I54" s="36">
        <v>20</v>
      </c>
      <c r="J54" s="5">
        <v>2</v>
      </c>
      <c r="K54" s="37">
        <f t="shared" si="2"/>
        <v>22</v>
      </c>
      <c r="L54" s="38">
        <v>0</v>
      </c>
      <c r="M54" s="37">
        <f t="shared" si="3"/>
        <v>22</v>
      </c>
      <c r="N54" s="36">
        <v>0</v>
      </c>
      <c r="O54" s="5">
        <v>0</v>
      </c>
      <c r="P54" s="37">
        <f t="shared" si="4"/>
        <v>22</v>
      </c>
      <c r="Q54" s="38">
        <v>0</v>
      </c>
      <c r="R54" s="37">
        <f t="shared" si="5"/>
        <v>22</v>
      </c>
      <c r="S54" s="36">
        <v>0</v>
      </c>
      <c r="T54" s="5">
        <v>3</v>
      </c>
      <c r="U54" s="37">
        <f t="shared" si="6"/>
        <v>19</v>
      </c>
      <c r="V54" s="38">
        <v>0</v>
      </c>
      <c r="W54" s="37">
        <f t="shared" si="7"/>
        <v>19</v>
      </c>
      <c r="X54" s="36">
        <v>0</v>
      </c>
      <c r="Y54" s="5">
        <v>2</v>
      </c>
      <c r="Z54" s="37">
        <f t="shared" si="8"/>
        <v>17</v>
      </c>
      <c r="AA54" s="38">
        <v>0</v>
      </c>
      <c r="AB54" s="37">
        <f t="shared" si="9"/>
        <v>17</v>
      </c>
      <c r="AC54" s="36">
        <v>0</v>
      </c>
      <c r="AD54" s="5">
        <v>1</v>
      </c>
      <c r="AE54" s="37">
        <f t="shared" si="10"/>
        <v>16</v>
      </c>
      <c r="AF54" s="38">
        <v>0</v>
      </c>
      <c r="AG54" s="37">
        <f t="shared" si="11"/>
        <v>16</v>
      </c>
      <c r="AH54" s="36">
        <v>0</v>
      </c>
      <c r="AI54" s="5">
        <v>1</v>
      </c>
      <c r="AJ54" s="37">
        <f t="shared" si="12"/>
        <v>15</v>
      </c>
      <c r="AK54" s="38">
        <v>0</v>
      </c>
      <c r="AL54" s="37">
        <f t="shared" si="13"/>
        <v>15</v>
      </c>
      <c r="AM54" s="35" t="s">
        <v>901</v>
      </c>
      <c r="AN54" s="35" t="s">
        <v>69</v>
      </c>
      <c r="AO54" s="163">
        <v>2700</v>
      </c>
      <c r="AP54" s="5">
        <v>0</v>
      </c>
      <c r="AQ54" s="35" t="s">
        <v>67</v>
      </c>
      <c r="AR54" s="35"/>
      <c r="AS54" s="122"/>
      <c r="AT54" s="35">
        <v>172</v>
      </c>
      <c r="AU54" s="35" t="s">
        <v>902</v>
      </c>
    </row>
    <row r="55" spans="1:47" x14ac:dyDescent="0.15">
      <c r="A55" s="14" t="s">
        <v>485</v>
      </c>
      <c r="B55" s="5" t="s">
        <v>859</v>
      </c>
      <c r="C55" s="36">
        <v>32</v>
      </c>
      <c r="D55" s="36">
        <v>0</v>
      </c>
      <c r="E55" s="5">
        <v>0</v>
      </c>
      <c r="F55" s="37">
        <f t="shared" si="0"/>
        <v>32</v>
      </c>
      <c r="G55" s="38">
        <v>0</v>
      </c>
      <c r="H55" s="37">
        <f t="shared" si="1"/>
        <v>32</v>
      </c>
      <c r="I55" s="36">
        <v>40</v>
      </c>
      <c r="J55" s="5">
        <v>63</v>
      </c>
      <c r="K55" s="37">
        <f t="shared" si="2"/>
        <v>9</v>
      </c>
      <c r="L55" s="38">
        <v>0</v>
      </c>
      <c r="M55" s="37">
        <f t="shared" si="3"/>
        <v>9</v>
      </c>
      <c r="N55" s="36">
        <v>0</v>
      </c>
      <c r="O55" s="5">
        <v>65</v>
      </c>
      <c r="P55" s="37">
        <f t="shared" si="4"/>
        <v>-56</v>
      </c>
      <c r="Q55" s="38">
        <v>0</v>
      </c>
      <c r="R55" s="37">
        <f t="shared" si="5"/>
        <v>-56</v>
      </c>
      <c r="S55" s="36">
        <v>0</v>
      </c>
      <c r="T55" s="5">
        <v>55</v>
      </c>
      <c r="U55" s="37">
        <f t="shared" si="6"/>
        <v>-111</v>
      </c>
      <c r="V55" s="38">
        <v>0</v>
      </c>
      <c r="W55" s="37">
        <f t="shared" si="7"/>
        <v>-111</v>
      </c>
      <c r="X55" s="36">
        <v>0</v>
      </c>
      <c r="Y55" s="5">
        <v>40</v>
      </c>
      <c r="Z55" s="37">
        <f t="shared" si="8"/>
        <v>-151</v>
      </c>
      <c r="AA55" s="38">
        <v>0</v>
      </c>
      <c r="AB55" s="37">
        <f t="shared" si="9"/>
        <v>-151</v>
      </c>
      <c r="AC55" s="36">
        <v>0</v>
      </c>
      <c r="AD55" s="5">
        <v>56</v>
      </c>
      <c r="AE55" s="37">
        <f t="shared" si="10"/>
        <v>-207</v>
      </c>
      <c r="AF55" s="38">
        <v>0</v>
      </c>
      <c r="AG55" s="37">
        <f t="shared" si="11"/>
        <v>-207</v>
      </c>
      <c r="AH55" s="36">
        <v>0</v>
      </c>
      <c r="AI55" s="5">
        <v>88</v>
      </c>
      <c r="AJ55" s="37">
        <f t="shared" si="12"/>
        <v>-295</v>
      </c>
      <c r="AK55" s="38">
        <v>0</v>
      </c>
      <c r="AL55" s="37">
        <f t="shared" si="13"/>
        <v>-295</v>
      </c>
      <c r="AM55" s="35" t="s">
        <v>901</v>
      </c>
      <c r="AN55" s="35" t="s">
        <v>68</v>
      </c>
      <c r="AO55" s="5">
        <v>200</v>
      </c>
      <c r="AP55" s="5">
        <v>0</v>
      </c>
      <c r="AQ55" s="35"/>
      <c r="AR55" s="35"/>
      <c r="AS55" s="122">
        <v>4580450000000</v>
      </c>
      <c r="AT55" s="35">
        <v>172</v>
      </c>
      <c r="AU55" s="35" t="s">
        <v>902</v>
      </c>
    </row>
    <row r="56" spans="1:47" x14ac:dyDescent="0.15">
      <c r="A56" s="14" t="s">
        <v>627</v>
      </c>
      <c r="B56" s="5" t="s">
        <v>626</v>
      </c>
      <c r="C56" s="36">
        <v>2</v>
      </c>
      <c r="D56" s="36">
        <v>0</v>
      </c>
      <c r="E56" s="5">
        <v>0</v>
      </c>
      <c r="F56" s="37">
        <f t="shared" si="0"/>
        <v>2</v>
      </c>
      <c r="G56" s="38">
        <v>0</v>
      </c>
      <c r="H56" s="37">
        <f t="shared" si="1"/>
        <v>2</v>
      </c>
      <c r="I56" s="36">
        <v>10</v>
      </c>
      <c r="J56" s="5">
        <v>0</v>
      </c>
      <c r="K56" s="37">
        <f t="shared" si="2"/>
        <v>12</v>
      </c>
      <c r="L56" s="38">
        <v>-6</v>
      </c>
      <c r="M56" s="37">
        <f t="shared" si="3"/>
        <v>6</v>
      </c>
      <c r="N56" s="36">
        <v>0</v>
      </c>
      <c r="O56" s="5">
        <v>0</v>
      </c>
      <c r="P56" s="37">
        <f t="shared" si="4"/>
        <v>6</v>
      </c>
      <c r="Q56" s="38">
        <v>-1</v>
      </c>
      <c r="R56" s="37">
        <f t="shared" si="5"/>
        <v>5</v>
      </c>
      <c r="S56" s="36">
        <v>0</v>
      </c>
      <c r="T56" s="5">
        <v>0</v>
      </c>
      <c r="U56" s="37">
        <f t="shared" si="6"/>
        <v>5</v>
      </c>
      <c r="V56" s="38">
        <v>0</v>
      </c>
      <c r="W56" s="37">
        <f t="shared" si="7"/>
        <v>5</v>
      </c>
      <c r="X56" s="36">
        <v>0</v>
      </c>
      <c r="Y56" s="5">
        <v>0</v>
      </c>
      <c r="Z56" s="37">
        <f t="shared" si="8"/>
        <v>5</v>
      </c>
      <c r="AA56" s="38">
        <v>-1</v>
      </c>
      <c r="AB56" s="37">
        <f t="shared" si="9"/>
        <v>4</v>
      </c>
      <c r="AC56" s="36">
        <v>0</v>
      </c>
      <c r="AD56" s="5">
        <v>0</v>
      </c>
      <c r="AE56" s="37">
        <f t="shared" si="10"/>
        <v>4</v>
      </c>
      <c r="AF56" s="38">
        <v>-4</v>
      </c>
      <c r="AG56" s="37">
        <f t="shared" si="11"/>
        <v>0</v>
      </c>
      <c r="AH56" s="36">
        <v>0</v>
      </c>
      <c r="AI56" s="5">
        <v>0</v>
      </c>
      <c r="AJ56" s="37">
        <f t="shared" si="12"/>
        <v>0</v>
      </c>
      <c r="AK56" s="38">
        <v>0</v>
      </c>
      <c r="AL56" s="37">
        <f t="shared" si="13"/>
        <v>0</v>
      </c>
      <c r="AM56" s="35" t="s">
        <v>901</v>
      </c>
      <c r="AN56" s="35" t="s">
        <v>69</v>
      </c>
      <c r="AO56" s="163">
        <v>3000</v>
      </c>
      <c r="AP56" s="5">
        <v>0</v>
      </c>
      <c r="AQ56" s="35" t="s">
        <v>67</v>
      </c>
      <c r="AR56" s="35"/>
      <c r="AS56" s="122" t="s">
        <v>916</v>
      </c>
      <c r="AT56" s="35">
        <v>719</v>
      </c>
      <c r="AU56" s="35" t="s">
        <v>917</v>
      </c>
    </row>
    <row r="57" spans="1:47" x14ac:dyDescent="0.15">
      <c r="A57" s="14" t="s">
        <v>672</v>
      </c>
      <c r="B57" s="5" t="s">
        <v>795</v>
      </c>
      <c r="C57" s="36">
        <v>0</v>
      </c>
      <c r="D57" s="36">
        <v>0</v>
      </c>
      <c r="E57" s="5">
        <v>0</v>
      </c>
      <c r="F57" s="37">
        <f t="shared" si="0"/>
        <v>0</v>
      </c>
      <c r="G57" s="38">
        <v>0</v>
      </c>
      <c r="H57" s="37">
        <f t="shared" si="1"/>
        <v>0</v>
      </c>
      <c r="I57" s="36">
        <v>11</v>
      </c>
      <c r="J57" s="5">
        <v>11</v>
      </c>
      <c r="K57" s="37">
        <f t="shared" si="2"/>
        <v>0</v>
      </c>
      <c r="L57" s="38">
        <v>0</v>
      </c>
      <c r="M57" s="37">
        <f t="shared" si="3"/>
        <v>0</v>
      </c>
      <c r="N57" s="36">
        <v>2</v>
      </c>
      <c r="O57" s="5">
        <v>2</v>
      </c>
      <c r="P57" s="37">
        <f t="shared" si="4"/>
        <v>0</v>
      </c>
      <c r="Q57" s="38">
        <v>0</v>
      </c>
      <c r="R57" s="37">
        <f t="shared" si="5"/>
        <v>0</v>
      </c>
      <c r="S57" s="36">
        <v>0</v>
      </c>
      <c r="T57" s="5">
        <v>0</v>
      </c>
      <c r="U57" s="37">
        <f t="shared" si="6"/>
        <v>0</v>
      </c>
      <c r="V57" s="38">
        <v>0</v>
      </c>
      <c r="W57" s="37">
        <f t="shared" si="7"/>
        <v>0</v>
      </c>
      <c r="X57" s="36">
        <v>2</v>
      </c>
      <c r="Y57" s="5">
        <v>4</v>
      </c>
      <c r="Z57" s="37">
        <f t="shared" si="8"/>
        <v>-2</v>
      </c>
      <c r="AA57" s="38">
        <v>0</v>
      </c>
      <c r="AB57" s="37">
        <f t="shared" si="9"/>
        <v>-2</v>
      </c>
      <c r="AC57" s="36">
        <v>8</v>
      </c>
      <c r="AD57" s="5">
        <v>8</v>
      </c>
      <c r="AE57" s="37">
        <f t="shared" si="10"/>
        <v>-2</v>
      </c>
      <c r="AF57" s="38">
        <v>0</v>
      </c>
      <c r="AG57" s="37">
        <f t="shared" si="11"/>
        <v>-2</v>
      </c>
      <c r="AH57" s="36">
        <v>0</v>
      </c>
      <c r="AI57" s="5">
        <v>1</v>
      </c>
      <c r="AJ57" s="37">
        <f t="shared" si="12"/>
        <v>-3</v>
      </c>
      <c r="AK57" s="38">
        <v>0</v>
      </c>
      <c r="AL57" s="37">
        <f t="shared" si="13"/>
        <v>-3</v>
      </c>
      <c r="AM57" s="35" t="s">
        <v>901</v>
      </c>
      <c r="AN57" s="35" t="s">
        <v>68</v>
      </c>
      <c r="AO57" s="163">
        <v>2000</v>
      </c>
      <c r="AP57" s="5">
        <v>0</v>
      </c>
      <c r="AQ57" s="35"/>
      <c r="AR57" s="35" t="s">
        <v>67</v>
      </c>
      <c r="AS57" s="122">
        <v>4580445522702</v>
      </c>
      <c r="AT57" s="35">
        <v>719</v>
      </c>
      <c r="AU57" s="35" t="s">
        <v>917</v>
      </c>
    </row>
    <row r="58" spans="1:47" x14ac:dyDescent="0.15">
      <c r="A58" s="14" t="s">
        <v>673</v>
      </c>
      <c r="B58" s="5" t="s">
        <v>871</v>
      </c>
      <c r="C58" s="36">
        <v>0</v>
      </c>
      <c r="D58" s="36">
        <v>0</v>
      </c>
      <c r="E58" s="5">
        <v>0</v>
      </c>
      <c r="F58" s="37">
        <f t="shared" si="0"/>
        <v>0</v>
      </c>
      <c r="G58" s="38">
        <v>0</v>
      </c>
      <c r="H58" s="37">
        <f t="shared" si="1"/>
        <v>0</v>
      </c>
      <c r="I58" s="36">
        <v>110</v>
      </c>
      <c r="J58" s="5">
        <v>0</v>
      </c>
      <c r="K58" s="37">
        <f t="shared" si="2"/>
        <v>110</v>
      </c>
      <c r="L58" s="38">
        <v>-110</v>
      </c>
      <c r="M58" s="37">
        <f t="shared" si="3"/>
        <v>0</v>
      </c>
      <c r="N58" s="36">
        <v>20</v>
      </c>
      <c r="O58" s="5">
        <v>0</v>
      </c>
      <c r="P58" s="37">
        <f t="shared" si="4"/>
        <v>20</v>
      </c>
      <c r="Q58" s="38">
        <v>-20</v>
      </c>
      <c r="R58" s="37">
        <f t="shared" si="5"/>
        <v>0</v>
      </c>
      <c r="S58" s="36">
        <v>0</v>
      </c>
      <c r="T58" s="5">
        <v>0</v>
      </c>
      <c r="U58" s="37">
        <f t="shared" si="6"/>
        <v>0</v>
      </c>
      <c r="V58" s="38">
        <v>0</v>
      </c>
      <c r="W58" s="37">
        <f t="shared" si="7"/>
        <v>0</v>
      </c>
      <c r="X58" s="36">
        <v>20</v>
      </c>
      <c r="Y58" s="5">
        <v>0</v>
      </c>
      <c r="Z58" s="37">
        <f t="shared" si="8"/>
        <v>20</v>
      </c>
      <c r="AA58" s="38">
        <v>-20</v>
      </c>
      <c r="AB58" s="37">
        <f t="shared" si="9"/>
        <v>0</v>
      </c>
      <c r="AC58" s="36">
        <v>80</v>
      </c>
      <c r="AD58" s="5">
        <v>0</v>
      </c>
      <c r="AE58" s="37">
        <f t="shared" si="10"/>
        <v>80</v>
      </c>
      <c r="AF58" s="38">
        <v>-80</v>
      </c>
      <c r="AG58" s="37">
        <f t="shared" si="11"/>
        <v>0</v>
      </c>
      <c r="AH58" s="36">
        <v>0</v>
      </c>
      <c r="AI58" s="5">
        <v>0</v>
      </c>
      <c r="AJ58" s="37">
        <f t="shared" si="12"/>
        <v>0</v>
      </c>
      <c r="AK58" s="38">
        <v>0</v>
      </c>
      <c r="AL58" s="37">
        <f t="shared" si="13"/>
        <v>0</v>
      </c>
      <c r="AM58" s="35" t="s">
        <v>901</v>
      </c>
      <c r="AN58" s="35" t="s">
        <v>68</v>
      </c>
      <c r="AO58" s="5">
        <v>200</v>
      </c>
      <c r="AP58" s="5">
        <v>0</v>
      </c>
      <c r="AQ58" s="35"/>
      <c r="AR58" s="35"/>
      <c r="AS58" s="122">
        <v>4580445522702</v>
      </c>
      <c r="AT58" s="35">
        <v>719</v>
      </c>
      <c r="AU58" s="35" t="s">
        <v>917</v>
      </c>
    </row>
    <row r="59" spans="1:47" x14ac:dyDescent="0.15">
      <c r="A59" s="14" t="s">
        <v>877</v>
      </c>
      <c r="B59" s="5" t="s">
        <v>878</v>
      </c>
      <c r="C59" s="36">
        <v>29</v>
      </c>
      <c r="D59" s="36">
        <v>0</v>
      </c>
      <c r="E59" s="5">
        <v>0</v>
      </c>
      <c r="F59" s="37">
        <f t="shared" si="0"/>
        <v>29</v>
      </c>
      <c r="G59" s="38">
        <v>0</v>
      </c>
      <c r="H59" s="37">
        <f t="shared" si="1"/>
        <v>29</v>
      </c>
      <c r="I59" s="36">
        <v>20</v>
      </c>
      <c r="J59" s="5">
        <v>42</v>
      </c>
      <c r="K59" s="37">
        <f t="shared" si="2"/>
        <v>7</v>
      </c>
      <c r="L59" s="38">
        <v>0</v>
      </c>
      <c r="M59" s="37">
        <f t="shared" si="3"/>
        <v>7</v>
      </c>
      <c r="N59" s="36">
        <v>0</v>
      </c>
      <c r="O59" s="5">
        <v>20</v>
      </c>
      <c r="P59" s="37">
        <f t="shared" si="4"/>
        <v>-13</v>
      </c>
      <c r="Q59" s="38">
        <v>0</v>
      </c>
      <c r="R59" s="37">
        <f t="shared" si="5"/>
        <v>-13</v>
      </c>
      <c r="S59" s="36">
        <v>0</v>
      </c>
      <c r="T59" s="5">
        <v>14</v>
      </c>
      <c r="U59" s="37">
        <f t="shared" si="6"/>
        <v>-27</v>
      </c>
      <c r="V59" s="38">
        <v>0</v>
      </c>
      <c r="W59" s="37">
        <f t="shared" si="7"/>
        <v>-27</v>
      </c>
      <c r="X59" s="36">
        <v>0</v>
      </c>
      <c r="Y59" s="5">
        <v>14</v>
      </c>
      <c r="Z59" s="37">
        <f t="shared" si="8"/>
        <v>-41</v>
      </c>
      <c r="AA59" s="38">
        <v>0</v>
      </c>
      <c r="AB59" s="37">
        <f t="shared" si="9"/>
        <v>-41</v>
      </c>
      <c r="AC59" s="36">
        <v>0</v>
      </c>
      <c r="AD59" s="5">
        <v>32</v>
      </c>
      <c r="AE59" s="37">
        <f t="shared" si="10"/>
        <v>-73</v>
      </c>
      <c r="AF59" s="38">
        <v>0</v>
      </c>
      <c r="AG59" s="37">
        <f t="shared" si="11"/>
        <v>-73</v>
      </c>
      <c r="AH59" s="36">
        <v>0</v>
      </c>
      <c r="AI59" s="5">
        <v>46</v>
      </c>
      <c r="AJ59" s="37">
        <f t="shared" si="12"/>
        <v>-119</v>
      </c>
      <c r="AK59" s="38">
        <v>0</v>
      </c>
      <c r="AL59" s="37">
        <f t="shared" si="13"/>
        <v>-119</v>
      </c>
      <c r="AM59" s="35" t="s">
        <v>901</v>
      </c>
      <c r="AN59" s="35" t="s">
        <v>68</v>
      </c>
      <c r="AO59" s="5">
        <v>225</v>
      </c>
      <c r="AP59" s="5">
        <v>0</v>
      </c>
      <c r="AQ59" s="35"/>
      <c r="AR59" s="35"/>
      <c r="AS59" s="122"/>
      <c r="AT59" s="35">
        <v>172</v>
      </c>
      <c r="AU59" s="35" t="s">
        <v>902</v>
      </c>
    </row>
    <row r="60" spans="1:47" x14ac:dyDescent="0.15">
      <c r="A60" s="14" t="s">
        <v>640</v>
      </c>
      <c r="B60" s="5" t="s">
        <v>641</v>
      </c>
      <c r="C60" s="36">
        <v>35</v>
      </c>
      <c r="D60" s="36">
        <v>0</v>
      </c>
      <c r="E60" s="5">
        <v>0</v>
      </c>
      <c r="F60" s="37">
        <f t="shared" si="0"/>
        <v>35</v>
      </c>
      <c r="G60" s="38">
        <v>0</v>
      </c>
      <c r="H60" s="37">
        <f t="shared" si="1"/>
        <v>35</v>
      </c>
      <c r="I60" s="36">
        <v>0</v>
      </c>
      <c r="J60" s="5">
        <v>3</v>
      </c>
      <c r="K60" s="37">
        <f t="shared" si="2"/>
        <v>32</v>
      </c>
      <c r="L60" s="38">
        <v>-1</v>
      </c>
      <c r="M60" s="37">
        <f t="shared" si="3"/>
        <v>31</v>
      </c>
      <c r="N60" s="36">
        <v>20</v>
      </c>
      <c r="O60" s="5">
        <v>3</v>
      </c>
      <c r="P60" s="37">
        <f t="shared" si="4"/>
        <v>48</v>
      </c>
      <c r="Q60" s="38">
        <v>0</v>
      </c>
      <c r="R60" s="37">
        <f t="shared" si="5"/>
        <v>48</v>
      </c>
      <c r="S60" s="36">
        <v>0</v>
      </c>
      <c r="T60" s="5">
        <v>4</v>
      </c>
      <c r="U60" s="37">
        <f t="shared" si="6"/>
        <v>44</v>
      </c>
      <c r="V60" s="38">
        <v>0</v>
      </c>
      <c r="W60" s="37">
        <f t="shared" si="7"/>
        <v>44</v>
      </c>
      <c r="X60" s="36">
        <v>0</v>
      </c>
      <c r="Y60" s="5">
        <v>4</v>
      </c>
      <c r="Z60" s="37">
        <f t="shared" si="8"/>
        <v>40</v>
      </c>
      <c r="AA60" s="38">
        <v>0</v>
      </c>
      <c r="AB60" s="37">
        <f t="shared" si="9"/>
        <v>40</v>
      </c>
      <c r="AC60" s="36">
        <v>0</v>
      </c>
      <c r="AD60" s="5">
        <v>3</v>
      </c>
      <c r="AE60" s="37">
        <f t="shared" si="10"/>
        <v>37</v>
      </c>
      <c r="AF60" s="38">
        <v>0</v>
      </c>
      <c r="AG60" s="37">
        <f t="shared" si="11"/>
        <v>37</v>
      </c>
      <c r="AH60" s="36">
        <v>20</v>
      </c>
      <c r="AI60" s="5">
        <v>7</v>
      </c>
      <c r="AJ60" s="37">
        <f t="shared" si="12"/>
        <v>50</v>
      </c>
      <c r="AK60" s="38">
        <v>0</v>
      </c>
      <c r="AL60" s="37">
        <f t="shared" si="13"/>
        <v>50</v>
      </c>
      <c r="AM60" s="35" t="s">
        <v>901</v>
      </c>
      <c r="AN60" s="35" t="s">
        <v>69</v>
      </c>
      <c r="AO60" s="163">
        <v>3900</v>
      </c>
      <c r="AP60" s="5">
        <v>0</v>
      </c>
      <c r="AQ60" s="35" t="s">
        <v>67</v>
      </c>
      <c r="AR60" s="35"/>
      <c r="AS60" s="122"/>
      <c r="AT60" s="35">
        <v>172</v>
      </c>
      <c r="AU60" s="35" t="s">
        <v>902</v>
      </c>
    </row>
    <row r="61" spans="1:47" x14ac:dyDescent="0.15">
      <c r="A61" s="14" t="s">
        <v>838</v>
      </c>
      <c r="B61" s="5" t="s">
        <v>839</v>
      </c>
      <c r="C61" s="36">
        <v>0</v>
      </c>
      <c r="D61" s="36">
        <v>0</v>
      </c>
      <c r="E61" s="5">
        <v>0</v>
      </c>
      <c r="F61" s="37">
        <f t="shared" si="0"/>
        <v>0</v>
      </c>
      <c r="G61" s="38">
        <v>0</v>
      </c>
      <c r="H61" s="37">
        <f t="shared" si="1"/>
        <v>0</v>
      </c>
      <c r="I61" s="36">
        <v>0</v>
      </c>
      <c r="J61" s="5">
        <v>0</v>
      </c>
      <c r="K61" s="37">
        <f t="shared" si="2"/>
        <v>0</v>
      </c>
      <c r="L61" s="38">
        <v>0</v>
      </c>
      <c r="M61" s="37">
        <f t="shared" si="3"/>
        <v>0</v>
      </c>
      <c r="N61" s="36">
        <v>0</v>
      </c>
      <c r="O61" s="5">
        <v>0</v>
      </c>
      <c r="P61" s="37">
        <f t="shared" si="4"/>
        <v>0</v>
      </c>
      <c r="Q61" s="38">
        <v>0</v>
      </c>
      <c r="R61" s="37">
        <f t="shared" si="5"/>
        <v>0</v>
      </c>
      <c r="S61" s="36">
        <v>0</v>
      </c>
      <c r="T61" s="5">
        <v>0</v>
      </c>
      <c r="U61" s="37">
        <f t="shared" si="6"/>
        <v>0</v>
      </c>
      <c r="V61" s="38">
        <v>0</v>
      </c>
      <c r="W61" s="37">
        <f t="shared" si="7"/>
        <v>0</v>
      </c>
      <c r="X61" s="36">
        <v>0</v>
      </c>
      <c r="Y61" s="5">
        <v>0</v>
      </c>
      <c r="Z61" s="37">
        <f t="shared" si="8"/>
        <v>0</v>
      </c>
      <c r="AA61" s="38">
        <v>0</v>
      </c>
      <c r="AB61" s="37">
        <f t="shared" si="9"/>
        <v>0</v>
      </c>
      <c r="AC61" s="36">
        <v>0</v>
      </c>
      <c r="AD61" s="5">
        <v>0</v>
      </c>
      <c r="AE61" s="37">
        <f t="shared" si="10"/>
        <v>0</v>
      </c>
      <c r="AF61" s="38">
        <v>0</v>
      </c>
      <c r="AG61" s="37">
        <f t="shared" si="11"/>
        <v>0</v>
      </c>
      <c r="AH61" s="36">
        <v>0</v>
      </c>
      <c r="AI61" s="5">
        <v>0</v>
      </c>
      <c r="AJ61" s="37">
        <f t="shared" si="12"/>
        <v>0</v>
      </c>
      <c r="AK61" s="38">
        <v>0</v>
      </c>
      <c r="AL61" s="37">
        <f t="shared" si="13"/>
        <v>0</v>
      </c>
      <c r="AM61" s="35" t="s">
        <v>901</v>
      </c>
      <c r="AN61" s="35" t="s">
        <v>68</v>
      </c>
      <c r="AO61" s="163">
        <v>2800</v>
      </c>
      <c r="AP61" s="5">
        <v>0</v>
      </c>
      <c r="AQ61" s="35"/>
      <c r="AR61" s="35" t="s">
        <v>67</v>
      </c>
      <c r="AS61" s="122">
        <v>4580445522153</v>
      </c>
      <c r="AT61" s="35">
        <v>172</v>
      </c>
      <c r="AU61" s="35" t="s">
        <v>902</v>
      </c>
    </row>
    <row r="62" spans="1:47" x14ac:dyDescent="0.15">
      <c r="A62" s="14" t="s">
        <v>739</v>
      </c>
      <c r="B62" s="5" t="s">
        <v>873</v>
      </c>
      <c r="C62" s="36">
        <v>0</v>
      </c>
      <c r="D62" s="36">
        <v>0</v>
      </c>
      <c r="E62" s="5">
        <v>0</v>
      </c>
      <c r="F62" s="37">
        <f t="shared" si="0"/>
        <v>0</v>
      </c>
      <c r="G62" s="38">
        <v>0</v>
      </c>
      <c r="H62" s="37">
        <f t="shared" si="1"/>
        <v>0</v>
      </c>
      <c r="I62" s="36">
        <v>0</v>
      </c>
      <c r="J62" s="5">
        <v>0</v>
      </c>
      <c r="K62" s="37">
        <f t="shared" si="2"/>
        <v>0</v>
      </c>
      <c r="L62" s="38">
        <v>0</v>
      </c>
      <c r="M62" s="37">
        <f t="shared" si="3"/>
        <v>0</v>
      </c>
      <c r="N62" s="36">
        <v>0</v>
      </c>
      <c r="O62" s="5">
        <v>0</v>
      </c>
      <c r="P62" s="37">
        <f t="shared" si="4"/>
        <v>0</v>
      </c>
      <c r="Q62" s="38">
        <v>0</v>
      </c>
      <c r="R62" s="37">
        <f t="shared" si="5"/>
        <v>0</v>
      </c>
      <c r="S62" s="36">
        <v>0</v>
      </c>
      <c r="T62" s="5">
        <v>0</v>
      </c>
      <c r="U62" s="37">
        <f t="shared" si="6"/>
        <v>0</v>
      </c>
      <c r="V62" s="38">
        <v>0</v>
      </c>
      <c r="W62" s="37">
        <f t="shared" si="7"/>
        <v>0</v>
      </c>
      <c r="X62" s="36">
        <v>0</v>
      </c>
      <c r="Y62" s="5">
        <v>0</v>
      </c>
      <c r="Z62" s="37">
        <f t="shared" si="8"/>
        <v>0</v>
      </c>
      <c r="AA62" s="38">
        <v>0</v>
      </c>
      <c r="AB62" s="37">
        <f t="shared" si="9"/>
        <v>0</v>
      </c>
      <c r="AC62" s="36">
        <v>0</v>
      </c>
      <c r="AD62" s="5">
        <v>0</v>
      </c>
      <c r="AE62" s="37">
        <f t="shared" si="10"/>
        <v>0</v>
      </c>
      <c r="AF62" s="38">
        <v>0</v>
      </c>
      <c r="AG62" s="37">
        <f t="shared" si="11"/>
        <v>0</v>
      </c>
      <c r="AH62" s="36">
        <v>0</v>
      </c>
      <c r="AI62" s="5">
        <v>0</v>
      </c>
      <c r="AJ62" s="37">
        <f t="shared" si="12"/>
        <v>0</v>
      </c>
      <c r="AK62" s="38">
        <v>0</v>
      </c>
      <c r="AL62" s="37">
        <f t="shared" si="13"/>
        <v>0</v>
      </c>
      <c r="AM62" s="35"/>
      <c r="AN62" s="35"/>
      <c r="AO62" s="5">
        <v>0</v>
      </c>
      <c r="AP62" s="5">
        <v>0</v>
      </c>
      <c r="AQ62" s="35"/>
      <c r="AR62" s="35"/>
      <c r="AS62" s="122"/>
      <c r="AT62" s="35"/>
      <c r="AU62" s="35"/>
    </row>
    <row r="63" spans="1:47" x14ac:dyDescent="0.15">
      <c r="A63" s="14" t="s">
        <v>544</v>
      </c>
      <c r="B63" s="5" t="s">
        <v>545</v>
      </c>
      <c r="C63" s="36">
        <v>0</v>
      </c>
      <c r="D63" s="36">
        <v>0</v>
      </c>
      <c r="E63" s="5">
        <v>0</v>
      </c>
      <c r="F63" s="37">
        <f t="shared" si="0"/>
        <v>0</v>
      </c>
      <c r="G63" s="38">
        <v>0</v>
      </c>
      <c r="H63" s="37">
        <f t="shared" si="1"/>
        <v>0</v>
      </c>
      <c r="I63" s="36">
        <v>50</v>
      </c>
      <c r="J63" s="5">
        <v>50</v>
      </c>
      <c r="K63" s="37">
        <f t="shared" si="2"/>
        <v>0</v>
      </c>
      <c r="L63" s="38">
        <v>0</v>
      </c>
      <c r="M63" s="37">
        <f t="shared" si="3"/>
        <v>0</v>
      </c>
      <c r="N63" s="36">
        <v>0</v>
      </c>
      <c r="O63" s="5">
        <v>50</v>
      </c>
      <c r="P63" s="37">
        <f t="shared" si="4"/>
        <v>-50</v>
      </c>
      <c r="Q63" s="38">
        <v>0</v>
      </c>
      <c r="R63" s="37">
        <f t="shared" si="5"/>
        <v>-50</v>
      </c>
      <c r="S63" s="36">
        <v>0</v>
      </c>
      <c r="T63" s="5">
        <v>50</v>
      </c>
      <c r="U63" s="37">
        <f t="shared" si="6"/>
        <v>-100</v>
      </c>
      <c r="V63" s="38">
        <v>0</v>
      </c>
      <c r="W63" s="37">
        <f t="shared" si="7"/>
        <v>-100</v>
      </c>
      <c r="X63" s="36">
        <v>0</v>
      </c>
      <c r="Y63" s="5">
        <v>50</v>
      </c>
      <c r="Z63" s="37">
        <f t="shared" si="8"/>
        <v>-150</v>
      </c>
      <c r="AA63" s="38">
        <v>0</v>
      </c>
      <c r="AB63" s="37">
        <f t="shared" si="9"/>
        <v>-150</v>
      </c>
      <c r="AC63" s="36">
        <v>0</v>
      </c>
      <c r="AD63" s="5">
        <v>0</v>
      </c>
      <c r="AE63" s="37">
        <f t="shared" si="10"/>
        <v>-150</v>
      </c>
      <c r="AF63" s="38">
        <v>0</v>
      </c>
      <c r="AG63" s="37">
        <f t="shared" si="11"/>
        <v>-150</v>
      </c>
      <c r="AH63" s="36">
        <v>0</v>
      </c>
      <c r="AI63" s="5">
        <v>0</v>
      </c>
      <c r="AJ63" s="37">
        <f t="shared" si="12"/>
        <v>-150</v>
      </c>
      <c r="AK63" s="38">
        <v>0</v>
      </c>
      <c r="AL63" s="37">
        <f t="shared" si="13"/>
        <v>-150</v>
      </c>
      <c r="AM63" s="35" t="s">
        <v>901</v>
      </c>
      <c r="AN63" s="35" t="s">
        <v>68</v>
      </c>
      <c r="AO63" s="5">
        <v>230</v>
      </c>
      <c r="AP63" s="5">
        <v>0</v>
      </c>
      <c r="AQ63" s="35"/>
      <c r="AR63" s="35"/>
      <c r="AS63" s="122">
        <v>4580445523075</v>
      </c>
      <c r="AT63" s="35">
        <v>172</v>
      </c>
      <c r="AU63" s="35" t="s">
        <v>902</v>
      </c>
    </row>
    <row r="64" spans="1:47" x14ac:dyDescent="0.15">
      <c r="A64" s="14" t="s">
        <v>918</v>
      </c>
      <c r="B64" s="5" t="s">
        <v>919</v>
      </c>
      <c r="C64" s="36">
        <v>0</v>
      </c>
      <c r="D64" s="36">
        <v>20</v>
      </c>
      <c r="E64" s="5">
        <v>0</v>
      </c>
      <c r="F64" s="37">
        <f t="shared" si="0"/>
        <v>20</v>
      </c>
      <c r="G64" s="38">
        <v>0</v>
      </c>
      <c r="H64" s="37">
        <f t="shared" si="1"/>
        <v>20</v>
      </c>
      <c r="I64" s="36">
        <v>0</v>
      </c>
      <c r="J64" s="5">
        <v>14</v>
      </c>
      <c r="K64" s="37">
        <f t="shared" si="2"/>
        <v>6</v>
      </c>
      <c r="L64" s="38">
        <v>-6</v>
      </c>
      <c r="M64" s="37">
        <f t="shared" si="3"/>
        <v>0</v>
      </c>
      <c r="N64" s="36">
        <v>0</v>
      </c>
      <c r="O64" s="5">
        <v>5</v>
      </c>
      <c r="P64" s="37">
        <f t="shared" si="4"/>
        <v>-5</v>
      </c>
      <c r="Q64" s="38">
        <v>0</v>
      </c>
      <c r="R64" s="37">
        <f t="shared" si="5"/>
        <v>-5</v>
      </c>
      <c r="S64" s="36">
        <v>20</v>
      </c>
      <c r="T64" s="5">
        <v>11</v>
      </c>
      <c r="U64" s="37">
        <f t="shared" si="6"/>
        <v>4</v>
      </c>
      <c r="V64" s="38">
        <v>0</v>
      </c>
      <c r="W64" s="37">
        <f t="shared" si="7"/>
        <v>4</v>
      </c>
      <c r="X64" s="36">
        <v>0</v>
      </c>
      <c r="Y64" s="5">
        <v>9</v>
      </c>
      <c r="Z64" s="37">
        <f t="shared" si="8"/>
        <v>-5</v>
      </c>
      <c r="AA64" s="38">
        <v>0</v>
      </c>
      <c r="AB64" s="37">
        <f t="shared" si="9"/>
        <v>-5</v>
      </c>
      <c r="AC64" s="36">
        <v>20</v>
      </c>
      <c r="AD64" s="5">
        <v>6</v>
      </c>
      <c r="AE64" s="37">
        <f t="shared" si="10"/>
        <v>9</v>
      </c>
      <c r="AF64" s="38">
        <v>0</v>
      </c>
      <c r="AG64" s="37">
        <f t="shared" si="11"/>
        <v>9</v>
      </c>
      <c r="AH64" s="36">
        <v>0</v>
      </c>
      <c r="AI64" s="5">
        <v>9</v>
      </c>
      <c r="AJ64" s="37">
        <f t="shared" si="12"/>
        <v>0</v>
      </c>
      <c r="AK64" s="38">
        <v>0</v>
      </c>
      <c r="AL64" s="37">
        <f t="shared" si="13"/>
        <v>0</v>
      </c>
      <c r="AM64" s="35" t="s">
        <v>574</v>
      </c>
      <c r="AN64" s="35" t="s">
        <v>69</v>
      </c>
      <c r="AO64" s="163">
        <v>3400</v>
      </c>
      <c r="AP64" s="5">
        <v>0</v>
      </c>
      <c r="AQ64" s="35"/>
      <c r="AR64" s="35"/>
      <c r="AS64" s="122" t="s">
        <v>916</v>
      </c>
      <c r="AT64" s="35">
        <v>663</v>
      </c>
      <c r="AU64" s="35" t="s">
        <v>920</v>
      </c>
    </row>
    <row r="65" spans="1:47" x14ac:dyDescent="0.15">
      <c r="A65" s="14" t="s">
        <v>921</v>
      </c>
      <c r="B65" s="5" t="s">
        <v>922</v>
      </c>
      <c r="C65" s="36">
        <v>0</v>
      </c>
      <c r="D65" s="36">
        <v>0</v>
      </c>
      <c r="E65" s="5">
        <v>0</v>
      </c>
      <c r="F65" s="37">
        <f t="shared" si="0"/>
        <v>0</v>
      </c>
      <c r="G65" s="38">
        <v>0</v>
      </c>
      <c r="H65" s="37">
        <f t="shared" si="1"/>
        <v>0</v>
      </c>
      <c r="I65" s="36">
        <v>140</v>
      </c>
      <c r="J65" s="5">
        <v>116</v>
      </c>
      <c r="K65" s="37">
        <f t="shared" si="2"/>
        <v>24</v>
      </c>
      <c r="L65" s="38">
        <v>0</v>
      </c>
      <c r="M65" s="37">
        <f t="shared" si="3"/>
        <v>24</v>
      </c>
      <c r="N65" s="36">
        <v>0</v>
      </c>
      <c r="O65" s="5">
        <v>66</v>
      </c>
      <c r="P65" s="37">
        <f t="shared" si="4"/>
        <v>-42</v>
      </c>
      <c r="Q65" s="38">
        <v>0</v>
      </c>
      <c r="R65" s="37">
        <f t="shared" si="5"/>
        <v>-42</v>
      </c>
      <c r="S65" s="36">
        <v>0</v>
      </c>
      <c r="T65" s="5">
        <v>105</v>
      </c>
      <c r="U65" s="37">
        <f t="shared" si="6"/>
        <v>-147</v>
      </c>
      <c r="V65" s="38">
        <v>0</v>
      </c>
      <c r="W65" s="37">
        <f t="shared" si="7"/>
        <v>-147</v>
      </c>
      <c r="X65" s="36">
        <v>0</v>
      </c>
      <c r="Y65" s="5">
        <v>101</v>
      </c>
      <c r="Z65" s="37">
        <f t="shared" si="8"/>
        <v>-248</v>
      </c>
      <c r="AA65" s="38">
        <v>0</v>
      </c>
      <c r="AB65" s="37">
        <f t="shared" si="9"/>
        <v>-248</v>
      </c>
      <c r="AC65" s="36">
        <v>0</v>
      </c>
      <c r="AD65" s="5">
        <v>140</v>
      </c>
      <c r="AE65" s="37">
        <f t="shared" si="10"/>
        <v>-388</v>
      </c>
      <c r="AF65" s="38">
        <v>0</v>
      </c>
      <c r="AG65" s="37">
        <f t="shared" si="11"/>
        <v>-388</v>
      </c>
      <c r="AH65" s="36">
        <v>0</v>
      </c>
      <c r="AI65" s="5">
        <v>318</v>
      </c>
      <c r="AJ65" s="37">
        <f t="shared" si="12"/>
        <v>-706</v>
      </c>
      <c r="AK65" s="38">
        <v>0</v>
      </c>
      <c r="AL65" s="37">
        <f t="shared" si="13"/>
        <v>-706</v>
      </c>
      <c r="AM65" s="35" t="s">
        <v>574</v>
      </c>
      <c r="AN65" s="35" t="s">
        <v>68</v>
      </c>
      <c r="AO65" s="5">
        <v>200</v>
      </c>
      <c r="AP65" s="5">
        <v>0</v>
      </c>
      <c r="AQ65" s="35"/>
      <c r="AR65" s="35"/>
      <c r="AS65" s="122"/>
      <c r="AT65" s="35">
        <v>663</v>
      </c>
      <c r="AU65" s="35" t="s">
        <v>920</v>
      </c>
    </row>
    <row r="66" spans="1:47" x14ac:dyDescent="0.15">
      <c r="A66" s="14" t="s">
        <v>848</v>
      </c>
      <c r="B66" s="5" t="s">
        <v>849</v>
      </c>
      <c r="C66" s="36">
        <v>0</v>
      </c>
      <c r="D66" s="36">
        <v>0</v>
      </c>
      <c r="E66" s="5">
        <v>0</v>
      </c>
      <c r="F66" s="37">
        <f t="shared" si="0"/>
        <v>0</v>
      </c>
      <c r="G66" s="38">
        <v>0</v>
      </c>
      <c r="H66" s="37">
        <f t="shared" si="1"/>
        <v>0</v>
      </c>
      <c r="I66" s="36">
        <v>40</v>
      </c>
      <c r="J66" s="5">
        <v>10</v>
      </c>
      <c r="K66" s="37">
        <f t="shared" si="2"/>
        <v>30</v>
      </c>
      <c r="L66" s="38">
        <v>0</v>
      </c>
      <c r="M66" s="37">
        <f t="shared" si="3"/>
        <v>30</v>
      </c>
      <c r="N66" s="36">
        <v>0</v>
      </c>
      <c r="O66" s="5">
        <v>10</v>
      </c>
      <c r="P66" s="37">
        <f t="shared" si="4"/>
        <v>20</v>
      </c>
      <c r="Q66" s="38">
        <v>0</v>
      </c>
      <c r="R66" s="37">
        <f t="shared" si="5"/>
        <v>20</v>
      </c>
      <c r="S66" s="36">
        <v>40</v>
      </c>
      <c r="T66" s="5">
        <v>10</v>
      </c>
      <c r="U66" s="37">
        <f t="shared" si="6"/>
        <v>50</v>
      </c>
      <c r="V66" s="38">
        <v>0</v>
      </c>
      <c r="W66" s="37">
        <f t="shared" si="7"/>
        <v>50</v>
      </c>
      <c r="X66" s="36">
        <v>0</v>
      </c>
      <c r="Y66" s="5">
        <v>10</v>
      </c>
      <c r="Z66" s="37">
        <f t="shared" si="8"/>
        <v>40</v>
      </c>
      <c r="AA66" s="38">
        <v>0</v>
      </c>
      <c r="AB66" s="37">
        <f t="shared" si="9"/>
        <v>40</v>
      </c>
      <c r="AC66" s="36">
        <v>80</v>
      </c>
      <c r="AD66" s="5">
        <v>10</v>
      </c>
      <c r="AE66" s="37">
        <f t="shared" si="10"/>
        <v>110</v>
      </c>
      <c r="AF66" s="38">
        <v>0</v>
      </c>
      <c r="AG66" s="37">
        <f t="shared" si="11"/>
        <v>110</v>
      </c>
      <c r="AH66" s="36">
        <v>0</v>
      </c>
      <c r="AI66" s="5">
        <v>30</v>
      </c>
      <c r="AJ66" s="37">
        <f t="shared" si="12"/>
        <v>80</v>
      </c>
      <c r="AK66" s="38">
        <v>0</v>
      </c>
      <c r="AL66" s="37">
        <f t="shared" si="13"/>
        <v>80</v>
      </c>
      <c r="AM66" s="35" t="s">
        <v>923</v>
      </c>
      <c r="AN66" s="35" t="s">
        <v>68</v>
      </c>
      <c r="AO66" s="5">
        <v>175</v>
      </c>
      <c r="AP66" s="5">
        <v>0</v>
      </c>
      <c r="AQ66" s="35"/>
      <c r="AR66" s="35"/>
      <c r="AS66" s="122"/>
      <c r="AT66" s="35">
        <v>693</v>
      </c>
      <c r="AU66" s="35" t="s">
        <v>924</v>
      </c>
    </row>
    <row r="67" spans="1:47" x14ac:dyDescent="0.15">
      <c r="A67" s="14" t="s">
        <v>856</v>
      </c>
      <c r="B67" s="5" t="s">
        <v>857</v>
      </c>
      <c r="C67" s="36">
        <v>0</v>
      </c>
      <c r="D67" s="36">
        <v>0</v>
      </c>
      <c r="E67" s="5">
        <v>0</v>
      </c>
      <c r="F67" s="37">
        <f t="shared" si="0"/>
        <v>0</v>
      </c>
      <c r="G67" s="38">
        <v>0</v>
      </c>
      <c r="H67" s="37">
        <f t="shared" si="1"/>
        <v>0</v>
      </c>
      <c r="I67" s="36">
        <v>2</v>
      </c>
      <c r="J67" s="5">
        <v>0</v>
      </c>
      <c r="K67" s="37">
        <f t="shared" si="2"/>
        <v>2</v>
      </c>
      <c r="L67" s="38">
        <v>0</v>
      </c>
      <c r="M67" s="37">
        <f t="shared" si="3"/>
        <v>2</v>
      </c>
      <c r="N67" s="36">
        <v>0</v>
      </c>
      <c r="O67" s="5">
        <v>0</v>
      </c>
      <c r="P67" s="37">
        <f t="shared" si="4"/>
        <v>2</v>
      </c>
      <c r="Q67" s="38">
        <v>0</v>
      </c>
      <c r="R67" s="37">
        <f t="shared" si="5"/>
        <v>2</v>
      </c>
      <c r="S67" s="36">
        <v>0</v>
      </c>
      <c r="T67" s="5">
        <v>0</v>
      </c>
      <c r="U67" s="37">
        <f t="shared" si="6"/>
        <v>2</v>
      </c>
      <c r="V67" s="38">
        <v>0</v>
      </c>
      <c r="W67" s="37">
        <f t="shared" si="7"/>
        <v>2</v>
      </c>
      <c r="X67" s="36">
        <v>0</v>
      </c>
      <c r="Y67" s="5">
        <v>0</v>
      </c>
      <c r="Z67" s="37">
        <f t="shared" si="8"/>
        <v>2</v>
      </c>
      <c r="AA67" s="38">
        <v>0</v>
      </c>
      <c r="AB67" s="37">
        <f t="shared" si="9"/>
        <v>2</v>
      </c>
      <c r="AC67" s="36">
        <v>0</v>
      </c>
      <c r="AD67" s="5">
        <v>0</v>
      </c>
      <c r="AE67" s="37">
        <f t="shared" si="10"/>
        <v>2</v>
      </c>
      <c r="AF67" s="38">
        <v>0</v>
      </c>
      <c r="AG67" s="37">
        <f t="shared" si="11"/>
        <v>2</v>
      </c>
      <c r="AH67" s="36">
        <v>0</v>
      </c>
      <c r="AI67" s="5">
        <v>0</v>
      </c>
      <c r="AJ67" s="37">
        <f t="shared" si="12"/>
        <v>2</v>
      </c>
      <c r="AK67" s="38">
        <v>0</v>
      </c>
      <c r="AL67" s="37">
        <f t="shared" si="13"/>
        <v>2</v>
      </c>
      <c r="AM67" s="35" t="s">
        <v>923</v>
      </c>
      <c r="AN67" s="35" t="s">
        <v>69</v>
      </c>
      <c r="AO67" s="5">
        <v>0</v>
      </c>
      <c r="AP67" s="5">
        <v>0</v>
      </c>
      <c r="AQ67" s="35"/>
      <c r="AR67" s="35"/>
      <c r="AS67" s="122"/>
      <c r="AT67" s="35">
        <v>693</v>
      </c>
      <c r="AU67" s="35" t="s">
        <v>924</v>
      </c>
    </row>
    <row r="68" spans="1:47" x14ac:dyDescent="0.15">
      <c r="A68" s="14" t="s">
        <v>1006</v>
      </c>
      <c r="B68" s="5" t="s">
        <v>1007</v>
      </c>
      <c r="C68" s="36">
        <v>5</v>
      </c>
      <c r="D68" s="36">
        <v>0</v>
      </c>
      <c r="E68" s="5">
        <v>0</v>
      </c>
      <c r="F68" s="37">
        <f t="shared" si="0"/>
        <v>5</v>
      </c>
      <c r="G68" s="38">
        <v>0</v>
      </c>
      <c r="H68" s="37">
        <f t="shared" si="1"/>
        <v>5</v>
      </c>
      <c r="I68" s="36">
        <v>0</v>
      </c>
      <c r="J68" s="5">
        <v>5</v>
      </c>
      <c r="K68" s="37">
        <f t="shared" si="2"/>
        <v>0</v>
      </c>
      <c r="L68" s="38">
        <v>0</v>
      </c>
      <c r="M68" s="37">
        <f t="shared" si="3"/>
        <v>0</v>
      </c>
      <c r="N68" s="36">
        <v>0</v>
      </c>
      <c r="O68" s="5">
        <v>0</v>
      </c>
      <c r="P68" s="37">
        <f t="shared" si="4"/>
        <v>0</v>
      </c>
      <c r="Q68" s="38">
        <v>0</v>
      </c>
      <c r="R68" s="37">
        <f t="shared" si="5"/>
        <v>0</v>
      </c>
      <c r="S68" s="36">
        <v>0</v>
      </c>
      <c r="T68" s="5">
        <v>0</v>
      </c>
      <c r="U68" s="37">
        <f t="shared" si="6"/>
        <v>0</v>
      </c>
      <c r="V68" s="38">
        <v>0</v>
      </c>
      <c r="W68" s="37">
        <f t="shared" si="7"/>
        <v>0</v>
      </c>
      <c r="X68" s="36">
        <v>0</v>
      </c>
      <c r="Y68" s="5">
        <v>0</v>
      </c>
      <c r="Z68" s="37">
        <f t="shared" si="8"/>
        <v>0</v>
      </c>
      <c r="AA68" s="38">
        <v>0</v>
      </c>
      <c r="AB68" s="37">
        <f t="shared" si="9"/>
        <v>0</v>
      </c>
      <c r="AC68" s="36">
        <v>0</v>
      </c>
      <c r="AD68" s="5">
        <v>0</v>
      </c>
      <c r="AE68" s="37">
        <f t="shared" si="10"/>
        <v>0</v>
      </c>
      <c r="AF68" s="38">
        <v>0</v>
      </c>
      <c r="AG68" s="37">
        <f t="shared" si="11"/>
        <v>0</v>
      </c>
      <c r="AH68" s="36">
        <v>0</v>
      </c>
      <c r="AI68" s="5">
        <v>0</v>
      </c>
      <c r="AJ68" s="37">
        <f t="shared" si="12"/>
        <v>0</v>
      </c>
      <c r="AK68" s="38">
        <v>0</v>
      </c>
      <c r="AL68" s="37">
        <f t="shared" si="13"/>
        <v>0</v>
      </c>
      <c r="AM68" s="35" t="s">
        <v>923</v>
      </c>
      <c r="AN68" s="35" t="s">
        <v>68</v>
      </c>
      <c r="AO68" s="5">
        <v>160</v>
      </c>
      <c r="AP68" s="5">
        <v>0</v>
      </c>
      <c r="AQ68" s="35"/>
      <c r="AR68" s="35"/>
      <c r="AS68" s="122"/>
      <c r="AT68" s="35">
        <v>693</v>
      </c>
      <c r="AU68" s="35" t="s">
        <v>924</v>
      </c>
    </row>
    <row r="69" spans="1:47" x14ac:dyDescent="0.15">
      <c r="A69" s="14" t="s">
        <v>616</v>
      </c>
      <c r="B69" s="5" t="s">
        <v>617</v>
      </c>
      <c r="C69" s="36">
        <v>0</v>
      </c>
      <c r="D69" s="36">
        <v>0</v>
      </c>
      <c r="E69" s="5">
        <v>0</v>
      </c>
      <c r="F69" s="37">
        <f t="shared" si="0"/>
        <v>0</v>
      </c>
      <c r="G69" s="38">
        <v>0</v>
      </c>
      <c r="H69" s="37">
        <f t="shared" si="1"/>
        <v>0</v>
      </c>
      <c r="I69" s="36">
        <v>0</v>
      </c>
      <c r="J69" s="5">
        <v>0</v>
      </c>
      <c r="K69" s="37">
        <f t="shared" si="2"/>
        <v>0</v>
      </c>
      <c r="L69" s="38">
        <v>0</v>
      </c>
      <c r="M69" s="37">
        <f t="shared" si="3"/>
        <v>0</v>
      </c>
      <c r="N69" s="36">
        <v>0</v>
      </c>
      <c r="O69" s="5">
        <v>0</v>
      </c>
      <c r="P69" s="37">
        <f t="shared" si="4"/>
        <v>0</v>
      </c>
      <c r="Q69" s="38">
        <v>0</v>
      </c>
      <c r="R69" s="37">
        <f t="shared" si="5"/>
        <v>0</v>
      </c>
      <c r="S69" s="36">
        <v>0</v>
      </c>
      <c r="T69" s="5">
        <v>0</v>
      </c>
      <c r="U69" s="37">
        <f t="shared" si="6"/>
        <v>0</v>
      </c>
      <c r="V69" s="38">
        <v>0</v>
      </c>
      <c r="W69" s="37">
        <f t="shared" si="7"/>
        <v>0</v>
      </c>
      <c r="X69" s="36">
        <v>0</v>
      </c>
      <c r="Y69" s="5">
        <v>0</v>
      </c>
      <c r="Z69" s="37">
        <f t="shared" si="8"/>
        <v>0</v>
      </c>
      <c r="AA69" s="38">
        <v>0</v>
      </c>
      <c r="AB69" s="37">
        <f t="shared" si="9"/>
        <v>0</v>
      </c>
      <c r="AC69" s="36">
        <v>0</v>
      </c>
      <c r="AD69" s="5">
        <v>0</v>
      </c>
      <c r="AE69" s="37">
        <f t="shared" si="10"/>
        <v>0</v>
      </c>
      <c r="AF69" s="38">
        <v>0</v>
      </c>
      <c r="AG69" s="37">
        <f t="shared" si="11"/>
        <v>0</v>
      </c>
      <c r="AH69" s="36">
        <v>0</v>
      </c>
      <c r="AI69" s="5">
        <v>0</v>
      </c>
      <c r="AJ69" s="37">
        <f t="shared" si="12"/>
        <v>0</v>
      </c>
      <c r="AK69" s="38">
        <v>0</v>
      </c>
      <c r="AL69" s="37">
        <f t="shared" si="13"/>
        <v>0</v>
      </c>
      <c r="AM69" s="35" t="s">
        <v>896</v>
      </c>
      <c r="AN69" s="35" t="s">
        <v>68</v>
      </c>
      <c r="AO69" s="163">
        <v>2450</v>
      </c>
      <c r="AP69" s="5">
        <v>0</v>
      </c>
      <c r="AQ69" s="35"/>
      <c r="AR69" s="35" t="s">
        <v>67</v>
      </c>
      <c r="AS69" s="122">
        <v>4580445523037</v>
      </c>
      <c r="AT69" s="35"/>
      <c r="AU69" s="35"/>
    </row>
    <row r="70" spans="1:47" x14ac:dyDescent="0.15">
      <c r="A70" s="14" t="s">
        <v>539</v>
      </c>
      <c r="B70" s="5" t="s">
        <v>540</v>
      </c>
      <c r="C70" s="36">
        <v>12</v>
      </c>
      <c r="D70" s="36">
        <v>0</v>
      </c>
      <c r="E70" s="5">
        <v>0</v>
      </c>
      <c r="F70" s="37">
        <f t="shared" si="0"/>
        <v>12</v>
      </c>
      <c r="G70" s="38">
        <v>0</v>
      </c>
      <c r="H70" s="37">
        <f t="shared" si="1"/>
        <v>12</v>
      </c>
      <c r="I70" s="36">
        <v>0</v>
      </c>
      <c r="J70" s="5">
        <v>0</v>
      </c>
      <c r="K70" s="37">
        <f t="shared" si="2"/>
        <v>12</v>
      </c>
      <c r="L70" s="38">
        <v>-2</v>
      </c>
      <c r="M70" s="37">
        <f t="shared" si="3"/>
        <v>10</v>
      </c>
      <c r="N70" s="36">
        <v>0</v>
      </c>
      <c r="O70" s="5">
        <v>0</v>
      </c>
      <c r="P70" s="37">
        <f t="shared" si="4"/>
        <v>10</v>
      </c>
      <c r="Q70" s="38">
        <v>0</v>
      </c>
      <c r="R70" s="37">
        <f t="shared" si="5"/>
        <v>10</v>
      </c>
      <c r="S70" s="36">
        <v>0</v>
      </c>
      <c r="T70" s="5">
        <v>0</v>
      </c>
      <c r="U70" s="37">
        <f t="shared" si="6"/>
        <v>10</v>
      </c>
      <c r="V70" s="38">
        <v>0</v>
      </c>
      <c r="W70" s="37">
        <f t="shared" si="7"/>
        <v>10</v>
      </c>
      <c r="X70" s="36">
        <v>0</v>
      </c>
      <c r="Y70" s="5">
        <v>0</v>
      </c>
      <c r="Z70" s="37">
        <f t="shared" si="8"/>
        <v>10</v>
      </c>
      <c r="AA70" s="38">
        <v>0</v>
      </c>
      <c r="AB70" s="37">
        <f t="shared" si="9"/>
        <v>10</v>
      </c>
      <c r="AC70" s="36">
        <v>0</v>
      </c>
      <c r="AD70" s="5">
        <v>0</v>
      </c>
      <c r="AE70" s="37">
        <f t="shared" si="10"/>
        <v>10</v>
      </c>
      <c r="AF70" s="38">
        <v>0</v>
      </c>
      <c r="AG70" s="37">
        <f t="shared" si="11"/>
        <v>10</v>
      </c>
      <c r="AH70" s="36">
        <v>0</v>
      </c>
      <c r="AI70" s="5">
        <v>0</v>
      </c>
      <c r="AJ70" s="37">
        <f t="shared" si="12"/>
        <v>10</v>
      </c>
      <c r="AK70" s="38">
        <v>0</v>
      </c>
      <c r="AL70" s="37">
        <f t="shared" si="13"/>
        <v>10</v>
      </c>
      <c r="AM70" s="35" t="s">
        <v>901</v>
      </c>
      <c r="AN70" s="35" t="s">
        <v>69</v>
      </c>
      <c r="AO70" s="163">
        <v>4300</v>
      </c>
      <c r="AP70" s="5">
        <v>0</v>
      </c>
      <c r="AQ70" s="35" t="s">
        <v>67</v>
      </c>
      <c r="AR70" s="35"/>
      <c r="AS70" s="122"/>
      <c r="AT70" s="35">
        <v>172</v>
      </c>
      <c r="AU70" s="35" t="s">
        <v>902</v>
      </c>
    </row>
    <row r="71" spans="1:47" x14ac:dyDescent="0.15">
      <c r="A71" s="14" t="s">
        <v>740</v>
      </c>
      <c r="B71" s="5" t="s">
        <v>741</v>
      </c>
      <c r="C71" s="36">
        <v>19</v>
      </c>
      <c r="D71" s="36">
        <v>100</v>
      </c>
      <c r="E71" s="5">
        <v>0</v>
      </c>
      <c r="F71" s="37">
        <f t="shared" si="0"/>
        <v>119</v>
      </c>
      <c r="G71" s="38">
        <v>0</v>
      </c>
      <c r="H71" s="37">
        <f t="shared" si="1"/>
        <v>119</v>
      </c>
      <c r="I71" s="36">
        <v>0</v>
      </c>
      <c r="J71" s="5">
        <v>45</v>
      </c>
      <c r="K71" s="37">
        <f t="shared" si="2"/>
        <v>74</v>
      </c>
      <c r="L71" s="38">
        <v>0</v>
      </c>
      <c r="M71" s="37">
        <f t="shared" si="3"/>
        <v>74</v>
      </c>
      <c r="N71" s="36">
        <v>0</v>
      </c>
      <c r="O71" s="5">
        <v>12</v>
      </c>
      <c r="P71" s="37">
        <f t="shared" si="4"/>
        <v>62</v>
      </c>
      <c r="Q71" s="38">
        <v>0</v>
      </c>
      <c r="R71" s="37">
        <f t="shared" si="5"/>
        <v>62</v>
      </c>
      <c r="S71" s="36">
        <v>25</v>
      </c>
      <c r="T71" s="5">
        <v>37</v>
      </c>
      <c r="U71" s="37">
        <f t="shared" si="6"/>
        <v>50</v>
      </c>
      <c r="V71" s="38">
        <v>0</v>
      </c>
      <c r="W71" s="37">
        <f t="shared" si="7"/>
        <v>50</v>
      </c>
      <c r="X71" s="36">
        <v>0</v>
      </c>
      <c r="Y71" s="5">
        <v>21</v>
      </c>
      <c r="Z71" s="37">
        <f t="shared" si="8"/>
        <v>29</v>
      </c>
      <c r="AA71" s="38">
        <v>0</v>
      </c>
      <c r="AB71" s="37">
        <f t="shared" si="9"/>
        <v>29</v>
      </c>
      <c r="AC71" s="36">
        <v>0</v>
      </c>
      <c r="AD71" s="5">
        <v>43</v>
      </c>
      <c r="AE71" s="37">
        <f t="shared" si="10"/>
        <v>-14</v>
      </c>
      <c r="AF71" s="38">
        <v>0</v>
      </c>
      <c r="AG71" s="37">
        <f t="shared" si="11"/>
        <v>-14</v>
      </c>
      <c r="AH71" s="36">
        <v>0</v>
      </c>
      <c r="AI71" s="5">
        <v>47</v>
      </c>
      <c r="AJ71" s="37">
        <f t="shared" si="12"/>
        <v>-61</v>
      </c>
      <c r="AK71" s="38">
        <v>0</v>
      </c>
      <c r="AL71" s="37">
        <f t="shared" si="13"/>
        <v>-61</v>
      </c>
      <c r="AM71" s="35" t="s">
        <v>574</v>
      </c>
      <c r="AN71" s="35" t="s">
        <v>68</v>
      </c>
      <c r="AO71" s="5">
        <v>185</v>
      </c>
      <c r="AP71" s="5">
        <v>0</v>
      </c>
      <c r="AQ71" s="35"/>
      <c r="AR71" s="35"/>
      <c r="AS71" s="122"/>
      <c r="AT71" s="35">
        <v>663</v>
      </c>
      <c r="AU71" s="35" t="s">
        <v>920</v>
      </c>
    </row>
    <row r="72" spans="1:47" x14ac:dyDescent="0.15">
      <c r="A72" s="14" t="s">
        <v>523</v>
      </c>
      <c r="B72" s="5" t="s">
        <v>524</v>
      </c>
      <c r="C72" s="36">
        <v>73</v>
      </c>
      <c r="D72" s="36">
        <v>0</v>
      </c>
      <c r="E72" s="5">
        <v>0</v>
      </c>
      <c r="F72" s="37">
        <f t="shared" ref="F72:F135" si="14">D72-E72+C72</f>
        <v>73</v>
      </c>
      <c r="G72" s="38">
        <v>0</v>
      </c>
      <c r="H72" s="37">
        <f t="shared" ref="H72:H135" si="15">F72+G72</f>
        <v>73</v>
      </c>
      <c r="I72" s="36">
        <v>160</v>
      </c>
      <c r="J72" s="5">
        <v>56</v>
      </c>
      <c r="K72" s="37">
        <f t="shared" ref="K72:K135" si="16">I72-J72+H72</f>
        <v>177</v>
      </c>
      <c r="L72" s="38">
        <v>-10</v>
      </c>
      <c r="M72" s="37">
        <f t="shared" ref="M72:M135" si="17">K72+L72</f>
        <v>167</v>
      </c>
      <c r="N72" s="36">
        <v>0</v>
      </c>
      <c r="O72" s="5">
        <v>22</v>
      </c>
      <c r="P72" s="37">
        <f t="shared" ref="P72:P135" si="18">N72-O72+M72</f>
        <v>145</v>
      </c>
      <c r="Q72" s="38">
        <v>0</v>
      </c>
      <c r="R72" s="37">
        <f t="shared" ref="R72:R135" si="19">P72+Q72</f>
        <v>145</v>
      </c>
      <c r="S72" s="36">
        <v>0</v>
      </c>
      <c r="T72" s="5">
        <v>39</v>
      </c>
      <c r="U72" s="37">
        <f t="shared" ref="U72:U135" si="20">S72-T72+R72</f>
        <v>106</v>
      </c>
      <c r="V72" s="38">
        <v>0</v>
      </c>
      <c r="W72" s="37">
        <f t="shared" ref="W72:W135" si="21">U72+V72</f>
        <v>106</v>
      </c>
      <c r="X72" s="36">
        <v>0</v>
      </c>
      <c r="Y72" s="5">
        <v>16</v>
      </c>
      <c r="Z72" s="37">
        <f t="shared" ref="Z72:Z135" si="22">X72-Y72+W72</f>
        <v>90</v>
      </c>
      <c r="AA72" s="38">
        <v>-5</v>
      </c>
      <c r="AB72" s="37">
        <f t="shared" ref="AB72:AB135" si="23">Z72+AA72</f>
        <v>85</v>
      </c>
      <c r="AC72" s="36">
        <v>160</v>
      </c>
      <c r="AD72" s="5">
        <v>53</v>
      </c>
      <c r="AE72" s="37">
        <f t="shared" ref="AE72:AE135" si="24">AC72-AD72+AB72</f>
        <v>192</v>
      </c>
      <c r="AF72" s="38">
        <v>-5</v>
      </c>
      <c r="AG72" s="37">
        <f t="shared" ref="AG72:AG135" si="25">AE72+AF72</f>
        <v>187</v>
      </c>
      <c r="AH72" s="36">
        <v>0</v>
      </c>
      <c r="AI72" s="5">
        <v>44</v>
      </c>
      <c r="AJ72" s="37">
        <f t="shared" ref="AJ72:AJ135" si="26">AH72-AI72+AG72</f>
        <v>143</v>
      </c>
      <c r="AK72" s="38">
        <v>0</v>
      </c>
      <c r="AL72" s="37">
        <f t="shared" ref="AL72:AL135" si="27">AJ72+AK72</f>
        <v>143</v>
      </c>
      <c r="AM72" s="35" t="s">
        <v>899</v>
      </c>
      <c r="AN72" s="35" t="s">
        <v>68</v>
      </c>
      <c r="AO72" s="5">
        <v>185</v>
      </c>
      <c r="AP72" s="5">
        <v>0</v>
      </c>
      <c r="AQ72" s="35" t="s">
        <v>67</v>
      </c>
      <c r="AR72" s="35"/>
      <c r="AS72" s="122" t="s">
        <v>925</v>
      </c>
      <c r="AT72" s="35"/>
      <c r="AU72" s="35"/>
    </row>
    <row r="73" spans="1:47" x14ac:dyDescent="0.15">
      <c r="A73" s="14" t="s">
        <v>584</v>
      </c>
      <c r="B73" s="5" t="s">
        <v>585</v>
      </c>
      <c r="C73" s="36">
        <v>0</v>
      </c>
      <c r="D73" s="36">
        <v>0</v>
      </c>
      <c r="E73" s="5">
        <v>0</v>
      </c>
      <c r="F73" s="37">
        <f t="shared" si="14"/>
        <v>0</v>
      </c>
      <c r="G73" s="38">
        <v>0</v>
      </c>
      <c r="H73" s="37">
        <f t="shared" si="15"/>
        <v>0</v>
      </c>
      <c r="I73" s="36">
        <v>2</v>
      </c>
      <c r="J73" s="5">
        <v>2</v>
      </c>
      <c r="K73" s="37">
        <f t="shared" si="16"/>
        <v>0</v>
      </c>
      <c r="L73" s="38">
        <v>0</v>
      </c>
      <c r="M73" s="37">
        <f t="shared" si="17"/>
        <v>0</v>
      </c>
      <c r="N73" s="36">
        <v>0</v>
      </c>
      <c r="O73" s="5">
        <v>0</v>
      </c>
      <c r="P73" s="37">
        <f t="shared" si="18"/>
        <v>0</v>
      </c>
      <c r="Q73" s="38">
        <v>0</v>
      </c>
      <c r="R73" s="37">
        <f t="shared" si="19"/>
        <v>0</v>
      </c>
      <c r="S73" s="36">
        <v>0</v>
      </c>
      <c r="T73" s="5">
        <v>0</v>
      </c>
      <c r="U73" s="37">
        <f t="shared" si="20"/>
        <v>0</v>
      </c>
      <c r="V73" s="38">
        <v>0</v>
      </c>
      <c r="W73" s="37">
        <f t="shared" si="21"/>
        <v>0</v>
      </c>
      <c r="X73" s="36">
        <v>1</v>
      </c>
      <c r="Y73" s="5">
        <v>1</v>
      </c>
      <c r="Z73" s="37">
        <f t="shared" si="22"/>
        <v>0</v>
      </c>
      <c r="AA73" s="38">
        <v>0</v>
      </c>
      <c r="AB73" s="37">
        <f t="shared" si="23"/>
        <v>0</v>
      </c>
      <c r="AC73" s="36">
        <v>1</v>
      </c>
      <c r="AD73" s="5">
        <v>1</v>
      </c>
      <c r="AE73" s="37">
        <f t="shared" si="24"/>
        <v>0</v>
      </c>
      <c r="AF73" s="38">
        <v>0</v>
      </c>
      <c r="AG73" s="37">
        <f t="shared" si="25"/>
        <v>0</v>
      </c>
      <c r="AH73" s="36">
        <v>0</v>
      </c>
      <c r="AI73" s="5">
        <v>0</v>
      </c>
      <c r="AJ73" s="37">
        <f t="shared" si="26"/>
        <v>0</v>
      </c>
      <c r="AK73" s="38">
        <v>0</v>
      </c>
      <c r="AL73" s="37">
        <f t="shared" si="27"/>
        <v>0</v>
      </c>
      <c r="AM73" s="35" t="s">
        <v>926</v>
      </c>
      <c r="AN73" s="35" t="s">
        <v>68</v>
      </c>
      <c r="AO73" s="5">
        <v>950</v>
      </c>
      <c r="AP73" s="5">
        <v>0</v>
      </c>
      <c r="AQ73" s="35"/>
      <c r="AR73" s="35" t="s">
        <v>67</v>
      </c>
      <c r="AS73" s="122" t="s">
        <v>916</v>
      </c>
      <c r="AT73" s="35">
        <v>173</v>
      </c>
      <c r="AU73" s="35" t="s">
        <v>927</v>
      </c>
    </row>
    <row r="74" spans="1:47" x14ac:dyDescent="0.15">
      <c r="A74" s="14" t="s">
        <v>509</v>
      </c>
      <c r="B74" s="5" t="s">
        <v>510</v>
      </c>
      <c r="C74" s="36">
        <v>170</v>
      </c>
      <c r="D74" s="36">
        <v>0</v>
      </c>
      <c r="E74" s="5">
        <v>0</v>
      </c>
      <c r="F74" s="37">
        <f t="shared" si="14"/>
        <v>170</v>
      </c>
      <c r="G74" s="38">
        <v>0</v>
      </c>
      <c r="H74" s="37">
        <f t="shared" si="15"/>
        <v>170</v>
      </c>
      <c r="I74" s="36">
        <v>0</v>
      </c>
      <c r="J74" s="5">
        <v>51</v>
      </c>
      <c r="K74" s="37">
        <f t="shared" si="16"/>
        <v>119</v>
      </c>
      <c r="L74" s="38">
        <v>0</v>
      </c>
      <c r="M74" s="37">
        <f t="shared" si="17"/>
        <v>119</v>
      </c>
      <c r="N74" s="36">
        <v>0</v>
      </c>
      <c r="O74" s="5">
        <v>16</v>
      </c>
      <c r="P74" s="37">
        <f t="shared" si="18"/>
        <v>103</v>
      </c>
      <c r="Q74" s="38">
        <v>0</v>
      </c>
      <c r="R74" s="37">
        <f t="shared" si="19"/>
        <v>103</v>
      </c>
      <c r="S74" s="36">
        <v>200</v>
      </c>
      <c r="T74" s="5">
        <v>47</v>
      </c>
      <c r="U74" s="37">
        <f t="shared" si="20"/>
        <v>256</v>
      </c>
      <c r="V74" s="38">
        <v>0</v>
      </c>
      <c r="W74" s="37">
        <f t="shared" si="21"/>
        <v>256</v>
      </c>
      <c r="X74" s="36">
        <v>0</v>
      </c>
      <c r="Y74" s="5">
        <v>15</v>
      </c>
      <c r="Z74" s="37">
        <f t="shared" si="22"/>
        <v>241</v>
      </c>
      <c r="AA74" s="38">
        <v>0</v>
      </c>
      <c r="AB74" s="37">
        <f t="shared" si="23"/>
        <v>241</v>
      </c>
      <c r="AC74" s="36">
        <v>0</v>
      </c>
      <c r="AD74" s="5">
        <v>51</v>
      </c>
      <c r="AE74" s="37">
        <f t="shared" si="24"/>
        <v>190</v>
      </c>
      <c r="AF74" s="38">
        <v>0</v>
      </c>
      <c r="AG74" s="37">
        <f t="shared" si="25"/>
        <v>190</v>
      </c>
      <c r="AH74" s="36">
        <v>0</v>
      </c>
      <c r="AI74" s="5">
        <v>44</v>
      </c>
      <c r="AJ74" s="37">
        <f t="shared" si="26"/>
        <v>146</v>
      </c>
      <c r="AK74" s="38">
        <v>0</v>
      </c>
      <c r="AL74" s="37">
        <f t="shared" si="27"/>
        <v>146</v>
      </c>
      <c r="AM74" s="35" t="s">
        <v>899</v>
      </c>
      <c r="AN74" s="35" t="s">
        <v>68</v>
      </c>
      <c r="AO74" s="5">
        <v>165</v>
      </c>
      <c r="AP74" s="5">
        <v>0</v>
      </c>
      <c r="AQ74" s="35" t="s">
        <v>67</v>
      </c>
      <c r="AR74" s="35"/>
      <c r="AS74" s="122"/>
      <c r="AT74" s="35"/>
      <c r="AU74" s="35"/>
    </row>
    <row r="75" spans="1:47" x14ac:dyDescent="0.15">
      <c r="A75" s="14" t="s">
        <v>706</v>
      </c>
      <c r="B75" s="5" t="s">
        <v>707</v>
      </c>
      <c r="C75" s="36">
        <v>14</v>
      </c>
      <c r="D75" s="36">
        <v>0</v>
      </c>
      <c r="E75" s="5">
        <v>0</v>
      </c>
      <c r="F75" s="37">
        <f t="shared" si="14"/>
        <v>14</v>
      </c>
      <c r="G75" s="38">
        <v>0</v>
      </c>
      <c r="H75" s="37">
        <f t="shared" si="15"/>
        <v>14</v>
      </c>
      <c r="I75" s="36">
        <v>0</v>
      </c>
      <c r="J75" s="5">
        <v>8</v>
      </c>
      <c r="K75" s="37">
        <f t="shared" si="16"/>
        <v>6</v>
      </c>
      <c r="L75" s="38">
        <v>-2</v>
      </c>
      <c r="M75" s="37">
        <f t="shared" si="17"/>
        <v>4</v>
      </c>
      <c r="N75" s="36">
        <v>0</v>
      </c>
      <c r="O75" s="5">
        <v>4</v>
      </c>
      <c r="P75" s="37">
        <f t="shared" si="18"/>
        <v>0</v>
      </c>
      <c r="Q75" s="38">
        <v>-4</v>
      </c>
      <c r="R75" s="37">
        <f t="shared" si="19"/>
        <v>-4</v>
      </c>
      <c r="S75" s="36">
        <v>0</v>
      </c>
      <c r="T75" s="5">
        <v>3</v>
      </c>
      <c r="U75" s="37">
        <f t="shared" si="20"/>
        <v>-7</v>
      </c>
      <c r="V75" s="38">
        <v>-5</v>
      </c>
      <c r="W75" s="37">
        <f t="shared" si="21"/>
        <v>-12</v>
      </c>
      <c r="X75" s="36">
        <v>0</v>
      </c>
      <c r="Y75" s="5">
        <v>5</v>
      </c>
      <c r="Z75" s="37">
        <f t="shared" si="22"/>
        <v>-17</v>
      </c>
      <c r="AA75" s="38">
        <v>-3</v>
      </c>
      <c r="AB75" s="37">
        <f t="shared" si="23"/>
        <v>-20</v>
      </c>
      <c r="AC75" s="36">
        <v>0</v>
      </c>
      <c r="AD75" s="5">
        <v>4</v>
      </c>
      <c r="AE75" s="37">
        <f t="shared" si="24"/>
        <v>-24</v>
      </c>
      <c r="AF75" s="38">
        <v>-4</v>
      </c>
      <c r="AG75" s="37">
        <f t="shared" si="25"/>
        <v>-28</v>
      </c>
      <c r="AH75" s="36">
        <v>0</v>
      </c>
      <c r="AI75" s="5">
        <v>7</v>
      </c>
      <c r="AJ75" s="37">
        <f t="shared" si="26"/>
        <v>-35</v>
      </c>
      <c r="AK75" s="38">
        <v>-5</v>
      </c>
      <c r="AL75" s="37">
        <f t="shared" si="27"/>
        <v>-40</v>
      </c>
      <c r="AM75" s="35" t="s">
        <v>574</v>
      </c>
      <c r="AN75" s="35" t="s">
        <v>69</v>
      </c>
      <c r="AO75" s="163">
        <v>2200</v>
      </c>
      <c r="AP75" s="5">
        <v>0</v>
      </c>
      <c r="AQ75" s="35"/>
      <c r="AR75" s="35"/>
      <c r="AS75" s="122"/>
      <c r="AT75" s="35">
        <v>244</v>
      </c>
      <c r="AU75" s="35" t="s">
        <v>928</v>
      </c>
    </row>
    <row r="76" spans="1:47" x14ac:dyDescent="0.15">
      <c r="A76" s="14" t="s">
        <v>725</v>
      </c>
      <c r="B76" s="5" t="s">
        <v>726</v>
      </c>
      <c r="C76" s="36">
        <v>33</v>
      </c>
      <c r="D76" s="36">
        <v>0</v>
      </c>
      <c r="E76" s="5">
        <v>0</v>
      </c>
      <c r="F76" s="37">
        <f t="shared" si="14"/>
        <v>33</v>
      </c>
      <c r="G76" s="38">
        <v>0</v>
      </c>
      <c r="H76" s="37">
        <f t="shared" si="15"/>
        <v>33</v>
      </c>
      <c r="I76" s="36">
        <v>4</v>
      </c>
      <c r="J76" s="5">
        <v>28</v>
      </c>
      <c r="K76" s="37">
        <f t="shared" si="16"/>
        <v>9</v>
      </c>
      <c r="L76" s="38">
        <v>0</v>
      </c>
      <c r="M76" s="37">
        <f t="shared" si="17"/>
        <v>9</v>
      </c>
      <c r="N76" s="36">
        <v>0</v>
      </c>
      <c r="O76" s="5">
        <v>17</v>
      </c>
      <c r="P76" s="37">
        <f t="shared" si="18"/>
        <v>-8</v>
      </c>
      <c r="Q76" s="38">
        <v>0</v>
      </c>
      <c r="R76" s="37">
        <f t="shared" si="19"/>
        <v>-8</v>
      </c>
      <c r="S76" s="36">
        <v>0</v>
      </c>
      <c r="T76" s="5">
        <v>24</v>
      </c>
      <c r="U76" s="37">
        <f t="shared" si="20"/>
        <v>-32</v>
      </c>
      <c r="V76" s="38">
        <v>0</v>
      </c>
      <c r="W76" s="37">
        <f t="shared" si="21"/>
        <v>-32</v>
      </c>
      <c r="X76" s="36">
        <v>0</v>
      </c>
      <c r="Y76" s="5">
        <v>14</v>
      </c>
      <c r="Z76" s="37">
        <f t="shared" si="22"/>
        <v>-46</v>
      </c>
      <c r="AA76" s="38">
        <v>0</v>
      </c>
      <c r="AB76" s="37">
        <f t="shared" si="23"/>
        <v>-46</v>
      </c>
      <c r="AC76" s="36">
        <v>0</v>
      </c>
      <c r="AD76" s="5">
        <v>24</v>
      </c>
      <c r="AE76" s="37">
        <f t="shared" si="24"/>
        <v>-70</v>
      </c>
      <c r="AF76" s="38">
        <v>0</v>
      </c>
      <c r="AG76" s="37">
        <f t="shared" si="25"/>
        <v>-70</v>
      </c>
      <c r="AH76" s="36">
        <v>0</v>
      </c>
      <c r="AI76" s="5">
        <v>11</v>
      </c>
      <c r="AJ76" s="37">
        <f t="shared" si="26"/>
        <v>-81</v>
      </c>
      <c r="AK76" s="38">
        <v>0</v>
      </c>
      <c r="AL76" s="37">
        <f t="shared" si="27"/>
        <v>-81</v>
      </c>
      <c r="AM76" s="35" t="s">
        <v>574</v>
      </c>
      <c r="AN76" s="35" t="s">
        <v>68</v>
      </c>
      <c r="AO76" s="5">
        <v>240</v>
      </c>
      <c r="AP76" s="5">
        <v>0</v>
      </c>
      <c r="AQ76" s="35"/>
      <c r="AR76" s="35"/>
      <c r="AS76" s="122"/>
      <c r="AT76" s="35"/>
      <c r="AU76" s="35"/>
    </row>
    <row r="77" spans="1:47" x14ac:dyDescent="0.15">
      <c r="A77" s="14" t="s">
        <v>831</v>
      </c>
      <c r="B77" s="5" t="s">
        <v>832</v>
      </c>
      <c r="C77" s="36">
        <v>0</v>
      </c>
      <c r="D77" s="36">
        <v>0</v>
      </c>
      <c r="E77" s="5">
        <v>0</v>
      </c>
      <c r="F77" s="37">
        <f t="shared" si="14"/>
        <v>0</v>
      </c>
      <c r="G77" s="38">
        <v>0</v>
      </c>
      <c r="H77" s="37">
        <f t="shared" si="15"/>
        <v>0</v>
      </c>
      <c r="I77" s="36">
        <v>7</v>
      </c>
      <c r="J77" s="5">
        <v>7</v>
      </c>
      <c r="K77" s="37">
        <f t="shared" si="16"/>
        <v>0</v>
      </c>
      <c r="L77" s="38">
        <v>0</v>
      </c>
      <c r="M77" s="37">
        <f t="shared" si="17"/>
        <v>0</v>
      </c>
      <c r="N77" s="36">
        <v>0</v>
      </c>
      <c r="O77" s="5">
        <v>7</v>
      </c>
      <c r="P77" s="37">
        <f t="shared" si="18"/>
        <v>-7</v>
      </c>
      <c r="Q77" s="38">
        <v>0</v>
      </c>
      <c r="R77" s="37">
        <f t="shared" si="19"/>
        <v>-7</v>
      </c>
      <c r="S77" s="36">
        <v>0</v>
      </c>
      <c r="T77" s="5">
        <v>10</v>
      </c>
      <c r="U77" s="37">
        <f t="shared" si="20"/>
        <v>-17</v>
      </c>
      <c r="V77" s="38">
        <v>0</v>
      </c>
      <c r="W77" s="37">
        <f t="shared" si="21"/>
        <v>-17</v>
      </c>
      <c r="X77" s="36">
        <v>0</v>
      </c>
      <c r="Y77" s="5">
        <v>6</v>
      </c>
      <c r="Z77" s="37">
        <f t="shared" si="22"/>
        <v>-23</v>
      </c>
      <c r="AA77" s="38">
        <v>0</v>
      </c>
      <c r="AB77" s="37">
        <f t="shared" si="23"/>
        <v>-23</v>
      </c>
      <c r="AC77" s="36">
        <v>0</v>
      </c>
      <c r="AD77" s="5">
        <v>4</v>
      </c>
      <c r="AE77" s="37">
        <f t="shared" si="24"/>
        <v>-27</v>
      </c>
      <c r="AF77" s="38">
        <v>0</v>
      </c>
      <c r="AG77" s="37">
        <f t="shared" si="25"/>
        <v>-27</v>
      </c>
      <c r="AH77" s="36">
        <v>0</v>
      </c>
      <c r="AI77" s="5">
        <v>16</v>
      </c>
      <c r="AJ77" s="37">
        <f t="shared" si="26"/>
        <v>-43</v>
      </c>
      <c r="AK77" s="38">
        <v>0</v>
      </c>
      <c r="AL77" s="37">
        <f t="shared" si="27"/>
        <v>-43</v>
      </c>
      <c r="AM77" s="35" t="s">
        <v>574</v>
      </c>
      <c r="AN77" s="35" t="s">
        <v>68</v>
      </c>
      <c r="AO77" s="5">
        <v>560</v>
      </c>
      <c r="AP77" s="5">
        <v>0</v>
      </c>
      <c r="AQ77" s="35"/>
      <c r="AR77" s="35"/>
      <c r="AS77" s="122">
        <v>4580445523419</v>
      </c>
      <c r="AT77" s="35"/>
      <c r="AU77" s="35"/>
    </row>
    <row r="78" spans="1:47" x14ac:dyDescent="0.15">
      <c r="A78" s="14" t="s">
        <v>665</v>
      </c>
      <c r="B78" s="5" t="s">
        <v>666</v>
      </c>
      <c r="C78" s="36">
        <v>14</v>
      </c>
      <c r="D78" s="36">
        <v>100</v>
      </c>
      <c r="E78" s="5">
        <v>0</v>
      </c>
      <c r="F78" s="37">
        <f t="shared" si="14"/>
        <v>114</v>
      </c>
      <c r="G78" s="38">
        <v>0</v>
      </c>
      <c r="H78" s="37">
        <f t="shared" si="15"/>
        <v>114</v>
      </c>
      <c r="I78" s="36">
        <v>0</v>
      </c>
      <c r="J78" s="5">
        <v>61</v>
      </c>
      <c r="K78" s="37">
        <f t="shared" si="16"/>
        <v>53</v>
      </c>
      <c r="L78" s="38">
        <v>0</v>
      </c>
      <c r="M78" s="37">
        <f t="shared" si="17"/>
        <v>53</v>
      </c>
      <c r="N78" s="36">
        <v>0</v>
      </c>
      <c r="O78" s="5">
        <v>31</v>
      </c>
      <c r="P78" s="37">
        <f t="shared" si="18"/>
        <v>22</v>
      </c>
      <c r="Q78" s="38">
        <v>0</v>
      </c>
      <c r="R78" s="37">
        <f t="shared" si="19"/>
        <v>22</v>
      </c>
      <c r="S78" s="36">
        <v>100</v>
      </c>
      <c r="T78" s="5">
        <v>44</v>
      </c>
      <c r="U78" s="37">
        <f t="shared" si="20"/>
        <v>78</v>
      </c>
      <c r="V78" s="38">
        <v>0</v>
      </c>
      <c r="W78" s="37">
        <f t="shared" si="21"/>
        <v>78</v>
      </c>
      <c r="X78" s="36">
        <v>0</v>
      </c>
      <c r="Y78" s="5">
        <v>23</v>
      </c>
      <c r="Z78" s="37">
        <f t="shared" si="22"/>
        <v>55</v>
      </c>
      <c r="AA78" s="38">
        <v>0</v>
      </c>
      <c r="AB78" s="37">
        <f t="shared" si="23"/>
        <v>55</v>
      </c>
      <c r="AC78" s="36">
        <v>100</v>
      </c>
      <c r="AD78" s="5">
        <v>43</v>
      </c>
      <c r="AE78" s="37">
        <f t="shared" si="24"/>
        <v>112</v>
      </c>
      <c r="AF78" s="38">
        <v>0</v>
      </c>
      <c r="AG78" s="37">
        <f t="shared" si="25"/>
        <v>112</v>
      </c>
      <c r="AH78" s="36">
        <v>0</v>
      </c>
      <c r="AI78" s="5">
        <v>67</v>
      </c>
      <c r="AJ78" s="37">
        <f t="shared" si="26"/>
        <v>45</v>
      </c>
      <c r="AK78" s="38">
        <v>0</v>
      </c>
      <c r="AL78" s="37">
        <f t="shared" si="27"/>
        <v>45</v>
      </c>
      <c r="AM78" s="35" t="s">
        <v>574</v>
      </c>
      <c r="AN78" s="35" t="s">
        <v>68</v>
      </c>
      <c r="AO78" s="5">
        <v>190</v>
      </c>
      <c r="AP78" s="5">
        <v>0</v>
      </c>
      <c r="AQ78" s="35"/>
      <c r="AR78" s="35"/>
      <c r="AS78" s="122"/>
      <c r="AT78" s="35"/>
      <c r="AU78" s="35"/>
    </row>
    <row r="79" spans="1:47" x14ac:dyDescent="0.15">
      <c r="A79" s="14" t="s">
        <v>220</v>
      </c>
      <c r="B79" s="5" t="s">
        <v>300</v>
      </c>
      <c r="C79" s="36">
        <v>9</v>
      </c>
      <c r="D79" s="36">
        <v>12</v>
      </c>
      <c r="E79" s="5">
        <v>0</v>
      </c>
      <c r="F79" s="37">
        <f t="shared" si="14"/>
        <v>21</v>
      </c>
      <c r="G79" s="38">
        <v>0</v>
      </c>
      <c r="H79" s="37">
        <f t="shared" si="15"/>
        <v>21</v>
      </c>
      <c r="I79" s="36">
        <v>0</v>
      </c>
      <c r="J79" s="5">
        <v>11</v>
      </c>
      <c r="K79" s="37">
        <f t="shared" si="16"/>
        <v>10</v>
      </c>
      <c r="L79" s="38">
        <v>0</v>
      </c>
      <c r="M79" s="37">
        <f t="shared" si="17"/>
        <v>10</v>
      </c>
      <c r="N79" s="36">
        <v>0</v>
      </c>
      <c r="O79" s="5">
        <v>5</v>
      </c>
      <c r="P79" s="37">
        <f t="shared" si="18"/>
        <v>5</v>
      </c>
      <c r="Q79" s="38">
        <v>0</v>
      </c>
      <c r="R79" s="37">
        <f t="shared" si="19"/>
        <v>5</v>
      </c>
      <c r="S79" s="36">
        <v>36</v>
      </c>
      <c r="T79" s="5">
        <v>17</v>
      </c>
      <c r="U79" s="37">
        <f t="shared" si="20"/>
        <v>24</v>
      </c>
      <c r="V79" s="38">
        <v>0</v>
      </c>
      <c r="W79" s="37">
        <f t="shared" si="21"/>
        <v>24</v>
      </c>
      <c r="X79" s="36">
        <v>0</v>
      </c>
      <c r="Y79" s="5">
        <v>9</v>
      </c>
      <c r="Z79" s="37">
        <f t="shared" si="22"/>
        <v>15</v>
      </c>
      <c r="AA79" s="38">
        <v>0</v>
      </c>
      <c r="AB79" s="37">
        <f t="shared" si="23"/>
        <v>15</v>
      </c>
      <c r="AC79" s="36">
        <v>36</v>
      </c>
      <c r="AD79" s="5">
        <v>9</v>
      </c>
      <c r="AE79" s="37">
        <f t="shared" si="24"/>
        <v>42</v>
      </c>
      <c r="AF79" s="38">
        <v>0</v>
      </c>
      <c r="AG79" s="37">
        <f t="shared" si="25"/>
        <v>42</v>
      </c>
      <c r="AH79" s="36">
        <v>0</v>
      </c>
      <c r="AI79" s="5">
        <v>29</v>
      </c>
      <c r="AJ79" s="37">
        <f t="shared" si="26"/>
        <v>13</v>
      </c>
      <c r="AK79" s="38">
        <v>0</v>
      </c>
      <c r="AL79" s="37">
        <f t="shared" si="27"/>
        <v>13</v>
      </c>
      <c r="AM79" s="35" t="s">
        <v>574</v>
      </c>
      <c r="AN79" s="35" t="s">
        <v>68</v>
      </c>
      <c r="AO79" s="5">
        <v>210</v>
      </c>
      <c r="AP79" s="5">
        <v>0</v>
      </c>
      <c r="AQ79" s="35"/>
      <c r="AR79" s="35"/>
      <c r="AS79" s="122"/>
      <c r="AT79" s="35">
        <v>279</v>
      </c>
      <c r="AU79" s="35" t="s">
        <v>929</v>
      </c>
    </row>
    <row r="80" spans="1:47" x14ac:dyDescent="0.15">
      <c r="A80" s="14" t="s">
        <v>221</v>
      </c>
      <c r="B80" s="5" t="s">
        <v>301</v>
      </c>
      <c r="C80" s="36">
        <v>2</v>
      </c>
      <c r="D80" s="36">
        <v>10</v>
      </c>
      <c r="E80" s="5">
        <v>0</v>
      </c>
      <c r="F80" s="37">
        <f t="shared" si="14"/>
        <v>12</v>
      </c>
      <c r="G80" s="38">
        <v>0</v>
      </c>
      <c r="H80" s="37">
        <f t="shared" si="15"/>
        <v>12</v>
      </c>
      <c r="I80" s="36">
        <v>0</v>
      </c>
      <c r="J80" s="5">
        <v>3</v>
      </c>
      <c r="K80" s="37">
        <f t="shared" si="16"/>
        <v>9</v>
      </c>
      <c r="L80" s="38">
        <v>0</v>
      </c>
      <c r="M80" s="37">
        <f t="shared" si="17"/>
        <v>9</v>
      </c>
      <c r="N80" s="36">
        <v>0</v>
      </c>
      <c r="O80" s="5">
        <v>3</v>
      </c>
      <c r="P80" s="37">
        <f t="shared" si="18"/>
        <v>6</v>
      </c>
      <c r="Q80" s="38">
        <v>0</v>
      </c>
      <c r="R80" s="37">
        <f t="shared" si="19"/>
        <v>6</v>
      </c>
      <c r="S80" s="36">
        <v>10</v>
      </c>
      <c r="T80" s="5">
        <v>3</v>
      </c>
      <c r="U80" s="37">
        <f t="shared" si="20"/>
        <v>13</v>
      </c>
      <c r="V80" s="38">
        <v>0</v>
      </c>
      <c r="W80" s="37">
        <f t="shared" si="21"/>
        <v>13</v>
      </c>
      <c r="X80" s="36">
        <v>0</v>
      </c>
      <c r="Y80" s="5">
        <v>4</v>
      </c>
      <c r="Z80" s="37">
        <f t="shared" si="22"/>
        <v>9</v>
      </c>
      <c r="AA80" s="38">
        <v>0</v>
      </c>
      <c r="AB80" s="37">
        <f t="shared" si="23"/>
        <v>9</v>
      </c>
      <c r="AC80" s="36">
        <v>8</v>
      </c>
      <c r="AD80" s="5">
        <v>3</v>
      </c>
      <c r="AE80" s="37">
        <f t="shared" si="24"/>
        <v>14</v>
      </c>
      <c r="AF80" s="38">
        <v>0</v>
      </c>
      <c r="AG80" s="37">
        <f t="shared" si="25"/>
        <v>14</v>
      </c>
      <c r="AH80" s="36">
        <v>0</v>
      </c>
      <c r="AI80" s="5">
        <v>6</v>
      </c>
      <c r="AJ80" s="37">
        <f t="shared" si="26"/>
        <v>8</v>
      </c>
      <c r="AK80" s="38">
        <v>0</v>
      </c>
      <c r="AL80" s="37">
        <f t="shared" si="27"/>
        <v>8</v>
      </c>
      <c r="AM80" s="35" t="s">
        <v>574</v>
      </c>
      <c r="AN80" s="35" t="s">
        <v>69</v>
      </c>
      <c r="AO80" s="163">
        <v>2000</v>
      </c>
      <c r="AP80" s="5">
        <v>0</v>
      </c>
      <c r="AQ80" s="35"/>
      <c r="AR80" s="35"/>
      <c r="AS80" s="122"/>
      <c r="AT80" s="35"/>
      <c r="AU80" s="35"/>
    </row>
    <row r="81" spans="1:47" x14ac:dyDescent="0.15">
      <c r="A81" s="14" t="s">
        <v>511</v>
      </c>
      <c r="B81" s="5" t="s">
        <v>512</v>
      </c>
      <c r="C81" s="36">
        <v>1</v>
      </c>
      <c r="D81" s="36">
        <v>0</v>
      </c>
      <c r="E81" s="5">
        <v>0</v>
      </c>
      <c r="F81" s="37">
        <f t="shared" si="14"/>
        <v>1</v>
      </c>
      <c r="G81" s="38">
        <v>0</v>
      </c>
      <c r="H81" s="37">
        <f t="shared" si="15"/>
        <v>1</v>
      </c>
      <c r="I81" s="36">
        <v>0</v>
      </c>
      <c r="J81" s="5">
        <v>0</v>
      </c>
      <c r="K81" s="37">
        <f t="shared" si="16"/>
        <v>1</v>
      </c>
      <c r="L81" s="38">
        <v>0</v>
      </c>
      <c r="M81" s="37">
        <f t="shared" si="17"/>
        <v>1</v>
      </c>
      <c r="N81" s="36">
        <v>0</v>
      </c>
      <c r="O81" s="5">
        <v>0</v>
      </c>
      <c r="P81" s="37">
        <f t="shared" si="18"/>
        <v>1</v>
      </c>
      <c r="Q81" s="38">
        <v>0</v>
      </c>
      <c r="R81" s="37">
        <f t="shared" si="19"/>
        <v>1</v>
      </c>
      <c r="S81" s="36">
        <v>0</v>
      </c>
      <c r="T81" s="5">
        <v>0</v>
      </c>
      <c r="U81" s="37">
        <f t="shared" si="20"/>
        <v>1</v>
      </c>
      <c r="V81" s="38">
        <v>0</v>
      </c>
      <c r="W81" s="37">
        <f t="shared" si="21"/>
        <v>1</v>
      </c>
      <c r="X81" s="36">
        <v>0</v>
      </c>
      <c r="Y81" s="5">
        <v>0</v>
      </c>
      <c r="Z81" s="37">
        <f t="shared" si="22"/>
        <v>1</v>
      </c>
      <c r="AA81" s="38">
        <v>0</v>
      </c>
      <c r="AB81" s="37">
        <f t="shared" si="23"/>
        <v>1</v>
      </c>
      <c r="AC81" s="36">
        <v>0</v>
      </c>
      <c r="AD81" s="5">
        <v>0</v>
      </c>
      <c r="AE81" s="37">
        <f t="shared" si="24"/>
        <v>1</v>
      </c>
      <c r="AF81" s="38">
        <v>0</v>
      </c>
      <c r="AG81" s="37">
        <f t="shared" si="25"/>
        <v>1</v>
      </c>
      <c r="AH81" s="36">
        <v>0</v>
      </c>
      <c r="AI81" s="5">
        <v>0</v>
      </c>
      <c r="AJ81" s="37">
        <f t="shared" si="26"/>
        <v>1</v>
      </c>
      <c r="AK81" s="38">
        <v>0</v>
      </c>
      <c r="AL81" s="37">
        <f t="shared" si="27"/>
        <v>1</v>
      </c>
      <c r="AM81" s="35" t="s">
        <v>574</v>
      </c>
      <c r="AN81" s="35" t="s">
        <v>69</v>
      </c>
      <c r="AO81" s="163">
        <v>1500</v>
      </c>
      <c r="AP81" s="5">
        <v>0</v>
      </c>
      <c r="AQ81" s="35"/>
      <c r="AR81" s="35"/>
      <c r="AS81" s="122"/>
      <c r="AT81" s="35">
        <v>663</v>
      </c>
      <c r="AU81" s="35" t="s">
        <v>920</v>
      </c>
    </row>
    <row r="82" spans="1:47" x14ac:dyDescent="0.15">
      <c r="A82" s="14" t="s">
        <v>993</v>
      </c>
      <c r="B82" s="5" t="s">
        <v>994</v>
      </c>
      <c r="C82" s="36">
        <v>0</v>
      </c>
      <c r="D82" s="36">
        <v>0</v>
      </c>
      <c r="E82" s="5">
        <v>0</v>
      </c>
      <c r="F82" s="37">
        <f t="shared" si="14"/>
        <v>0</v>
      </c>
      <c r="G82" s="38">
        <v>0</v>
      </c>
      <c r="H82" s="37">
        <f t="shared" si="15"/>
        <v>0</v>
      </c>
      <c r="I82" s="36">
        <v>0</v>
      </c>
      <c r="J82" s="5">
        <v>0</v>
      </c>
      <c r="K82" s="37">
        <f t="shared" si="16"/>
        <v>0</v>
      </c>
      <c r="L82" s="38">
        <v>0</v>
      </c>
      <c r="M82" s="37">
        <f t="shared" si="17"/>
        <v>0</v>
      </c>
      <c r="N82" s="36">
        <v>10</v>
      </c>
      <c r="O82" s="5">
        <v>1</v>
      </c>
      <c r="P82" s="37">
        <f t="shared" si="18"/>
        <v>9</v>
      </c>
      <c r="Q82" s="38">
        <v>0</v>
      </c>
      <c r="R82" s="37">
        <f t="shared" si="19"/>
        <v>9</v>
      </c>
      <c r="S82" s="36">
        <v>10</v>
      </c>
      <c r="T82" s="5">
        <v>1</v>
      </c>
      <c r="U82" s="37">
        <f t="shared" si="20"/>
        <v>18</v>
      </c>
      <c r="V82" s="38">
        <v>0</v>
      </c>
      <c r="W82" s="37">
        <f t="shared" si="21"/>
        <v>18</v>
      </c>
      <c r="X82" s="36">
        <v>0</v>
      </c>
      <c r="Y82" s="5">
        <v>0</v>
      </c>
      <c r="Z82" s="37">
        <f t="shared" si="22"/>
        <v>18</v>
      </c>
      <c r="AA82" s="38">
        <v>0</v>
      </c>
      <c r="AB82" s="37">
        <f t="shared" si="23"/>
        <v>18</v>
      </c>
      <c r="AC82" s="36">
        <v>15</v>
      </c>
      <c r="AD82" s="5">
        <v>0</v>
      </c>
      <c r="AE82" s="37">
        <f t="shared" si="24"/>
        <v>33</v>
      </c>
      <c r="AF82" s="38">
        <v>0</v>
      </c>
      <c r="AG82" s="37">
        <f t="shared" si="25"/>
        <v>33</v>
      </c>
      <c r="AH82" s="36">
        <v>10</v>
      </c>
      <c r="AI82" s="5">
        <v>0</v>
      </c>
      <c r="AJ82" s="37">
        <f t="shared" si="26"/>
        <v>43</v>
      </c>
      <c r="AK82" s="38">
        <v>0</v>
      </c>
      <c r="AL82" s="37">
        <f t="shared" si="27"/>
        <v>43</v>
      </c>
      <c r="AM82" s="35" t="s">
        <v>935</v>
      </c>
      <c r="AN82" s="35" t="s">
        <v>69</v>
      </c>
      <c r="AO82" s="163">
        <v>2200</v>
      </c>
      <c r="AP82" s="5">
        <v>0</v>
      </c>
      <c r="AQ82" s="35" t="s">
        <v>67</v>
      </c>
      <c r="AR82" s="35"/>
      <c r="AS82" s="122"/>
      <c r="AT82" s="35">
        <v>244</v>
      </c>
      <c r="AU82" s="35" t="s">
        <v>928</v>
      </c>
    </row>
    <row r="83" spans="1:47" x14ac:dyDescent="0.15">
      <c r="A83" s="14" t="s">
        <v>717</v>
      </c>
      <c r="B83" s="5" t="s">
        <v>718</v>
      </c>
      <c r="C83" s="36">
        <v>12</v>
      </c>
      <c r="D83" s="36">
        <v>0</v>
      </c>
      <c r="E83" s="5">
        <v>0</v>
      </c>
      <c r="F83" s="37">
        <f t="shared" si="14"/>
        <v>12</v>
      </c>
      <c r="G83" s="38">
        <v>0</v>
      </c>
      <c r="H83" s="37">
        <f t="shared" si="15"/>
        <v>12</v>
      </c>
      <c r="I83" s="36">
        <v>10</v>
      </c>
      <c r="J83" s="5">
        <v>6</v>
      </c>
      <c r="K83" s="37">
        <f t="shared" si="16"/>
        <v>16</v>
      </c>
      <c r="L83" s="38">
        <v>0</v>
      </c>
      <c r="M83" s="37">
        <f t="shared" si="17"/>
        <v>16</v>
      </c>
      <c r="N83" s="36">
        <v>0</v>
      </c>
      <c r="O83" s="5">
        <v>6</v>
      </c>
      <c r="P83" s="37">
        <f t="shared" si="18"/>
        <v>10</v>
      </c>
      <c r="Q83" s="38">
        <v>0</v>
      </c>
      <c r="R83" s="37">
        <f t="shared" si="19"/>
        <v>10</v>
      </c>
      <c r="S83" s="36">
        <v>10</v>
      </c>
      <c r="T83" s="5">
        <v>6</v>
      </c>
      <c r="U83" s="37">
        <f t="shared" si="20"/>
        <v>14</v>
      </c>
      <c r="V83" s="38">
        <v>0</v>
      </c>
      <c r="W83" s="37">
        <f t="shared" si="21"/>
        <v>14</v>
      </c>
      <c r="X83" s="36">
        <v>0</v>
      </c>
      <c r="Y83" s="5">
        <v>6</v>
      </c>
      <c r="Z83" s="37">
        <f t="shared" si="22"/>
        <v>8</v>
      </c>
      <c r="AA83" s="38">
        <v>0</v>
      </c>
      <c r="AB83" s="37">
        <f t="shared" si="23"/>
        <v>8</v>
      </c>
      <c r="AC83" s="36">
        <v>10</v>
      </c>
      <c r="AD83" s="5">
        <v>6</v>
      </c>
      <c r="AE83" s="37">
        <f t="shared" si="24"/>
        <v>12</v>
      </c>
      <c r="AF83" s="38">
        <v>0</v>
      </c>
      <c r="AG83" s="37">
        <f t="shared" si="25"/>
        <v>12</v>
      </c>
      <c r="AH83" s="36">
        <v>0</v>
      </c>
      <c r="AI83" s="5">
        <v>12</v>
      </c>
      <c r="AJ83" s="37">
        <f t="shared" si="26"/>
        <v>0</v>
      </c>
      <c r="AK83" s="38">
        <v>0</v>
      </c>
      <c r="AL83" s="37">
        <f t="shared" si="27"/>
        <v>0</v>
      </c>
      <c r="AM83" s="35" t="s">
        <v>923</v>
      </c>
      <c r="AN83" s="35" t="s">
        <v>68</v>
      </c>
      <c r="AO83" s="5">
        <v>180</v>
      </c>
      <c r="AP83" s="5">
        <v>0</v>
      </c>
      <c r="AQ83" s="35"/>
      <c r="AR83" s="35"/>
      <c r="AS83" s="122">
        <v>4528950000000</v>
      </c>
      <c r="AT83" s="35">
        <v>693</v>
      </c>
      <c r="AU83" s="35" t="s">
        <v>924</v>
      </c>
    </row>
    <row r="84" spans="1:47" x14ac:dyDescent="0.15">
      <c r="A84" s="14" t="s">
        <v>505</v>
      </c>
      <c r="B84" s="5" t="s">
        <v>506</v>
      </c>
      <c r="C84" s="36">
        <v>57</v>
      </c>
      <c r="D84" s="36">
        <v>20</v>
      </c>
      <c r="E84" s="5">
        <v>0</v>
      </c>
      <c r="F84" s="37">
        <f t="shared" si="14"/>
        <v>77</v>
      </c>
      <c r="G84" s="38">
        <v>0</v>
      </c>
      <c r="H84" s="37">
        <f t="shared" si="15"/>
        <v>77</v>
      </c>
      <c r="I84" s="36">
        <v>0</v>
      </c>
      <c r="J84" s="5">
        <v>35</v>
      </c>
      <c r="K84" s="37">
        <f t="shared" si="16"/>
        <v>42</v>
      </c>
      <c r="L84" s="38">
        <v>0</v>
      </c>
      <c r="M84" s="37">
        <f t="shared" si="17"/>
        <v>42</v>
      </c>
      <c r="N84" s="36">
        <v>0</v>
      </c>
      <c r="O84" s="5">
        <v>8</v>
      </c>
      <c r="P84" s="37">
        <f t="shared" si="18"/>
        <v>34</v>
      </c>
      <c r="Q84" s="38">
        <v>0</v>
      </c>
      <c r="R84" s="37">
        <f t="shared" si="19"/>
        <v>34</v>
      </c>
      <c r="S84" s="36">
        <v>20</v>
      </c>
      <c r="T84" s="5">
        <v>35</v>
      </c>
      <c r="U84" s="37">
        <f t="shared" si="20"/>
        <v>19</v>
      </c>
      <c r="V84" s="38">
        <v>0</v>
      </c>
      <c r="W84" s="37">
        <f t="shared" si="21"/>
        <v>19</v>
      </c>
      <c r="X84" s="36">
        <v>0</v>
      </c>
      <c r="Y84" s="5">
        <v>8</v>
      </c>
      <c r="Z84" s="37">
        <f t="shared" si="22"/>
        <v>11</v>
      </c>
      <c r="AA84" s="38">
        <v>0</v>
      </c>
      <c r="AB84" s="37">
        <f t="shared" si="23"/>
        <v>11</v>
      </c>
      <c r="AC84" s="36">
        <v>60</v>
      </c>
      <c r="AD84" s="5">
        <v>29</v>
      </c>
      <c r="AE84" s="37">
        <f t="shared" si="24"/>
        <v>42</v>
      </c>
      <c r="AF84" s="38">
        <v>0</v>
      </c>
      <c r="AG84" s="37">
        <f t="shared" si="25"/>
        <v>42</v>
      </c>
      <c r="AH84" s="36">
        <v>0</v>
      </c>
      <c r="AI84" s="5">
        <v>29</v>
      </c>
      <c r="AJ84" s="37">
        <f t="shared" si="26"/>
        <v>13</v>
      </c>
      <c r="AK84" s="38">
        <v>0</v>
      </c>
      <c r="AL84" s="37">
        <f t="shared" si="27"/>
        <v>13</v>
      </c>
      <c r="AM84" s="35" t="s">
        <v>574</v>
      </c>
      <c r="AN84" s="35" t="s">
        <v>68</v>
      </c>
      <c r="AO84" s="5">
        <v>170</v>
      </c>
      <c r="AP84" s="5">
        <v>0</v>
      </c>
      <c r="AQ84" s="35"/>
      <c r="AR84" s="35"/>
      <c r="AS84" s="122">
        <v>4570069350027</v>
      </c>
      <c r="AT84" s="35">
        <v>696</v>
      </c>
      <c r="AU84" s="35" t="s">
        <v>930</v>
      </c>
    </row>
    <row r="85" spans="1:47" x14ac:dyDescent="0.15">
      <c r="A85" s="14" t="s">
        <v>568</v>
      </c>
      <c r="B85" s="5" t="s">
        <v>569</v>
      </c>
      <c r="C85" s="36">
        <v>17</v>
      </c>
      <c r="D85" s="36">
        <v>0</v>
      </c>
      <c r="E85" s="5">
        <v>0</v>
      </c>
      <c r="F85" s="37">
        <f t="shared" si="14"/>
        <v>17</v>
      </c>
      <c r="G85" s="38">
        <v>0</v>
      </c>
      <c r="H85" s="37">
        <f t="shared" si="15"/>
        <v>17</v>
      </c>
      <c r="I85" s="36">
        <v>29</v>
      </c>
      <c r="J85" s="5">
        <v>34</v>
      </c>
      <c r="K85" s="37">
        <f t="shared" si="16"/>
        <v>12</v>
      </c>
      <c r="L85" s="38">
        <v>0</v>
      </c>
      <c r="M85" s="37">
        <f t="shared" si="17"/>
        <v>12</v>
      </c>
      <c r="N85" s="36">
        <v>0</v>
      </c>
      <c r="O85" s="5">
        <v>27</v>
      </c>
      <c r="P85" s="37">
        <f t="shared" si="18"/>
        <v>-15</v>
      </c>
      <c r="Q85" s="38">
        <v>0</v>
      </c>
      <c r="R85" s="37">
        <f t="shared" si="19"/>
        <v>-15</v>
      </c>
      <c r="S85" s="36">
        <v>0</v>
      </c>
      <c r="T85" s="5">
        <v>22</v>
      </c>
      <c r="U85" s="37">
        <f t="shared" si="20"/>
        <v>-37</v>
      </c>
      <c r="V85" s="38">
        <v>0</v>
      </c>
      <c r="W85" s="37">
        <f t="shared" si="21"/>
        <v>-37</v>
      </c>
      <c r="X85" s="36">
        <v>0</v>
      </c>
      <c r="Y85" s="5">
        <v>14</v>
      </c>
      <c r="Z85" s="37">
        <f t="shared" si="22"/>
        <v>-51</v>
      </c>
      <c r="AA85" s="38">
        <v>0</v>
      </c>
      <c r="AB85" s="37">
        <f t="shared" si="23"/>
        <v>-51</v>
      </c>
      <c r="AC85" s="36">
        <v>0</v>
      </c>
      <c r="AD85" s="5">
        <v>16</v>
      </c>
      <c r="AE85" s="37">
        <f t="shared" si="24"/>
        <v>-67</v>
      </c>
      <c r="AF85" s="38">
        <v>0</v>
      </c>
      <c r="AG85" s="37">
        <f t="shared" si="25"/>
        <v>-67</v>
      </c>
      <c r="AH85" s="36">
        <v>0</v>
      </c>
      <c r="AI85" s="5">
        <v>31</v>
      </c>
      <c r="AJ85" s="37">
        <f t="shared" si="26"/>
        <v>-98</v>
      </c>
      <c r="AK85" s="38">
        <v>0</v>
      </c>
      <c r="AL85" s="37">
        <f t="shared" si="27"/>
        <v>-98</v>
      </c>
      <c r="AM85" s="35" t="s">
        <v>931</v>
      </c>
      <c r="AN85" s="35" t="s">
        <v>68</v>
      </c>
      <c r="AO85" s="5">
        <v>220</v>
      </c>
      <c r="AP85" s="5">
        <v>0</v>
      </c>
      <c r="AQ85" s="35"/>
      <c r="AR85" s="35"/>
      <c r="AS85" s="122"/>
      <c r="AT85" s="35"/>
      <c r="AU85" s="35"/>
    </row>
    <row r="86" spans="1:47" x14ac:dyDescent="0.15">
      <c r="A86" s="14" t="s">
        <v>932</v>
      </c>
      <c r="B86" s="5" t="s">
        <v>933</v>
      </c>
      <c r="C86" s="36">
        <v>1</v>
      </c>
      <c r="D86" s="36">
        <v>0</v>
      </c>
      <c r="E86" s="5">
        <v>0</v>
      </c>
      <c r="F86" s="37">
        <f t="shared" si="14"/>
        <v>1</v>
      </c>
      <c r="G86" s="38">
        <v>0</v>
      </c>
      <c r="H86" s="37">
        <f t="shared" si="15"/>
        <v>1</v>
      </c>
      <c r="I86" s="36">
        <v>0</v>
      </c>
      <c r="J86" s="5">
        <v>0</v>
      </c>
      <c r="K86" s="37">
        <f t="shared" si="16"/>
        <v>1</v>
      </c>
      <c r="L86" s="38">
        <v>-1</v>
      </c>
      <c r="M86" s="37">
        <f t="shared" si="17"/>
        <v>0</v>
      </c>
      <c r="N86" s="36">
        <v>0</v>
      </c>
      <c r="O86" s="5">
        <v>0</v>
      </c>
      <c r="P86" s="37">
        <f t="shared" si="18"/>
        <v>0</v>
      </c>
      <c r="Q86" s="38">
        <v>0</v>
      </c>
      <c r="R86" s="37">
        <f t="shared" si="19"/>
        <v>0</v>
      </c>
      <c r="S86" s="36">
        <v>0</v>
      </c>
      <c r="T86" s="5">
        <v>0</v>
      </c>
      <c r="U86" s="37">
        <f t="shared" si="20"/>
        <v>0</v>
      </c>
      <c r="V86" s="38">
        <v>0</v>
      </c>
      <c r="W86" s="37">
        <f t="shared" si="21"/>
        <v>0</v>
      </c>
      <c r="X86" s="36">
        <v>0</v>
      </c>
      <c r="Y86" s="5">
        <v>0</v>
      </c>
      <c r="Z86" s="37">
        <f t="shared" si="22"/>
        <v>0</v>
      </c>
      <c r="AA86" s="38">
        <v>0</v>
      </c>
      <c r="AB86" s="37">
        <f t="shared" si="23"/>
        <v>0</v>
      </c>
      <c r="AC86" s="36">
        <v>0</v>
      </c>
      <c r="AD86" s="5">
        <v>0</v>
      </c>
      <c r="AE86" s="37">
        <f t="shared" si="24"/>
        <v>0</v>
      </c>
      <c r="AF86" s="38">
        <v>0</v>
      </c>
      <c r="AG86" s="37">
        <f t="shared" si="25"/>
        <v>0</v>
      </c>
      <c r="AH86" s="36">
        <v>0</v>
      </c>
      <c r="AI86" s="5">
        <v>0</v>
      </c>
      <c r="AJ86" s="37">
        <f t="shared" si="26"/>
        <v>0</v>
      </c>
      <c r="AK86" s="38">
        <v>0</v>
      </c>
      <c r="AL86" s="37">
        <f t="shared" si="27"/>
        <v>0</v>
      </c>
      <c r="AM86" s="35" t="s">
        <v>934</v>
      </c>
      <c r="AN86" s="35" t="s">
        <v>69</v>
      </c>
      <c r="AO86" s="5">
        <v>0</v>
      </c>
      <c r="AP86" s="5">
        <v>0</v>
      </c>
      <c r="AQ86" s="35" t="s">
        <v>67</v>
      </c>
      <c r="AR86" s="35"/>
      <c r="AS86" s="122"/>
      <c r="AT86" s="35"/>
      <c r="AU86" s="35"/>
    </row>
    <row r="87" spans="1:47" x14ac:dyDescent="0.15">
      <c r="A87" s="14" t="s">
        <v>766</v>
      </c>
      <c r="B87" s="5" t="s">
        <v>767</v>
      </c>
      <c r="C87" s="36">
        <v>1</v>
      </c>
      <c r="D87" s="36">
        <v>0</v>
      </c>
      <c r="E87" s="5">
        <v>0</v>
      </c>
      <c r="F87" s="37">
        <f t="shared" si="14"/>
        <v>1</v>
      </c>
      <c r="G87" s="38">
        <v>0</v>
      </c>
      <c r="H87" s="37">
        <f t="shared" si="15"/>
        <v>1</v>
      </c>
      <c r="I87" s="36">
        <v>0</v>
      </c>
      <c r="J87" s="5">
        <v>0</v>
      </c>
      <c r="K87" s="37">
        <f t="shared" si="16"/>
        <v>1</v>
      </c>
      <c r="L87" s="38">
        <v>0</v>
      </c>
      <c r="M87" s="37">
        <f t="shared" si="17"/>
        <v>1</v>
      </c>
      <c r="N87" s="36">
        <v>0</v>
      </c>
      <c r="O87" s="5">
        <v>0</v>
      </c>
      <c r="P87" s="37">
        <f t="shared" si="18"/>
        <v>1</v>
      </c>
      <c r="Q87" s="38">
        <v>0</v>
      </c>
      <c r="R87" s="37">
        <f t="shared" si="19"/>
        <v>1</v>
      </c>
      <c r="S87" s="36">
        <v>0</v>
      </c>
      <c r="T87" s="5">
        <v>0</v>
      </c>
      <c r="U87" s="37">
        <f t="shared" si="20"/>
        <v>1</v>
      </c>
      <c r="V87" s="38">
        <v>0</v>
      </c>
      <c r="W87" s="37">
        <f t="shared" si="21"/>
        <v>1</v>
      </c>
      <c r="X87" s="36">
        <v>0</v>
      </c>
      <c r="Y87" s="5">
        <v>0</v>
      </c>
      <c r="Z87" s="37">
        <f t="shared" si="22"/>
        <v>1</v>
      </c>
      <c r="AA87" s="38">
        <v>0</v>
      </c>
      <c r="AB87" s="37">
        <f t="shared" si="23"/>
        <v>1</v>
      </c>
      <c r="AC87" s="36">
        <v>0</v>
      </c>
      <c r="AD87" s="5">
        <v>0</v>
      </c>
      <c r="AE87" s="37">
        <f t="shared" si="24"/>
        <v>1</v>
      </c>
      <c r="AF87" s="38">
        <v>0</v>
      </c>
      <c r="AG87" s="37">
        <f t="shared" si="25"/>
        <v>1</v>
      </c>
      <c r="AH87" s="36">
        <v>0</v>
      </c>
      <c r="AI87" s="5">
        <v>0</v>
      </c>
      <c r="AJ87" s="37">
        <f t="shared" si="26"/>
        <v>1</v>
      </c>
      <c r="AK87" s="38">
        <v>0</v>
      </c>
      <c r="AL87" s="37">
        <f t="shared" si="27"/>
        <v>1</v>
      </c>
      <c r="AM87" s="35" t="s">
        <v>934</v>
      </c>
      <c r="AN87" s="35" t="s">
        <v>69</v>
      </c>
      <c r="AO87" s="5">
        <v>0</v>
      </c>
      <c r="AP87" s="5">
        <v>0</v>
      </c>
      <c r="AQ87" s="35" t="s">
        <v>67</v>
      </c>
      <c r="AR87" s="35"/>
      <c r="AS87" s="122"/>
      <c r="AT87" s="35"/>
      <c r="AU87" s="35"/>
    </row>
    <row r="88" spans="1:47" x14ac:dyDescent="0.15">
      <c r="A88" s="14" t="s">
        <v>1027</v>
      </c>
      <c r="B88" s="5" t="s">
        <v>1028</v>
      </c>
      <c r="C88" s="36">
        <v>0</v>
      </c>
      <c r="D88" s="36">
        <v>0</v>
      </c>
      <c r="E88" s="5">
        <v>0</v>
      </c>
      <c r="F88" s="37">
        <f t="shared" si="14"/>
        <v>0</v>
      </c>
      <c r="G88" s="38">
        <v>0</v>
      </c>
      <c r="H88" s="37">
        <f t="shared" si="15"/>
        <v>0</v>
      </c>
      <c r="I88" s="36">
        <v>0</v>
      </c>
      <c r="J88" s="5">
        <v>0</v>
      </c>
      <c r="K88" s="37">
        <f t="shared" si="16"/>
        <v>0</v>
      </c>
      <c r="L88" s="38">
        <v>0</v>
      </c>
      <c r="M88" s="37">
        <f t="shared" si="17"/>
        <v>0</v>
      </c>
      <c r="N88" s="36">
        <v>2</v>
      </c>
      <c r="O88" s="5">
        <v>0</v>
      </c>
      <c r="P88" s="37">
        <f t="shared" si="18"/>
        <v>2</v>
      </c>
      <c r="Q88" s="38">
        <v>0</v>
      </c>
      <c r="R88" s="37">
        <f t="shared" si="19"/>
        <v>2</v>
      </c>
      <c r="S88" s="36">
        <v>0</v>
      </c>
      <c r="T88" s="5">
        <v>0</v>
      </c>
      <c r="U88" s="37">
        <f t="shared" si="20"/>
        <v>2</v>
      </c>
      <c r="V88" s="38">
        <v>0</v>
      </c>
      <c r="W88" s="37">
        <f t="shared" si="21"/>
        <v>2</v>
      </c>
      <c r="X88" s="36">
        <v>0</v>
      </c>
      <c r="Y88" s="5">
        <v>0</v>
      </c>
      <c r="Z88" s="37">
        <f t="shared" si="22"/>
        <v>2</v>
      </c>
      <c r="AA88" s="38">
        <v>0</v>
      </c>
      <c r="AB88" s="37">
        <f t="shared" si="23"/>
        <v>2</v>
      </c>
      <c r="AC88" s="36">
        <v>0</v>
      </c>
      <c r="AD88" s="5">
        <v>0</v>
      </c>
      <c r="AE88" s="37">
        <f t="shared" si="24"/>
        <v>2</v>
      </c>
      <c r="AF88" s="38">
        <v>0</v>
      </c>
      <c r="AG88" s="37">
        <f t="shared" si="25"/>
        <v>2</v>
      </c>
      <c r="AH88" s="36">
        <v>0</v>
      </c>
      <c r="AI88" s="5">
        <v>0</v>
      </c>
      <c r="AJ88" s="37">
        <f t="shared" si="26"/>
        <v>2</v>
      </c>
      <c r="AK88" s="38">
        <v>0</v>
      </c>
      <c r="AL88" s="37">
        <f t="shared" si="27"/>
        <v>2</v>
      </c>
      <c r="AM88" s="35" t="s">
        <v>912</v>
      </c>
      <c r="AN88" s="35" t="s">
        <v>69</v>
      </c>
      <c r="AO88" s="5">
        <v>0</v>
      </c>
      <c r="AP88" s="5">
        <v>0</v>
      </c>
      <c r="AQ88" s="35" t="s">
        <v>67</v>
      </c>
      <c r="AR88" s="35"/>
      <c r="AS88" s="122"/>
      <c r="AT88" s="35">
        <v>156</v>
      </c>
      <c r="AU88" s="35" t="s">
        <v>1029</v>
      </c>
    </row>
    <row r="89" spans="1:47" x14ac:dyDescent="0.15">
      <c r="A89" s="14" t="s">
        <v>475</v>
      </c>
      <c r="B89" s="5" t="s">
        <v>476</v>
      </c>
      <c r="C89" s="36">
        <v>21</v>
      </c>
      <c r="D89" s="36">
        <v>0</v>
      </c>
      <c r="E89" s="5">
        <v>0</v>
      </c>
      <c r="F89" s="37">
        <f t="shared" si="14"/>
        <v>21</v>
      </c>
      <c r="G89" s="38">
        <v>0</v>
      </c>
      <c r="H89" s="37">
        <f t="shared" si="15"/>
        <v>21</v>
      </c>
      <c r="I89" s="36">
        <v>0</v>
      </c>
      <c r="J89" s="5">
        <v>0</v>
      </c>
      <c r="K89" s="37">
        <f t="shared" si="16"/>
        <v>21</v>
      </c>
      <c r="L89" s="38">
        <v>0</v>
      </c>
      <c r="M89" s="37">
        <f t="shared" si="17"/>
        <v>21</v>
      </c>
      <c r="N89" s="36">
        <v>0</v>
      </c>
      <c r="O89" s="5">
        <v>1</v>
      </c>
      <c r="P89" s="37">
        <f t="shared" si="18"/>
        <v>20</v>
      </c>
      <c r="Q89" s="38">
        <v>0</v>
      </c>
      <c r="R89" s="37">
        <f t="shared" si="19"/>
        <v>20</v>
      </c>
      <c r="S89" s="36">
        <v>0</v>
      </c>
      <c r="T89" s="5">
        <v>0</v>
      </c>
      <c r="U89" s="37">
        <f t="shared" si="20"/>
        <v>20</v>
      </c>
      <c r="V89" s="38">
        <v>0</v>
      </c>
      <c r="W89" s="37">
        <f t="shared" si="21"/>
        <v>20</v>
      </c>
      <c r="X89" s="36">
        <v>0</v>
      </c>
      <c r="Y89" s="5">
        <v>1</v>
      </c>
      <c r="Z89" s="37">
        <f t="shared" si="22"/>
        <v>19</v>
      </c>
      <c r="AA89" s="38">
        <v>0</v>
      </c>
      <c r="AB89" s="37">
        <f t="shared" si="23"/>
        <v>19</v>
      </c>
      <c r="AC89" s="36">
        <v>0</v>
      </c>
      <c r="AD89" s="5">
        <v>0</v>
      </c>
      <c r="AE89" s="37">
        <f t="shared" si="24"/>
        <v>19</v>
      </c>
      <c r="AF89" s="38">
        <v>0</v>
      </c>
      <c r="AG89" s="37">
        <f t="shared" si="25"/>
        <v>19</v>
      </c>
      <c r="AH89" s="36">
        <v>0</v>
      </c>
      <c r="AI89" s="5">
        <v>1</v>
      </c>
      <c r="AJ89" s="37">
        <f t="shared" si="26"/>
        <v>18</v>
      </c>
      <c r="AK89" s="38">
        <v>0</v>
      </c>
      <c r="AL89" s="37">
        <f t="shared" si="27"/>
        <v>18</v>
      </c>
      <c r="AM89" s="35" t="s">
        <v>935</v>
      </c>
      <c r="AN89" s="35" t="s">
        <v>69</v>
      </c>
      <c r="AO89" s="163">
        <v>4200</v>
      </c>
      <c r="AP89" s="5">
        <v>0</v>
      </c>
      <c r="AQ89" s="35"/>
      <c r="AR89" s="35"/>
      <c r="AS89" s="122"/>
      <c r="AT89" s="35"/>
      <c r="AU89" s="35"/>
    </row>
    <row r="90" spans="1:47" x14ac:dyDescent="0.15">
      <c r="A90" s="14" t="s">
        <v>477</v>
      </c>
      <c r="B90" s="5" t="s">
        <v>478</v>
      </c>
      <c r="C90" s="36">
        <v>17</v>
      </c>
      <c r="D90" s="36">
        <v>0</v>
      </c>
      <c r="E90" s="5">
        <v>0</v>
      </c>
      <c r="F90" s="37">
        <f t="shared" si="14"/>
        <v>17</v>
      </c>
      <c r="G90" s="38">
        <v>0</v>
      </c>
      <c r="H90" s="37">
        <f t="shared" si="15"/>
        <v>17</v>
      </c>
      <c r="I90" s="36">
        <v>0</v>
      </c>
      <c r="J90" s="5">
        <v>6</v>
      </c>
      <c r="K90" s="37">
        <f t="shared" si="16"/>
        <v>11</v>
      </c>
      <c r="L90" s="38">
        <v>0</v>
      </c>
      <c r="M90" s="37">
        <f t="shared" si="17"/>
        <v>11</v>
      </c>
      <c r="N90" s="36">
        <v>0</v>
      </c>
      <c r="O90" s="5">
        <v>3</v>
      </c>
      <c r="P90" s="37">
        <f t="shared" si="18"/>
        <v>8</v>
      </c>
      <c r="Q90" s="38">
        <v>0</v>
      </c>
      <c r="R90" s="37">
        <f t="shared" si="19"/>
        <v>8</v>
      </c>
      <c r="S90" s="36">
        <v>0</v>
      </c>
      <c r="T90" s="5">
        <v>4</v>
      </c>
      <c r="U90" s="37">
        <f t="shared" si="20"/>
        <v>4</v>
      </c>
      <c r="V90" s="38">
        <v>0</v>
      </c>
      <c r="W90" s="37">
        <f t="shared" si="21"/>
        <v>4</v>
      </c>
      <c r="X90" s="36">
        <v>0</v>
      </c>
      <c r="Y90" s="5">
        <v>3</v>
      </c>
      <c r="Z90" s="37">
        <f t="shared" si="22"/>
        <v>1</v>
      </c>
      <c r="AA90" s="38">
        <v>0</v>
      </c>
      <c r="AB90" s="37">
        <f t="shared" si="23"/>
        <v>1</v>
      </c>
      <c r="AC90" s="36">
        <v>0</v>
      </c>
      <c r="AD90" s="5">
        <v>9</v>
      </c>
      <c r="AE90" s="37">
        <f t="shared" si="24"/>
        <v>-8</v>
      </c>
      <c r="AF90" s="38">
        <v>0</v>
      </c>
      <c r="AG90" s="37">
        <f t="shared" si="25"/>
        <v>-8</v>
      </c>
      <c r="AH90" s="36">
        <v>0</v>
      </c>
      <c r="AI90" s="5">
        <v>11</v>
      </c>
      <c r="AJ90" s="37">
        <f t="shared" si="26"/>
        <v>-19</v>
      </c>
      <c r="AK90" s="38">
        <v>0</v>
      </c>
      <c r="AL90" s="37">
        <f t="shared" si="27"/>
        <v>-19</v>
      </c>
      <c r="AM90" s="35" t="s">
        <v>935</v>
      </c>
      <c r="AN90" s="35" t="s">
        <v>68</v>
      </c>
      <c r="AO90" s="5">
        <v>350</v>
      </c>
      <c r="AP90" s="5">
        <v>0</v>
      </c>
      <c r="AQ90" s="35"/>
      <c r="AR90" s="35"/>
      <c r="AS90" s="122"/>
      <c r="AT90" s="35"/>
      <c r="AU90" s="35"/>
    </row>
    <row r="91" spans="1:47" x14ac:dyDescent="0.15">
      <c r="A91" s="14" t="s">
        <v>796</v>
      </c>
      <c r="B91" s="5" t="s">
        <v>840</v>
      </c>
      <c r="C91" s="36">
        <v>18</v>
      </c>
      <c r="D91" s="36">
        <v>0</v>
      </c>
      <c r="E91" s="5">
        <v>0</v>
      </c>
      <c r="F91" s="37">
        <f t="shared" si="14"/>
        <v>18</v>
      </c>
      <c r="G91" s="38">
        <v>0</v>
      </c>
      <c r="H91" s="37">
        <f t="shared" si="15"/>
        <v>18</v>
      </c>
      <c r="I91" s="36">
        <v>0</v>
      </c>
      <c r="J91" s="5">
        <v>1</v>
      </c>
      <c r="K91" s="37">
        <f t="shared" si="16"/>
        <v>17</v>
      </c>
      <c r="L91" s="38">
        <v>-2</v>
      </c>
      <c r="M91" s="37">
        <f t="shared" si="17"/>
        <v>15</v>
      </c>
      <c r="N91" s="36">
        <v>0</v>
      </c>
      <c r="O91" s="5">
        <v>1</v>
      </c>
      <c r="P91" s="37">
        <f t="shared" si="18"/>
        <v>14</v>
      </c>
      <c r="Q91" s="38">
        <v>0</v>
      </c>
      <c r="R91" s="37">
        <f t="shared" si="19"/>
        <v>14</v>
      </c>
      <c r="S91" s="36">
        <v>0</v>
      </c>
      <c r="T91" s="5">
        <v>0</v>
      </c>
      <c r="U91" s="37">
        <f t="shared" si="20"/>
        <v>14</v>
      </c>
      <c r="V91" s="38">
        <v>0</v>
      </c>
      <c r="W91" s="37">
        <f t="shared" si="21"/>
        <v>14</v>
      </c>
      <c r="X91" s="36">
        <v>0</v>
      </c>
      <c r="Y91" s="5">
        <v>1</v>
      </c>
      <c r="Z91" s="37">
        <f t="shared" si="22"/>
        <v>13</v>
      </c>
      <c r="AA91" s="38">
        <v>0</v>
      </c>
      <c r="AB91" s="37">
        <f t="shared" si="23"/>
        <v>13</v>
      </c>
      <c r="AC91" s="36">
        <v>0</v>
      </c>
      <c r="AD91" s="5">
        <v>0</v>
      </c>
      <c r="AE91" s="37">
        <f t="shared" si="24"/>
        <v>13</v>
      </c>
      <c r="AF91" s="38">
        <v>0</v>
      </c>
      <c r="AG91" s="37">
        <f t="shared" si="25"/>
        <v>13</v>
      </c>
      <c r="AH91" s="36">
        <v>0</v>
      </c>
      <c r="AI91" s="5">
        <v>1</v>
      </c>
      <c r="AJ91" s="37">
        <f t="shared" si="26"/>
        <v>12</v>
      </c>
      <c r="AK91" s="38">
        <v>0</v>
      </c>
      <c r="AL91" s="37">
        <f t="shared" si="27"/>
        <v>12</v>
      </c>
      <c r="AM91" s="35" t="s">
        <v>935</v>
      </c>
      <c r="AN91" s="35" t="s">
        <v>69</v>
      </c>
      <c r="AO91" s="163">
        <v>4000</v>
      </c>
      <c r="AP91" s="5">
        <v>0</v>
      </c>
      <c r="AQ91" s="35"/>
      <c r="AR91" s="35"/>
      <c r="AS91" s="122"/>
      <c r="AT91" s="35"/>
      <c r="AU91" s="35"/>
    </row>
    <row r="92" spans="1:47" x14ac:dyDescent="0.15">
      <c r="A92" s="14" t="s">
        <v>811</v>
      </c>
      <c r="B92" s="5" t="s">
        <v>812</v>
      </c>
      <c r="C92" s="36">
        <v>6</v>
      </c>
      <c r="D92" s="36">
        <v>0</v>
      </c>
      <c r="E92" s="5">
        <v>0</v>
      </c>
      <c r="F92" s="37">
        <f t="shared" si="14"/>
        <v>6</v>
      </c>
      <c r="G92" s="38">
        <v>0</v>
      </c>
      <c r="H92" s="37">
        <f t="shared" si="15"/>
        <v>6</v>
      </c>
      <c r="I92" s="36">
        <v>30</v>
      </c>
      <c r="J92" s="5">
        <v>22</v>
      </c>
      <c r="K92" s="37">
        <f t="shared" si="16"/>
        <v>14</v>
      </c>
      <c r="L92" s="38">
        <v>0</v>
      </c>
      <c r="M92" s="37">
        <f t="shared" si="17"/>
        <v>14</v>
      </c>
      <c r="N92" s="36">
        <v>0</v>
      </c>
      <c r="O92" s="5">
        <v>3</v>
      </c>
      <c r="P92" s="37">
        <f t="shared" si="18"/>
        <v>11</v>
      </c>
      <c r="Q92" s="38">
        <v>0</v>
      </c>
      <c r="R92" s="37">
        <f t="shared" si="19"/>
        <v>11</v>
      </c>
      <c r="S92" s="36">
        <v>0</v>
      </c>
      <c r="T92" s="5">
        <v>17</v>
      </c>
      <c r="U92" s="37">
        <f t="shared" si="20"/>
        <v>-6</v>
      </c>
      <c r="V92" s="38">
        <v>0</v>
      </c>
      <c r="W92" s="37">
        <f t="shared" si="21"/>
        <v>-6</v>
      </c>
      <c r="X92" s="36">
        <v>0</v>
      </c>
      <c r="Y92" s="5">
        <v>3</v>
      </c>
      <c r="Z92" s="37">
        <f t="shared" si="22"/>
        <v>-9</v>
      </c>
      <c r="AA92" s="38">
        <v>0</v>
      </c>
      <c r="AB92" s="37">
        <f t="shared" si="23"/>
        <v>-9</v>
      </c>
      <c r="AC92" s="36">
        <v>0</v>
      </c>
      <c r="AD92" s="5">
        <v>8</v>
      </c>
      <c r="AE92" s="37">
        <f t="shared" si="24"/>
        <v>-17</v>
      </c>
      <c r="AF92" s="38">
        <v>0</v>
      </c>
      <c r="AG92" s="37">
        <f t="shared" si="25"/>
        <v>-17</v>
      </c>
      <c r="AH92" s="36">
        <v>0</v>
      </c>
      <c r="AI92" s="5">
        <v>23</v>
      </c>
      <c r="AJ92" s="37">
        <f t="shared" si="26"/>
        <v>-40</v>
      </c>
      <c r="AK92" s="38">
        <v>0</v>
      </c>
      <c r="AL92" s="37">
        <f t="shared" si="27"/>
        <v>-40</v>
      </c>
      <c r="AM92" s="35" t="s">
        <v>935</v>
      </c>
      <c r="AN92" s="35" t="s">
        <v>68</v>
      </c>
      <c r="AO92" s="5">
        <v>330</v>
      </c>
      <c r="AP92" s="5">
        <v>0</v>
      </c>
      <c r="AQ92" s="35"/>
      <c r="AR92" s="35"/>
      <c r="AS92" s="122"/>
      <c r="AT92" s="35"/>
      <c r="AU92" s="35"/>
    </row>
    <row r="93" spans="1:47" x14ac:dyDescent="0.15">
      <c r="A93" s="14" t="s">
        <v>500</v>
      </c>
      <c r="B93" s="5" t="s">
        <v>501</v>
      </c>
      <c r="C93" s="36">
        <v>0</v>
      </c>
      <c r="D93" s="36">
        <v>0</v>
      </c>
      <c r="E93" s="5">
        <v>0</v>
      </c>
      <c r="F93" s="37">
        <f t="shared" si="14"/>
        <v>0</v>
      </c>
      <c r="G93" s="38">
        <v>0</v>
      </c>
      <c r="H93" s="37">
        <f t="shared" si="15"/>
        <v>0</v>
      </c>
      <c r="I93" s="36">
        <v>1</v>
      </c>
      <c r="J93" s="5">
        <v>1</v>
      </c>
      <c r="K93" s="37">
        <f t="shared" si="16"/>
        <v>0</v>
      </c>
      <c r="L93" s="38">
        <v>0</v>
      </c>
      <c r="M93" s="37">
        <f t="shared" si="17"/>
        <v>0</v>
      </c>
      <c r="N93" s="36">
        <v>0</v>
      </c>
      <c r="O93" s="5">
        <v>0</v>
      </c>
      <c r="P93" s="37">
        <f t="shared" si="18"/>
        <v>0</v>
      </c>
      <c r="Q93" s="38">
        <v>0</v>
      </c>
      <c r="R93" s="37">
        <f t="shared" si="19"/>
        <v>0</v>
      </c>
      <c r="S93" s="36">
        <v>0</v>
      </c>
      <c r="T93" s="5">
        <v>0</v>
      </c>
      <c r="U93" s="37">
        <f t="shared" si="20"/>
        <v>0</v>
      </c>
      <c r="V93" s="38">
        <v>0</v>
      </c>
      <c r="W93" s="37">
        <f t="shared" si="21"/>
        <v>0</v>
      </c>
      <c r="X93" s="36">
        <v>0</v>
      </c>
      <c r="Y93" s="5">
        <v>0</v>
      </c>
      <c r="Z93" s="37">
        <f t="shared" si="22"/>
        <v>0</v>
      </c>
      <c r="AA93" s="38">
        <v>0</v>
      </c>
      <c r="AB93" s="37">
        <f t="shared" si="23"/>
        <v>0</v>
      </c>
      <c r="AC93" s="36">
        <v>0</v>
      </c>
      <c r="AD93" s="5">
        <v>0</v>
      </c>
      <c r="AE93" s="37">
        <f t="shared" si="24"/>
        <v>0</v>
      </c>
      <c r="AF93" s="38">
        <v>0</v>
      </c>
      <c r="AG93" s="37">
        <f t="shared" si="25"/>
        <v>0</v>
      </c>
      <c r="AH93" s="36">
        <v>0</v>
      </c>
      <c r="AI93" s="5">
        <v>0</v>
      </c>
      <c r="AJ93" s="37">
        <f t="shared" si="26"/>
        <v>0</v>
      </c>
      <c r="AK93" s="38">
        <v>0</v>
      </c>
      <c r="AL93" s="37">
        <f t="shared" si="27"/>
        <v>0</v>
      </c>
      <c r="AM93" s="35" t="s">
        <v>899</v>
      </c>
      <c r="AN93" s="35" t="s">
        <v>68</v>
      </c>
      <c r="AO93" s="163">
        <v>1250</v>
      </c>
      <c r="AP93" s="5">
        <v>0</v>
      </c>
      <c r="AQ93" s="35"/>
      <c r="AR93" s="35" t="s">
        <v>67</v>
      </c>
      <c r="AS93" s="122" t="s">
        <v>916</v>
      </c>
      <c r="AT93" s="35"/>
      <c r="AU93" s="35"/>
    </row>
    <row r="94" spans="1:47" x14ac:dyDescent="0.15">
      <c r="A94" s="14" t="s">
        <v>187</v>
      </c>
      <c r="B94" s="5" t="s">
        <v>216</v>
      </c>
      <c r="C94" s="36">
        <v>28</v>
      </c>
      <c r="D94" s="36">
        <v>0</v>
      </c>
      <c r="E94" s="5">
        <v>0</v>
      </c>
      <c r="F94" s="37">
        <f t="shared" si="14"/>
        <v>28</v>
      </c>
      <c r="G94" s="38">
        <v>0</v>
      </c>
      <c r="H94" s="37">
        <f t="shared" si="15"/>
        <v>28</v>
      </c>
      <c r="I94" s="36">
        <v>80</v>
      </c>
      <c r="J94" s="5">
        <v>37</v>
      </c>
      <c r="K94" s="37">
        <f t="shared" si="16"/>
        <v>71</v>
      </c>
      <c r="L94" s="38">
        <v>-5</v>
      </c>
      <c r="M94" s="37">
        <f t="shared" si="17"/>
        <v>66</v>
      </c>
      <c r="N94" s="36">
        <v>0</v>
      </c>
      <c r="O94" s="5">
        <v>7</v>
      </c>
      <c r="P94" s="37">
        <f t="shared" si="18"/>
        <v>59</v>
      </c>
      <c r="Q94" s="38">
        <v>0</v>
      </c>
      <c r="R94" s="37">
        <f t="shared" si="19"/>
        <v>59</v>
      </c>
      <c r="S94" s="36">
        <v>0</v>
      </c>
      <c r="T94" s="5">
        <v>27</v>
      </c>
      <c r="U94" s="37">
        <f t="shared" si="20"/>
        <v>32</v>
      </c>
      <c r="V94" s="38">
        <v>0</v>
      </c>
      <c r="W94" s="37">
        <f t="shared" si="21"/>
        <v>32</v>
      </c>
      <c r="X94" s="36">
        <v>0</v>
      </c>
      <c r="Y94" s="5">
        <v>6</v>
      </c>
      <c r="Z94" s="37">
        <f t="shared" si="22"/>
        <v>26</v>
      </c>
      <c r="AA94" s="38">
        <v>0</v>
      </c>
      <c r="AB94" s="37">
        <f t="shared" si="23"/>
        <v>26</v>
      </c>
      <c r="AC94" s="36">
        <v>80</v>
      </c>
      <c r="AD94" s="5">
        <v>25</v>
      </c>
      <c r="AE94" s="37">
        <f t="shared" si="24"/>
        <v>81</v>
      </c>
      <c r="AF94" s="38">
        <v>0</v>
      </c>
      <c r="AG94" s="37">
        <f t="shared" si="25"/>
        <v>81</v>
      </c>
      <c r="AH94" s="36">
        <v>0</v>
      </c>
      <c r="AI94" s="5">
        <v>8</v>
      </c>
      <c r="AJ94" s="37">
        <f t="shared" si="26"/>
        <v>73</v>
      </c>
      <c r="AK94" s="38">
        <v>0</v>
      </c>
      <c r="AL94" s="37">
        <f t="shared" si="27"/>
        <v>73</v>
      </c>
      <c r="AM94" s="35" t="s">
        <v>936</v>
      </c>
      <c r="AN94" s="35" t="s">
        <v>68</v>
      </c>
      <c r="AO94" s="5">
        <v>250</v>
      </c>
      <c r="AP94" s="5">
        <v>0</v>
      </c>
      <c r="AQ94" s="35" t="s">
        <v>67</v>
      </c>
      <c r="AR94" s="35"/>
      <c r="AS94" s="122">
        <v>4580445524003</v>
      </c>
      <c r="AT94" s="35">
        <v>173</v>
      </c>
      <c r="AU94" s="35" t="s">
        <v>927</v>
      </c>
    </row>
    <row r="95" spans="1:47" x14ac:dyDescent="0.15">
      <c r="A95" s="14" t="s">
        <v>846</v>
      </c>
      <c r="B95" s="5" t="s">
        <v>847</v>
      </c>
      <c r="C95" s="36">
        <v>3</v>
      </c>
      <c r="D95" s="36">
        <v>0</v>
      </c>
      <c r="E95" s="5">
        <v>0</v>
      </c>
      <c r="F95" s="37">
        <f t="shared" si="14"/>
        <v>3</v>
      </c>
      <c r="G95" s="38">
        <v>0</v>
      </c>
      <c r="H95" s="37">
        <f t="shared" si="15"/>
        <v>3</v>
      </c>
      <c r="I95" s="36">
        <v>10</v>
      </c>
      <c r="J95" s="5">
        <v>0</v>
      </c>
      <c r="K95" s="37">
        <f t="shared" si="16"/>
        <v>13</v>
      </c>
      <c r="L95" s="38">
        <v>0</v>
      </c>
      <c r="M95" s="37">
        <f t="shared" si="17"/>
        <v>13</v>
      </c>
      <c r="N95" s="36">
        <v>0</v>
      </c>
      <c r="O95" s="5">
        <v>0</v>
      </c>
      <c r="P95" s="37">
        <f t="shared" si="18"/>
        <v>13</v>
      </c>
      <c r="Q95" s="38">
        <v>0</v>
      </c>
      <c r="R95" s="37">
        <f t="shared" si="19"/>
        <v>13</v>
      </c>
      <c r="S95" s="36">
        <v>0</v>
      </c>
      <c r="T95" s="5">
        <v>0</v>
      </c>
      <c r="U95" s="37">
        <f t="shared" si="20"/>
        <v>13</v>
      </c>
      <c r="V95" s="38">
        <v>0</v>
      </c>
      <c r="W95" s="37">
        <f t="shared" si="21"/>
        <v>13</v>
      </c>
      <c r="X95" s="36">
        <v>0</v>
      </c>
      <c r="Y95" s="5">
        <v>0</v>
      </c>
      <c r="Z95" s="37">
        <f t="shared" si="22"/>
        <v>13</v>
      </c>
      <c r="AA95" s="38">
        <v>0</v>
      </c>
      <c r="AB95" s="37">
        <f t="shared" si="23"/>
        <v>13</v>
      </c>
      <c r="AC95" s="36">
        <v>0</v>
      </c>
      <c r="AD95" s="5">
        <v>0</v>
      </c>
      <c r="AE95" s="37">
        <f t="shared" si="24"/>
        <v>13</v>
      </c>
      <c r="AF95" s="38">
        <v>0</v>
      </c>
      <c r="AG95" s="37">
        <f t="shared" si="25"/>
        <v>13</v>
      </c>
      <c r="AH95" s="36">
        <v>0</v>
      </c>
      <c r="AI95" s="5">
        <v>0</v>
      </c>
      <c r="AJ95" s="37">
        <f t="shared" si="26"/>
        <v>13</v>
      </c>
      <c r="AK95" s="38">
        <v>0</v>
      </c>
      <c r="AL95" s="37">
        <f t="shared" si="27"/>
        <v>13</v>
      </c>
      <c r="AM95" s="35" t="s">
        <v>901</v>
      </c>
      <c r="AN95" s="35" t="s">
        <v>69</v>
      </c>
      <c r="AO95" s="163">
        <v>3200</v>
      </c>
      <c r="AP95" s="5">
        <v>0</v>
      </c>
      <c r="AQ95" s="35" t="s">
        <v>67</v>
      </c>
      <c r="AR95" s="35"/>
      <c r="AS95" s="122"/>
      <c r="AT95" s="35">
        <v>719</v>
      </c>
      <c r="AU95" s="35" t="s">
        <v>917</v>
      </c>
    </row>
    <row r="96" spans="1:47" x14ac:dyDescent="0.15">
      <c r="A96" s="14" t="s">
        <v>833</v>
      </c>
      <c r="B96" s="5" t="s">
        <v>834</v>
      </c>
      <c r="C96" s="36">
        <v>25</v>
      </c>
      <c r="D96" s="36">
        <v>0</v>
      </c>
      <c r="E96" s="5">
        <v>0</v>
      </c>
      <c r="F96" s="37">
        <f t="shared" si="14"/>
        <v>25</v>
      </c>
      <c r="G96" s="38">
        <v>0</v>
      </c>
      <c r="H96" s="37">
        <f t="shared" si="15"/>
        <v>25</v>
      </c>
      <c r="I96" s="36">
        <v>0</v>
      </c>
      <c r="J96" s="5">
        <v>13</v>
      </c>
      <c r="K96" s="37">
        <f t="shared" si="16"/>
        <v>12</v>
      </c>
      <c r="L96" s="38">
        <v>0</v>
      </c>
      <c r="M96" s="37">
        <f t="shared" si="17"/>
        <v>12</v>
      </c>
      <c r="N96" s="36">
        <v>0</v>
      </c>
      <c r="O96" s="5">
        <v>11</v>
      </c>
      <c r="P96" s="37">
        <f t="shared" si="18"/>
        <v>1</v>
      </c>
      <c r="Q96" s="38">
        <v>0</v>
      </c>
      <c r="R96" s="37">
        <f t="shared" si="19"/>
        <v>1</v>
      </c>
      <c r="S96" s="36">
        <v>0</v>
      </c>
      <c r="T96" s="5">
        <v>17</v>
      </c>
      <c r="U96" s="37">
        <f t="shared" si="20"/>
        <v>-16</v>
      </c>
      <c r="V96" s="38">
        <v>0</v>
      </c>
      <c r="W96" s="37">
        <f t="shared" si="21"/>
        <v>-16</v>
      </c>
      <c r="X96" s="36">
        <v>0</v>
      </c>
      <c r="Y96" s="5">
        <v>11</v>
      </c>
      <c r="Z96" s="37">
        <f t="shared" si="22"/>
        <v>-27</v>
      </c>
      <c r="AA96" s="38">
        <v>0</v>
      </c>
      <c r="AB96" s="37">
        <f t="shared" si="23"/>
        <v>-27</v>
      </c>
      <c r="AC96" s="36">
        <v>0</v>
      </c>
      <c r="AD96" s="5">
        <v>11</v>
      </c>
      <c r="AE96" s="37">
        <f t="shared" si="24"/>
        <v>-38</v>
      </c>
      <c r="AF96" s="38">
        <v>0</v>
      </c>
      <c r="AG96" s="37">
        <f t="shared" si="25"/>
        <v>-38</v>
      </c>
      <c r="AH96" s="36">
        <v>0</v>
      </c>
      <c r="AI96" s="5">
        <v>25</v>
      </c>
      <c r="AJ96" s="37">
        <f t="shared" si="26"/>
        <v>-63</v>
      </c>
      <c r="AK96" s="38">
        <v>0</v>
      </c>
      <c r="AL96" s="37">
        <f t="shared" si="27"/>
        <v>-63</v>
      </c>
      <c r="AM96" s="35" t="s">
        <v>901</v>
      </c>
      <c r="AN96" s="35" t="s">
        <v>68</v>
      </c>
      <c r="AO96" s="5">
        <v>160</v>
      </c>
      <c r="AP96" s="5">
        <v>0</v>
      </c>
      <c r="AQ96" s="35"/>
      <c r="AR96" s="35"/>
      <c r="AS96" s="122"/>
      <c r="AT96" s="35">
        <v>719</v>
      </c>
      <c r="AU96" s="35" t="s">
        <v>917</v>
      </c>
    </row>
    <row r="97" spans="1:47" x14ac:dyDescent="0.15">
      <c r="A97" s="14" t="s">
        <v>783</v>
      </c>
      <c r="B97" s="5" t="s">
        <v>784</v>
      </c>
      <c r="C97" s="36">
        <v>9</v>
      </c>
      <c r="D97" s="36">
        <v>0</v>
      </c>
      <c r="E97" s="5">
        <v>0</v>
      </c>
      <c r="F97" s="37">
        <f t="shared" si="14"/>
        <v>9</v>
      </c>
      <c r="G97" s="38">
        <v>0</v>
      </c>
      <c r="H97" s="37">
        <f t="shared" si="15"/>
        <v>9</v>
      </c>
      <c r="I97" s="36">
        <v>0</v>
      </c>
      <c r="J97" s="5">
        <v>0</v>
      </c>
      <c r="K97" s="37">
        <f t="shared" si="16"/>
        <v>9</v>
      </c>
      <c r="L97" s="38">
        <v>0</v>
      </c>
      <c r="M97" s="37">
        <f t="shared" si="17"/>
        <v>9</v>
      </c>
      <c r="N97" s="36">
        <v>0</v>
      </c>
      <c r="O97" s="5">
        <v>0</v>
      </c>
      <c r="P97" s="37">
        <f t="shared" si="18"/>
        <v>9</v>
      </c>
      <c r="Q97" s="38">
        <v>0</v>
      </c>
      <c r="R97" s="37">
        <f t="shared" si="19"/>
        <v>9</v>
      </c>
      <c r="S97" s="36">
        <v>0</v>
      </c>
      <c r="T97" s="5">
        <v>0</v>
      </c>
      <c r="U97" s="37">
        <f t="shared" si="20"/>
        <v>9</v>
      </c>
      <c r="V97" s="38">
        <v>0</v>
      </c>
      <c r="W97" s="37">
        <f t="shared" si="21"/>
        <v>9</v>
      </c>
      <c r="X97" s="36">
        <v>0</v>
      </c>
      <c r="Y97" s="5">
        <v>0</v>
      </c>
      <c r="Z97" s="37">
        <f t="shared" si="22"/>
        <v>9</v>
      </c>
      <c r="AA97" s="38">
        <v>0</v>
      </c>
      <c r="AB97" s="37">
        <f t="shared" si="23"/>
        <v>9</v>
      </c>
      <c r="AC97" s="36">
        <v>0</v>
      </c>
      <c r="AD97" s="5">
        <v>0</v>
      </c>
      <c r="AE97" s="37">
        <f t="shared" si="24"/>
        <v>9</v>
      </c>
      <c r="AF97" s="38">
        <v>0</v>
      </c>
      <c r="AG97" s="37">
        <f t="shared" si="25"/>
        <v>9</v>
      </c>
      <c r="AH97" s="36">
        <v>0</v>
      </c>
      <c r="AI97" s="5">
        <v>0</v>
      </c>
      <c r="AJ97" s="37">
        <f t="shared" si="26"/>
        <v>9</v>
      </c>
      <c r="AK97" s="38">
        <v>0</v>
      </c>
      <c r="AL97" s="37">
        <f t="shared" si="27"/>
        <v>9</v>
      </c>
      <c r="AM97" s="35" t="s">
        <v>901</v>
      </c>
      <c r="AN97" s="35" t="s">
        <v>69</v>
      </c>
      <c r="AO97" s="5">
        <v>0</v>
      </c>
      <c r="AP97" s="5">
        <v>0</v>
      </c>
      <c r="AQ97" s="35" t="s">
        <v>67</v>
      </c>
      <c r="AR97" s="35"/>
      <c r="AS97" s="122"/>
      <c r="AT97" s="35"/>
      <c r="AU97" s="35"/>
    </row>
    <row r="98" spans="1:47" x14ac:dyDescent="0.15">
      <c r="A98" s="14" t="s">
        <v>803</v>
      </c>
      <c r="B98" s="5" t="s">
        <v>804</v>
      </c>
      <c r="C98" s="36">
        <v>0</v>
      </c>
      <c r="D98" s="36">
        <v>0</v>
      </c>
      <c r="E98" s="5">
        <v>0</v>
      </c>
      <c r="F98" s="37">
        <f t="shared" si="14"/>
        <v>0</v>
      </c>
      <c r="G98" s="38">
        <v>0</v>
      </c>
      <c r="H98" s="37">
        <f t="shared" si="15"/>
        <v>0</v>
      </c>
      <c r="I98" s="36">
        <v>0</v>
      </c>
      <c r="J98" s="5">
        <v>0</v>
      </c>
      <c r="K98" s="37">
        <f t="shared" si="16"/>
        <v>0</v>
      </c>
      <c r="L98" s="38">
        <v>0</v>
      </c>
      <c r="M98" s="37">
        <f t="shared" si="17"/>
        <v>0</v>
      </c>
      <c r="N98" s="36">
        <v>0</v>
      </c>
      <c r="O98" s="5">
        <v>0</v>
      </c>
      <c r="P98" s="37">
        <f t="shared" si="18"/>
        <v>0</v>
      </c>
      <c r="Q98" s="38">
        <v>0</v>
      </c>
      <c r="R98" s="37">
        <f t="shared" si="19"/>
        <v>0</v>
      </c>
      <c r="S98" s="36">
        <v>0</v>
      </c>
      <c r="T98" s="5">
        <v>0</v>
      </c>
      <c r="U98" s="37">
        <f t="shared" si="20"/>
        <v>0</v>
      </c>
      <c r="V98" s="38">
        <v>0</v>
      </c>
      <c r="W98" s="37">
        <f t="shared" si="21"/>
        <v>0</v>
      </c>
      <c r="X98" s="36">
        <v>0</v>
      </c>
      <c r="Y98" s="5">
        <v>0</v>
      </c>
      <c r="Z98" s="37">
        <f t="shared" si="22"/>
        <v>0</v>
      </c>
      <c r="AA98" s="38">
        <v>0</v>
      </c>
      <c r="AB98" s="37">
        <f t="shared" si="23"/>
        <v>0</v>
      </c>
      <c r="AC98" s="36">
        <v>0</v>
      </c>
      <c r="AD98" s="5">
        <v>0</v>
      </c>
      <c r="AE98" s="37">
        <f t="shared" si="24"/>
        <v>0</v>
      </c>
      <c r="AF98" s="38">
        <v>0</v>
      </c>
      <c r="AG98" s="37">
        <f t="shared" si="25"/>
        <v>0</v>
      </c>
      <c r="AH98" s="36">
        <v>0</v>
      </c>
      <c r="AI98" s="5">
        <v>0</v>
      </c>
      <c r="AJ98" s="37">
        <f t="shared" si="26"/>
        <v>0</v>
      </c>
      <c r="AK98" s="38">
        <v>0</v>
      </c>
      <c r="AL98" s="37">
        <f t="shared" si="27"/>
        <v>0</v>
      </c>
      <c r="AM98" s="35" t="s">
        <v>934</v>
      </c>
      <c r="AN98" s="35" t="s">
        <v>68</v>
      </c>
      <c r="AO98" s="163">
        <v>1190</v>
      </c>
      <c r="AP98" s="5">
        <v>0</v>
      </c>
      <c r="AQ98" s="35"/>
      <c r="AR98" s="35"/>
      <c r="AS98" s="122"/>
      <c r="AT98" s="35"/>
      <c r="AU98" s="35"/>
    </row>
    <row r="99" spans="1:47" x14ac:dyDescent="0.15">
      <c r="A99" s="14" t="s">
        <v>937</v>
      </c>
      <c r="B99" s="5" t="s">
        <v>938</v>
      </c>
      <c r="C99" s="36">
        <v>0</v>
      </c>
      <c r="D99" s="36">
        <v>0</v>
      </c>
      <c r="E99" s="5">
        <v>0</v>
      </c>
      <c r="F99" s="37">
        <f t="shared" si="14"/>
        <v>0</v>
      </c>
      <c r="G99" s="38">
        <v>0</v>
      </c>
      <c r="H99" s="37">
        <f t="shared" si="15"/>
        <v>0</v>
      </c>
      <c r="I99" s="36">
        <v>10</v>
      </c>
      <c r="J99" s="5">
        <v>10</v>
      </c>
      <c r="K99" s="37">
        <f t="shared" si="16"/>
        <v>0</v>
      </c>
      <c r="L99" s="38">
        <v>0</v>
      </c>
      <c r="M99" s="37">
        <f t="shared" si="17"/>
        <v>0</v>
      </c>
      <c r="N99" s="36">
        <v>0</v>
      </c>
      <c r="O99" s="5">
        <v>1</v>
      </c>
      <c r="P99" s="37">
        <f t="shared" si="18"/>
        <v>-1</v>
      </c>
      <c r="Q99" s="38">
        <v>0</v>
      </c>
      <c r="R99" s="37">
        <f t="shared" si="19"/>
        <v>-1</v>
      </c>
      <c r="S99" s="36">
        <v>0</v>
      </c>
      <c r="T99" s="5">
        <v>10</v>
      </c>
      <c r="U99" s="37">
        <f t="shared" si="20"/>
        <v>-11</v>
      </c>
      <c r="V99" s="38">
        <v>0</v>
      </c>
      <c r="W99" s="37">
        <f t="shared" si="21"/>
        <v>-11</v>
      </c>
      <c r="X99" s="36">
        <v>0</v>
      </c>
      <c r="Y99" s="5">
        <v>0</v>
      </c>
      <c r="Z99" s="37">
        <f t="shared" si="22"/>
        <v>-11</v>
      </c>
      <c r="AA99" s="38">
        <v>0</v>
      </c>
      <c r="AB99" s="37">
        <f t="shared" si="23"/>
        <v>-11</v>
      </c>
      <c r="AC99" s="36">
        <v>0</v>
      </c>
      <c r="AD99" s="5">
        <v>11</v>
      </c>
      <c r="AE99" s="37">
        <f t="shared" si="24"/>
        <v>-22</v>
      </c>
      <c r="AF99" s="38">
        <v>0</v>
      </c>
      <c r="AG99" s="37">
        <f t="shared" si="25"/>
        <v>-22</v>
      </c>
      <c r="AH99" s="36">
        <v>0</v>
      </c>
      <c r="AI99" s="5">
        <v>9</v>
      </c>
      <c r="AJ99" s="37">
        <f t="shared" si="26"/>
        <v>-31</v>
      </c>
      <c r="AK99" s="38">
        <v>0</v>
      </c>
      <c r="AL99" s="37">
        <f t="shared" si="27"/>
        <v>-31</v>
      </c>
      <c r="AM99" s="35" t="s">
        <v>915</v>
      </c>
      <c r="AN99" s="35" t="s">
        <v>68</v>
      </c>
      <c r="AO99" s="163">
        <v>1050</v>
      </c>
      <c r="AP99" s="5">
        <v>0</v>
      </c>
      <c r="AQ99" s="35"/>
      <c r="AR99" s="35"/>
      <c r="AS99" s="122">
        <v>4580450000000</v>
      </c>
      <c r="AT99" s="35">
        <v>214</v>
      </c>
      <c r="AU99" s="35" t="s">
        <v>939</v>
      </c>
    </row>
    <row r="100" spans="1:47" x14ac:dyDescent="0.15">
      <c r="A100" s="14" t="s">
        <v>997</v>
      </c>
      <c r="B100" s="5" t="s">
        <v>998</v>
      </c>
      <c r="C100" s="36">
        <v>0</v>
      </c>
      <c r="D100" s="36">
        <v>2</v>
      </c>
      <c r="E100" s="5">
        <v>0</v>
      </c>
      <c r="F100" s="37">
        <f t="shared" si="14"/>
        <v>2</v>
      </c>
      <c r="G100" s="38">
        <v>0</v>
      </c>
      <c r="H100" s="37">
        <f t="shared" si="15"/>
        <v>2</v>
      </c>
      <c r="I100" s="36">
        <v>0</v>
      </c>
      <c r="J100" s="5">
        <v>0</v>
      </c>
      <c r="K100" s="37">
        <f t="shared" si="16"/>
        <v>2</v>
      </c>
      <c r="L100" s="38">
        <v>-2</v>
      </c>
      <c r="M100" s="37">
        <f t="shared" si="17"/>
        <v>0</v>
      </c>
      <c r="N100" s="36">
        <v>2</v>
      </c>
      <c r="O100" s="5">
        <v>0</v>
      </c>
      <c r="P100" s="37">
        <f t="shared" si="18"/>
        <v>2</v>
      </c>
      <c r="Q100" s="38">
        <v>0</v>
      </c>
      <c r="R100" s="37">
        <f t="shared" si="19"/>
        <v>2</v>
      </c>
      <c r="S100" s="36">
        <v>0</v>
      </c>
      <c r="T100" s="5">
        <v>0</v>
      </c>
      <c r="U100" s="37">
        <f t="shared" si="20"/>
        <v>2</v>
      </c>
      <c r="V100" s="38">
        <v>0</v>
      </c>
      <c r="W100" s="37">
        <f t="shared" si="21"/>
        <v>2</v>
      </c>
      <c r="X100" s="36">
        <v>4</v>
      </c>
      <c r="Y100" s="5">
        <v>0</v>
      </c>
      <c r="Z100" s="37">
        <f t="shared" si="22"/>
        <v>6</v>
      </c>
      <c r="AA100" s="38">
        <v>0</v>
      </c>
      <c r="AB100" s="37">
        <f t="shared" si="23"/>
        <v>6</v>
      </c>
      <c r="AC100" s="36">
        <v>0</v>
      </c>
      <c r="AD100" s="5">
        <v>0</v>
      </c>
      <c r="AE100" s="37">
        <f t="shared" si="24"/>
        <v>6</v>
      </c>
      <c r="AF100" s="38">
        <v>0</v>
      </c>
      <c r="AG100" s="37">
        <f t="shared" si="25"/>
        <v>6</v>
      </c>
      <c r="AH100" s="36">
        <v>0</v>
      </c>
      <c r="AI100" s="5">
        <v>0</v>
      </c>
      <c r="AJ100" s="37">
        <f t="shared" si="26"/>
        <v>6</v>
      </c>
      <c r="AK100" s="38">
        <v>0</v>
      </c>
      <c r="AL100" s="37">
        <f t="shared" si="27"/>
        <v>6</v>
      </c>
      <c r="AM100" s="35" t="s">
        <v>915</v>
      </c>
      <c r="AN100" s="35" t="s">
        <v>69</v>
      </c>
      <c r="AO100" s="5">
        <v>0</v>
      </c>
      <c r="AP100" s="5">
        <v>0</v>
      </c>
      <c r="AQ100" s="35" t="s">
        <v>67</v>
      </c>
      <c r="AR100" s="35"/>
      <c r="AS100" s="122"/>
      <c r="AT100" s="35">
        <v>214</v>
      </c>
      <c r="AU100" s="35" t="s">
        <v>939</v>
      </c>
    </row>
    <row r="101" spans="1:47" x14ac:dyDescent="0.15">
      <c r="A101" s="14" t="s">
        <v>630</v>
      </c>
      <c r="B101" s="5" t="s">
        <v>631</v>
      </c>
      <c r="C101" s="36">
        <v>0</v>
      </c>
      <c r="D101" s="36">
        <v>0</v>
      </c>
      <c r="E101" s="5">
        <v>0</v>
      </c>
      <c r="F101" s="37">
        <f t="shared" si="14"/>
        <v>0</v>
      </c>
      <c r="G101" s="38">
        <v>0</v>
      </c>
      <c r="H101" s="37">
        <f t="shared" si="15"/>
        <v>0</v>
      </c>
      <c r="I101" s="36">
        <v>5</v>
      </c>
      <c r="J101" s="5">
        <v>5</v>
      </c>
      <c r="K101" s="37">
        <f t="shared" si="16"/>
        <v>0</v>
      </c>
      <c r="L101" s="38">
        <v>0</v>
      </c>
      <c r="M101" s="37">
        <f t="shared" si="17"/>
        <v>0</v>
      </c>
      <c r="N101" s="36">
        <v>0</v>
      </c>
      <c r="O101" s="5">
        <v>0</v>
      </c>
      <c r="P101" s="37">
        <f t="shared" si="18"/>
        <v>0</v>
      </c>
      <c r="Q101" s="38">
        <v>0</v>
      </c>
      <c r="R101" s="37">
        <f t="shared" si="19"/>
        <v>0</v>
      </c>
      <c r="S101" s="36">
        <v>0</v>
      </c>
      <c r="T101" s="5">
        <v>0</v>
      </c>
      <c r="U101" s="37">
        <f t="shared" si="20"/>
        <v>0</v>
      </c>
      <c r="V101" s="38">
        <v>0</v>
      </c>
      <c r="W101" s="37">
        <f t="shared" si="21"/>
        <v>0</v>
      </c>
      <c r="X101" s="36">
        <v>0</v>
      </c>
      <c r="Y101" s="5">
        <v>5</v>
      </c>
      <c r="Z101" s="37">
        <f t="shared" si="22"/>
        <v>-5</v>
      </c>
      <c r="AA101" s="38">
        <v>0</v>
      </c>
      <c r="AB101" s="37">
        <f t="shared" si="23"/>
        <v>-5</v>
      </c>
      <c r="AC101" s="36">
        <v>0</v>
      </c>
      <c r="AD101" s="5">
        <v>0</v>
      </c>
      <c r="AE101" s="37">
        <f t="shared" si="24"/>
        <v>-5</v>
      </c>
      <c r="AF101" s="38">
        <v>0</v>
      </c>
      <c r="AG101" s="37">
        <f t="shared" si="25"/>
        <v>-5</v>
      </c>
      <c r="AH101" s="36">
        <v>0</v>
      </c>
      <c r="AI101" s="5">
        <v>0</v>
      </c>
      <c r="AJ101" s="37">
        <f t="shared" si="26"/>
        <v>-5</v>
      </c>
      <c r="AK101" s="38">
        <v>0</v>
      </c>
      <c r="AL101" s="37">
        <f t="shared" si="27"/>
        <v>-5</v>
      </c>
      <c r="AM101" s="35" t="s">
        <v>949</v>
      </c>
      <c r="AN101" s="35" t="s">
        <v>68</v>
      </c>
      <c r="AO101" s="5">
        <v>0</v>
      </c>
      <c r="AP101" s="5">
        <v>830</v>
      </c>
      <c r="AQ101" s="35"/>
      <c r="AR101" s="35"/>
      <c r="AS101" s="122"/>
      <c r="AT101" s="35">
        <v>237</v>
      </c>
      <c r="AU101" s="35" t="s">
        <v>1025</v>
      </c>
    </row>
    <row r="102" spans="1:47" x14ac:dyDescent="0.15">
      <c r="A102" s="14" t="s">
        <v>116</v>
      </c>
      <c r="B102" s="5" t="s">
        <v>130</v>
      </c>
      <c r="C102" s="36">
        <v>0</v>
      </c>
      <c r="D102" s="36">
        <v>0</v>
      </c>
      <c r="E102" s="5">
        <v>0</v>
      </c>
      <c r="F102" s="37">
        <f t="shared" si="14"/>
        <v>0</v>
      </c>
      <c r="G102" s="38">
        <v>0</v>
      </c>
      <c r="H102" s="37">
        <f t="shared" si="15"/>
        <v>0</v>
      </c>
      <c r="I102" s="36">
        <v>2</v>
      </c>
      <c r="J102" s="5">
        <v>2</v>
      </c>
      <c r="K102" s="37">
        <f t="shared" si="16"/>
        <v>0</v>
      </c>
      <c r="L102" s="38">
        <v>0</v>
      </c>
      <c r="M102" s="37">
        <f t="shared" si="17"/>
        <v>0</v>
      </c>
      <c r="N102" s="36">
        <v>0</v>
      </c>
      <c r="O102" s="5">
        <v>0</v>
      </c>
      <c r="P102" s="37">
        <f t="shared" si="18"/>
        <v>0</v>
      </c>
      <c r="Q102" s="38">
        <v>0</v>
      </c>
      <c r="R102" s="37">
        <f t="shared" si="19"/>
        <v>0</v>
      </c>
      <c r="S102" s="36">
        <v>0</v>
      </c>
      <c r="T102" s="5">
        <v>2</v>
      </c>
      <c r="U102" s="37">
        <f t="shared" si="20"/>
        <v>-2</v>
      </c>
      <c r="V102" s="38">
        <v>0</v>
      </c>
      <c r="W102" s="37">
        <f t="shared" si="21"/>
        <v>-2</v>
      </c>
      <c r="X102" s="36">
        <v>0</v>
      </c>
      <c r="Y102" s="5">
        <v>0</v>
      </c>
      <c r="Z102" s="37">
        <f t="shared" si="22"/>
        <v>-2</v>
      </c>
      <c r="AA102" s="38">
        <v>0</v>
      </c>
      <c r="AB102" s="37">
        <f t="shared" si="23"/>
        <v>-2</v>
      </c>
      <c r="AC102" s="36">
        <v>0</v>
      </c>
      <c r="AD102" s="5">
        <v>2</v>
      </c>
      <c r="AE102" s="37">
        <f t="shared" si="24"/>
        <v>-4</v>
      </c>
      <c r="AF102" s="38">
        <v>0</v>
      </c>
      <c r="AG102" s="37">
        <f t="shared" si="25"/>
        <v>-4</v>
      </c>
      <c r="AH102" s="36">
        <v>0</v>
      </c>
      <c r="AI102" s="5">
        <v>0</v>
      </c>
      <c r="AJ102" s="37">
        <f t="shared" si="26"/>
        <v>-4</v>
      </c>
      <c r="AK102" s="38">
        <v>0</v>
      </c>
      <c r="AL102" s="37">
        <f t="shared" si="27"/>
        <v>-4</v>
      </c>
      <c r="AM102" s="35" t="s">
        <v>923</v>
      </c>
      <c r="AN102" s="35" t="s">
        <v>68</v>
      </c>
      <c r="AO102" s="5">
        <v>0</v>
      </c>
      <c r="AP102" s="5">
        <v>0</v>
      </c>
      <c r="AQ102" s="35"/>
      <c r="AR102" s="35"/>
      <c r="AS102" s="122"/>
      <c r="AT102" s="35"/>
      <c r="AU102" s="35"/>
    </row>
    <row r="103" spans="1:47" x14ac:dyDescent="0.15">
      <c r="A103" s="14" t="s">
        <v>940</v>
      </c>
      <c r="B103" s="5" t="s">
        <v>941</v>
      </c>
      <c r="C103" s="36">
        <v>0</v>
      </c>
      <c r="D103" s="36">
        <v>0</v>
      </c>
      <c r="E103" s="5">
        <v>0</v>
      </c>
      <c r="F103" s="37">
        <f t="shared" si="14"/>
        <v>0</v>
      </c>
      <c r="G103" s="38">
        <v>0</v>
      </c>
      <c r="H103" s="37">
        <f t="shared" si="15"/>
        <v>0</v>
      </c>
      <c r="I103" s="36">
        <v>360</v>
      </c>
      <c r="J103" s="5">
        <v>153</v>
      </c>
      <c r="K103" s="37">
        <f t="shared" si="16"/>
        <v>207</v>
      </c>
      <c r="L103" s="38">
        <v>0</v>
      </c>
      <c r="M103" s="37">
        <f t="shared" si="17"/>
        <v>207</v>
      </c>
      <c r="N103" s="36">
        <v>0</v>
      </c>
      <c r="O103" s="5">
        <v>69</v>
      </c>
      <c r="P103" s="37">
        <f t="shared" si="18"/>
        <v>138</v>
      </c>
      <c r="Q103" s="38">
        <v>0</v>
      </c>
      <c r="R103" s="37">
        <f t="shared" si="19"/>
        <v>138</v>
      </c>
      <c r="S103" s="36">
        <v>0</v>
      </c>
      <c r="T103" s="5">
        <v>105</v>
      </c>
      <c r="U103" s="37">
        <f t="shared" si="20"/>
        <v>33</v>
      </c>
      <c r="V103" s="38">
        <v>0</v>
      </c>
      <c r="W103" s="37">
        <f t="shared" si="21"/>
        <v>33</v>
      </c>
      <c r="X103" s="36">
        <v>210</v>
      </c>
      <c r="Y103" s="5">
        <v>66</v>
      </c>
      <c r="Z103" s="37">
        <f t="shared" si="22"/>
        <v>177</v>
      </c>
      <c r="AA103" s="38">
        <v>0</v>
      </c>
      <c r="AB103" s="37">
        <f t="shared" si="23"/>
        <v>177</v>
      </c>
      <c r="AC103" s="36">
        <v>0</v>
      </c>
      <c r="AD103" s="5">
        <v>86</v>
      </c>
      <c r="AE103" s="37">
        <f t="shared" si="24"/>
        <v>91</v>
      </c>
      <c r="AF103" s="38">
        <v>0</v>
      </c>
      <c r="AG103" s="37">
        <f t="shared" si="25"/>
        <v>91</v>
      </c>
      <c r="AH103" s="36">
        <v>330</v>
      </c>
      <c r="AI103" s="5">
        <v>147</v>
      </c>
      <c r="AJ103" s="37">
        <f t="shared" si="26"/>
        <v>274</v>
      </c>
      <c r="AK103" s="38">
        <v>0</v>
      </c>
      <c r="AL103" s="37">
        <f t="shared" si="27"/>
        <v>274</v>
      </c>
      <c r="AM103" s="35" t="s">
        <v>197</v>
      </c>
      <c r="AN103" s="35" t="s">
        <v>68</v>
      </c>
      <c r="AO103" s="5">
        <v>140</v>
      </c>
      <c r="AP103" s="5">
        <v>0</v>
      </c>
      <c r="AQ103" s="35"/>
      <c r="AR103" s="35"/>
      <c r="AS103" s="122"/>
      <c r="AT103" s="35">
        <v>254</v>
      </c>
      <c r="AU103" s="35" t="s">
        <v>942</v>
      </c>
    </row>
    <row r="104" spans="1:47" x14ac:dyDescent="0.15">
      <c r="A104" s="14" t="s">
        <v>883</v>
      </c>
      <c r="B104" s="5" t="s">
        <v>884</v>
      </c>
      <c r="C104" s="36">
        <v>0</v>
      </c>
      <c r="D104" s="36">
        <v>0</v>
      </c>
      <c r="E104" s="5">
        <v>0</v>
      </c>
      <c r="F104" s="37">
        <f t="shared" si="14"/>
        <v>0</v>
      </c>
      <c r="G104" s="38">
        <v>0</v>
      </c>
      <c r="H104" s="37">
        <f t="shared" si="15"/>
        <v>0</v>
      </c>
      <c r="I104" s="36">
        <v>10</v>
      </c>
      <c r="J104" s="5">
        <v>2</v>
      </c>
      <c r="K104" s="37">
        <f t="shared" si="16"/>
        <v>8</v>
      </c>
      <c r="L104" s="38">
        <v>0</v>
      </c>
      <c r="M104" s="37">
        <f t="shared" si="17"/>
        <v>8</v>
      </c>
      <c r="N104" s="36">
        <v>0</v>
      </c>
      <c r="O104" s="5">
        <v>2</v>
      </c>
      <c r="P104" s="37">
        <f t="shared" si="18"/>
        <v>6</v>
      </c>
      <c r="Q104" s="38">
        <v>0</v>
      </c>
      <c r="R104" s="37">
        <f t="shared" si="19"/>
        <v>6</v>
      </c>
      <c r="S104" s="36">
        <v>0</v>
      </c>
      <c r="T104" s="5">
        <v>2</v>
      </c>
      <c r="U104" s="37">
        <f t="shared" si="20"/>
        <v>4</v>
      </c>
      <c r="V104" s="38">
        <v>0</v>
      </c>
      <c r="W104" s="37">
        <f t="shared" si="21"/>
        <v>4</v>
      </c>
      <c r="X104" s="36">
        <v>0</v>
      </c>
      <c r="Y104" s="5">
        <v>2</v>
      </c>
      <c r="Z104" s="37">
        <f t="shared" si="22"/>
        <v>2</v>
      </c>
      <c r="AA104" s="38">
        <v>0</v>
      </c>
      <c r="AB104" s="37">
        <f t="shared" si="23"/>
        <v>2</v>
      </c>
      <c r="AC104" s="36">
        <v>0</v>
      </c>
      <c r="AD104" s="5">
        <v>2</v>
      </c>
      <c r="AE104" s="37">
        <f t="shared" si="24"/>
        <v>0</v>
      </c>
      <c r="AF104" s="38">
        <v>0</v>
      </c>
      <c r="AG104" s="37">
        <f t="shared" si="25"/>
        <v>0</v>
      </c>
      <c r="AH104" s="36">
        <v>3</v>
      </c>
      <c r="AI104" s="5">
        <v>3</v>
      </c>
      <c r="AJ104" s="37">
        <f t="shared" si="26"/>
        <v>0</v>
      </c>
      <c r="AK104" s="38">
        <v>0</v>
      </c>
      <c r="AL104" s="37">
        <f t="shared" si="27"/>
        <v>0</v>
      </c>
      <c r="AM104" s="35" t="s">
        <v>197</v>
      </c>
      <c r="AN104" s="35" t="s">
        <v>69</v>
      </c>
      <c r="AO104" s="163">
        <v>4600</v>
      </c>
      <c r="AP104" s="5">
        <v>0</v>
      </c>
      <c r="AQ104" s="35"/>
      <c r="AR104" s="35"/>
      <c r="AS104" s="122"/>
      <c r="AT104" s="35"/>
      <c r="AU104" s="35"/>
    </row>
    <row r="105" spans="1:47" x14ac:dyDescent="0.15">
      <c r="A105" s="14" t="s">
        <v>226</v>
      </c>
      <c r="B105" s="5" t="s">
        <v>227</v>
      </c>
      <c r="C105" s="36">
        <v>18</v>
      </c>
      <c r="D105" s="36">
        <v>60</v>
      </c>
      <c r="E105" s="5">
        <v>0</v>
      </c>
      <c r="F105" s="37">
        <f t="shared" si="14"/>
        <v>78</v>
      </c>
      <c r="G105" s="38">
        <v>0</v>
      </c>
      <c r="H105" s="37">
        <f t="shared" si="15"/>
        <v>78</v>
      </c>
      <c r="I105" s="36">
        <v>0</v>
      </c>
      <c r="J105" s="5">
        <v>25</v>
      </c>
      <c r="K105" s="37">
        <f t="shared" si="16"/>
        <v>53</v>
      </c>
      <c r="L105" s="38">
        <v>-12</v>
      </c>
      <c r="M105" s="37">
        <f t="shared" si="17"/>
        <v>41</v>
      </c>
      <c r="N105" s="36">
        <v>0</v>
      </c>
      <c r="O105" s="5">
        <v>22</v>
      </c>
      <c r="P105" s="37">
        <f t="shared" si="18"/>
        <v>19</v>
      </c>
      <c r="Q105" s="38">
        <v>-10</v>
      </c>
      <c r="R105" s="37">
        <f t="shared" si="19"/>
        <v>9</v>
      </c>
      <c r="S105" s="36">
        <v>70</v>
      </c>
      <c r="T105" s="5">
        <v>25</v>
      </c>
      <c r="U105" s="37">
        <f t="shared" si="20"/>
        <v>54</v>
      </c>
      <c r="V105" s="38">
        <v>0</v>
      </c>
      <c r="W105" s="37">
        <f t="shared" si="21"/>
        <v>54</v>
      </c>
      <c r="X105" s="36">
        <v>0</v>
      </c>
      <c r="Y105" s="5">
        <v>23</v>
      </c>
      <c r="Z105" s="37">
        <f t="shared" si="22"/>
        <v>31</v>
      </c>
      <c r="AA105" s="38">
        <v>-12</v>
      </c>
      <c r="AB105" s="37">
        <f t="shared" si="23"/>
        <v>19</v>
      </c>
      <c r="AC105" s="36">
        <v>90</v>
      </c>
      <c r="AD105" s="5">
        <v>16</v>
      </c>
      <c r="AE105" s="37">
        <f t="shared" si="24"/>
        <v>93</v>
      </c>
      <c r="AF105" s="38">
        <v>-36</v>
      </c>
      <c r="AG105" s="37">
        <f t="shared" si="25"/>
        <v>57</v>
      </c>
      <c r="AH105" s="36">
        <v>0</v>
      </c>
      <c r="AI105" s="5">
        <v>40</v>
      </c>
      <c r="AJ105" s="37">
        <f t="shared" si="26"/>
        <v>17</v>
      </c>
      <c r="AK105" s="38">
        <v>0</v>
      </c>
      <c r="AL105" s="37">
        <f t="shared" si="27"/>
        <v>17</v>
      </c>
      <c r="AM105" s="35" t="s">
        <v>574</v>
      </c>
      <c r="AN105" s="35" t="s">
        <v>68</v>
      </c>
      <c r="AO105" s="5">
        <v>160</v>
      </c>
      <c r="AP105" s="5">
        <v>0</v>
      </c>
      <c r="AQ105" s="35"/>
      <c r="AR105" s="35"/>
      <c r="AS105" s="122">
        <v>4560109260201</v>
      </c>
      <c r="AT105" s="35">
        <v>231</v>
      </c>
      <c r="AU105" s="35" t="s">
        <v>943</v>
      </c>
    </row>
    <row r="106" spans="1:47" x14ac:dyDescent="0.15">
      <c r="A106" s="14" t="s">
        <v>674</v>
      </c>
      <c r="B106" s="5" t="s">
        <v>675</v>
      </c>
      <c r="C106" s="36">
        <v>0</v>
      </c>
      <c r="D106" s="36">
        <v>0</v>
      </c>
      <c r="E106" s="5">
        <v>0</v>
      </c>
      <c r="F106" s="37">
        <f t="shared" si="14"/>
        <v>0</v>
      </c>
      <c r="G106" s="38">
        <v>0</v>
      </c>
      <c r="H106" s="37">
        <f t="shared" si="15"/>
        <v>0</v>
      </c>
      <c r="I106" s="36">
        <v>3</v>
      </c>
      <c r="J106" s="5">
        <v>3</v>
      </c>
      <c r="K106" s="37">
        <f t="shared" si="16"/>
        <v>0</v>
      </c>
      <c r="L106" s="38">
        <v>0</v>
      </c>
      <c r="M106" s="37">
        <f t="shared" si="17"/>
        <v>0</v>
      </c>
      <c r="N106" s="36">
        <v>2</v>
      </c>
      <c r="O106" s="5">
        <v>2</v>
      </c>
      <c r="P106" s="37">
        <f t="shared" si="18"/>
        <v>0</v>
      </c>
      <c r="Q106" s="38">
        <v>0</v>
      </c>
      <c r="R106" s="37">
        <f t="shared" si="19"/>
        <v>0</v>
      </c>
      <c r="S106" s="36">
        <v>0</v>
      </c>
      <c r="T106" s="5">
        <v>0</v>
      </c>
      <c r="U106" s="37">
        <f t="shared" si="20"/>
        <v>0</v>
      </c>
      <c r="V106" s="38">
        <v>0</v>
      </c>
      <c r="W106" s="37">
        <f t="shared" si="21"/>
        <v>0</v>
      </c>
      <c r="X106" s="36">
        <v>3</v>
      </c>
      <c r="Y106" s="5">
        <v>3</v>
      </c>
      <c r="Z106" s="37">
        <f t="shared" si="22"/>
        <v>0</v>
      </c>
      <c r="AA106" s="38">
        <v>0</v>
      </c>
      <c r="AB106" s="37">
        <f t="shared" si="23"/>
        <v>0</v>
      </c>
      <c r="AC106" s="36">
        <v>9</v>
      </c>
      <c r="AD106" s="5">
        <v>9</v>
      </c>
      <c r="AE106" s="37">
        <f t="shared" si="24"/>
        <v>0</v>
      </c>
      <c r="AF106" s="38">
        <v>0</v>
      </c>
      <c r="AG106" s="37">
        <f t="shared" si="25"/>
        <v>0</v>
      </c>
      <c r="AH106" s="36">
        <v>0</v>
      </c>
      <c r="AI106" s="5">
        <v>0</v>
      </c>
      <c r="AJ106" s="37">
        <f t="shared" si="26"/>
        <v>0</v>
      </c>
      <c r="AK106" s="38">
        <v>0</v>
      </c>
      <c r="AL106" s="37">
        <f t="shared" si="27"/>
        <v>0</v>
      </c>
      <c r="AM106" s="35" t="s">
        <v>574</v>
      </c>
      <c r="AN106" s="35" t="s">
        <v>68</v>
      </c>
      <c r="AO106" s="5">
        <v>950</v>
      </c>
      <c r="AP106" s="5">
        <v>0</v>
      </c>
      <c r="AQ106" s="35"/>
      <c r="AR106" s="35" t="s">
        <v>67</v>
      </c>
      <c r="AS106" s="122">
        <v>4560109260201</v>
      </c>
      <c r="AT106" s="35">
        <v>231</v>
      </c>
      <c r="AU106" s="35" t="s">
        <v>943</v>
      </c>
    </row>
    <row r="107" spans="1:47" x14ac:dyDescent="0.15">
      <c r="A107" s="14" t="s">
        <v>393</v>
      </c>
      <c r="B107" s="5" t="s">
        <v>394</v>
      </c>
      <c r="C107" s="36">
        <v>26</v>
      </c>
      <c r="D107" s="36">
        <v>150</v>
      </c>
      <c r="E107" s="5">
        <v>0</v>
      </c>
      <c r="F107" s="37">
        <f t="shared" si="14"/>
        <v>176</v>
      </c>
      <c r="G107" s="38">
        <v>0</v>
      </c>
      <c r="H107" s="37">
        <f t="shared" si="15"/>
        <v>176</v>
      </c>
      <c r="I107" s="36">
        <v>0</v>
      </c>
      <c r="J107" s="5">
        <v>43</v>
      </c>
      <c r="K107" s="37">
        <f t="shared" si="16"/>
        <v>133</v>
      </c>
      <c r="L107" s="38">
        <v>-50</v>
      </c>
      <c r="M107" s="37">
        <f t="shared" si="17"/>
        <v>83</v>
      </c>
      <c r="N107" s="36">
        <v>0</v>
      </c>
      <c r="O107" s="5">
        <v>29</v>
      </c>
      <c r="P107" s="37">
        <f t="shared" si="18"/>
        <v>54</v>
      </c>
      <c r="Q107" s="38">
        <v>-20</v>
      </c>
      <c r="R107" s="37">
        <f t="shared" si="19"/>
        <v>34</v>
      </c>
      <c r="S107" s="36">
        <v>75</v>
      </c>
      <c r="T107" s="5">
        <v>61</v>
      </c>
      <c r="U107" s="37">
        <f t="shared" si="20"/>
        <v>48</v>
      </c>
      <c r="V107" s="38">
        <v>0</v>
      </c>
      <c r="W107" s="37">
        <f t="shared" si="21"/>
        <v>48</v>
      </c>
      <c r="X107" s="36">
        <v>0</v>
      </c>
      <c r="Y107" s="5">
        <v>24</v>
      </c>
      <c r="Z107" s="37">
        <f t="shared" si="22"/>
        <v>24</v>
      </c>
      <c r="AA107" s="38">
        <v>-8</v>
      </c>
      <c r="AB107" s="37">
        <f t="shared" si="23"/>
        <v>16</v>
      </c>
      <c r="AC107" s="36">
        <v>150</v>
      </c>
      <c r="AD107" s="5">
        <v>42</v>
      </c>
      <c r="AE107" s="37">
        <f t="shared" si="24"/>
        <v>124</v>
      </c>
      <c r="AF107" s="38">
        <v>-40</v>
      </c>
      <c r="AG107" s="37">
        <f t="shared" si="25"/>
        <v>84</v>
      </c>
      <c r="AH107" s="36">
        <v>0</v>
      </c>
      <c r="AI107" s="5">
        <v>73</v>
      </c>
      <c r="AJ107" s="37">
        <f t="shared" si="26"/>
        <v>11</v>
      </c>
      <c r="AK107" s="38">
        <v>-8</v>
      </c>
      <c r="AL107" s="37">
        <f t="shared" si="27"/>
        <v>3</v>
      </c>
      <c r="AM107" s="35" t="s">
        <v>574</v>
      </c>
      <c r="AN107" s="35" t="s">
        <v>68</v>
      </c>
      <c r="AO107" s="5">
        <v>170</v>
      </c>
      <c r="AP107" s="5">
        <v>0</v>
      </c>
      <c r="AQ107" s="35"/>
      <c r="AR107" s="35"/>
      <c r="AS107" s="122">
        <v>4582270160050</v>
      </c>
      <c r="AT107" s="35"/>
      <c r="AU107" s="35"/>
    </row>
    <row r="108" spans="1:47" x14ac:dyDescent="0.15">
      <c r="A108" s="14" t="s">
        <v>486</v>
      </c>
      <c r="B108" s="5" t="s">
        <v>487</v>
      </c>
      <c r="C108" s="36">
        <v>0</v>
      </c>
      <c r="D108" s="36">
        <v>0</v>
      </c>
      <c r="E108" s="5">
        <v>0</v>
      </c>
      <c r="F108" s="37">
        <f t="shared" si="14"/>
        <v>0</v>
      </c>
      <c r="G108" s="38">
        <v>0</v>
      </c>
      <c r="H108" s="37">
        <f t="shared" si="15"/>
        <v>0</v>
      </c>
      <c r="I108" s="36">
        <v>0</v>
      </c>
      <c r="J108" s="5">
        <v>0</v>
      </c>
      <c r="K108" s="37">
        <f t="shared" si="16"/>
        <v>0</v>
      </c>
      <c r="L108" s="38">
        <v>0</v>
      </c>
      <c r="M108" s="37">
        <f t="shared" si="17"/>
        <v>0</v>
      </c>
      <c r="N108" s="36">
        <v>5</v>
      </c>
      <c r="O108" s="5">
        <v>5</v>
      </c>
      <c r="P108" s="37">
        <f t="shared" si="18"/>
        <v>0</v>
      </c>
      <c r="Q108" s="38">
        <v>0</v>
      </c>
      <c r="R108" s="37">
        <f t="shared" si="19"/>
        <v>0</v>
      </c>
      <c r="S108" s="36">
        <v>0</v>
      </c>
      <c r="T108" s="5">
        <v>0</v>
      </c>
      <c r="U108" s="37">
        <f t="shared" si="20"/>
        <v>0</v>
      </c>
      <c r="V108" s="38">
        <v>0</v>
      </c>
      <c r="W108" s="37">
        <f t="shared" si="21"/>
        <v>0</v>
      </c>
      <c r="X108" s="36">
        <v>2</v>
      </c>
      <c r="Y108" s="5">
        <v>2</v>
      </c>
      <c r="Z108" s="37">
        <f t="shared" si="22"/>
        <v>0</v>
      </c>
      <c r="AA108" s="38">
        <v>0</v>
      </c>
      <c r="AB108" s="37">
        <f t="shared" si="23"/>
        <v>0</v>
      </c>
      <c r="AC108" s="36">
        <v>8</v>
      </c>
      <c r="AD108" s="5">
        <v>8</v>
      </c>
      <c r="AE108" s="37">
        <f t="shared" si="24"/>
        <v>0</v>
      </c>
      <c r="AF108" s="38">
        <v>0</v>
      </c>
      <c r="AG108" s="37">
        <f t="shared" si="25"/>
        <v>0</v>
      </c>
      <c r="AH108" s="36">
        <v>2</v>
      </c>
      <c r="AI108" s="5">
        <v>2</v>
      </c>
      <c r="AJ108" s="37">
        <f t="shared" si="26"/>
        <v>0</v>
      </c>
      <c r="AK108" s="38">
        <v>0</v>
      </c>
      <c r="AL108" s="37">
        <f t="shared" si="27"/>
        <v>0</v>
      </c>
      <c r="AM108" s="35" t="s">
        <v>574</v>
      </c>
      <c r="AN108" s="35" t="s">
        <v>68</v>
      </c>
      <c r="AO108" s="5">
        <v>680</v>
      </c>
      <c r="AP108" s="5">
        <v>0</v>
      </c>
      <c r="AQ108" s="35"/>
      <c r="AR108" s="35" t="s">
        <v>67</v>
      </c>
      <c r="AS108" s="122">
        <v>4582270160050</v>
      </c>
      <c r="AT108" s="35"/>
      <c r="AU108" s="35"/>
    </row>
    <row r="109" spans="1:47" x14ac:dyDescent="0.15">
      <c r="A109" s="14" t="s">
        <v>397</v>
      </c>
      <c r="B109" s="5" t="s">
        <v>398</v>
      </c>
      <c r="C109" s="36">
        <v>0</v>
      </c>
      <c r="D109" s="36">
        <v>0</v>
      </c>
      <c r="E109" s="5">
        <v>0</v>
      </c>
      <c r="F109" s="37">
        <f t="shared" si="14"/>
        <v>0</v>
      </c>
      <c r="G109" s="38">
        <v>0</v>
      </c>
      <c r="H109" s="37">
        <f t="shared" si="15"/>
        <v>0</v>
      </c>
      <c r="I109" s="36">
        <v>2</v>
      </c>
      <c r="J109" s="5">
        <v>2</v>
      </c>
      <c r="K109" s="37">
        <f t="shared" si="16"/>
        <v>0</v>
      </c>
      <c r="L109" s="38">
        <v>0</v>
      </c>
      <c r="M109" s="37">
        <f t="shared" si="17"/>
        <v>0</v>
      </c>
      <c r="N109" s="36">
        <v>0</v>
      </c>
      <c r="O109" s="5">
        <v>0</v>
      </c>
      <c r="P109" s="37">
        <f t="shared" si="18"/>
        <v>0</v>
      </c>
      <c r="Q109" s="38">
        <v>0</v>
      </c>
      <c r="R109" s="37">
        <f t="shared" si="19"/>
        <v>0</v>
      </c>
      <c r="S109" s="36">
        <v>0</v>
      </c>
      <c r="T109" s="5">
        <v>0</v>
      </c>
      <c r="U109" s="37">
        <f t="shared" si="20"/>
        <v>0</v>
      </c>
      <c r="V109" s="38">
        <v>0</v>
      </c>
      <c r="W109" s="37">
        <f t="shared" si="21"/>
        <v>0</v>
      </c>
      <c r="X109" s="36">
        <v>0</v>
      </c>
      <c r="Y109" s="5">
        <v>0</v>
      </c>
      <c r="Z109" s="37">
        <f t="shared" si="22"/>
        <v>0</v>
      </c>
      <c r="AA109" s="38">
        <v>0</v>
      </c>
      <c r="AB109" s="37">
        <f t="shared" si="23"/>
        <v>0</v>
      </c>
      <c r="AC109" s="36">
        <v>0</v>
      </c>
      <c r="AD109" s="5">
        <v>0</v>
      </c>
      <c r="AE109" s="37">
        <f t="shared" si="24"/>
        <v>0</v>
      </c>
      <c r="AF109" s="38">
        <v>0</v>
      </c>
      <c r="AG109" s="37">
        <f t="shared" si="25"/>
        <v>0</v>
      </c>
      <c r="AH109" s="36">
        <v>0</v>
      </c>
      <c r="AI109" s="5">
        <v>0</v>
      </c>
      <c r="AJ109" s="37">
        <f t="shared" si="26"/>
        <v>0</v>
      </c>
      <c r="AK109" s="38">
        <v>0</v>
      </c>
      <c r="AL109" s="37">
        <f t="shared" si="27"/>
        <v>0</v>
      </c>
      <c r="AM109" s="35" t="s">
        <v>574</v>
      </c>
      <c r="AN109" s="35" t="s">
        <v>69</v>
      </c>
      <c r="AO109" s="163">
        <v>4250</v>
      </c>
      <c r="AP109" s="5">
        <v>0</v>
      </c>
      <c r="AQ109" s="35"/>
      <c r="AR109" s="35"/>
      <c r="AS109" s="122">
        <v>4580450000000</v>
      </c>
      <c r="AT109" s="35">
        <v>287</v>
      </c>
      <c r="AU109" s="35" t="s">
        <v>992</v>
      </c>
    </row>
    <row r="110" spans="1:47" x14ac:dyDescent="0.15">
      <c r="A110" s="14" t="s">
        <v>310</v>
      </c>
      <c r="B110" s="5" t="s">
        <v>311</v>
      </c>
      <c r="C110" s="36">
        <v>7</v>
      </c>
      <c r="D110" s="36">
        <v>20</v>
      </c>
      <c r="E110" s="5">
        <v>0</v>
      </c>
      <c r="F110" s="37">
        <f t="shared" si="14"/>
        <v>27</v>
      </c>
      <c r="G110" s="38">
        <v>0</v>
      </c>
      <c r="H110" s="37">
        <f t="shared" si="15"/>
        <v>27</v>
      </c>
      <c r="I110" s="36">
        <v>0</v>
      </c>
      <c r="J110" s="5">
        <v>23</v>
      </c>
      <c r="K110" s="37">
        <f t="shared" si="16"/>
        <v>4</v>
      </c>
      <c r="L110" s="38">
        <v>0</v>
      </c>
      <c r="M110" s="37">
        <f t="shared" si="17"/>
        <v>4</v>
      </c>
      <c r="N110" s="36">
        <v>0</v>
      </c>
      <c r="O110" s="5">
        <v>0</v>
      </c>
      <c r="P110" s="37">
        <f t="shared" si="18"/>
        <v>4</v>
      </c>
      <c r="Q110" s="38">
        <v>0</v>
      </c>
      <c r="R110" s="37">
        <f t="shared" si="19"/>
        <v>4</v>
      </c>
      <c r="S110" s="36">
        <v>10</v>
      </c>
      <c r="T110" s="5">
        <v>7</v>
      </c>
      <c r="U110" s="37">
        <f t="shared" si="20"/>
        <v>7</v>
      </c>
      <c r="V110" s="38">
        <v>0</v>
      </c>
      <c r="W110" s="37">
        <f t="shared" si="21"/>
        <v>7</v>
      </c>
      <c r="X110" s="36">
        <v>0</v>
      </c>
      <c r="Y110" s="5">
        <v>4</v>
      </c>
      <c r="Z110" s="37">
        <f t="shared" si="22"/>
        <v>3</v>
      </c>
      <c r="AA110" s="38">
        <v>0</v>
      </c>
      <c r="AB110" s="37">
        <f t="shared" si="23"/>
        <v>3</v>
      </c>
      <c r="AC110" s="36">
        <v>20</v>
      </c>
      <c r="AD110" s="5">
        <v>9</v>
      </c>
      <c r="AE110" s="37">
        <f t="shared" si="24"/>
        <v>14</v>
      </c>
      <c r="AF110" s="38">
        <v>0</v>
      </c>
      <c r="AG110" s="37">
        <f t="shared" si="25"/>
        <v>14</v>
      </c>
      <c r="AH110" s="36">
        <v>0</v>
      </c>
      <c r="AI110" s="5">
        <v>9</v>
      </c>
      <c r="AJ110" s="37">
        <f t="shared" si="26"/>
        <v>5</v>
      </c>
      <c r="AK110" s="38">
        <v>0</v>
      </c>
      <c r="AL110" s="37">
        <f t="shared" si="27"/>
        <v>5</v>
      </c>
      <c r="AM110" s="35" t="s">
        <v>574</v>
      </c>
      <c r="AN110" s="35" t="s">
        <v>68</v>
      </c>
      <c r="AO110" s="5">
        <v>190</v>
      </c>
      <c r="AP110" s="5">
        <v>0</v>
      </c>
      <c r="AQ110" s="35"/>
      <c r="AR110" s="35"/>
      <c r="AS110" s="122"/>
      <c r="AT110" s="35">
        <v>231</v>
      </c>
      <c r="AU110" s="35" t="s">
        <v>943</v>
      </c>
    </row>
    <row r="111" spans="1:47" x14ac:dyDescent="0.15">
      <c r="A111" s="14" t="s">
        <v>944</v>
      </c>
      <c r="B111" s="5" t="s">
        <v>945</v>
      </c>
      <c r="C111" s="36">
        <v>0</v>
      </c>
      <c r="D111" s="36">
        <v>0</v>
      </c>
      <c r="E111" s="5">
        <v>0</v>
      </c>
      <c r="F111" s="37">
        <f t="shared" si="14"/>
        <v>0</v>
      </c>
      <c r="G111" s="38">
        <v>0</v>
      </c>
      <c r="H111" s="37">
        <f t="shared" si="15"/>
        <v>0</v>
      </c>
      <c r="I111" s="36">
        <v>0</v>
      </c>
      <c r="J111" s="5">
        <v>0</v>
      </c>
      <c r="K111" s="37">
        <f t="shared" si="16"/>
        <v>0</v>
      </c>
      <c r="L111" s="38">
        <v>0</v>
      </c>
      <c r="M111" s="37">
        <f t="shared" si="17"/>
        <v>0</v>
      </c>
      <c r="N111" s="36">
        <v>0</v>
      </c>
      <c r="O111" s="5">
        <v>0</v>
      </c>
      <c r="P111" s="37">
        <f t="shared" si="18"/>
        <v>0</v>
      </c>
      <c r="Q111" s="38">
        <v>0</v>
      </c>
      <c r="R111" s="37">
        <f t="shared" si="19"/>
        <v>0</v>
      </c>
      <c r="S111" s="36">
        <v>0</v>
      </c>
      <c r="T111" s="5">
        <v>0</v>
      </c>
      <c r="U111" s="37">
        <f t="shared" si="20"/>
        <v>0</v>
      </c>
      <c r="V111" s="38">
        <v>0</v>
      </c>
      <c r="W111" s="37">
        <f t="shared" si="21"/>
        <v>0</v>
      </c>
      <c r="X111" s="36">
        <v>0</v>
      </c>
      <c r="Y111" s="5">
        <v>0</v>
      </c>
      <c r="Z111" s="37">
        <f t="shared" si="22"/>
        <v>0</v>
      </c>
      <c r="AA111" s="38">
        <v>0</v>
      </c>
      <c r="AB111" s="37">
        <f t="shared" si="23"/>
        <v>0</v>
      </c>
      <c r="AC111" s="36">
        <v>0</v>
      </c>
      <c r="AD111" s="5">
        <v>0</v>
      </c>
      <c r="AE111" s="37">
        <f t="shared" si="24"/>
        <v>0</v>
      </c>
      <c r="AF111" s="38">
        <v>0</v>
      </c>
      <c r="AG111" s="37">
        <f t="shared" si="25"/>
        <v>0</v>
      </c>
      <c r="AH111" s="36">
        <v>0</v>
      </c>
      <c r="AI111" s="5">
        <v>0</v>
      </c>
      <c r="AJ111" s="37">
        <f t="shared" si="26"/>
        <v>0</v>
      </c>
      <c r="AK111" s="38">
        <v>0</v>
      </c>
      <c r="AL111" s="37">
        <f t="shared" si="27"/>
        <v>0</v>
      </c>
      <c r="AM111" s="35" t="s">
        <v>574</v>
      </c>
      <c r="AN111" s="35" t="s">
        <v>68</v>
      </c>
      <c r="AO111" s="5">
        <v>175</v>
      </c>
      <c r="AP111" s="5">
        <v>160</v>
      </c>
      <c r="AQ111" s="35"/>
      <c r="AR111" s="35"/>
      <c r="AS111" s="122"/>
      <c r="AT111" s="35">
        <v>244</v>
      </c>
      <c r="AU111" s="35" t="s">
        <v>928</v>
      </c>
    </row>
    <row r="112" spans="1:47" x14ac:dyDescent="0.15">
      <c r="A112" s="14" t="s">
        <v>399</v>
      </c>
      <c r="B112" s="5" t="s">
        <v>400</v>
      </c>
      <c r="C112" s="36">
        <v>44</v>
      </c>
      <c r="D112" s="36">
        <v>175</v>
      </c>
      <c r="E112" s="5">
        <v>0</v>
      </c>
      <c r="F112" s="37">
        <f t="shared" si="14"/>
        <v>219</v>
      </c>
      <c r="G112" s="38">
        <v>0</v>
      </c>
      <c r="H112" s="37">
        <f t="shared" si="15"/>
        <v>219</v>
      </c>
      <c r="I112" s="36">
        <v>0</v>
      </c>
      <c r="J112" s="5">
        <v>112</v>
      </c>
      <c r="K112" s="37">
        <f t="shared" si="16"/>
        <v>107</v>
      </c>
      <c r="L112" s="38">
        <v>-4</v>
      </c>
      <c r="M112" s="37">
        <f t="shared" si="17"/>
        <v>103</v>
      </c>
      <c r="N112" s="36">
        <v>0</v>
      </c>
      <c r="O112" s="5">
        <v>40</v>
      </c>
      <c r="P112" s="37">
        <f t="shared" si="18"/>
        <v>63</v>
      </c>
      <c r="Q112" s="38">
        <v>-12</v>
      </c>
      <c r="R112" s="37">
        <f t="shared" si="19"/>
        <v>51</v>
      </c>
      <c r="S112" s="36">
        <v>150</v>
      </c>
      <c r="T112" s="5">
        <v>93</v>
      </c>
      <c r="U112" s="37">
        <f t="shared" si="20"/>
        <v>108</v>
      </c>
      <c r="V112" s="38">
        <v>0</v>
      </c>
      <c r="W112" s="37">
        <f t="shared" si="21"/>
        <v>108</v>
      </c>
      <c r="X112" s="36">
        <v>0</v>
      </c>
      <c r="Y112" s="5">
        <v>55</v>
      </c>
      <c r="Z112" s="37">
        <f t="shared" si="22"/>
        <v>53</v>
      </c>
      <c r="AA112" s="38">
        <v>-8</v>
      </c>
      <c r="AB112" s="37">
        <f t="shared" si="23"/>
        <v>45</v>
      </c>
      <c r="AC112" s="36">
        <v>200</v>
      </c>
      <c r="AD112" s="5">
        <v>65</v>
      </c>
      <c r="AE112" s="37">
        <f t="shared" si="24"/>
        <v>180</v>
      </c>
      <c r="AF112" s="38">
        <v>-40</v>
      </c>
      <c r="AG112" s="37">
        <f t="shared" si="25"/>
        <v>140</v>
      </c>
      <c r="AH112" s="36">
        <v>0</v>
      </c>
      <c r="AI112" s="5">
        <v>107</v>
      </c>
      <c r="AJ112" s="37">
        <f t="shared" si="26"/>
        <v>33</v>
      </c>
      <c r="AK112" s="38">
        <v>-29</v>
      </c>
      <c r="AL112" s="37">
        <f t="shared" si="27"/>
        <v>4</v>
      </c>
      <c r="AM112" s="35" t="s">
        <v>574</v>
      </c>
      <c r="AN112" s="35" t="s">
        <v>68</v>
      </c>
      <c r="AO112" s="5">
        <v>160</v>
      </c>
      <c r="AP112" s="5">
        <v>0</v>
      </c>
      <c r="AQ112" s="35"/>
      <c r="AR112" s="35"/>
      <c r="AS112" s="122">
        <v>4582270160067</v>
      </c>
      <c r="AT112" s="35">
        <v>223</v>
      </c>
      <c r="AU112" s="35" t="s">
        <v>946</v>
      </c>
    </row>
    <row r="113" spans="1:47" x14ac:dyDescent="0.15">
      <c r="A113" s="14" t="s">
        <v>488</v>
      </c>
      <c r="B113" s="5" t="s">
        <v>489</v>
      </c>
      <c r="C113" s="36">
        <v>0</v>
      </c>
      <c r="D113" s="36">
        <v>0</v>
      </c>
      <c r="E113" s="5">
        <v>0</v>
      </c>
      <c r="F113" s="37">
        <f t="shared" si="14"/>
        <v>0</v>
      </c>
      <c r="G113" s="38">
        <v>0</v>
      </c>
      <c r="H113" s="37">
        <f t="shared" si="15"/>
        <v>0</v>
      </c>
      <c r="I113" s="36">
        <v>1</v>
      </c>
      <c r="J113" s="5">
        <v>1</v>
      </c>
      <c r="K113" s="37">
        <f t="shared" si="16"/>
        <v>0</v>
      </c>
      <c r="L113" s="38">
        <v>0</v>
      </c>
      <c r="M113" s="37">
        <f t="shared" si="17"/>
        <v>0</v>
      </c>
      <c r="N113" s="36">
        <v>3</v>
      </c>
      <c r="O113" s="5">
        <v>3</v>
      </c>
      <c r="P113" s="37">
        <f t="shared" si="18"/>
        <v>0</v>
      </c>
      <c r="Q113" s="38">
        <v>0</v>
      </c>
      <c r="R113" s="37">
        <f t="shared" si="19"/>
        <v>0</v>
      </c>
      <c r="S113" s="36">
        <v>0</v>
      </c>
      <c r="T113" s="5">
        <v>0</v>
      </c>
      <c r="U113" s="37">
        <f t="shared" si="20"/>
        <v>0</v>
      </c>
      <c r="V113" s="38">
        <v>0</v>
      </c>
      <c r="W113" s="37">
        <f t="shared" si="21"/>
        <v>0</v>
      </c>
      <c r="X113" s="36">
        <v>2</v>
      </c>
      <c r="Y113" s="5">
        <v>2</v>
      </c>
      <c r="Z113" s="37">
        <f t="shared" si="22"/>
        <v>0</v>
      </c>
      <c r="AA113" s="38">
        <v>0</v>
      </c>
      <c r="AB113" s="37">
        <f t="shared" si="23"/>
        <v>0</v>
      </c>
      <c r="AC113" s="36">
        <v>8</v>
      </c>
      <c r="AD113" s="5">
        <v>8</v>
      </c>
      <c r="AE113" s="37">
        <f t="shared" si="24"/>
        <v>0</v>
      </c>
      <c r="AF113" s="38">
        <v>0</v>
      </c>
      <c r="AG113" s="37">
        <f t="shared" si="25"/>
        <v>0</v>
      </c>
      <c r="AH113" s="36">
        <v>1</v>
      </c>
      <c r="AI113" s="5">
        <v>1</v>
      </c>
      <c r="AJ113" s="37">
        <f t="shared" si="26"/>
        <v>0</v>
      </c>
      <c r="AK113" s="38">
        <v>0</v>
      </c>
      <c r="AL113" s="37">
        <f t="shared" si="27"/>
        <v>0</v>
      </c>
      <c r="AM113" s="35" t="s">
        <v>574</v>
      </c>
      <c r="AN113" s="35" t="s">
        <v>68</v>
      </c>
      <c r="AO113" s="5">
        <v>560</v>
      </c>
      <c r="AP113" s="5">
        <v>0</v>
      </c>
      <c r="AQ113" s="35"/>
      <c r="AR113" s="35" t="s">
        <v>67</v>
      </c>
      <c r="AS113" s="122">
        <v>4582270160067</v>
      </c>
      <c r="AT113" s="35"/>
      <c r="AU113" s="35"/>
    </row>
    <row r="114" spans="1:47" x14ac:dyDescent="0.15">
      <c r="A114" s="14" t="s">
        <v>516</v>
      </c>
      <c r="B114" s="5" t="s">
        <v>517</v>
      </c>
      <c r="C114" s="36">
        <v>0</v>
      </c>
      <c r="D114" s="36">
        <v>0</v>
      </c>
      <c r="E114" s="5">
        <v>0</v>
      </c>
      <c r="F114" s="37">
        <f t="shared" si="14"/>
        <v>0</v>
      </c>
      <c r="G114" s="38">
        <v>0</v>
      </c>
      <c r="H114" s="37">
        <f t="shared" si="15"/>
        <v>0</v>
      </c>
      <c r="I114" s="36">
        <v>0</v>
      </c>
      <c r="J114" s="5">
        <v>0</v>
      </c>
      <c r="K114" s="37">
        <f t="shared" si="16"/>
        <v>0</v>
      </c>
      <c r="L114" s="38">
        <v>0</v>
      </c>
      <c r="M114" s="37">
        <f t="shared" si="17"/>
        <v>0</v>
      </c>
      <c r="N114" s="36">
        <v>0</v>
      </c>
      <c r="O114" s="5">
        <v>0</v>
      </c>
      <c r="P114" s="37">
        <f t="shared" si="18"/>
        <v>0</v>
      </c>
      <c r="Q114" s="38">
        <v>0</v>
      </c>
      <c r="R114" s="37">
        <f t="shared" si="19"/>
        <v>0</v>
      </c>
      <c r="S114" s="36">
        <v>0</v>
      </c>
      <c r="T114" s="5">
        <v>0</v>
      </c>
      <c r="U114" s="37">
        <f t="shared" si="20"/>
        <v>0</v>
      </c>
      <c r="V114" s="38">
        <v>0</v>
      </c>
      <c r="W114" s="37">
        <f t="shared" si="21"/>
        <v>0</v>
      </c>
      <c r="X114" s="36">
        <v>0</v>
      </c>
      <c r="Y114" s="5">
        <v>0</v>
      </c>
      <c r="Z114" s="37">
        <f t="shared" si="22"/>
        <v>0</v>
      </c>
      <c r="AA114" s="38">
        <v>0</v>
      </c>
      <c r="AB114" s="37">
        <f t="shared" si="23"/>
        <v>0</v>
      </c>
      <c r="AC114" s="36">
        <v>0</v>
      </c>
      <c r="AD114" s="5">
        <v>0</v>
      </c>
      <c r="AE114" s="37">
        <f t="shared" si="24"/>
        <v>0</v>
      </c>
      <c r="AF114" s="38">
        <v>0</v>
      </c>
      <c r="AG114" s="37">
        <f t="shared" si="25"/>
        <v>0</v>
      </c>
      <c r="AH114" s="36">
        <v>1</v>
      </c>
      <c r="AI114" s="5">
        <v>1</v>
      </c>
      <c r="AJ114" s="37">
        <f t="shared" si="26"/>
        <v>0</v>
      </c>
      <c r="AK114" s="38">
        <v>0</v>
      </c>
      <c r="AL114" s="37">
        <f t="shared" si="27"/>
        <v>0</v>
      </c>
      <c r="AM114" s="35" t="s">
        <v>574</v>
      </c>
      <c r="AN114" s="35" t="s">
        <v>69</v>
      </c>
      <c r="AO114" s="163">
        <v>3500</v>
      </c>
      <c r="AP114" s="5">
        <v>0</v>
      </c>
      <c r="AQ114" s="35"/>
      <c r="AR114" s="35"/>
      <c r="AS114" s="122">
        <v>4580450000000</v>
      </c>
      <c r="AT114" s="35">
        <v>287</v>
      </c>
      <c r="AU114" s="35" t="s">
        <v>992</v>
      </c>
    </row>
    <row r="115" spans="1:47" x14ac:dyDescent="0.15">
      <c r="A115" s="14" t="s">
        <v>947</v>
      </c>
      <c r="B115" s="5" t="s">
        <v>948</v>
      </c>
      <c r="C115" s="36">
        <v>0</v>
      </c>
      <c r="D115" s="36">
        <v>100</v>
      </c>
      <c r="E115" s="5">
        <v>0</v>
      </c>
      <c r="F115" s="37">
        <f t="shared" si="14"/>
        <v>100</v>
      </c>
      <c r="G115" s="38">
        <v>0</v>
      </c>
      <c r="H115" s="37">
        <f t="shared" si="15"/>
        <v>100</v>
      </c>
      <c r="I115" s="36">
        <v>0</v>
      </c>
      <c r="J115" s="5">
        <v>100</v>
      </c>
      <c r="K115" s="37">
        <f t="shared" si="16"/>
        <v>0</v>
      </c>
      <c r="L115" s="38">
        <v>0</v>
      </c>
      <c r="M115" s="37">
        <f t="shared" si="17"/>
        <v>0</v>
      </c>
      <c r="N115" s="36">
        <v>0</v>
      </c>
      <c r="O115" s="5">
        <v>0</v>
      </c>
      <c r="P115" s="37">
        <f t="shared" si="18"/>
        <v>0</v>
      </c>
      <c r="Q115" s="38">
        <v>0</v>
      </c>
      <c r="R115" s="37">
        <f t="shared" si="19"/>
        <v>0</v>
      </c>
      <c r="S115" s="36">
        <v>0</v>
      </c>
      <c r="T115" s="5">
        <v>0</v>
      </c>
      <c r="U115" s="37">
        <f t="shared" si="20"/>
        <v>0</v>
      </c>
      <c r="V115" s="38">
        <v>0</v>
      </c>
      <c r="W115" s="37">
        <f t="shared" si="21"/>
        <v>0</v>
      </c>
      <c r="X115" s="36">
        <v>0</v>
      </c>
      <c r="Y115" s="5">
        <v>0</v>
      </c>
      <c r="Z115" s="37">
        <f t="shared" si="22"/>
        <v>0</v>
      </c>
      <c r="AA115" s="38">
        <v>0</v>
      </c>
      <c r="AB115" s="37">
        <f t="shared" si="23"/>
        <v>0</v>
      </c>
      <c r="AC115" s="36">
        <v>0</v>
      </c>
      <c r="AD115" s="5">
        <v>0</v>
      </c>
      <c r="AE115" s="37">
        <f t="shared" si="24"/>
        <v>0</v>
      </c>
      <c r="AF115" s="38">
        <v>0</v>
      </c>
      <c r="AG115" s="37">
        <f t="shared" si="25"/>
        <v>0</v>
      </c>
      <c r="AH115" s="36">
        <v>0</v>
      </c>
      <c r="AI115" s="5">
        <v>0</v>
      </c>
      <c r="AJ115" s="37">
        <f t="shared" si="26"/>
        <v>0</v>
      </c>
      <c r="AK115" s="38">
        <v>0</v>
      </c>
      <c r="AL115" s="37">
        <f t="shared" si="27"/>
        <v>0</v>
      </c>
      <c r="AM115" s="35" t="s">
        <v>574</v>
      </c>
      <c r="AN115" s="35" t="s">
        <v>68</v>
      </c>
      <c r="AO115" s="5">
        <v>100</v>
      </c>
      <c r="AP115" s="5">
        <v>0</v>
      </c>
      <c r="AQ115" s="35"/>
      <c r="AR115" s="35"/>
      <c r="AS115" s="122"/>
      <c r="AT115" s="35">
        <v>244</v>
      </c>
      <c r="AU115" s="35" t="s">
        <v>928</v>
      </c>
    </row>
    <row r="116" spans="1:47" x14ac:dyDescent="0.15">
      <c r="A116" s="14" t="s">
        <v>463</v>
      </c>
      <c r="B116" s="5" t="s">
        <v>464</v>
      </c>
      <c r="C116" s="36">
        <v>1</v>
      </c>
      <c r="D116" s="36">
        <v>20</v>
      </c>
      <c r="E116" s="5">
        <v>0</v>
      </c>
      <c r="F116" s="37">
        <f t="shared" si="14"/>
        <v>21</v>
      </c>
      <c r="G116" s="38">
        <v>0</v>
      </c>
      <c r="H116" s="37">
        <f t="shared" si="15"/>
        <v>21</v>
      </c>
      <c r="I116" s="36">
        <v>0</v>
      </c>
      <c r="J116" s="5">
        <v>13</v>
      </c>
      <c r="K116" s="37">
        <f t="shared" si="16"/>
        <v>8</v>
      </c>
      <c r="L116" s="38">
        <v>0</v>
      </c>
      <c r="M116" s="37">
        <f t="shared" si="17"/>
        <v>8</v>
      </c>
      <c r="N116" s="36">
        <v>0</v>
      </c>
      <c r="O116" s="5">
        <v>8</v>
      </c>
      <c r="P116" s="37">
        <f t="shared" si="18"/>
        <v>0</v>
      </c>
      <c r="Q116" s="38">
        <v>0</v>
      </c>
      <c r="R116" s="37">
        <f t="shared" si="19"/>
        <v>0</v>
      </c>
      <c r="S116" s="36">
        <v>20</v>
      </c>
      <c r="T116" s="5">
        <v>12</v>
      </c>
      <c r="U116" s="37">
        <f t="shared" si="20"/>
        <v>8</v>
      </c>
      <c r="V116" s="38">
        <v>0</v>
      </c>
      <c r="W116" s="37">
        <f t="shared" si="21"/>
        <v>8</v>
      </c>
      <c r="X116" s="36">
        <v>0</v>
      </c>
      <c r="Y116" s="5">
        <v>7</v>
      </c>
      <c r="Z116" s="37">
        <f t="shared" si="22"/>
        <v>1</v>
      </c>
      <c r="AA116" s="38">
        <v>0</v>
      </c>
      <c r="AB116" s="37">
        <f t="shared" si="23"/>
        <v>1</v>
      </c>
      <c r="AC116" s="36">
        <v>30</v>
      </c>
      <c r="AD116" s="5">
        <v>9</v>
      </c>
      <c r="AE116" s="37">
        <f t="shared" si="24"/>
        <v>22</v>
      </c>
      <c r="AF116" s="38">
        <v>0</v>
      </c>
      <c r="AG116" s="37">
        <f t="shared" si="25"/>
        <v>22</v>
      </c>
      <c r="AH116" s="36">
        <v>0</v>
      </c>
      <c r="AI116" s="5">
        <v>13</v>
      </c>
      <c r="AJ116" s="37">
        <f t="shared" si="26"/>
        <v>9</v>
      </c>
      <c r="AK116" s="38">
        <v>0</v>
      </c>
      <c r="AL116" s="37">
        <f t="shared" si="27"/>
        <v>9</v>
      </c>
      <c r="AM116" s="35" t="s">
        <v>574</v>
      </c>
      <c r="AN116" s="35" t="s">
        <v>68</v>
      </c>
      <c r="AO116" s="5">
        <v>180</v>
      </c>
      <c r="AP116" s="5">
        <v>0</v>
      </c>
      <c r="AQ116" s="35"/>
      <c r="AR116" s="35"/>
      <c r="AS116" s="122">
        <v>4560109260409</v>
      </c>
      <c r="AT116" s="35">
        <v>231</v>
      </c>
      <c r="AU116" s="35" t="s">
        <v>943</v>
      </c>
    </row>
    <row r="117" spans="1:47" x14ac:dyDescent="0.15">
      <c r="A117" s="14" t="s">
        <v>218</v>
      </c>
      <c r="B117" s="5" t="s">
        <v>219</v>
      </c>
      <c r="C117" s="36">
        <v>8</v>
      </c>
      <c r="D117" s="36">
        <v>40</v>
      </c>
      <c r="E117" s="5">
        <v>0</v>
      </c>
      <c r="F117" s="37">
        <f t="shared" si="14"/>
        <v>48</v>
      </c>
      <c r="G117" s="38">
        <v>0</v>
      </c>
      <c r="H117" s="37">
        <f t="shared" si="15"/>
        <v>48</v>
      </c>
      <c r="I117" s="36">
        <v>0</v>
      </c>
      <c r="J117" s="5">
        <v>32</v>
      </c>
      <c r="K117" s="37">
        <f t="shared" si="16"/>
        <v>16</v>
      </c>
      <c r="L117" s="38">
        <v>0</v>
      </c>
      <c r="M117" s="37">
        <f t="shared" si="17"/>
        <v>16</v>
      </c>
      <c r="N117" s="36">
        <v>0</v>
      </c>
      <c r="O117" s="5">
        <v>12</v>
      </c>
      <c r="P117" s="37">
        <f t="shared" si="18"/>
        <v>4</v>
      </c>
      <c r="Q117" s="38">
        <v>0</v>
      </c>
      <c r="R117" s="37">
        <f t="shared" si="19"/>
        <v>4</v>
      </c>
      <c r="S117" s="36">
        <v>40</v>
      </c>
      <c r="T117" s="5">
        <v>25</v>
      </c>
      <c r="U117" s="37">
        <f t="shared" si="20"/>
        <v>19</v>
      </c>
      <c r="V117" s="38">
        <v>0</v>
      </c>
      <c r="W117" s="37">
        <f t="shared" si="21"/>
        <v>19</v>
      </c>
      <c r="X117" s="36">
        <v>0</v>
      </c>
      <c r="Y117" s="5">
        <v>15</v>
      </c>
      <c r="Z117" s="37">
        <f t="shared" si="22"/>
        <v>4</v>
      </c>
      <c r="AA117" s="38">
        <v>0</v>
      </c>
      <c r="AB117" s="37">
        <f t="shared" si="23"/>
        <v>4</v>
      </c>
      <c r="AC117" s="36">
        <v>60</v>
      </c>
      <c r="AD117" s="5">
        <v>12</v>
      </c>
      <c r="AE117" s="37">
        <f t="shared" si="24"/>
        <v>52</v>
      </c>
      <c r="AF117" s="38">
        <v>-5</v>
      </c>
      <c r="AG117" s="37">
        <f t="shared" si="25"/>
        <v>47</v>
      </c>
      <c r="AH117" s="36">
        <v>0</v>
      </c>
      <c r="AI117" s="5">
        <v>46</v>
      </c>
      <c r="AJ117" s="37">
        <f t="shared" si="26"/>
        <v>1</v>
      </c>
      <c r="AK117" s="38">
        <v>0</v>
      </c>
      <c r="AL117" s="37">
        <f t="shared" si="27"/>
        <v>1</v>
      </c>
      <c r="AM117" s="35" t="s">
        <v>574</v>
      </c>
      <c r="AN117" s="35" t="s">
        <v>68</v>
      </c>
      <c r="AO117" s="5">
        <v>180</v>
      </c>
      <c r="AP117" s="5">
        <v>180</v>
      </c>
      <c r="AQ117" s="35"/>
      <c r="AR117" s="35"/>
      <c r="AS117" s="122">
        <v>4560109261284</v>
      </c>
      <c r="AT117" s="35">
        <v>231</v>
      </c>
      <c r="AU117" s="35" t="s">
        <v>943</v>
      </c>
    </row>
    <row r="118" spans="1:47" x14ac:dyDescent="0.15">
      <c r="A118" s="14" t="s">
        <v>667</v>
      </c>
      <c r="B118" s="5" t="s">
        <v>668</v>
      </c>
      <c r="C118" s="36">
        <v>106</v>
      </c>
      <c r="D118" s="36">
        <v>0</v>
      </c>
      <c r="E118" s="5">
        <v>0</v>
      </c>
      <c r="F118" s="37">
        <f t="shared" si="14"/>
        <v>106</v>
      </c>
      <c r="G118" s="38">
        <v>0</v>
      </c>
      <c r="H118" s="37">
        <f t="shared" si="15"/>
        <v>106</v>
      </c>
      <c r="I118" s="36">
        <v>80</v>
      </c>
      <c r="J118" s="5">
        <v>40</v>
      </c>
      <c r="K118" s="37">
        <f t="shared" si="16"/>
        <v>146</v>
      </c>
      <c r="L118" s="38">
        <v>0</v>
      </c>
      <c r="M118" s="37">
        <f t="shared" si="17"/>
        <v>146</v>
      </c>
      <c r="N118" s="36">
        <v>0</v>
      </c>
      <c r="O118" s="5">
        <v>32</v>
      </c>
      <c r="P118" s="37">
        <f t="shared" si="18"/>
        <v>114</v>
      </c>
      <c r="Q118" s="38">
        <v>0</v>
      </c>
      <c r="R118" s="37">
        <f t="shared" si="19"/>
        <v>114</v>
      </c>
      <c r="S118" s="36">
        <v>0</v>
      </c>
      <c r="T118" s="5">
        <v>45</v>
      </c>
      <c r="U118" s="37">
        <f t="shared" si="20"/>
        <v>69</v>
      </c>
      <c r="V118" s="38">
        <v>0</v>
      </c>
      <c r="W118" s="37">
        <f t="shared" si="21"/>
        <v>69</v>
      </c>
      <c r="X118" s="36">
        <v>60</v>
      </c>
      <c r="Y118" s="5">
        <v>33</v>
      </c>
      <c r="Z118" s="37">
        <f t="shared" si="22"/>
        <v>96</v>
      </c>
      <c r="AA118" s="38">
        <v>0</v>
      </c>
      <c r="AB118" s="37">
        <f t="shared" si="23"/>
        <v>96</v>
      </c>
      <c r="AC118" s="36">
        <v>0</v>
      </c>
      <c r="AD118" s="5">
        <v>35</v>
      </c>
      <c r="AE118" s="37">
        <f t="shared" si="24"/>
        <v>61</v>
      </c>
      <c r="AF118" s="38">
        <v>0</v>
      </c>
      <c r="AG118" s="37">
        <f t="shared" si="25"/>
        <v>61</v>
      </c>
      <c r="AH118" s="36">
        <v>60</v>
      </c>
      <c r="AI118" s="5">
        <v>40</v>
      </c>
      <c r="AJ118" s="37">
        <f t="shared" si="26"/>
        <v>81</v>
      </c>
      <c r="AK118" s="38">
        <v>0</v>
      </c>
      <c r="AL118" s="37">
        <f t="shared" si="27"/>
        <v>81</v>
      </c>
      <c r="AM118" s="35" t="s">
        <v>949</v>
      </c>
      <c r="AN118" s="35" t="s">
        <v>68</v>
      </c>
      <c r="AO118" s="5">
        <v>145</v>
      </c>
      <c r="AP118" s="5">
        <v>0</v>
      </c>
      <c r="AQ118" s="35"/>
      <c r="AR118" s="35"/>
      <c r="AS118" s="122">
        <v>4560110000000</v>
      </c>
      <c r="AT118" s="35">
        <v>233</v>
      </c>
      <c r="AU118" s="35" t="s">
        <v>950</v>
      </c>
    </row>
    <row r="119" spans="1:47" x14ac:dyDescent="0.15">
      <c r="A119" s="14" t="s">
        <v>951</v>
      </c>
      <c r="B119" s="5" t="s">
        <v>952</v>
      </c>
      <c r="C119" s="36">
        <v>0</v>
      </c>
      <c r="D119" s="36">
        <v>0</v>
      </c>
      <c r="E119" s="5">
        <v>0</v>
      </c>
      <c r="F119" s="37">
        <f t="shared" si="14"/>
        <v>0</v>
      </c>
      <c r="G119" s="38">
        <v>0</v>
      </c>
      <c r="H119" s="37">
        <f t="shared" si="15"/>
        <v>0</v>
      </c>
      <c r="I119" s="36">
        <v>0</v>
      </c>
      <c r="J119" s="5">
        <v>0</v>
      </c>
      <c r="K119" s="37">
        <f t="shared" si="16"/>
        <v>0</v>
      </c>
      <c r="L119" s="38">
        <v>0</v>
      </c>
      <c r="M119" s="37">
        <f t="shared" si="17"/>
        <v>0</v>
      </c>
      <c r="N119" s="36">
        <v>0</v>
      </c>
      <c r="O119" s="5">
        <v>0</v>
      </c>
      <c r="P119" s="37">
        <f t="shared" si="18"/>
        <v>0</v>
      </c>
      <c r="Q119" s="38">
        <v>0</v>
      </c>
      <c r="R119" s="37">
        <f t="shared" si="19"/>
        <v>0</v>
      </c>
      <c r="S119" s="36">
        <v>0</v>
      </c>
      <c r="T119" s="5">
        <v>0</v>
      </c>
      <c r="U119" s="37">
        <f t="shared" si="20"/>
        <v>0</v>
      </c>
      <c r="V119" s="38">
        <v>0</v>
      </c>
      <c r="W119" s="37">
        <f t="shared" si="21"/>
        <v>0</v>
      </c>
      <c r="X119" s="36">
        <v>0</v>
      </c>
      <c r="Y119" s="5">
        <v>0</v>
      </c>
      <c r="Z119" s="37">
        <f t="shared" si="22"/>
        <v>0</v>
      </c>
      <c r="AA119" s="38">
        <v>0</v>
      </c>
      <c r="AB119" s="37">
        <f t="shared" si="23"/>
        <v>0</v>
      </c>
      <c r="AC119" s="36">
        <v>1</v>
      </c>
      <c r="AD119" s="5">
        <v>1</v>
      </c>
      <c r="AE119" s="37">
        <f t="shared" si="24"/>
        <v>0</v>
      </c>
      <c r="AF119" s="38">
        <v>0</v>
      </c>
      <c r="AG119" s="37">
        <f t="shared" si="25"/>
        <v>0</v>
      </c>
      <c r="AH119" s="36">
        <v>0</v>
      </c>
      <c r="AI119" s="5">
        <v>0</v>
      </c>
      <c r="AJ119" s="37">
        <f t="shared" si="26"/>
        <v>0</v>
      </c>
      <c r="AK119" s="38">
        <v>0</v>
      </c>
      <c r="AL119" s="37">
        <f t="shared" si="27"/>
        <v>0</v>
      </c>
      <c r="AM119" s="35" t="s">
        <v>574</v>
      </c>
      <c r="AN119" s="35" t="s">
        <v>68</v>
      </c>
      <c r="AO119" s="5">
        <v>950</v>
      </c>
      <c r="AP119" s="5">
        <v>0</v>
      </c>
      <c r="AQ119" s="35"/>
      <c r="AR119" s="35" t="s">
        <v>67</v>
      </c>
      <c r="AS119" s="122">
        <v>4560109261284</v>
      </c>
      <c r="AT119" s="35">
        <v>231</v>
      </c>
      <c r="AU119" s="35" t="s">
        <v>943</v>
      </c>
    </row>
    <row r="120" spans="1:47" x14ac:dyDescent="0.15">
      <c r="A120" s="14" t="s">
        <v>662</v>
      </c>
      <c r="B120" s="5" t="s">
        <v>663</v>
      </c>
      <c r="C120" s="36">
        <v>41</v>
      </c>
      <c r="D120" s="36">
        <v>0</v>
      </c>
      <c r="E120" s="5">
        <v>0</v>
      </c>
      <c r="F120" s="37">
        <f t="shared" si="14"/>
        <v>41</v>
      </c>
      <c r="G120" s="38">
        <v>0</v>
      </c>
      <c r="H120" s="37">
        <f t="shared" si="15"/>
        <v>41</v>
      </c>
      <c r="I120" s="36">
        <v>160</v>
      </c>
      <c r="J120" s="5">
        <v>66</v>
      </c>
      <c r="K120" s="37">
        <f t="shared" si="16"/>
        <v>135</v>
      </c>
      <c r="L120" s="38">
        <v>0</v>
      </c>
      <c r="M120" s="37">
        <f t="shared" si="17"/>
        <v>135</v>
      </c>
      <c r="N120" s="36">
        <v>0</v>
      </c>
      <c r="O120" s="5">
        <v>38</v>
      </c>
      <c r="P120" s="37">
        <f t="shared" si="18"/>
        <v>97</v>
      </c>
      <c r="Q120" s="38">
        <v>0</v>
      </c>
      <c r="R120" s="37">
        <f t="shared" si="19"/>
        <v>97</v>
      </c>
      <c r="S120" s="36">
        <v>0</v>
      </c>
      <c r="T120" s="5">
        <v>65</v>
      </c>
      <c r="U120" s="37">
        <f t="shared" si="20"/>
        <v>32</v>
      </c>
      <c r="V120" s="38">
        <v>0</v>
      </c>
      <c r="W120" s="37">
        <f t="shared" si="21"/>
        <v>32</v>
      </c>
      <c r="X120" s="36">
        <v>80</v>
      </c>
      <c r="Y120" s="5">
        <v>38</v>
      </c>
      <c r="Z120" s="37">
        <f t="shared" si="22"/>
        <v>74</v>
      </c>
      <c r="AA120" s="38">
        <v>0</v>
      </c>
      <c r="AB120" s="37">
        <f t="shared" si="23"/>
        <v>74</v>
      </c>
      <c r="AC120" s="36">
        <v>0</v>
      </c>
      <c r="AD120" s="5">
        <v>39</v>
      </c>
      <c r="AE120" s="37">
        <f t="shared" si="24"/>
        <v>35</v>
      </c>
      <c r="AF120" s="38">
        <v>0</v>
      </c>
      <c r="AG120" s="37">
        <f t="shared" si="25"/>
        <v>35</v>
      </c>
      <c r="AH120" s="36">
        <v>100</v>
      </c>
      <c r="AI120" s="5">
        <v>85</v>
      </c>
      <c r="AJ120" s="37">
        <f t="shared" si="26"/>
        <v>50</v>
      </c>
      <c r="AK120" s="38">
        <v>0</v>
      </c>
      <c r="AL120" s="37">
        <f t="shared" si="27"/>
        <v>50</v>
      </c>
      <c r="AM120" s="35" t="s">
        <v>949</v>
      </c>
      <c r="AN120" s="35" t="s">
        <v>68</v>
      </c>
      <c r="AO120" s="5">
        <v>145</v>
      </c>
      <c r="AP120" s="5">
        <v>0</v>
      </c>
      <c r="AQ120" s="35"/>
      <c r="AR120" s="35"/>
      <c r="AS120" s="122">
        <v>4560110000000</v>
      </c>
      <c r="AT120" s="35">
        <v>679</v>
      </c>
      <c r="AU120" s="35" t="s">
        <v>953</v>
      </c>
    </row>
    <row r="121" spans="1:47" x14ac:dyDescent="0.15">
      <c r="A121" s="14" t="s">
        <v>209</v>
      </c>
      <c r="B121" s="5" t="s">
        <v>210</v>
      </c>
      <c r="C121" s="36">
        <v>11</v>
      </c>
      <c r="D121" s="36">
        <v>30</v>
      </c>
      <c r="E121" s="5">
        <v>0</v>
      </c>
      <c r="F121" s="37">
        <f t="shared" si="14"/>
        <v>41</v>
      </c>
      <c r="G121" s="38">
        <v>0</v>
      </c>
      <c r="H121" s="37">
        <f t="shared" si="15"/>
        <v>41</v>
      </c>
      <c r="I121" s="36">
        <v>0</v>
      </c>
      <c r="J121" s="5">
        <v>21</v>
      </c>
      <c r="K121" s="37">
        <f t="shared" si="16"/>
        <v>20</v>
      </c>
      <c r="L121" s="38">
        <v>0</v>
      </c>
      <c r="M121" s="37">
        <f t="shared" si="17"/>
        <v>20</v>
      </c>
      <c r="N121" s="36">
        <v>0</v>
      </c>
      <c r="O121" s="5">
        <v>12</v>
      </c>
      <c r="P121" s="37">
        <f t="shared" si="18"/>
        <v>8</v>
      </c>
      <c r="Q121" s="38">
        <v>0</v>
      </c>
      <c r="R121" s="37">
        <f t="shared" si="19"/>
        <v>8</v>
      </c>
      <c r="S121" s="36">
        <v>20</v>
      </c>
      <c r="T121" s="5">
        <v>21</v>
      </c>
      <c r="U121" s="37">
        <f t="shared" si="20"/>
        <v>7</v>
      </c>
      <c r="V121" s="38">
        <v>0</v>
      </c>
      <c r="W121" s="37">
        <f t="shared" si="21"/>
        <v>7</v>
      </c>
      <c r="X121" s="36">
        <v>0</v>
      </c>
      <c r="Y121" s="5">
        <v>2</v>
      </c>
      <c r="Z121" s="37">
        <f t="shared" si="22"/>
        <v>5</v>
      </c>
      <c r="AA121" s="38">
        <v>0</v>
      </c>
      <c r="AB121" s="37">
        <f t="shared" si="23"/>
        <v>5</v>
      </c>
      <c r="AC121" s="36">
        <v>30</v>
      </c>
      <c r="AD121" s="5">
        <v>16</v>
      </c>
      <c r="AE121" s="37">
        <f t="shared" si="24"/>
        <v>19</v>
      </c>
      <c r="AF121" s="38">
        <v>0</v>
      </c>
      <c r="AG121" s="37">
        <f t="shared" si="25"/>
        <v>19</v>
      </c>
      <c r="AH121" s="36">
        <v>0</v>
      </c>
      <c r="AI121" s="5">
        <v>17</v>
      </c>
      <c r="AJ121" s="37">
        <f t="shared" si="26"/>
        <v>2</v>
      </c>
      <c r="AK121" s="38">
        <v>0</v>
      </c>
      <c r="AL121" s="37">
        <f t="shared" si="27"/>
        <v>2</v>
      </c>
      <c r="AM121" s="35" t="s">
        <v>574</v>
      </c>
      <c r="AN121" s="35" t="s">
        <v>68</v>
      </c>
      <c r="AO121" s="5">
        <v>185</v>
      </c>
      <c r="AP121" s="5">
        <v>0</v>
      </c>
      <c r="AQ121" s="35"/>
      <c r="AR121" s="35"/>
      <c r="AS121" s="122">
        <v>4560109260775</v>
      </c>
      <c r="AT121" s="35"/>
      <c r="AU121" s="35"/>
    </row>
    <row r="122" spans="1:47" x14ac:dyDescent="0.15">
      <c r="A122" s="14" t="s">
        <v>835</v>
      </c>
      <c r="B122" s="5" t="s">
        <v>836</v>
      </c>
      <c r="C122" s="36">
        <v>0</v>
      </c>
      <c r="D122" s="36">
        <v>60</v>
      </c>
      <c r="E122" s="5">
        <v>0</v>
      </c>
      <c r="F122" s="37">
        <f t="shared" si="14"/>
        <v>60</v>
      </c>
      <c r="G122" s="38">
        <v>0</v>
      </c>
      <c r="H122" s="37">
        <f t="shared" si="15"/>
        <v>60</v>
      </c>
      <c r="I122" s="36">
        <v>0</v>
      </c>
      <c r="J122" s="5">
        <v>19</v>
      </c>
      <c r="K122" s="37">
        <f t="shared" si="16"/>
        <v>41</v>
      </c>
      <c r="L122" s="38">
        <v>0</v>
      </c>
      <c r="M122" s="37">
        <f t="shared" si="17"/>
        <v>41</v>
      </c>
      <c r="N122" s="36">
        <v>0</v>
      </c>
      <c r="O122" s="5">
        <v>17</v>
      </c>
      <c r="P122" s="37">
        <f t="shared" si="18"/>
        <v>24</v>
      </c>
      <c r="Q122" s="38">
        <v>0</v>
      </c>
      <c r="R122" s="37">
        <f t="shared" si="19"/>
        <v>24</v>
      </c>
      <c r="S122" s="36">
        <v>0</v>
      </c>
      <c r="T122" s="5">
        <v>12</v>
      </c>
      <c r="U122" s="37">
        <f t="shared" si="20"/>
        <v>12</v>
      </c>
      <c r="V122" s="38">
        <v>0</v>
      </c>
      <c r="W122" s="37">
        <f t="shared" si="21"/>
        <v>12</v>
      </c>
      <c r="X122" s="36">
        <v>0</v>
      </c>
      <c r="Y122" s="5">
        <v>6</v>
      </c>
      <c r="Z122" s="37">
        <f t="shared" si="22"/>
        <v>6</v>
      </c>
      <c r="AA122" s="38">
        <v>0</v>
      </c>
      <c r="AB122" s="37">
        <f t="shared" si="23"/>
        <v>6</v>
      </c>
      <c r="AC122" s="36">
        <v>30</v>
      </c>
      <c r="AD122" s="5">
        <v>14</v>
      </c>
      <c r="AE122" s="37">
        <f t="shared" si="24"/>
        <v>22</v>
      </c>
      <c r="AF122" s="38">
        <v>0</v>
      </c>
      <c r="AG122" s="37">
        <f t="shared" si="25"/>
        <v>22</v>
      </c>
      <c r="AH122" s="36">
        <v>0</v>
      </c>
      <c r="AI122" s="5">
        <v>10</v>
      </c>
      <c r="AJ122" s="37">
        <f t="shared" si="26"/>
        <v>12</v>
      </c>
      <c r="AK122" s="38">
        <v>0</v>
      </c>
      <c r="AL122" s="37">
        <f t="shared" si="27"/>
        <v>12</v>
      </c>
      <c r="AM122" s="35" t="s">
        <v>574</v>
      </c>
      <c r="AN122" s="35" t="s">
        <v>68</v>
      </c>
      <c r="AO122" s="5">
        <v>170</v>
      </c>
      <c r="AP122" s="5">
        <v>0</v>
      </c>
      <c r="AQ122" s="35"/>
      <c r="AR122" s="35"/>
      <c r="AS122" s="122"/>
      <c r="AT122" s="35">
        <v>188</v>
      </c>
      <c r="AU122" s="35" t="s">
        <v>903</v>
      </c>
    </row>
    <row r="123" spans="1:47" x14ac:dyDescent="0.15">
      <c r="A123" s="14" t="s">
        <v>228</v>
      </c>
      <c r="B123" s="5" t="s">
        <v>229</v>
      </c>
      <c r="C123" s="36">
        <v>17</v>
      </c>
      <c r="D123" s="36">
        <v>10</v>
      </c>
      <c r="E123" s="5">
        <v>0</v>
      </c>
      <c r="F123" s="37">
        <f t="shared" si="14"/>
        <v>27</v>
      </c>
      <c r="G123" s="38">
        <v>0</v>
      </c>
      <c r="H123" s="37">
        <f t="shared" si="15"/>
        <v>27</v>
      </c>
      <c r="I123" s="36">
        <v>0</v>
      </c>
      <c r="J123" s="5">
        <v>8</v>
      </c>
      <c r="K123" s="37">
        <f t="shared" si="16"/>
        <v>19</v>
      </c>
      <c r="L123" s="38">
        <v>0</v>
      </c>
      <c r="M123" s="37">
        <f t="shared" si="17"/>
        <v>19</v>
      </c>
      <c r="N123" s="36">
        <v>0</v>
      </c>
      <c r="O123" s="5">
        <v>2</v>
      </c>
      <c r="P123" s="37">
        <f t="shared" si="18"/>
        <v>17</v>
      </c>
      <c r="Q123" s="38">
        <v>0</v>
      </c>
      <c r="R123" s="37">
        <f t="shared" si="19"/>
        <v>17</v>
      </c>
      <c r="S123" s="36">
        <v>10</v>
      </c>
      <c r="T123" s="5">
        <v>2</v>
      </c>
      <c r="U123" s="37">
        <f t="shared" si="20"/>
        <v>25</v>
      </c>
      <c r="V123" s="38">
        <v>0</v>
      </c>
      <c r="W123" s="37">
        <f t="shared" si="21"/>
        <v>25</v>
      </c>
      <c r="X123" s="36">
        <v>0</v>
      </c>
      <c r="Y123" s="5">
        <v>2</v>
      </c>
      <c r="Z123" s="37">
        <f t="shared" si="22"/>
        <v>23</v>
      </c>
      <c r="AA123" s="38">
        <v>0</v>
      </c>
      <c r="AB123" s="37">
        <f t="shared" si="23"/>
        <v>23</v>
      </c>
      <c r="AC123" s="36">
        <v>10</v>
      </c>
      <c r="AD123" s="5">
        <v>2</v>
      </c>
      <c r="AE123" s="37">
        <f t="shared" si="24"/>
        <v>31</v>
      </c>
      <c r="AF123" s="38">
        <v>0</v>
      </c>
      <c r="AG123" s="37">
        <f t="shared" si="25"/>
        <v>31</v>
      </c>
      <c r="AH123" s="36">
        <v>0</v>
      </c>
      <c r="AI123" s="5">
        <v>7</v>
      </c>
      <c r="AJ123" s="37">
        <f t="shared" si="26"/>
        <v>24</v>
      </c>
      <c r="AK123" s="38">
        <v>0</v>
      </c>
      <c r="AL123" s="37">
        <f t="shared" si="27"/>
        <v>24</v>
      </c>
      <c r="AM123" s="35" t="s">
        <v>574</v>
      </c>
      <c r="AN123" s="35" t="s">
        <v>68</v>
      </c>
      <c r="AO123" s="5">
        <v>180</v>
      </c>
      <c r="AP123" s="5">
        <v>0</v>
      </c>
      <c r="AQ123" s="35"/>
      <c r="AR123" s="35"/>
      <c r="AS123" s="122">
        <v>4560109260751</v>
      </c>
      <c r="AT123" s="35">
        <v>231</v>
      </c>
      <c r="AU123" s="35" t="s">
        <v>943</v>
      </c>
    </row>
    <row r="124" spans="1:47" x14ac:dyDescent="0.15">
      <c r="A124" s="14" t="s">
        <v>124</v>
      </c>
      <c r="B124" s="5" t="s">
        <v>125</v>
      </c>
      <c r="C124" s="36">
        <v>8</v>
      </c>
      <c r="D124" s="36">
        <v>30</v>
      </c>
      <c r="E124" s="5">
        <v>0</v>
      </c>
      <c r="F124" s="37">
        <f t="shared" si="14"/>
        <v>38</v>
      </c>
      <c r="G124" s="38">
        <v>0</v>
      </c>
      <c r="H124" s="37">
        <f t="shared" si="15"/>
        <v>38</v>
      </c>
      <c r="I124" s="36">
        <v>0</v>
      </c>
      <c r="J124" s="5">
        <v>25</v>
      </c>
      <c r="K124" s="37">
        <f t="shared" si="16"/>
        <v>13</v>
      </c>
      <c r="L124" s="38">
        <v>0</v>
      </c>
      <c r="M124" s="37">
        <f t="shared" si="17"/>
        <v>13</v>
      </c>
      <c r="N124" s="36">
        <v>0</v>
      </c>
      <c r="O124" s="5">
        <v>10</v>
      </c>
      <c r="P124" s="37">
        <f t="shared" si="18"/>
        <v>3</v>
      </c>
      <c r="Q124" s="38">
        <v>0</v>
      </c>
      <c r="R124" s="37">
        <f t="shared" si="19"/>
        <v>3</v>
      </c>
      <c r="S124" s="36">
        <v>30</v>
      </c>
      <c r="T124" s="5">
        <v>14</v>
      </c>
      <c r="U124" s="37">
        <f t="shared" si="20"/>
        <v>19</v>
      </c>
      <c r="V124" s="38">
        <v>0</v>
      </c>
      <c r="W124" s="37">
        <f t="shared" si="21"/>
        <v>19</v>
      </c>
      <c r="X124" s="36">
        <v>0</v>
      </c>
      <c r="Y124" s="5">
        <v>14</v>
      </c>
      <c r="Z124" s="37">
        <f t="shared" si="22"/>
        <v>5</v>
      </c>
      <c r="AA124" s="38">
        <v>0</v>
      </c>
      <c r="AB124" s="37">
        <f t="shared" si="23"/>
        <v>5</v>
      </c>
      <c r="AC124" s="36">
        <v>20</v>
      </c>
      <c r="AD124" s="5">
        <v>14</v>
      </c>
      <c r="AE124" s="37">
        <f t="shared" si="24"/>
        <v>11</v>
      </c>
      <c r="AF124" s="38">
        <v>0</v>
      </c>
      <c r="AG124" s="37">
        <f t="shared" si="25"/>
        <v>11</v>
      </c>
      <c r="AH124" s="36">
        <v>0</v>
      </c>
      <c r="AI124" s="5">
        <v>11</v>
      </c>
      <c r="AJ124" s="37">
        <f t="shared" si="26"/>
        <v>0</v>
      </c>
      <c r="AK124" s="38">
        <v>0</v>
      </c>
      <c r="AL124" s="37">
        <f t="shared" si="27"/>
        <v>0</v>
      </c>
      <c r="AM124" s="35" t="s">
        <v>574</v>
      </c>
      <c r="AN124" s="35" t="s">
        <v>68</v>
      </c>
      <c r="AO124" s="5">
        <v>170</v>
      </c>
      <c r="AP124" s="5">
        <v>0</v>
      </c>
      <c r="AQ124" s="35"/>
      <c r="AR124" s="35"/>
      <c r="AS124" s="122">
        <v>4560109260362</v>
      </c>
      <c r="AT124" s="35">
        <v>231</v>
      </c>
      <c r="AU124" s="35" t="s">
        <v>943</v>
      </c>
    </row>
    <row r="125" spans="1:47" x14ac:dyDescent="0.15">
      <c r="A125" s="14" t="s">
        <v>369</v>
      </c>
      <c r="B125" s="5" t="s">
        <v>370</v>
      </c>
      <c r="C125" s="36">
        <v>13</v>
      </c>
      <c r="D125" s="36">
        <v>10</v>
      </c>
      <c r="E125" s="5">
        <v>0</v>
      </c>
      <c r="F125" s="37">
        <f t="shared" si="14"/>
        <v>23</v>
      </c>
      <c r="G125" s="38">
        <v>0</v>
      </c>
      <c r="H125" s="37">
        <f t="shared" si="15"/>
        <v>23</v>
      </c>
      <c r="I125" s="36">
        <v>0</v>
      </c>
      <c r="J125" s="5">
        <v>8</v>
      </c>
      <c r="K125" s="37">
        <f t="shared" si="16"/>
        <v>15</v>
      </c>
      <c r="L125" s="38">
        <v>0</v>
      </c>
      <c r="M125" s="37">
        <f t="shared" si="17"/>
        <v>15</v>
      </c>
      <c r="N125" s="36">
        <v>0</v>
      </c>
      <c r="O125" s="5">
        <v>4</v>
      </c>
      <c r="P125" s="37">
        <f t="shared" si="18"/>
        <v>11</v>
      </c>
      <c r="Q125" s="38">
        <v>0</v>
      </c>
      <c r="R125" s="37">
        <f t="shared" si="19"/>
        <v>11</v>
      </c>
      <c r="S125" s="36">
        <v>20</v>
      </c>
      <c r="T125" s="5">
        <v>16</v>
      </c>
      <c r="U125" s="37">
        <f t="shared" si="20"/>
        <v>15</v>
      </c>
      <c r="V125" s="38">
        <v>0</v>
      </c>
      <c r="W125" s="37">
        <f t="shared" si="21"/>
        <v>15</v>
      </c>
      <c r="X125" s="36">
        <v>0</v>
      </c>
      <c r="Y125" s="5">
        <v>4</v>
      </c>
      <c r="Z125" s="37">
        <f t="shared" si="22"/>
        <v>11</v>
      </c>
      <c r="AA125" s="38">
        <v>0</v>
      </c>
      <c r="AB125" s="37">
        <f t="shared" si="23"/>
        <v>11</v>
      </c>
      <c r="AC125" s="36">
        <v>20</v>
      </c>
      <c r="AD125" s="5">
        <v>5</v>
      </c>
      <c r="AE125" s="37">
        <f t="shared" si="24"/>
        <v>26</v>
      </c>
      <c r="AF125" s="38">
        <v>0</v>
      </c>
      <c r="AG125" s="37">
        <f t="shared" si="25"/>
        <v>26</v>
      </c>
      <c r="AH125" s="36">
        <v>0</v>
      </c>
      <c r="AI125" s="5">
        <v>20</v>
      </c>
      <c r="AJ125" s="37">
        <f t="shared" si="26"/>
        <v>6</v>
      </c>
      <c r="AK125" s="38">
        <v>0</v>
      </c>
      <c r="AL125" s="37">
        <f t="shared" si="27"/>
        <v>6</v>
      </c>
      <c r="AM125" s="35" t="s">
        <v>574</v>
      </c>
      <c r="AN125" s="35" t="s">
        <v>68</v>
      </c>
      <c r="AO125" s="5">
        <v>190</v>
      </c>
      <c r="AP125" s="5">
        <v>170</v>
      </c>
      <c r="AQ125" s="35"/>
      <c r="AR125" s="35"/>
      <c r="AS125" s="122">
        <v>4560109260317</v>
      </c>
      <c r="AT125" s="35">
        <v>231</v>
      </c>
      <c r="AU125" s="35" t="s">
        <v>943</v>
      </c>
    </row>
    <row r="126" spans="1:47" x14ac:dyDescent="0.15">
      <c r="A126" s="14" t="s">
        <v>850</v>
      </c>
      <c r="B126" s="5" t="s">
        <v>851</v>
      </c>
      <c r="C126" s="36">
        <v>4</v>
      </c>
      <c r="D126" s="36">
        <v>0</v>
      </c>
      <c r="E126" s="5">
        <v>0</v>
      </c>
      <c r="F126" s="37">
        <f t="shared" si="14"/>
        <v>4</v>
      </c>
      <c r="G126" s="38">
        <v>0</v>
      </c>
      <c r="H126" s="37">
        <f t="shared" si="15"/>
        <v>4</v>
      </c>
      <c r="I126" s="36">
        <v>20</v>
      </c>
      <c r="J126" s="5">
        <v>15</v>
      </c>
      <c r="K126" s="37">
        <f t="shared" si="16"/>
        <v>9</v>
      </c>
      <c r="L126" s="38">
        <v>0</v>
      </c>
      <c r="M126" s="37">
        <f t="shared" si="17"/>
        <v>9</v>
      </c>
      <c r="N126" s="36">
        <v>0</v>
      </c>
      <c r="O126" s="5">
        <v>15</v>
      </c>
      <c r="P126" s="37">
        <f t="shared" si="18"/>
        <v>-6</v>
      </c>
      <c r="Q126" s="38">
        <v>0</v>
      </c>
      <c r="R126" s="37">
        <f t="shared" si="19"/>
        <v>-6</v>
      </c>
      <c r="S126" s="36">
        <v>30</v>
      </c>
      <c r="T126" s="5">
        <v>15</v>
      </c>
      <c r="U126" s="37">
        <f t="shared" si="20"/>
        <v>9</v>
      </c>
      <c r="V126" s="38">
        <v>0</v>
      </c>
      <c r="W126" s="37">
        <f t="shared" si="21"/>
        <v>9</v>
      </c>
      <c r="X126" s="36">
        <v>0</v>
      </c>
      <c r="Y126" s="5">
        <v>15</v>
      </c>
      <c r="Z126" s="37">
        <f t="shared" si="22"/>
        <v>-6</v>
      </c>
      <c r="AA126" s="38">
        <v>0</v>
      </c>
      <c r="AB126" s="37">
        <f t="shared" si="23"/>
        <v>-6</v>
      </c>
      <c r="AC126" s="36">
        <v>50</v>
      </c>
      <c r="AD126" s="5">
        <v>15</v>
      </c>
      <c r="AE126" s="37">
        <f t="shared" si="24"/>
        <v>29</v>
      </c>
      <c r="AF126" s="38">
        <v>0</v>
      </c>
      <c r="AG126" s="37">
        <f t="shared" si="25"/>
        <v>29</v>
      </c>
      <c r="AH126" s="36">
        <v>0</v>
      </c>
      <c r="AI126" s="5">
        <v>35</v>
      </c>
      <c r="AJ126" s="37">
        <f t="shared" si="26"/>
        <v>-6</v>
      </c>
      <c r="AK126" s="38">
        <v>0</v>
      </c>
      <c r="AL126" s="37">
        <f t="shared" si="27"/>
        <v>-6</v>
      </c>
      <c r="AM126" s="35" t="s">
        <v>923</v>
      </c>
      <c r="AN126" s="35" t="s">
        <v>68</v>
      </c>
      <c r="AO126" s="5">
        <v>175</v>
      </c>
      <c r="AP126" s="5">
        <v>0</v>
      </c>
      <c r="AQ126" s="35"/>
      <c r="AR126" s="35"/>
      <c r="AS126" s="122"/>
      <c r="AT126" s="35">
        <v>693</v>
      </c>
      <c r="AU126" s="35" t="s">
        <v>924</v>
      </c>
    </row>
    <row r="127" spans="1:47" x14ac:dyDescent="0.15">
      <c r="A127" s="14" t="s">
        <v>954</v>
      </c>
      <c r="B127" s="5" t="s">
        <v>955</v>
      </c>
      <c r="C127" s="36">
        <v>10</v>
      </c>
      <c r="D127" s="36">
        <v>0</v>
      </c>
      <c r="E127" s="5">
        <v>0</v>
      </c>
      <c r="F127" s="37">
        <f t="shared" si="14"/>
        <v>10</v>
      </c>
      <c r="G127" s="38">
        <v>0</v>
      </c>
      <c r="H127" s="37">
        <f t="shared" si="15"/>
        <v>10</v>
      </c>
      <c r="I127" s="36">
        <v>5</v>
      </c>
      <c r="J127" s="5">
        <v>2</v>
      </c>
      <c r="K127" s="37">
        <f t="shared" si="16"/>
        <v>13</v>
      </c>
      <c r="L127" s="38">
        <v>0</v>
      </c>
      <c r="M127" s="37">
        <f t="shared" si="17"/>
        <v>13</v>
      </c>
      <c r="N127" s="36">
        <v>0</v>
      </c>
      <c r="O127" s="5">
        <v>3</v>
      </c>
      <c r="P127" s="37">
        <f t="shared" si="18"/>
        <v>10</v>
      </c>
      <c r="Q127" s="38">
        <v>0</v>
      </c>
      <c r="R127" s="37">
        <f t="shared" si="19"/>
        <v>10</v>
      </c>
      <c r="S127" s="36">
        <v>5</v>
      </c>
      <c r="T127" s="5">
        <v>3</v>
      </c>
      <c r="U127" s="37">
        <f t="shared" si="20"/>
        <v>12</v>
      </c>
      <c r="V127" s="38">
        <v>0</v>
      </c>
      <c r="W127" s="37">
        <f t="shared" si="21"/>
        <v>12</v>
      </c>
      <c r="X127" s="36">
        <v>0</v>
      </c>
      <c r="Y127" s="5">
        <v>2</v>
      </c>
      <c r="Z127" s="37">
        <f t="shared" si="22"/>
        <v>10</v>
      </c>
      <c r="AA127" s="38">
        <v>0</v>
      </c>
      <c r="AB127" s="37">
        <f t="shared" si="23"/>
        <v>10</v>
      </c>
      <c r="AC127" s="36">
        <v>5</v>
      </c>
      <c r="AD127" s="5">
        <v>4</v>
      </c>
      <c r="AE127" s="37">
        <f t="shared" si="24"/>
        <v>11</v>
      </c>
      <c r="AF127" s="38">
        <v>0</v>
      </c>
      <c r="AG127" s="37">
        <f t="shared" si="25"/>
        <v>11</v>
      </c>
      <c r="AH127" s="36">
        <v>0</v>
      </c>
      <c r="AI127" s="5">
        <v>7</v>
      </c>
      <c r="AJ127" s="37">
        <f t="shared" si="26"/>
        <v>4</v>
      </c>
      <c r="AK127" s="38">
        <v>0</v>
      </c>
      <c r="AL127" s="37">
        <f t="shared" si="27"/>
        <v>4</v>
      </c>
      <c r="AM127" s="35" t="s">
        <v>923</v>
      </c>
      <c r="AN127" s="35" t="s">
        <v>69</v>
      </c>
      <c r="AO127" s="163">
        <v>1520</v>
      </c>
      <c r="AP127" s="5">
        <v>0</v>
      </c>
      <c r="AQ127" s="35"/>
      <c r="AR127" s="35"/>
      <c r="AS127" s="122"/>
      <c r="AT127" s="35">
        <v>693</v>
      </c>
      <c r="AU127" s="35" t="s">
        <v>924</v>
      </c>
    </row>
    <row r="128" spans="1:47" x14ac:dyDescent="0.15">
      <c r="A128" s="14" t="s">
        <v>744</v>
      </c>
      <c r="B128" s="5" t="s">
        <v>745</v>
      </c>
      <c r="C128" s="36">
        <v>6</v>
      </c>
      <c r="D128" s="36">
        <v>0</v>
      </c>
      <c r="E128" s="5">
        <v>0</v>
      </c>
      <c r="F128" s="37">
        <f t="shared" si="14"/>
        <v>6</v>
      </c>
      <c r="G128" s="38">
        <v>0</v>
      </c>
      <c r="H128" s="37">
        <f t="shared" si="15"/>
        <v>6</v>
      </c>
      <c r="I128" s="36">
        <v>0</v>
      </c>
      <c r="J128" s="5">
        <v>3</v>
      </c>
      <c r="K128" s="37">
        <f t="shared" si="16"/>
        <v>3</v>
      </c>
      <c r="L128" s="38">
        <v>0</v>
      </c>
      <c r="M128" s="37">
        <f t="shared" si="17"/>
        <v>3</v>
      </c>
      <c r="N128" s="36">
        <v>40</v>
      </c>
      <c r="O128" s="5">
        <v>7</v>
      </c>
      <c r="P128" s="37">
        <f t="shared" si="18"/>
        <v>36</v>
      </c>
      <c r="Q128" s="38">
        <v>0</v>
      </c>
      <c r="R128" s="37">
        <f t="shared" si="19"/>
        <v>36</v>
      </c>
      <c r="S128" s="36">
        <v>0</v>
      </c>
      <c r="T128" s="5">
        <v>7</v>
      </c>
      <c r="U128" s="37">
        <f t="shared" si="20"/>
        <v>29</v>
      </c>
      <c r="V128" s="38">
        <v>0</v>
      </c>
      <c r="W128" s="37">
        <f t="shared" si="21"/>
        <v>29</v>
      </c>
      <c r="X128" s="36">
        <v>80</v>
      </c>
      <c r="Y128" s="5">
        <v>7</v>
      </c>
      <c r="Z128" s="37">
        <f t="shared" si="22"/>
        <v>102</v>
      </c>
      <c r="AA128" s="38">
        <v>0</v>
      </c>
      <c r="AB128" s="37">
        <f t="shared" si="23"/>
        <v>102</v>
      </c>
      <c r="AC128" s="36">
        <v>0</v>
      </c>
      <c r="AD128" s="5">
        <v>7</v>
      </c>
      <c r="AE128" s="37">
        <f t="shared" si="24"/>
        <v>95</v>
      </c>
      <c r="AF128" s="38">
        <v>0</v>
      </c>
      <c r="AG128" s="37">
        <f t="shared" si="25"/>
        <v>95</v>
      </c>
      <c r="AH128" s="36">
        <v>0</v>
      </c>
      <c r="AI128" s="5">
        <v>19</v>
      </c>
      <c r="AJ128" s="37">
        <f t="shared" si="26"/>
        <v>76</v>
      </c>
      <c r="AK128" s="38">
        <v>0</v>
      </c>
      <c r="AL128" s="37">
        <f t="shared" si="27"/>
        <v>76</v>
      </c>
      <c r="AM128" s="35" t="s">
        <v>949</v>
      </c>
      <c r="AN128" s="35" t="s">
        <v>68</v>
      </c>
      <c r="AO128" s="5">
        <v>185</v>
      </c>
      <c r="AP128" s="5">
        <v>0</v>
      </c>
      <c r="AQ128" s="35"/>
      <c r="AR128" s="35"/>
      <c r="AS128" s="122"/>
      <c r="AT128" s="35">
        <v>233</v>
      </c>
      <c r="AU128" s="35" t="s">
        <v>950</v>
      </c>
    </row>
    <row r="129" spans="1:47" x14ac:dyDescent="0.15">
      <c r="A129" s="14" t="s">
        <v>806</v>
      </c>
      <c r="B129" s="5" t="s">
        <v>810</v>
      </c>
      <c r="C129" s="36">
        <v>3</v>
      </c>
      <c r="D129" s="36">
        <v>0</v>
      </c>
      <c r="E129" s="5">
        <v>0</v>
      </c>
      <c r="F129" s="37">
        <f t="shared" si="14"/>
        <v>3</v>
      </c>
      <c r="G129" s="38">
        <v>0</v>
      </c>
      <c r="H129" s="37">
        <f t="shared" si="15"/>
        <v>3</v>
      </c>
      <c r="I129" s="36">
        <v>8</v>
      </c>
      <c r="J129" s="5">
        <v>6</v>
      </c>
      <c r="K129" s="37">
        <f t="shared" si="16"/>
        <v>5</v>
      </c>
      <c r="L129" s="38">
        <v>0</v>
      </c>
      <c r="M129" s="37">
        <f t="shared" si="17"/>
        <v>5</v>
      </c>
      <c r="N129" s="36">
        <v>0</v>
      </c>
      <c r="O129" s="5">
        <v>0</v>
      </c>
      <c r="P129" s="37">
        <f t="shared" si="18"/>
        <v>5</v>
      </c>
      <c r="Q129" s="38">
        <v>0</v>
      </c>
      <c r="R129" s="37">
        <f t="shared" si="19"/>
        <v>5</v>
      </c>
      <c r="S129" s="36">
        <v>0</v>
      </c>
      <c r="T129" s="5">
        <v>4</v>
      </c>
      <c r="U129" s="37">
        <f t="shared" si="20"/>
        <v>1</v>
      </c>
      <c r="V129" s="38">
        <v>0</v>
      </c>
      <c r="W129" s="37">
        <f t="shared" si="21"/>
        <v>1</v>
      </c>
      <c r="X129" s="36">
        <v>0</v>
      </c>
      <c r="Y129" s="5">
        <v>0</v>
      </c>
      <c r="Z129" s="37">
        <f t="shared" si="22"/>
        <v>1</v>
      </c>
      <c r="AA129" s="38">
        <v>0</v>
      </c>
      <c r="AB129" s="37">
        <f t="shared" si="23"/>
        <v>1</v>
      </c>
      <c r="AC129" s="36">
        <v>0</v>
      </c>
      <c r="AD129" s="5">
        <v>4</v>
      </c>
      <c r="AE129" s="37">
        <f t="shared" si="24"/>
        <v>-3</v>
      </c>
      <c r="AF129" s="38">
        <v>0</v>
      </c>
      <c r="AG129" s="37">
        <f t="shared" si="25"/>
        <v>-3</v>
      </c>
      <c r="AH129" s="36">
        <v>0</v>
      </c>
      <c r="AI129" s="5">
        <v>0</v>
      </c>
      <c r="AJ129" s="37">
        <f t="shared" si="26"/>
        <v>-3</v>
      </c>
      <c r="AK129" s="38">
        <v>0</v>
      </c>
      <c r="AL129" s="37">
        <f t="shared" si="27"/>
        <v>-3</v>
      </c>
      <c r="AM129" s="35" t="s">
        <v>574</v>
      </c>
      <c r="AN129" s="35" t="s">
        <v>68</v>
      </c>
      <c r="AO129" s="5">
        <v>280</v>
      </c>
      <c r="AP129" s="5">
        <v>0</v>
      </c>
      <c r="AQ129" s="35"/>
      <c r="AR129" s="35"/>
      <c r="AS129" s="122">
        <v>4580450000000</v>
      </c>
      <c r="AT129" s="35"/>
      <c r="AU129" s="35"/>
    </row>
    <row r="130" spans="1:47" x14ac:dyDescent="0.15">
      <c r="A130" s="14" t="s">
        <v>774</v>
      </c>
      <c r="B130" s="5" t="s">
        <v>823</v>
      </c>
      <c r="C130" s="36">
        <v>4</v>
      </c>
      <c r="D130" s="36">
        <v>0</v>
      </c>
      <c r="E130" s="5">
        <v>0</v>
      </c>
      <c r="F130" s="37">
        <f t="shared" si="14"/>
        <v>4</v>
      </c>
      <c r="G130" s="38">
        <v>0</v>
      </c>
      <c r="H130" s="37">
        <f t="shared" si="15"/>
        <v>4</v>
      </c>
      <c r="I130" s="36">
        <v>0</v>
      </c>
      <c r="J130" s="5">
        <v>0</v>
      </c>
      <c r="K130" s="37">
        <f t="shared" si="16"/>
        <v>4</v>
      </c>
      <c r="L130" s="38">
        <v>0</v>
      </c>
      <c r="M130" s="37">
        <f t="shared" si="17"/>
        <v>4</v>
      </c>
      <c r="N130" s="36">
        <v>0</v>
      </c>
      <c r="O130" s="5">
        <v>0</v>
      </c>
      <c r="P130" s="37">
        <f t="shared" si="18"/>
        <v>4</v>
      </c>
      <c r="Q130" s="38">
        <v>-4</v>
      </c>
      <c r="R130" s="37">
        <f t="shared" si="19"/>
        <v>0</v>
      </c>
      <c r="S130" s="36">
        <v>0</v>
      </c>
      <c r="T130" s="5">
        <v>0</v>
      </c>
      <c r="U130" s="37">
        <f t="shared" si="20"/>
        <v>0</v>
      </c>
      <c r="V130" s="38">
        <v>0</v>
      </c>
      <c r="W130" s="37">
        <f t="shared" si="21"/>
        <v>0</v>
      </c>
      <c r="X130" s="36">
        <v>8</v>
      </c>
      <c r="Y130" s="5">
        <v>0</v>
      </c>
      <c r="Z130" s="37">
        <f t="shared" si="22"/>
        <v>8</v>
      </c>
      <c r="AA130" s="38">
        <v>-8</v>
      </c>
      <c r="AB130" s="37">
        <f t="shared" si="23"/>
        <v>0</v>
      </c>
      <c r="AC130" s="36">
        <v>0</v>
      </c>
      <c r="AD130" s="5">
        <v>0</v>
      </c>
      <c r="AE130" s="37">
        <f t="shared" si="24"/>
        <v>0</v>
      </c>
      <c r="AF130" s="38">
        <v>0</v>
      </c>
      <c r="AG130" s="37">
        <f t="shared" si="25"/>
        <v>0</v>
      </c>
      <c r="AH130" s="36">
        <v>8</v>
      </c>
      <c r="AI130" s="5">
        <v>0</v>
      </c>
      <c r="AJ130" s="37">
        <f t="shared" si="26"/>
        <v>8</v>
      </c>
      <c r="AK130" s="38">
        <v>0</v>
      </c>
      <c r="AL130" s="37">
        <f t="shared" si="27"/>
        <v>8</v>
      </c>
      <c r="AM130" s="35" t="s">
        <v>949</v>
      </c>
      <c r="AN130" s="35" t="s">
        <v>69</v>
      </c>
      <c r="AO130" s="163">
        <v>2000</v>
      </c>
      <c r="AP130" s="5">
        <v>0</v>
      </c>
      <c r="AQ130" s="35"/>
      <c r="AR130" s="35"/>
      <c r="AS130" s="122"/>
      <c r="AT130" s="35">
        <v>233</v>
      </c>
      <c r="AU130" s="35" t="s">
        <v>950</v>
      </c>
    </row>
    <row r="131" spans="1:47" x14ac:dyDescent="0.15">
      <c r="A131" s="14" t="s">
        <v>1008</v>
      </c>
      <c r="B131" s="5" t="s">
        <v>1009</v>
      </c>
      <c r="C131" s="36">
        <v>0</v>
      </c>
      <c r="D131" s="36">
        <v>5</v>
      </c>
      <c r="E131" s="5">
        <v>0</v>
      </c>
      <c r="F131" s="37">
        <f t="shared" si="14"/>
        <v>5</v>
      </c>
      <c r="G131" s="38">
        <v>0</v>
      </c>
      <c r="H131" s="37">
        <f t="shared" si="15"/>
        <v>5</v>
      </c>
      <c r="I131" s="36">
        <v>0</v>
      </c>
      <c r="J131" s="5">
        <v>1</v>
      </c>
      <c r="K131" s="37">
        <f t="shared" si="16"/>
        <v>4</v>
      </c>
      <c r="L131" s="38">
        <v>0</v>
      </c>
      <c r="M131" s="37">
        <f t="shared" si="17"/>
        <v>4</v>
      </c>
      <c r="N131" s="36">
        <v>0</v>
      </c>
      <c r="O131" s="5">
        <v>0</v>
      </c>
      <c r="P131" s="37">
        <f t="shared" si="18"/>
        <v>4</v>
      </c>
      <c r="Q131" s="38">
        <v>0</v>
      </c>
      <c r="R131" s="37">
        <f t="shared" si="19"/>
        <v>4</v>
      </c>
      <c r="S131" s="36">
        <v>0</v>
      </c>
      <c r="T131" s="5">
        <v>0</v>
      </c>
      <c r="U131" s="37">
        <f t="shared" si="20"/>
        <v>4</v>
      </c>
      <c r="V131" s="38">
        <v>0</v>
      </c>
      <c r="W131" s="37">
        <f t="shared" si="21"/>
        <v>4</v>
      </c>
      <c r="X131" s="36">
        <v>0</v>
      </c>
      <c r="Y131" s="5">
        <v>0</v>
      </c>
      <c r="Z131" s="37">
        <f t="shared" si="22"/>
        <v>4</v>
      </c>
      <c r="AA131" s="38">
        <v>0</v>
      </c>
      <c r="AB131" s="37">
        <f t="shared" si="23"/>
        <v>4</v>
      </c>
      <c r="AC131" s="36">
        <v>0</v>
      </c>
      <c r="AD131" s="5">
        <v>0</v>
      </c>
      <c r="AE131" s="37">
        <f t="shared" si="24"/>
        <v>4</v>
      </c>
      <c r="AF131" s="38">
        <v>0</v>
      </c>
      <c r="AG131" s="37">
        <f t="shared" si="25"/>
        <v>4</v>
      </c>
      <c r="AH131" s="36">
        <v>0</v>
      </c>
      <c r="AI131" s="5">
        <v>0</v>
      </c>
      <c r="AJ131" s="37">
        <f t="shared" si="26"/>
        <v>4</v>
      </c>
      <c r="AK131" s="38">
        <v>0</v>
      </c>
      <c r="AL131" s="37">
        <f t="shared" si="27"/>
        <v>4</v>
      </c>
      <c r="AM131" s="35" t="s">
        <v>574</v>
      </c>
      <c r="AN131" s="35" t="s">
        <v>69</v>
      </c>
      <c r="AO131" s="163">
        <v>1840</v>
      </c>
      <c r="AP131" s="5">
        <v>0</v>
      </c>
      <c r="AQ131" s="35"/>
      <c r="AR131" s="35"/>
      <c r="AS131" s="122"/>
      <c r="AT131" s="35">
        <v>696</v>
      </c>
      <c r="AU131" s="35" t="s">
        <v>930</v>
      </c>
    </row>
    <row r="132" spans="1:47" x14ac:dyDescent="0.15">
      <c r="A132" s="14" t="s">
        <v>762</v>
      </c>
      <c r="B132" s="5" t="s">
        <v>763</v>
      </c>
      <c r="C132" s="36">
        <v>34</v>
      </c>
      <c r="D132" s="36">
        <v>30</v>
      </c>
      <c r="E132" s="5">
        <v>0</v>
      </c>
      <c r="F132" s="37">
        <f t="shared" si="14"/>
        <v>64</v>
      </c>
      <c r="G132" s="38">
        <v>0</v>
      </c>
      <c r="H132" s="37">
        <f t="shared" si="15"/>
        <v>64</v>
      </c>
      <c r="I132" s="36">
        <v>0</v>
      </c>
      <c r="J132" s="5">
        <v>25</v>
      </c>
      <c r="K132" s="37">
        <f t="shared" si="16"/>
        <v>39</v>
      </c>
      <c r="L132" s="38">
        <v>-1</v>
      </c>
      <c r="M132" s="37">
        <f t="shared" si="17"/>
        <v>38</v>
      </c>
      <c r="N132" s="36">
        <v>0</v>
      </c>
      <c r="O132" s="5">
        <v>11</v>
      </c>
      <c r="P132" s="37">
        <f t="shared" si="18"/>
        <v>27</v>
      </c>
      <c r="Q132" s="38">
        <v>0</v>
      </c>
      <c r="R132" s="37">
        <f t="shared" si="19"/>
        <v>27</v>
      </c>
      <c r="S132" s="36">
        <v>30</v>
      </c>
      <c r="T132" s="5">
        <v>23</v>
      </c>
      <c r="U132" s="37">
        <f t="shared" si="20"/>
        <v>34</v>
      </c>
      <c r="V132" s="38">
        <v>0</v>
      </c>
      <c r="W132" s="37">
        <f t="shared" si="21"/>
        <v>34</v>
      </c>
      <c r="X132" s="36">
        <v>0</v>
      </c>
      <c r="Y132" s="5">
        <v>14</v>
      </c>
      <c r="Z132" s="37">
        <f t="shared" si="22"/>
        <v>20</v>
      </c>
      <c r="AA132" s="38">
        <v>0</v>
      </c>
      <c r="AB132" s="37">
        <f t="shared" si="23"/>
        <v>20</v>
      </c>
      <c r="AC132" s="36">
        <v>50</v>
      </c>
      <c r="AD132" s="5">
        <v>22</v>
      </c>
      <c r="AE132" s="37">
        <f t="shared" si="24"/>
        <v>48</v>
      </c>
      <c r="AF132" s="38">
        <v>0</v>
      </c>
      <c r="AG132" s="37">
        <f t="shared" si="25"/>
        <v>48</v>
      </c>
      <c r="AH132" s="36">
        <v>0</v>
      </c>
      <c r="AI132" s="5">
        <v>29</v>
      </c>
      <c r="AJ132" s="37">
        <f t="shared" si="26"/>
        <v>19</v>
      </c>
      <c r="AK132" s="38">
        <v>0</v>
      </c>
      <c r="AL132" s="37">
        <f t="shared" si="27"/>
        <v>19</v>
      </c>
      <c r="AM132" s="35" t="s">
        <v>574</v>
      </c>
      <c r="AN132" s="35" t="s">
        <v>69</v>
      </c>
      <c r="AO132" s="163">
        <v>1880</v>
      </c>
      <c r="AP132" s="5">
        <v>0</v>
      </c>
      <c r="AQ132" s="35"/>
      <c r="AR132" s="35"/>
      <c r="AS132" s="122"/>
      <c r="AT132" s="35"/>
      <c r="AU132" s="35"/>
    </row>
    <row r="133" spans="1:47" x14ac:dyDescent="0.15">
      <c r="A133" s="14" t="s">
        <v>1021</v>
      </c>
      <c r="B133" s="5" t="s">
        <v>1022</v>
      </c>
      <c r="C133" s="36">
        <v>5</v>
      </c>
      <c r="D133" s="36">
        <v>0</v>
      </c>
      <c r="E133" s="5">
        <v>0</v>
      </c>
      <c r="F133" s="37">
        <f t="shared" si="14"/>
        <v>5</v>
      </c>
      <c r="G133" s="38">
        <v>0</v>
      </c>
      <c r="H133" s="37">
        <f t="shared" si="15"/>
        <v>5</v>
      </c>
      <c r="I133" s="36">
        <v>0</v>
      </c>
      <c r="J133" s="5">
        <v>5</v>
      </c>
      <c r="K133" s="37">
        <f t="shared" si="16"/>
        <v>0</v>
      </c>
      <c r="L133" s="38">
        <v>0</v>
      </c>
      <c r="M133" s="37">
        <f t="shared" si="17"/>
        <v>0</v>
      </c>
      <c r="N133" s="36">
        <v>0</v>
      </c>
      <c r="O133" s="5">
        <v>0</v>
      </c>
      <c r="P133" s="37">
        <f t="shared" si="18"/>
        <v>0</v>
      </c>
      <c r="Q133" s="38">
        <v>0</v>
      </c>
      <c r="R133" s="37">
        <f t="shared" si="19"/>
        <v>0</v>
      </c>
      <c r="S133" s="36">
        <v>0</v>
      </c>
      <c r="T133" s="5">
        <v>0</v>
      </c>
      <c r="U133" s="37">
        <f t="shared" si="20"/>
        <v>0</v>
      </c>
      <c r="V133" s="38">
        <v>0</v>
      </c>
      <c r="W133" s="37">
        <f t="shared" si="21"/>
        <v>0</v>
      </c>
      <c r="X133" s="36">
        <v>0</v>
      </c>
      <c r="Y133" s="5">
        <v>0</v>
      </c>
      <c r="Z133" s="37">
        <f t="shared" si="22"/>
        <v>0</v>
      </c>
      <c r="AA133" s="38">
        <v>0</v>
      </c>
      <c r="AB133" s="37">
        <f t="shared" si="23"/>
        <v>0</v>
      </c>
      <c r="AC133" s="36">
        <v>0</v>
      </c>
      <c r="AD133" s="5">
        <v>0</v>
      </c>
      <c r="AE133" s="37">
        <f t="shared" si="24"/>
        <v>0</v>
      </c>
      <c r="AF133" s="38">
        <v>0</v>
      </c>
      <c r="AG133" s="37">
        <f t="shared" si="25"/>
        <v>0</v>
      </c>
      <c r="AH133" s="36">
        <v>0</v>
      </c>
      <c r="AI133" s="5">
        <v>0</v>
      </c>
      <c r="AJ133" s="37">
        <f t="shared" si="26"/>
        <v>0</v>
      </c>
      <c r="AK133" s="38">
        <v>0</v>
      </c>
      <c r="AL133" s="37">
        <f t="shared" si="27"/>
        <v>0</v>
      </c>
      <c r="AM133" s="35" t="s">
        <v>949</v>
      </c>
      <c r="AN133" s="35" t="s">
        <v>68</v>
      </c>
      <c r="AO133" s="5">
        <v>180</v>
      </c>
      <c r="AP133" s="5">
        <v>0</v>
      </c>
      <c r="AQ133" s="35"/>
      <c r="AR133" s="35"/>
      <c r="AS133" s="122"/>
      <c r="AT133" s="35"/>
      <c r="AU133" s="35"/>
    </row>
    <row r="134" spans="1:47" x14ac:dyDescent="0.15">
      <c r="A134" s="14" t="s">
        <v>575</v>
      </c>
      <c r="B134" s="5" t="s">
        <v>576</v>
      </c>
      <c r="C134" s="36">
        <v>23</v>
      </c>
      <c r="D134" s="36">
        <v>0</v>
      </c>
      <c r="E134" s="5">
        <v>0</v>
      </c>
      <c r="F134" s="37">
        <f t="shared" si="14"/>
        <v>23</v>
      </c>
      <c r="G134" s="38">
        <v>0</v>
      </c>
      <c r="H134" s="37">
        <f t="shared" si="15"/>
        <v>23</v>
      </c>
      <c r="I134" s="36">
        <v>150</v>
      </c>
      <c r="J134" s="5">
        <v>157</v>
      </c>
      <c r="K134" s="37">
        <f t="shared" si="16"/>
        <v>16</v>
      </c>
      <c r="L134" s="38">
        <v>0</v>
      </c>
      <c r="M134" s="37">
        <f t="shared" si="17"/>
        <v>16</v>
      </c>
      <c r="N134" s="36">
        <v>90</v>
      </c>
      <c r="O134" s="5">
        <v>87</v>
      </c>
      <c r="P134" s="37">
        <f t="shared" si="18"/>
        <v>19</v>
      </c>
      <c r="Q134" s="38">
        <v>0</v>
      </c>
      <c r="R134" s="37">
        <f t="shared" si="19"/>
        <v>19</v>
      </c>
      <c r="S134" s="36">
        <v>110</v>
      </c>
      <c r="T134" s="5">
        <v>111</v>
      </c>
      <c r="U134" s="37">
        <f t="shared" si="20"/>
        <v>18</v>
      </c>
      <c r="V134" s="38">
        <v>0</v>
      </c>
      <c r="W134" s="37">
        <f t="shared" si="21"/>
        <v>18</v>
      </c>
      <c r="X134" s="36">
        <v>120</v>
      </c>
      <c r="Y134" s="5">
        <v>109</v>
      </c>
      <c r="Z134" s="37">
        <f t="shared" si="22"/>
        <v>29</v>
      </c>
      <c r="AA134" s="38">
        <v>0</v>
      </c>
      <c r="AB134" s="37">
        <f t="shared" si="23"/>
        <v>29</v>
      </c>
      <c r="AC134" s="36">
        <v>100</v>
      </c>
      <c r="AD134" s="5">
        <v>103</v>
      </c>
      <c r="AE134" s="37">
        <f t="shared" si="24"/>
        <v>26</v>
      </c>
      <c r="AF134" s="38">
        <v>0</v>
      </c>
      <c r="AG134" s="37">
        <f t="shared" si="25"/>
        <v>26</v>
      </c>
      <c r="AH134" s="36">
        <v>170</v>
      </c>
      <c r="AI134" s="5">
        <v>172</v>
      </c>
      <c r="AJ134" s="37">
        <f t="shared" si="26"/>
        <v>24</v>
      </c>
      <c r="AK134" s="38">
        <v>0</v>
      </c>
      <c r="AL134" s="37">
        <f t="shared" si="27"/>
        <v>24</v>
      </c>
      <c r="AM134" s="35" t="s">
        <v>949</v>
      </c>
      <c r="AN134" s="35" t="s">
        <v>68</v>
      </c>
      <c r="AO134" s="5">
        <v>140</v>
      </c>
      <c r="AP134" s="5">
        <v>0</v>
      </c>
      <c r="AQ134" s="35"/>
      <c r="AR134" s="35"/>
      <c r="AS134" s="122"/>
      <c r="AT134" s="35"/>
      <c r="AU134" s="35"/>
    </row>
    <row r="135" spans="1:47" x14ac:dyDescent="0.15">
      <c r="A135" s="14" t="s">
        <v>604</v>
      </c>
      <c r="B135" s="5" t="s">
        <v>605</v>
      </c>
      <c r="C135" s="36">
        <v>32</v>
      </c>
      <c r="D135" s="36">
        <v>0</v>
      </c>
      <c r="E135" s="5">
        <v>0</v>
      </c>
      <c r="F135" s="37">
        <f t="shared" si="14"/>
        <v>32</v>
      </c>
      <c r="G135" s="38">
        <v>0</v>
      </c>
      <c r="H135" s="37">
        <f t="shared" si="15"/>
        <v>32</v>
      </c>
      <c r="I135" s="36">
        <v>20</v>
      </c>
      <c r="J135" s="5">
        <v>2</v>
      </c>
      <c r="K135" s="37">
        <f t="shared" si="16"/>
        <v>50</v>
      </c>
      <c r="L135" s="38">
        <v>-15</v>
      </c>
      <c r="M135" s="37">
        <f t="shared" si="17"/>
        <v>35</v>
      </c>
      <c r="N135" s="36">
        <v>0</v>
      </c>
      <c r="O135" s="5">
        <v>3</v>
      </c>
      <c r="P135" s="37">
        <f t="shared" si="18"/>
        <v>32</v>
      </c>
      <c r="Q135" s="38">
        <v>-9</v>
      </c>
      <c r="R135" s="37">
        <f t="shared" si="19"/>
        <v>23</v>
      </c>
      <c r="S135" s="36">
        <v>0</v>
      </c>
      <c r="T135" s="5">
        <v>3</v>
      </c>
      <c r="U135" s="37">
        <f t="shared" si="20"/>
        <v>20</v>
      </c>
      <c r="V135" s="38">
        <v>-11</v>
      </c>
      <c r="W135" s="37">
        <f t="shared" si="21"/>
        <v>9</v>
      </c>
      <c r="X135" s="36">
        <v>25</v>
      </c>
      <c r="Y135" s="5">
        <v>3</v>
      </c>
      <c r="Z135" s="37">
        <f t="shared" si="22"/>
        <v>31</v>
      </c>
      <c r="AA135" s="38">
        <v>-12</v>
      </c>
      <c r="AB135" s="37">
        <f t="shared" si="23"/>
        <v>19</v>
      </c>
      <c r="AC135" s="36">
        <v>0</v>
      </c>
      <c r="AD135" s="5">
        <v>3</v>
      </c>
      <c r="AE135" s="37">
        <f t="shared" si="24"/>
        <v>16</v>
      </c>
      <c r="AF135" s="38">
        <v>-10</v>
      </c>
      <c r="AG135" s="37">
        <f t="shared" si="25"/>
        <v>6</v>
      </c>
      <c r="AH135" s="36">
        <v>20</v>
      </c>
      <c r="AI135" s="5">
        <v>6</v>
      </c>
      <c r="AJ135" s="37">
        <f t="shared" si="26"/>
        <v>20</v>
      </c>
      <c r="AK135" s="38">
        <v>-17</v>
      </c>
      <c r="AL135" s="37">
        <f t="shared" si="27"/>
        <v>3</v>
      </c>
      <c r="AM135" s="35" t="s">
        <v>949</v>
      </c>
      <c r="AN135" s="35" t="s">
        <v>69</v>
      </c>
      <c r="AO135" s="163">
        <v>1200</v>
      </c>
      <c r="AP135" s="5">
        <v>0</v>
      </c>
      <c r="AQ135" s="35"/>
      <c r="AR135" s="35"/>
      <c r="AS135" s="122" t="s">
        <v>916</v>
      </c>
      <c r="AT135" s="35"/>
      <c r="AU135" s="35"/>
    </row>
    <row r="136" spans="1:47" x14ac:dyDescent="0.15">
      <c r="A136" s="14" t="s">
        <v>657</v>
      </c>
      <c r="B136" s="5" t="s">
        <v>702</v>
      </c>
      <c r="C136" s="36">
        <v>0</v>
      </c>
      <c r="D136" s="36">
        <v>0</v>
      </c>
      <c r="E136" s="5">
        <v>0</v>
      </c>
      <c r="F136" s="37">
        <f t="shared" ref="F136:F199" si="28">D136-E136+C136</f>
        <v>0</v>
      </c>
      <c r="G136" s="38">
        <v>0</v>
      </c>
      <c r="H136" s="37">
        <f t="shared" ref="H136:H199" si="29">F136+G136</f>
        <v>0</v>
      </c>
      <c r="I136" s="36">
        <v>0</v>
      </c>
      <c r="J136" s="5">
        <v>0</v>
      </c>
      <c r="K136" s="37">
        <f t="shared" ref="K136:K199" si="30">I136-J136+H136</f>
        <v>0</v>
      </c>
      <c r="L136" s="38">
        <v>0</v>
      </c>
      <c r="M136" s="37">
        <f t="shared" ref="M136:M199" si="31">K136+L136</f>
        <v>0</v>
      </c>
      <c r="N136" s="36">
        <v>0</v>
      </c>
      <c r="O136" s="5">
        <v>0</v>
      </c>
      <c r="P136" s="37">
        <f t="shared" ref="P136:P199" si="32">N136-O136+M136</f>
        <v>0</v>
      </c>
      <c r="Q136" s="38">
        <v>0</v>
      </c>
      <c r="R136" s="37">
        <f t="shared" ref="R136:R199" si="33">P136+Q136</f>
        <v>0</v>
      </c>
      <c r="S136" s="36">
        <v>0</v>
      </c>
      <c r="T136" s="5">
        <v>0</v>
      </c>
      <c r="U136" s="37">
        <f t="shared" ref="U136:U199" si="34">S136-T136+R136</f>
        <v>0</v>
      </c>
      <c r="V136" s="38">
        <v>0</v>
      </c>
      <c r="W136" s="37">
        <f t="shared" ref="W136:W199" si="35">U136+V136</f>
        <v>0</v>
      </c>
      <c r="X136" s="36">
        <v>0</v>
      </c>
      <c r="Y136" s="5">
        <v>0</v>
      </c>
      <c r="Z136" s="37">
        <f t="shared" ref="Z136:Z199" si="36">X136-Y136+W136</f>
        <v>0</v>
      </c>
      <c r="AA136" s="38">
        <v>0</v>
      </c>
      <c r="AB136" s="37">
        <f t="shared" ref="AB136:AB199" si="37">Z136+AA136</f>
        <v>0</v>
      </c>
      <c r="AC136" s="36">
        <v>0</v>
      </c>
      <c r="AD136" s="5">
        <v>0</v>
      </c>
      <c r="AE136" s="37">
        <f t="shared" ref="AE136:AE199" si="38">AC136-AD136+AB136</f>
        <v>0</v>
      </c>
      <c r="AF136" s="38">
        <v>0</v>
      </c>
      <c r="AG136" s="37">
        <f t="shared" ref="AG136:AG199" si="39">AE136+AF136</f>
        <v>0</v>
      </c>
      <c r="AH136" s="36">
        <v>0</v>
      </c>
      <c r="AI136" s="5">
        <v>0</v>
      </c>
      <c r="AJ136" s="37">
        <f t="shared" ref="AJ136:AJ199" si="40">AH136-AI136+AG136</f>
        <v>0</v>
      </c>
      <c r="AK136" s="38">
        <v>0</v>
      </c>
      <c r="AL136" s="37">
        <f t="shared" ref="AL136:AL199" si="41">AJ136+AK136</f>
        <v>0</v>
      </c>
      <c r="AM136" s="35"/>
      <c r="AN136" s="35"/>
      <c r="AO136" s="5">
        <v>0</v>
      </c>
      <c r="AP136" s="5">
        <v>0</v>
      </c>
      <c r="AQ136" s="35"/>
      <c r="AR136" s="35"/>
      <c r="AS136" s="122"/>
      <c r="AT136" s="35"/>
      <c r="AU136" s="35"/>
    </row>
    <row r="137" spans="1:47" x14ac:dyDescent="0.15">
      <c r="A137" s="14" t="s">
        <v>818</v>
      </c>
      <c r="B137" s="5" t="s">
        <v>819</v>
      </c>
      <c r="C137" s="36">
        <v>0</v>
      </c>
      <c r="D137" s="36">
        <v>0</v>
      </c>
      <c r="E137" s="5">
        <v>0</v>
      </c>
      <c r="F137" s="37">
        <f t="shared" si="28"/>
        <v>0</v>
      </c>
      <c r="G137" s="38">
        <v>0</v>
      </c>
      <c r="H137" s="37">
        <f t="shared" si="29"/>
        <v>0</v>
      </c>
      <c r="I137" s="36">
        <v>80</v>
      </c>
      <c r="J137" s="5">
        <v>71</v>
      </c>
      <c r="K137" s="37">
        <f t="shared" si="30"/>
        <v>9</v>
      </c>
      <c r="L137" s="38">
        <v>0</v>
      </c>
      <c r="M137" s="37">
        <f t="shared" si="31"/>
        <v>9</v>
      </c>
      <c r="N137" s="36">
        <v>50</v>
      </c>
      <c r="O137" s="5">
        <v>47</v>
      </c>
      <c r="P137" s="37">
        <f t="shared" si="32"/>
        <v>12</v>
      </c>
      <c r="Q137" s="38">
        <v>0</v>
      </c>
      <c r="R137" s="37">
        <f t="shared" si="33"/>
        <v>12</v>
      </c>
      <c r="S137" s="36">
        <v>10</v>
      </c>
      <c r="T137" s="5">
        <v>21</v>
      </c>
      <c r="U137" s="37">
        <f t="shared" si="34"/>
        <v>1</v>
      </c>
      <c r="V137" s="38">
        <v>0</v>
      </c>
      <c r="W137" s="37">
        <f t="shared" si="35"/>
        <v>1</v>
      </c>
      <c r="X137" s="36">
        <v>0</v>
      </c>
      <c r="Y137" s="5">
        <v>36</v>
      </c>
      <c r="Z137" s="37">
        <f t="shared" si="36"/>
        <v>-35</v>
      </c>
      <c r="AA137" s="38">
        <v>0</v>
      </c>
      <c r="AB137" s="37">
        <f t="shared" si="37"/>
        <v>-35</v>
      </c>
      <c r="AC137" s="36">
        <v>0</v>
      </c>
      <c r="AD137" s="5">
        <v>27</v>
      </c>
      <c r="AE137" s="37">
        <f t="shared" si="38"/>
        <v>-62</v>
      </c>
      <c r="AF137" s="38">
        <v>0</v>
      </c>
      <c r="AG137" s="37">
        <f t="shared" si="39"/>
        <v>-62</v>
      </c>
      <c r="AH137" s="36">
        <v>0</v>
      </c>
      <c r="AI137" s="5">
        <v>59</v>
      </c>
      <c r="AJ137" s="37">
        <f t="shared" si="40"/>
        <v>-121</v>
      </c>
      <c r="AK137" s="38">
        <v>0</v>
      </c>
      <c r="AL137" s="37">
        <f t="shared" si="41"/>
        <v>-121</v>
      </c>
      <c r="AM137" s="35" t="s">
        <v>913</v>
      </c>
      <c r="AN137" s="35" t="s">
        <v>68</v>
      </c>
      <c r="AO137" s="5">
        <v>200</v>
      </c>
      <c r="AP137" s="5">
        <v>0</v>
      </c>
      <c r="AQ137" s="35"/>
      <c r="AR137" s="35"/>
      <c r="AS137" s="122"/>
      <c r="AT137" s="35"/>
      <c r="AU137" s="35"/>
    </row>
    <row r="138" spans="1:47" x14ac:dyDescent="0.15">
      <c r="A138" s="14" t="s">
        <v>841</v>
      </c>
      <c r="B138" s="5" t="s">
        <v>842</v>
      </c>
      <c r="C138" s="36">
        <v>60</v>
      </c>
      <c r="D138" s="36">
        <v>0</v>
      </c>
      <c r="E138" s="5">
        <v>0</v>
      </c>
      <c r="F138" s="37">
        <f t="shared" si="28"/>
        <v>60</v>
      </c>
      <c r="G138" s="38">
        <v>0</v>
      </c>
      <c r="H138" s="37">
        <f t="shared" si="29"/>
        <v>60</v>
      </c>
      <c r="I138" s="36">
        <v>80</v>
      </c>
      <c r="J138" s="5">
        <v>0</v>
      </c>
      <c r="K138" s="37">
        <f t="shared" si="30"/>
        <v>140</v>
      </c>
      <c r="L138" s="38">
        <v>-80</v>
      </c>
      <c r="M138" s="37">
        <f t="shared" si="31"/>
        <v>60</v>
      </c>
      <c r="N138" s="36">
        <v>0</v>
      </c>
      <c r="O138" s="5">
        <v>0</v>
      </c>
      <c r="P138" s="37">
        <f t="shared" si="32"/>
        <v>60</v>
      </c>
      <c r="Q138" s="38">
        <v>-50</v>
      </c>
      <c r="R138" s="37">
        <f t="shared" si="33"/>
        <v>10</v>
      </c>
      <c r="S138" s="36">
        <v>0</v>
      </c>
      <c r="T138" s="5">
        <v>0</v>
      </c>
      <c r="U138" s="37">
        <f t="shared" si="34"/>
        <v>10</v>
      </c>
      <c r="V138" s="38">
        <v>-10</v>
      </c>
      <c r="W138" s="37">
        <f t="shared" si="35"/>
        <v>0</v>
      </c>
      <c r="X138" s="36">
        <v>0</v>
      </c>
      <c r="Y138" s="5">
        <v>0</v>
      </c>
      <c r="Z138" s="37">
        <f t="shared" si="36"/>
        <v>0</v>
      </c>
      <c r="AA138" s="38">
        <v>0</v>
      </c>
      <c r="AB138" s="37">
        <f t="shared" si="37"/>
        <v>0</v>
      </c>
      <c r="AC138" s="36">
        <v>100</v>
      </c>
      <c r="AD138" s="5">
        <v>0</v>
      </c>
      <c r="AE138" s="37">
        <f t="shared" si="38"/>
        <v>100</v>
      </c>
      <c r="AF138" s="38">
        <v>0</v>
      </c>
      <c r="AG138" s="37">
        <f t="shared" si="39"/>
        <v>100</v>
      </c>
      <c r="AH138" s="36">
        <v>0</v>
      </c>
      <c r="AI138" s="5">
        <v>0</v>
      </c>
      <c r="AJ138" s="37">
        <f t="shared" si="40"/>
        <v>100</v>
      </c>
      <c r="AK138" s="38">
        <v>0</v>
      </c>
      <c r="AL138" s="37">
        <f t="shared" si="41"/>
        <v>100</v>
      </c>
      <c r="AM138" s="35" t="s">
        <v>913</v>
      </c>
      <c r="AN138" s="35" t="s">
        <v>69</v>
      </c>
      <c r="AO138" s="5">
        <v>0</v>
      </c>
      <c r="AP138" s="5">
        <v>0</v>
      </c>
      <c r="AQ138" s="35"/>
      <c r="AR138" s="35"/>
      <c r="AS138" s="122"/>
      <c r="AT138" s="35"/>
      <c r="AU138" s="35"/>
    </row>
    <row r="139" spans="1:47" x14ac:dyDescent="0.15">
      <c r="A139" s="14" t="s">
        <v>660</v>
      </c>
      <c r="B139" s="5" t="s">
        <v>661</v>
      </c>
      <c r="C139" s="36">
        <v>6</v>
      </c>
      <c r="D139" s="36">
        <v>0</v>
      </c>
      <c r="E139" s="5">
        <v>0</v>
      </c>
      <c r="F139" s="37">
        <f t="shared" si="28"/>
        <v>6</v>
      </c>
      <c r="G139" s="38">
        <v>0</v>
      </c>
      <c r="H139" s="37">
        <f t="shared" si="29"/>
        <v>6</v>
      </c>
      <c r="I139" s="36">
        <v>150</v>
      </c>
      <c r="J139" s="5">
        <v>142</v>
      </c>
      <c r="K139" s="37">
        <f t="shared" si="30"/>
        <v>14</v>
      </c>
      <c r="L139" s="38">
        <v>0</v>
      </c>
      <c r="M139" s="37">
        <f t="shared" si="31"/>
        <v>14</v>
      </c>
      <c r="N139" s="36">
        <v>70</v>
      </c>
      <c r="O139" s="5">
        <v>76</v>
      </c>
      <c r="P139" s="37">
        <f t="shared" si="32"/>
        <v>8</v>
      </c>
      <c r="Q139" s="38">
        <v>0</v>
      </c>
      <c r="R139" s="37">
        <f t="shared" si="33"/>
        <v>8</v>
      </c>
      <c r="S139" s="36">
        <v>130</v>
      </c>
      <c r="T139" s="5">
        <v>125</v>
      </c>
      <c r="U139" s="37">
        <f t="shared" si="34"/>
        <v>13</v>
      </c>
      <c r="V139" s="38">
        <v>0</v>
      </c>
      <c r="W139" s="37">
        <f t="shared" si="35"/>
        <v>13</v>
      </c>
      <c r="X139" s="36">
        <v>100</v>
      </c>
      <c r="Y139" s="5">
        <v>100</v>
      </c>
      <c r="Z139" s="37">
        <f t="shared" si="36"/>
        <v>13</v>
      </c>
      <c r="AA139" s="38">
        <v>0</v>
      </c>
      <c r="AB139" s="37">
        <f t="shared" si="37"/>
        <v>13</v>
      </c>
      <c r="AC139" s="36">
        <v>120</v>
      </c>
      <c r="AD139" s="5">
        <v>116</v>
      </c>
      <c r="AE139" s="37">
        <f t="shared" si="38"/>
        <v>17</v>
      </c>
      <c r="AF139" s="38">
        <v>0</v>
      </c>
      <c r="AG139" s="37">
        <f t="shared" si="39"/>
        <v>17</v>
      </c>
      <c r="AH139" s="36">
        <v>180</v>
      </c>
      <c r="AI139" s="5">
        <v>179</v>
      </c>
      <c r="AJ139" s="37">
        <f t="shared" si="40"/>
        <v>18</v>
      </c>
      <c r="AK139" s="38">
        <v>0</v>
      </c>
      <c r="AL139" s="37">
        <f t="shared" si="41"/>
        <v>18</v>
      </c>
      <c r="AM139" s="35" t="s">
        <v>949</v>
      </c>
      <c r="AN139" s="35" t="s">
        <v>68</v>
      </c>
      <c r="AO139" s="5">
        <v>160</v>
      </c>
      <c r="AP139" s="5">
        <v>0</v>
      </c>
      <c r="AQ139" s="35"/>
      <c r="AR139" s="35"/>
      <c r="AS139" s="122"/>
      <c r="AT139" s="35">
        <v>233</v>
      </c>
      <c r="AU139" s="35" t="s">
        <v>950</v>
      </c>
    </row>
    <row r="140" spans="1:47" x14ac:dyDescent="0.15">
      <c r="A140" s="14" t="s">
        <v>1023</v>
      </c>
      <c r="B140" s="5" t="s">
        <v>1024</v>
      </c>
      <c r="C140" s="36">
        <v>5</v>
      </c>
      <c r="D140" s="36">
        <v>0</v>
      </c>
      <c r="E140" s="5">
        <v>0</v>
      </c>
      <c r="F140" s="37">
        <f t="shared" si="28"/>
        <v>5</v>
      </c>
      <c r="G140" s="38">
        <v>0</v>
      </c>
      <c r="H140" s="37">
        <f t="shared" si="29"/>
        <v>5</v>
      </c>
      <c r="I140" s="36">
        <v>0</v>
      </c>
      <c r="J140" s="5">
        <v>5</v>
      </c>
      <c r="K140" s="37">
        <f t="shared" si="30"/>
        <v>0</v>
      </c>
      <c r="L140" s="38">
        <v>0</v>
      </c>
      <c r="M140" s="37">
        <f t="shared" si="31"/>
        <v>0</v>
      </c>
      <c r="N140" s="36">
        <v>0</v>
      </c>
      <c r="O140" s="5">
        <v>0</v>
      </c>
      <c r="P140" s="37">
        <f t="shared" si="32"/>
        <v>0</v>
      </c>
      <c r="Q140" s="38">
        <v>0</v>
      </c>
      <c r="R140" s="37">
        <f t="shared" si="33"/>
        <v>0</v>
      </c>
      <c r="S140" s="36">
        <v>0</v>
      </c>
      <c r="T140" s="5">
        <v>0</v>
      </c>
      <c r="U140" s="37">
        <f t="shared" si="34"/>
        <v>0</v>
      </c>
      <c r="V140" s="38">
        <v>0</v>
      </c>
      <c r="W140" s="37">
        <f t="shared" si="35"/>
        <v>0</v>
      </c>
      <c r="X140" s="36">
        <v>0</v>
      </c>
      <c r="Y140" s="5">
        <v>0</v>
      </c>
      <c r="Z140" s="37">
        <f t="shared" si="36"/>
        <v>0</v>
      </c>
      <c r="AA140" s="38">
        <v>0</v>
      </c>
      <c r="AB140" s="37">
        <f t="shared" si="37"/>
        <v>0</v>
      </c>
      <c r="AC140" s="36">
        <v>0</v>
      </c>
      <c r="AD140" s="5">
        <v>0</v>
      </c>
      <c r="AE140" s="37">
        <f t="shared" si="38"/>
        <v>0</v>
      </c>
      <c r="AF140" s="38">
        <v>0</v>
      </c>
      <c r="AG140" s="37">
        <f t="shared" si="39"/>
        <v>0</v>
      </c>
      <c r="AH140" s="36">
        <v>0</v>
      </c>
      <c r="AI140" s="5">
        <v>0</v>
      </c>
      <c r="AJ140" s="37">
        <f t="shared" si="40"/>
        <v>0</v>
      </c>
      <c r="AK140" s="38">
        <v>0</v>
      </c>
      <c r="AL140" s="37">
        <f t="shared" si="41"/>
        <v>0</v>
      </c>
      <c r="AM140" s="35" t="s">
        <v>949</v>
      </c>
      <c r="AN140" s="35" t="s">
        <v>68</v>
      </c>
      <c r="AO140" s="5">
        <v>0</v>
      </c>
      <c r="AP140" s="5">
        <v>250</v>
      </c>
      <c r="AQ140" s="35"/>
      <c r="AR140" s="35"/>
      <c r="AS140" s="122">
        <v>4580450000000</v>
      </c>
      <c r="AT140" s="35">
        <v>233</v>
      </c>
      <c r="AU140" s="35" t="s">
        <v>950</v>
      </c>
    </row>
    <row r="141" spans="1:47" x14ac:dyDescent="0.15">
      <c r="A141" s="14" t="s">
        <v>690</v>
      </c>
      <c r="B141" s="5" t="s">
        <v>691</v>
      </c>
      <c r="C141" s="36">
        <v>15</v>
      </c>
      <c r="D141" s="36">
        <v>0</v>
      </c>
      <c r="E141" s="5">
        <v>0</v>
      </c>
      <c r="F141" s="37">
        <f t="shared" si="28"/>
        <v>15</v>
      </c>
      <c r="G141" s="38">
        <v>0</v>
      </c>
      <c r="H141" s="37">
        <f t="shared" si="29"/>
        <v>15</v>
      </c>
      <c r="I141" s="36">
        <v>30</v>
      </c>
      <c r="J141" s="5">
        <v>1</v>
      </c>
      <c r="K141" s="37">
        <f t="shared" si="30"/>
        <v>44</v>
      </c>
      <c r="L141" s="38">
        <v>-15</v>
      </c>
      <c r="M141" s="37">
        <f t="shared" si="31"/>
        <v>29</v>
      </c>
      <c r="N141" s="36">
        <v>0</v>
      </c>
      <c r="O141" s="5">
        <v>2</v>
      </c>
      <c r="P141" s="37">
        <f t="shared" si="32"/>
        <v>27</v>
      </c>
      <c r="Q141" s="38">
        <v>-7</v>
      </c>
      <c r="R141" s="37">
        <f t="shared" si="33"/>
        <v>20</v>
      </c>
      <c r="S141" s="36">
        <v>0</v>
      </c>
      <c r="T141" s="5">
        <v>2</v>
      </c>
      <c r="U141" s="37">
        <f t="shared" si="34"/>
        <v>18</v>
      </c>
      <c r="V141" s="38">
        <v>-13</v>
      </c>
      <c r="W141" s="37">
        <f t="shared" si="35"/>
        <v>5</v>
      </c>
      <c r="X141" s="36">
        <v>30</v>
      </c>
      <c r="Y141" s="5">
        <v>2</v>
      </c>
      <c r="Z141" s="37">
        <f t="shared" si="36"/>
        <v>33</v>
      </c>
      <c r="AA141" s="38">
        <v>-10</v>
      </c>
      <c r="AB141" s="37">
        <f t="shared" si="37"/>
        <v>23</v>
      </c>
      <c r="AC141" s="36">
        <v>0</v>
      </c>
      <c r="AD141" s="5">
        <v>2</v>
      </c>
      <c r="AE141" s="37">
        <f t="shared" si="38"/>
        <v>21</v>
      </c>
      <c r="AF141" s="38">
        <v>-12</v>
      </c>
      <c r="AG141" s="37">
        <f t="shared" si="39"/>
        <v>9</v>
      </c>
      <c r="AH141" s="36">
        <v>20</v>
      </c>
      <c r="AI141" s="5">
        <v>4</v>
      </c>
      <c r="AJ141" s="37">
        <f t="shared" si="40"/>
        <v>25</v>
      </c>
      <c r="AK141" s="38">
        <v>-18</v>
      </c>
      <c r="AL141" s="37">
        <f t="shared" si="41"/>
        <v>7</v>
      </c>
      <c r="AM141" s="35" t="s">
        <v>949</v>
      </c>
      <c r="AN141" s="35" t="s">
        <v>69</v>
      </c>
      <c r="AO141" s="163">
        <v>1400</v>
      </c>
      <c r="AP141" s="5">
        <v>0</v>
      </c>
      <c r="AQ141" s="35"/>
      <c r="AR141" s="35"/>
      <c r="AS141" s="122"/>
      <c r="AT141" s="35"/>
      <c r="AU141" s="35"/>
    </row>
    <row r="142" spans="1:47" x14ac:dyDescent="0.15">
      <c r="A142" s="14" t="s">
        <v>712</v>
      </c>
      <c r="B142" s="5" t="s">
        <v>782</v>
      </c>
      <c r="C142" s="36">
        <v>8</v>
      </c>
      <c r="D142" s="36">
        <v>0</v>
      </c>
      <c r="E142" s="5">
        <v>0</v>
      </c>
      <c r="F142" s="37">
        <f t="shared" si="28"/>
        <v>8</v>
      </c>
      <c r="G142" s="38">
        <v>0</v>
      </c>
      <c r="H142" s="37">
        <f t="shared" si="29"/>
        <v>8</v>
      </c>
      <c r="I142" s="36">
        <v>150</v>
      </c>
      <c r="J142" s="5">
        <v>152</v>
      </c>
      <c r="K142" s="37">
        <f t="shared" si="30"/>
        <v>6</v>
      </c>
      <c r="L142" s="38">
        <v>0</v>
      </c>
      <c r="M142" s="37">
        <f t="shared" si="31"/>
        <v>6</v>
      </c>
      <c r="N142" s="36">
        <v>30</v>
      </c>
      <c r="O142" s="5">
        <v>40</v>
      </c>
      <c r="P142" s="37">
        <f t="shared" si="32"/>
        <v>-4</v>
      </c>
      <c r="Q142" s="38">
        <v>0</v>
      </c>
      <c r="R142" s="37">
        <f t="shared" si="33"/>
        <v>-4</v>
      </c>
      <c r="S142" s="36">
        <v>150</v>
      </c>
      <c r="T142" s="5">
        <v>146</v>
      </c>
      <c r="U142" s="37">
        <f t="shared" si="34"/>
        <v>0</v>
      </c>
      <c r="V142" s="38">
        <v>0</v>
      </c>
      <c r="W142" s="37">
        <f t="shared" si="35"/>
        <v>0</v>
      </c>
      <c r="X142" s="36">
        <v>60</v>
      </c>
      <c r="Y142" s="5">
        <v>35</v>
      </c>
      <c r="Z142" s="37">
        <f t="shared" si="36"/>
        <v>25</v>
      </c>
      <c r="AA142" s="38">
        <v>0</v>
      </c>
      <c r="AB142" s="37">
        <f t="shared" si="37"/>
        <v>25</v>
      </c>
      <c r="AC142" s="36">
        <v>120</v>
      </c>
      <c r="AD142" s="5">
        <v>81</v>
      </c>
      <c r="AE142" s="37">
        <f t="shared" si="38"/>
        <v>64</v>
      </c>
      <c r="AF142" s="38">
        <v>0</v>
      </c>
      <c r="AG142" s="37">
        <f t="shared" si="39"/>
        <v>64</v>
      </c>
      <c r="AH142" s="36">
        <v>90</v>
      </c>
      <c r="AI142" s="5">
        <v>118</v>
      </c>
      <c r="AJ142" s="37">
        <f t="shared" si="40"/>
        <v>36</v>
      </c>
      <c r="AK142" s="38">
        <v>0</v>
      </c>
      <c r="AL142" s="37">
        <f t="shared" si="41"/>
        <v>36</v>
      </c>
      <c r="AM142" s="35" t="s">
        <v>956</v>
      </c>
      <c r="AN142" s="35" t="s">
        <v>68</v>
      </c>
      <c r="AO142" s="5">
        <v>210</v>
      </c>
      <c r="AP142" s="5">
        <v>0</v>
      </c>
      <c r="AQ142" s="35" t="s">
        <v>67</v>
      </c>
      <c r="AR142" s="35"/>
      <c r="AS142" s="122">
        <v>4528950000000</v>
      </c>
      <c r="AT142" s="35"/>
      <c r="AU142" s="35"/>
    </row>
    <row r="143" spans="1:47" x14ac:dyDescent="0.15">
      <c r="A143" s="14" t="s">
        <v>746</v>
      </c>
      <c r="B143" s="5" t="s">
        <v>747</v>
      </c>
      <c r="C143" s="36">
        <v>27</v>
      </c>
      <c r="D143" s="36">
        <v>90</v>
      </c>
      <c r="E143" s="5">
        <v>0</v>
      </c>
      <c r="F143" s="37">
        <f t="shared" si="28"/>
        <v>117</v>
      </c>
      <c r="G143" s="38">
        <v>0</v>
      </c>
      <c r="H143" s="37">
        <f t="shared" si="29"/>
        <v>117</v>
      </c>
      <c r="I143" s="36">
        <v>0</v>
      </c>
      <c r="J143" s="5">
        <v>47</v>
      </c>
      <c r="K143" s="37">
        <f t="shared" si="30"/>
        <v>70</v>
      </c>
      <c r="L143" s="38">
        <v>0</v>
      </c>
      <c r="M143" s="37">
        <f t="shared" si="31"/>
        <v>70</v>
      </c>
      <c r="N143" s="36">
        <v>0</v>
      </c>
      <c r="O143" s="5">
        <v>24</v>
      </c>
      <c r="P143" s="37">
        <f t="shared" si="32"/>
        <v>46</v>
      </c>
      <c r="Q143" s="38">
        <v>0</v>
      </c>
      <c r="R143" s="37">
        <f t="shared" si="33"/>
        <v>46</v>
      </c>
      <c r="S143" s="36">
        <v>30</v>
      </c>
      <c r="T143" s="5">
        <v>28</v>
      </c>
      <c r="U143" s="37">
        <f t="shared" si="34"/>
        <v>48</v>
      </c>
      <c r="V143" s="38">
        <v>0</v>
      </c>
      <c r="W143" s="37">
        <f t="shared" si="35"/>
        <v>48</v>
      </c>
      <c r="X143" s="36">
        <v>0</v>
      </c>
      <c r="Y143" s="5">
        <v>25</v>
      </c>
      <c r="Z143" s="37">
        <f t="shared" si="36"/>
        <v>23</v>
      </c>
      <c r="AA143" s="38">
        <v>0</v>
      </c>
      <c r="AB143" s="37">
        <f t="shared" si="37"/>
        <v>23</v>
      </c>
      <c r="AC143" s="36">
        <v>60</v>
      </c>
      <c r="AD143" s="5">
        <v>23</v>
      </c>
      <c r="AE143" s="37">
        <f t="shared" si="38"/>
        <v>60</v>
      </c>
      <c r="AF143" s="38">
        <v>0</v>
      </c>
      <c r="AG143" s="37">
        <f t="shared" si="39"/>
        <v>60</v>
      </c>
      <c r="AH143" s="36">
        <v>0</v>
      </c>
      <c r="AI143" s="5">
        <v>50</v>
      </c>
      <c r="AJ143" s="37">
        <f t="shared" si="40"/>
        <v>10</v>
      </c>
      <c r="AK143" s="38">
        <v>0</v>
      </c>
      <c r="AL143" s="37">
        <f t="shared" si="41"/>
        <v>10</v>
      </c>
      <c r="AM143" s="35" t="s">
        <v>574</v>
      </c>
      <c r="AN143" s="35" t="s">
        <v>68</v>
      </c>
      <c r="AO143" s="5">
        <v>240</v>
      </c>
      <c r="AP143" s="5">
        <v>0</v>
      </c>
      <c r="AQ143" s="35"/>
      <c r="AR143" s="35"/>
      <c r="AS143" s="122">
        <v>45289500000000</v>
      </c>
      <c r="AT143" s="35">
        <v>188</v>
      </c>
      <c r="AU143" s="35" t="s">
        <v>903</v>
      </c>
    </row>
    <row r="144" spans="1:47" x14ac:dyDescent="0.15">
      <c r="A144" s="14" t="s">
        <v>189</v>
      </c>
      <c r="B144" s="5" t="s">
        <v>190</v>
      </c>
      <c r="C144" s="36">
        <v>19</v>
      </c>
      <c r="D144" s="36">
        <v>0</v>
      </c>
      <c r="E144" s="5">
        <v>0</v>
      </c>
      <c r="F144" s="37">
        <f t="shared" si="28"/>
        <v>19</v>
      </c>
      <c r="G144" s="38">
        <v>0</v>
      </c>
      <c r="H144" s="37">
        <f t="shared" si="29"/>
        <v>19</v>
      </c>
      <c r="I144" s="36">
        <v>319</v>
      </c>
      <c r="J144" s="5">
        <v>312</v>
      </c>
      <c r="K144" s="37">
        <f t="shared" si="30"/>
        <v>26</v>
      </c>
      <c r="L144" s="38">
        <v>0</v>
      </c>
      <c r="M144" s="37">
        <f t="shared" si="31"/>
        <v>26</v>
      </c>
      <c r="N144" s="36">
        <v>120</v>
      </c>
      <c r="O144" s="5">
        <v>137</v>
      </c>
      <c r="P144" s="37">
        <f t="shared" si="32"/>
        <v>9</v>
      </c>
      <c r="Q144" s="38">
        <v>0</v>
      </c>
      <c r="R144" s="37">
        <f t="shared" si="33"/>
        <v>9</v>
      </c>
      <c r="S144" s="36">
        <v>260</v>
      </c>
      <c r="T144" s="5">
        <v>269</v>
      </c>
      <c r="U144" s="37">
        <f t="shared" si="34"/>
        <v>0</v>
      </c>
      <c r="V144" s="38">
        <v>0</v>
      </c>
      <c r="W144" s="37">
        <f t="shared" si="35"/>
        <v>0</v>
      </c>
      <c r="X144" s="36">
        <v>160</v>
      </c>
      <c r="Y144" s="5">
        <v>146</v>
      </c>
      <c r="Z144" s="37">
        <f t="shared" si="36"/>
        <v>14</v>
      </c>
      <c r="AA144" s="38">
        <v>0</v>
      </c>
      <c r="AB144" s="37">
        <f t="shared" si="37"/>
        <v>14</v>
      </c>
      <c r="AC144" s="36">
        <v>280</v>
      </c>
      <c r="AD144" s="5">
        <v>276</v>
      </c>
      <c r="AE144" s="37">
        <f t="shared" si="38"/>
        <v>18</v>
      </c>
      <c r="AF144" s="38">
        <v>0</v>
      </c>
      <c r="AG144" s="37">
        <f t="shared" si="39"/>
        <v>18</v>
      </c>
      <c r="AH144" s="36">
        <v>400</v>
      </c>
      <c r="AI144" s="5">
        <v>417</v>
      </c>
      <c r="AJ144" s="37">
        <f t="shared" si="40"/>
        <v>1</v>
      </c>
      <c r="AK144" s="38">
        <v>0</v>
      </c>
      <c r="AL144" s="37">
        <f t="shared" si="41"/>
        <v>1</v>
      </c>
      <c r="AM144" s="35" t="s">
        <v>197</v>
      </c>
      <c r="AN144" s="35" t="s">
        <v>68</v>
      </c>
      <c r="AO144" s="5">
        <v>230</v>
      </c>
      <c r="AP144" s="5">
        <v>0</v>
      </c>
      <c r="AQ144" s="35"/>
      <c r="AR144" s="35"/>
      <c r="AS144" s="122">
        <v>4580445527653</v>
      </c>
      <c r="AT144" s="35"/>
      <c r="AU144" s="35"/>
    </row>
    <row r="145" spans="1:47" x14ac:dyDescent="0.15">
      <c r="A145" s="14" t="s">
        <v>594</v>
      </c>
      <c r="B145" s="5" t="s">
        <v>595</v>
      </c>
      <c r="C145" s="36">
        <v>1</v>
      </c>
      <c r="D145" s="36">
        <v>0</v>
      </c>
      <c r="E145" s="5">
        <v>0</v>
      </c>
      <c r="F145" s="37">
        <f t="shared" si="28"/>
        <v>1</v>
      </c>
      <c r="G145" s="38">
        <v>0</v>
      </c>
      <c r="H145" s="37">
        <f t="shared" si="29"/>
        <v>1</v>
      </c>
      <c r="I145" s="36">
        <v>15</v>
      </c>
      <c r="J145" s="5">
        <v>0</v>
      </c>
      <c r="K145" s="37">
        <f t="shared" si="30"/>
        <v>16</v>
      </c>
      <c r="L145" s="38">
        <v>-16</v>
      </c>
      <c r="M145" s="37">
        <f t="shared" si="31"/>
        <v>0</v>
      </c>
      <c r="N145" s="36">
        <v>6</v>
      </c>
      <c r="O145" s="5">
        <v>0</v>
      </c>
      <c r="P145" s="37">
        <f t="shared" si="32"/>
        <v>6</v>
      </c>
      <c r="Q145" s="38">
        <v>-6</v>
      </c>
      <c r="R145" s="37">
        <f t="shared" si="33"/>
        <v>0</v>
      </c>
      <c r="S145" s="36">
        <v>18</v>
      </c>
      <c r="T145" s="5">
        <v>0</v>
      </c>
      <c r="U145" s="37">
        <f t="shared" si="34"/>
        <v>18</v>
      </c>
      <c r="V145" s="38">
        <v>-13</v>
      </c>
      <c r="W145" s="37">
        <f t="shared" si="35"/>
        <v>5</v>
      </c>
      <c r="X145" s="36">
        <v>9</v>
      </c>
      <c r="Y145" s="5">
        <v>0</v>
      </c>
      <c r="Z145" s="37">
        <f t="shared" si="36"/>
        <v>14</v>
      </c>
      <c r="AA145" s="38">
        <v>-8</v>
      </c>
      <c r="AB145" s="37">
        <f t="shared" si="37"/>
        <v>6</v>
      </c>
      <c r="AC145" s="36">
        <v>15</v>
      </c>
      <c r="AD145" s="5">
        <v>0</v>
      </c>
      <c r="AE145" s="37">
        <f t="shared" si="38"/>
        <v>21</v>
      </c>
      <c r="AF145" s="38">
        <v>-14</v>
      </c>
      <c r="AG145" s="37">
        <f t="shared" si="39"/>
        <v>7</v>
      </c>
      <c r="AH145" s="36">
        <v>18</v>
      </c>
      <c r="AI145" s="5">
        <v>0</v>
      </c>
      <c r="AJ145" s="37">
        <f t="shared" si="40"/>
        <v>25</v>
      </c>
      <c r="AK145" s="38">
        <v>-20</v>
      </c>
      <c r="AL145" s="37">
        <f t="shared" si="41"/>
        <v>5</v>
      </c>
      <c r="AM145" s="35" t="s">
        <v>197</v>
      </c>
      <c r="AN145" s="35" t="s">
        <v>69</v>
      </c>
      <c r="AO145" s="163">
        <v>3200</v>
      </c>
      <c r="AP145" s="5">
        <v>0</v>
      </c>
      <c r="AQ145" s="35" t="s">
        <v>67</v>
      </c>
      <c r="AR145" s="35"/>
      <c r="AS145" s="122"/>
      <c r="AT145" s="35"/>
      <c r="AU145" s="35"/>
    </row>
    <row r="146" spans="1:47" x14ac:dyDescent="0.15">
      <c r="A146" s="14" t="s">
        <v>748</v>
      </c>
      <c r="B146" s="5" t="s">
        <v>749</v>
      </c>
      <c r="C146" s="36">
        <v>0</v>
      </c>
      <c r="D146" s="36">
        <v>0</v>
      </c>
      <c r="E146" s="5">
        <v>0</v>
      </c>
      <c r="F146" s="37">
        <f t="shared" si="28"/>
        <v>0</v>
      </c>
      <c r="G146" s="38">
        <v>0</v>
      </c>
      <c r="H146" s="37">
        <f t="shared" si="29"/>
        <v>0</v>
      </c>
      <c r="I146" s="36">
        <v>80</v>
      </c>
      <c r="J146" s="5">
        <v>30</v>
      </c>
      <c r="K146" s="37">
        <f t="shared" si="30"/>
        <v>50</v>
      </c>
      <c r="L146" s="38">
        <v>0</v>
      </c>
      <c r="M146" s="37">
        <f t="shared" si="31"/>
        <v>50</v>
      </c>
      <c r="N146" s="36">
        <v>0</v>
      </c>
      <c r="O146" s="5">
        <v>20</v>
      </c>
      <c r="P146" s="37">
        <f t="shared" si="32"/>
        <v>30</v>
      </c>
      <c r="Q146" s="38">
        <v>0</v>
      </c>
      <c r="R146" s="37">
        <f t="shared" si="33"/>
        <v>30</v>
      </c>
      <c r="S146" s="36">
        <v>0</v>
      </c>
      <c r="T146" s="5">
        <v>20</v>
      </c>
      <c r="U146" s="37">
        <f t="shared" si="34"/>
        <v>10</v>
      </c>
      <c r="V146" s="38">
        <v>0</v>
      </c>
      <c r="W146" s="37">
        <f t="shared" si="35"/>
        <v>10</v>
      </c>
      <c r="X146" s="36">
        <v>0</v>
      </c>
      <c r="Y146" s="5">
        <v>0</v>
      </c>
      <c r="Z146" s="37">
        <f t="shared" si="36"/>
        <v>10</v>
      </c>
      <c r="AA146" s="38">
        <v>0</v>
      </c>
      <c r="AB146" s="37">
        <f t="shared" si="37"/>
        <v>10</v>
      </c>
      <c r="AC146" s="36">
        <v>0</v>
      </c>
      <c r="AD146" s="5">
        <v>0</v>
      </c>
      <c r="AE146" s="37">
        <f t="shared" si="38"/>
        <v>10</v>
      </c>
      <c r="AF146" s="38">
        <v>0</v>
      </c>
      <c r="AG146" s="37">
        <f t="shared" si="39"/>
        <v>10</v>
      </c>
      <c r="AH146" s="36">
        <v>0</v>
      </c>
      <c r="AI146" s="5">
        <v>0</v>
      </c>
      <c r="AJ146" s="37">
        <f t="shared" si="40"/>
        <v>10</v>
      </c>
      <c r="AK146" s="38">
        <v>0</v>
      </c>
      <c r="AL146" s="37">
        <f t="shared" si="41"/>
        <v>10</v>
      </c>
      <c r="AM146" s="35" t="s">
        <v>957</v>
      </c>
      <c r="AN146" s="35" t="s">
        <v>68</v>
      </c>
      <c r="AO146" s="5">
        <v>240</v>
      </c>
      <c r="AP146" s="5">
        <v>0</v>
      </c>
      <c r="AQ146" s="35"/>
      <c r="AR146" s="35"/>
      <c r="AS146" s="122"/>
      <c r="AT146" s="35"/>
      <c r="AU146" s="35"/>
    </row>
    <row r="147" spans="1:47" x14ac:dyDescent="0.15">
      <c r="A147" s="14" t="s">
        <v>602</v>
      </c>
      <c r="B147" s="5" t="s">
        <v>603</v>
      </c>
      <c r="C147" s="36">
        <v>4</v>
      </c>
      <c r="D147" s="36">
        <v>0</v>
      </c>
      <c r="E147" s="5">
        <v>0</v>
      </c>
      <c r="F147" s="37">
        <f t="shared" si="28"/>
        <v>4</v>
      </c>
      <c r="G147" s="38">
        <v>0</v>
      </c>
      <c r="H147" s="37">
        <f t="shared" si="29"/>
        <v>4</v>
      </c>
      <c r="I147" s="36">
        <v>6</v>
      </c>
      <c r="J147" s="5">
        <v>0</v>
      </c>
      <c r="K147" s="37">
        <f t="shared" si="30"/>
        <v>10</v>
      </c>
      <c r="L147" s="38">
        <v>-4</v>
      </c>
      <c r="M147" s="37">
        <f t="shared" si="31"/>
        <v>6</v>
      </c>
      <c r="N147" s="36">
        <v>0</v>
      </c>
      <c r="O147" s="5">
        <v>0</v>
      </c>
      <c r="P147" s="37">
        <f t="shared" si="32"/>
        <v>6</v>
      </c>
      <c r="Q147" s="38">
        <v>-2</v>
      </c>
      <c r="R147" s="37">
        <f t="shared" si="33"/>
        <v>4</v>
      </c>
      <c r="S147" s="36">
        <v>0</v>
      </c>
      <c r="T147" s="5">
        <v>0</v>
      </c>
      <c r="U147" s="37">
        <f t="shared" si="34"/>
        <v>4</v>
      </c>
      <c r="V147" s="38">
        <v>-3</v>
      </c>
      <c r="W147" s="37">
        <f t="shared" si="35"/>
        <v>1</v>
      </c>
      <c r="X147" s="36">
        <v>6</v>
      </c>
      <c r="Y147" s="5">
        <v>0</v>
      </c>
      <c r="Z147" s="37">
        <f t="shared" si="36"/>
        <v>7</v>
      </c>
      <c r="AA147" s="38">
        <v>-2</v>
      </c>
      <c r="AB147" s="37">
        <f t="shared" si="37"/>
        <v>5</v>
      </c>
      <c r="AC147" s="36">
        <v>0</v>
      </c>
      <c r="AD147" s="5">
        <v>0</v>
      </c>
      <c r="AE147" s="37">
        <f t="shared" si="38"/>
        <v>5</v>
      </c>
      <c r="AF147" s="38">
        <v>-4</v>
      </c>
      <c r="AG147" s="37">
        <f t="shared" si="39"/>
        <v>1</v>
      </c>
      <c r="AH147" s="36">
        <v>3</v>
      </c>
      <c r="AI147" s="5">
        <v>0</v>
      </c>
      <c r="AJ147" s="37">
        <f t="shared" si="40"/>
        <v>4</v>
      </c>
      <c r="AK147" s="38">
        <v>-3</v>
      </c>
      <c r="AL147" s="37">
        <f t="shared" si="41"/>
        <v>1</v>
      </c>
      <c r="AM147" s="35" t="s">
        <v>949</v>
      </c>
      <c r="AN147" s="35" t="s">
        <v>69</v>
      </c>
      <c r="AO147" s="5">
        <v>0</v>
      </c>
      <c r="AP147" s="5">
        <v>0</v>
      </c>
      <c r="AQ147" s="35"/>
      <c r="AR147" s="35"/>
      <c r="AS147" s="122"/>
      <c r="AT147" s="35">
        <v>233</v>
      </c>
      <c r="AU147" s="35" t="s">
        <v>950</v>
      </c>
    </row>
    <row r="148" spans="1:47" x14ac:dyDescent="0.15">
      <c r="A148" s="14" t="s">
        <v>582</v>
      </c>
      <c r="B148" s="5" t="s">
        <v>583</v>
      </c>
      <c r="C148" s="36">
        <v>7</v>
      </c>
      <c r="D148" s="36">
        <v>0</v>
      </c>
      <c r="E148" s="5">
        <v>0</v>
      </c>
      <c r="F148" s="37">
        <f t="shared" si="28"/>
        <v>7</v>
      </c>
      <c r="G148" s="38">
        <v>0</v>
      </c>
      <c r="H148" s="37">
        <f t="shared" si="29"/>
        <v>7</v>
      </c>
      <c r="I148" s="36">
        <v>41</v>
      </c>
      <c r="J148" s="5">
        <v>30</v>
      </c>
      <c r="K148" s="37">
        <f t="shared" si="30"/>
        <v>18</v>
      </c>
      <c r="L148" s="38">
        <v>0</v>
      </c>
      <c r="M148" s="37">
        <f t="shared" si="31"/>
        <v>18</v>
      </c>
      <c r="N148" s="36">
        <v>20</v>
      </c>
      <c r="O148" s="5">
        <v>20</v>
      </c>
      <c r="P148" s="37">
        <f t="shared" si="32"/>
        <v>18</v>
      </c>
      <c r="Q148" s="38">
        <v>0</v>
      </c>
      <c r="R148" s="37">
        <f t="shared" si="33"/>
        <v>18</v>
      </c>
      <c r="S148" s="36">
        <v>30</v>
      </c>
      <c r="T148" s="5">
        <v>37</v>
      </c>
      <c r="U148" s="37">
        <f t="shared" si="34"/>
        <v>11</v>
      </c>
      <c r="V148" s="38">
        <v>0</v>
      </c>
      <c r="W148" s="37">
        <f t="shared" si="35"/>
        <v>11</v>
      </c>
      <c r="X148" s="36">
        <v>20</v>
      </c>
      <c r="Y148" s="5">
        <v>22</v>
      </c>
      <c r="Z148" s="37">
        <f t="shared" si="36"/>
        <v>9</v>
      </c>
      <c r="AA148" s="38">
        <v>0</v>
      </c>
      <c r="AB148" s="37">
        <f t="shared" si="37"/>
        <v>9</v>
      </c>
      <c r="AC148" s="36">
        <v>40</v>
      </c>
      <c r="AD148" s="5">
        <v>32</v>
      </c>
      <c r="AE148" s="37">
        <f t="shared" si="38"/>
        <v>17</v>
      </c>
      <c r="AF148" s="38">
        <v>0</v>
      </c>
      <c r="AG148" s="37">
        <f t="shared" si="39"/>
        <v>17</v>
      </c>
      <c r="AH148" s="36">
        <v>30</v>
      </c>
      <c r="AI148" s="5">
        <v>34</v>
      </c>
      <c r="AJ148" s="37">
        <f t="shared" si="40"/>
        <v>13</v>
      </c>
      <c r="AK148" s="38">
        <v>0</v>
      </c>
      <c r="AL148" s="37">
        <f t="shared" si="41"/>
        <v>13</v>
      </c>
      <c r="AM148" s="35" t="s">
        <v>949</v>
      </c>
      <c r="AN148" s="35" t="s">
        <v>68</v>
      </c>
      <c r="AO148" s="5">
        <v>140</v>
      </c>
      <c r="AP148" s="5">
        <v>0</v>
      </c>
      <c r="AQ148" s="35"/>
      <c r="AR148" s="35"/>
      <c r="AS148" s="122">
        <v>4580450000000</v>
      </c>
      <c r="AT148" s="35">
        <v>233</v>
      </c>
      <c r="AU148" s="35" t="s">
        <v>950</v>
      </c>
    </row>
    <row r="149" spans="1:47" x14ac:dyDescent="0.15">
      <c r="A149" s="14" t="s">
        <v>750</v>
      </c>
      <c r="B149" s="5" t="s">
        <v>751</v>
      </c>
      <c r="C149" s="36">
        <v>10</v>
      </c>
      <c r="D149" s="36">
        <v>0</v>
      </c>
      <c r="E149" s="5">
        <v>0</v>
      </c>
      <c r="F149" s="37">
        <f t="shared" si="28"/>
        <v>10</v>
      </c>
      <c r="G149" s="38">
        <v>0</v>
      </c>
      <c r="H149" s="37">
        <f t="shared" si="29"/>
        <v>10</v>
      </c>
      <c r="I149" s="36">
        <v>10</v>
      </c>
      <c r="J149" s="5">
        <v>16</v>
      </c>
      <c r="K149" s="37">
        <f t="shared" si="30"/>
        <v>4</v>
      </c>
      <c r="L149" s="38">
        <v>0</v>
      </c>
      <c r="M149" s="37">
        <f t="shared" si="31"/>
        <v>4</v>
      </c>
      <c r="N149" s="36">
        <v>0</v>
      </c>
      <c r="O149" s="5">
        <v>4</v>
      </c>
      <c r="P149" s="37">
        <f t="shared" si="32"/>
        <v>0</v>
      </c>
      <c r="Q149" s="38">
        <v>0</v>
      </c>
      <c r="R149" s="37">
        <f t="shared" si="33"/>
        <v>0</v>
      </c>
      <c r="S149" s="36">
        <v>20</v>
      </c>
      <c r="T149" s="5">
        <v>15</v>
      </c>
      <c r="U149" s="37">
        <f t="shared" si="34"/>
        <v>5</v>
      </c>
      <c r="V149" s="38">
        <v>0</v>
      </c>
      <c r="W149" s="37">
        <f t="shared" si="35"/>
        <v>5</v>
      </c>
      <c r="X149" s="36">
        <v>0</v>
      </c>
      <c r="Y149" s="5">
        <v>4</v>
      </c>
      <c r="Z149" s="37">
        <f t="shared" si="36"/>
        <v>1</v>
      </c>
      <c r="AA149" s="38">
        <v>0</v>
      </c>
      <c r="AB149" s="37">
        <f t="shared" si="37"/>
        <v>1</v>
      </c>
      <c r="AC149" s="36">
        <v>10</v>
      </c>
      <c r="AD149" s="5">
        <v>11</v>
      </c>
      <c r="AE149" s="37">
        <f t="shared" si="38"/>
        <v>0</v>
      </c>
      <c r="AF149" s="38">
        <v>0</v>
      </c>
      <c r="AG149" s="37">
        <f t="shared" si="39"/>
        <v>0</v>
      </c>
      <c r="AH149" s="36">
        <v>20</v>
      </c>
      <c r="AI149" s="5">
        <v>16</v>
      </c>
      <c r="AJ149" s="37">
        <f t="shared" si="40"/>
        <v>4</v>
      </c>
      <c r="AK149" s="38">
        <v>0</v>
      </c>
      <c r="AL149" s="37">
        <f t="shared" si="41"/>
        <v>4</v>
      </c>
      <c r="AM149" s="35" t="s">
        <v>949</v>
      </c>
      <c r="AN149" s="35" t="s">
        <v>68</v>
      </c>
      <c r="AO149" s="5">
        <v>140</v>
      </c>
      <c r="AP149" s="5">
        <v>0</v>
      </c>
      <c r="AQ149" s="35"/>
      <c r="AR149" s="35"/>
      <c r="AS149" s="122"/>
      <c r="AT149" s="35">
        <v>233</v>
      </c>
      <c r="AU149" s="35" t="s">
        <v>950</v>
      </c>
    </row>
    <row r="150" spans="1:47" x14ac:dyDescent="0.15">
      <c r="A150" s="14" t="s">
        <v>775</v>
      </c>
      <c r="B150" s="5" t="s">
        <v>776</v>
      </c>
      <c r="C150" s="36">
        <v>0</v>
      </c>
      <c r="D150" s="36">
        <v>0</v>
      </c>
      <c r="E150" s="5">
        <v>0</v>
      </c>
      <c r="F150" s="37">
        <f t="shared" si="28"/>
        <v>0</v>
      </c>
      <c r="G150" s="38">
        <v>0</v>
      </c>
      <c r="H150" s="37">
        <f t="shared" si="29"/>
        <v>0</v>
      </c>
      <c r="I150" s="36">
        <v>2</v>
      </c>
      <c r="J150" s="5">
        <v>0</v>
      </c>
      <c r="K150" s="37">
        <f t="shared" si="30"/>
        <v>2</v>
      </c>
      <c r="L150" s="38">
        <v>-1</v>
      </c>
      <c r="M150" s="37">
        <f t="shared" si="31"/>
        <v>1</v>
      </c>
      <c r="N150" s="36">
        <v>0</v>
      </c>
      <c r="O150" s="5">
        <v>0</v>
      </c>
      <c r="P150" s="37">
        <f t="shared" si="32"/>
        <v>1</v>
      </c>
      <c r="Q150" s="38">
        <v>0</v>
      </c>
      <c r="R150" s="37">
        <f t="shared" si="33"/>
        <v>1</v>
      </c>
      <c r="S150" s="36">
        <v>0</v>
      </c>
      <c r="T150" s="5">
        <v>0</v>
      </c>
      <c r="U150" s="37">
        <f t="shared" si="34"/>
        <v>1</v>
      </c>
      <c r="V150" s="38">
        <v>-1</v>
      </c>
      <c r="W150" s="37">
        <f t="shared" si="35"/>
        <v>0</v>
      </c>
      <c r="X150" s="36">
        <v>4</v>
      </c>
      <c r="Y150" s="5">
        <v>0</v>
      </c>
      <c r="Z150" s="37">
        <f t="shared" si="36"/>
        <v>4</v>
      </c>
      <c r="AA150" s="38">
        <v>0</v>
      </c>
      <c r="AB150" s="37">
        <f t="shared" si="37"/>
        <v>4</v>
      </c>
      <c r="AC150" s="36">
        <v>0</v>
      </c>
      <c r="AD150" s="5">
        <v>0</v>
      </c>
      <c r="AE150" s="37">
        <f t="shared" si="38"/>
        <v>4</v>
      </c>
      <c r="AF150" s="38">
        <v>-2</v>
      </c>
      <c r="AG150" s="37">
        <f t="shared" si="39"/>
        <v>2</v>
      </c>
      <c r="AH150" s="36">
        <v>1</v>
      </c>
      <c r="AI150" s="5">
        <v>0</v>
      </c>
      <c r="AJ150" s="37">
        <f t="shared" si="40"/>
        <v>3</v>
      </c>
      <c r="AK150" s="38">
        <v>-2</v>
      </c>
      <c r="AL150" s="37">
        <f t="shared" si="41"/>
        <v>1</v>
      </c>
      <c r="AM150" s="35" t="s">
        <v>949</v>
      </c>
      <c r="AN150" s="35" t="s">
        <v>69</v>
      </c>
      <c r="AO150" s="5">
        <v>0</v>
      </c>
      <c r="AP150" s="5">
        <v>0</v>
      </c>
      <c r="AQ150" s="35"/>
      <c r="AR150" s="35"/>
      <c r="AS150" s="122"/>
      <c r="AT150" s="35">
        <v>233</v>
      </c>
      <c r="AU150" s="35" t="s">
        <v>950</v>
      </c>
    </row>
    <row r="151" spans="1:47" x14ac:dyDescent="0.15">
      <c r="A151" s="14" t="s">
        <v>752</v>
      </c>
      <c r="B151" s="5" t="s">
        <v>753</v>
      </c>
      <c r="C151" s="36">
        <v>0</v>
      </c>
      <c r="D151" s="36">
        <v>0</v>
      </c>
      <c r="E151" s="5">
        <v>0</v>
      </c>
      <c r="F151" s="37">
        <f t="shared" si="28"/>
        <v>0</v>
      </c>
      <c r="G151" s="38">
        <v>0</v>
      </c>
      <c r="H151" s="37">
        <f t="shared" si="29"/>
        <v>0</v>
      </c>
      <c r="I151" s="36">
        <v>20</v>
      </c>
      <c r="J151" s="5">
        <v>11</v>
      </c>
      <c r="K151" s="37">
        <f t="shared" si="30"/>
        <v>9</v>
      </c>
      <c r="L151" s="38">
        <v>0</v>
      </c>
      <c r="M151" s="37">
        <f t="shared" si="31"/>
        <v>9</v>
      </c>
      <c r="N151" s="36">
        <v>0</v>
      </c>
      <c r="O151" s="5">
        <v>0</v>
      </c>
      <c r="P151" s="37">
        <f t="shared" si="32"/>
        <v>9</v>
      </c>
      <c r="Q151" s="38">
        <v>0</v>
      </c>
      <c r="R151" s="37">
        <f t="shared" si="33"/>
        <v>9</v>
      </c>
      <c r="S151" s="36">
        <v>10</v>
      </c>
      <c r="T151" s="5">
        <v>10</v>
      </c>
      <c r="U151" s="37">
        <f t="shared" si="34"/>
        <v>9</v>
      </c>
      <c r="V151" s="38">
        <v>0</v>
      </c>
      <c r="W151" s="37">
        <f t="shared" si="35"/>
        <v>9</v>
      </c>
      <c r="X151" s="36">
        <v>0</v>
      </c>
      <c r="Y151" s="5">
        <v>0</v>
      </c>
      <c r="Z151" s="37">
        <f t="shared" si="36"/>
        <v>9</v>
      </c>
      <c r="AA151" s="38">
        <v>0</v>
      </c>
      <c r="AB151" s="37">
        <f t="shared" si="37"/>
        <v>9</v>
      </c>
      <c r="AC151" s="36">
        <v>0</v>
      </c>
      <c r="AD151" s="5">
        <v>4</v>
      </c>
      <c r="AE151" s="37">
        <f t="shared" si="38"/>
        <v>5</v>
      </c>
      <c r="AF151" s="38">
        <v>0</v>
      </c>
      <c r="AG151" s="37">
        <f t="shared" si="39"/>
        <v>5</v>
      </c>
      <c r="AH151" s="36">
        <v>10</v>
      </c>
      <c r="AI151" s="5">
        <v>7</v>
      </c>
      <c r="AJ151" s="37">
        <f t="shared" si="40"/>
        <v>8</v>
      </c>
      <c r="AK151" s="38">
        <v>0</v>
      </c>
      <c r="AL151" s="37">
        <f t="shared" si="41"/>
        <v>8</v>
      </c>
      <c r="AM151" s="35" t="s">
        <v>949</v>
      </c>
      <c r="AN151" s="35" t="s">
        <v>68</v>
      </c>
      <c r="AO151" s="5">
        <v>140</v>
      </c>
      <c r="AP151" s="5">
        <v>0</v>
      </c>
      <c r="AQ151" s="35"/>
      <c r="AR151" s="35"/>
      <c r="AS151" s="122"/>
      <c r="AT151" s="35">
        <v>233</v>
      </c>
      <c r="AU151" s="35" t="s">
        <v>950</v>
      </c>
    </row>
    <row r="152" spans="1:47" x14ac:dyDescent="0.15">
      <c r="A152" s="14" t="s">
        <v>777</v>
      </c>
      <c r="B152" s="5" t="s">
        <v>778</v>
      </c>
      <c r="C152" s="36">
        <v>0</v>
      </c>
      <c r="D152" s="36">
        <v>0</v>
      </c>
      <c r="E152" s="5">
        <v>0</v>
      </c>
      <c r="F152" s="37">
        <f t="shared" si="28"/>
        <v>0</v>
      </c>
      <c r="G152" s="38">
        <v>0</v>
      </c>
      <c r="H152" s="37">
        <f t="shared" si="29"/>
        <v>0</v>
      </c>
      <c r="I152" s="36">
        <v>3</v>
      </c>
      <c r="J152" s="5">
        <v>0</v>
      </c>
      <c r="K152" s="37">
        <f t="shared" si="30"/>
        <v>3</v>
      </c>
      <c r="L152" s="38">
        <v>-2</v>
      </c>
      <c r="M152" s="37">
        <f t="shared" si="31"/>
        <v>1</v>
      </c>
      <c r="N152" s="36">
        <v>0</v>
      </c>
      <c r="O152" s="5">
        <v>0</v>
      </c>
      <c r="P152" s="37">
        <f t="shared" si="32"/>
        <v>1</v>
      </c>
      <c r="Q152" s="38">
        <v>0</v>
      </c>
      <c r="R152" s="37">
        <f t="shared" si="33"/>
        <v>1</v>
      </c>
      <c r="S152" s="36">
        <v>0</v>
      </c>
      <c r="T152" s="5">
        <v>0</v>
      </c>
      <c r="U152" s="37">
        <f t="shared" si="34"/>
        <v>1</v>
      </c>
      <c r="V152" s="38">
        <v>-1</v>
      </c>
      <c r="W152" s="37">
        <f t="shared" si="35"/>
        <v>0</v>
      </c>
      <c r="X152" s="36">
        <v>1</v>
      </c>
      <c r="Y152" s="5">
        <v>0</v>
      </c>
      <c r="Z152" s="37">
        <f t="shared" si="36"/>
        <v>1</v>
      </c>
      <c r="AA152" s="38">
        <v>0</v>
      </c>
      <c r="AB152" s="37">
        <f t="shared" si="37"/>
        <v>1</v>
      </c>
      <c r="AC152" s="36">
        <v>0</v>
      </c>
      <c r="AD152" s="5">
        <v>0</v>
      </c>
      <c r="AE152" s="37">
        <f t="shared" si="38"/>
        <v>1</v>
      </c>
      <c r="AF152" s="38">
        <v>0</v>
      </c>
      <c r="AG152" s="37">
        <f t="shared" si="39"/>
        <v>1</v>
      </c>
      <c r="AH152" s="36">
        <v>0</v>
      </c>
      <c r="AI152" s="5">
        <v>0</v>
      </c>
      <c r="AJ152" s="37">
        <f t="shared" si="40"/>
        <v>1</v>
      </c>
      <c r="AK152" s="38">
        <v>-1</v>
      </c>
      <c r="AL152" s="37">
        <f t="shared" si="41"/>
        <v>0</v>
      </c>
      <c r="AM152" s="35" t="s">
        <v>949</v>
      </c>
      <c r="AN152" s="35" t="s">
        <v>69</v>
      </c>
      <c r="AO152" s="5">
        <v>0</v>
      </c>
      <c r="AP152" s="5">
        <v>0</v>
      </c>
      <c r="AQ152" s="35"/>
      <c r="AR152" s="35"/>
      <c r="AS152" s="122"/>
      <c r="AT152" s="35">
        <v>233</v>
      </c>
      <c r="AU152" s="35" t="s">
        <v>950</v>
      </c>
    </row>
    <row r="153" spans="1:47" x14ac:dyDescent="0.15">
      <c r="A153" s="14" t="s">
        <v>865</v>
      </c>
      <c r="B153" s="5" t="s">
        <v>866</v>
      </c>
      <c r="C153" s="36">
        <v>22</v>
      </c>
      <c r="D153" s="36">
        <v>150</v>
      </c>
      <c r="E153" s="5">
        <v>0</v>
      </c>
      <c r="F153" s="37">
        <f t="shared" si="28"/>
        <v>172</v>
      </c>
      <c r="G153" s="38">
        <v>0</v>
      </c>
      <c r="H153" s="37">
        <f t="shared" si="29"/>
        <v>172</v>
      </c>
      <c r="I153" s="36">
        <v>0</v>
      </c>
      <c r="J153" s="5">
        <v>79</v>
      </c>
      <c r="K153" s="37">
        <f t="shared" si="30"/>
        <v>93</v>
      </c>
      <c r="L153" s="38">
        <v>0</v>
      </c>
      <c r="M153" s="37">
        <f t="shared" si="31"/>
        <v>93</v>
      </c>
      <c r="N153" s="36">
        <v>0</v>
      </c>
      <c r="O153" s="5">
        <v>55</v>
      </c>
      <c r="P153" s="37">
        <f t="shared" si="32"/>
        <v>38</v>
      </c>
      <c r="Q153" s="38">
        <v>0</v>
      </c>
      <c r="R153" s="37">
        <f t="shared" si="33"/>
        <v>38</v>
      </c>
      <c r="S153" s="36">
        <v>120</v>
      </c>
      <c r="T153" s="5">
        <v>72</v>
      </c>
      <c r="U153" s="37">
        <f t="shared" si="34"/>
        <v>86</v>
      </c>
      <c r="V153" s="38">
        <v>0</v>
      </c>
      <c r="W153" s="37">
        <f t="shared" si="35"/>
        <v>86</v>
      </c>
      <c r="X153" s="36">
        <v>0</v>
      </c>
      <c r="Y153" s="5">
        <v>62</v>
      </c>
      <c r="Z153" s="37">
        <f t="shared" si="36"/>
        <v>24</v>
      </c>
      <c r="AA153" s="38">
        <v>0</v>
      </c>
      <c r="AB153" s="37">
        <f t="shared" si="37"/>
        <v>24</v>
      </c>
      <c r="AC153" s="36">
        <v>75</v>
      </c>
      <c r="AD153" s="5">
        <v>52</v>
      </c>
      <c r="AE153" s="37">
        <f t="shared" si="38"/>
        <v>47</v>
      </c>
      <c r="AF153" s="38">
        <v>0</v>
      </c>
      <c r="AG153" s="37">
        <f t="shared" si="39"/>
        <v>47</v>
      </c>
      <c r="AH153" s="36">
        <v>90</v>
      </c>
      <c r="AI153" s="5">
        <v>107</v>
      </c>
      <c r="AJ153" s="37">
        <f t="shared" si="40"/>
        <v>30</v>
      </c>
      <c r="AK153" s="38">
        <v>0</v>
      </c>
      <c r="AL153" s="37">
        <f t="shared" si="41"/>
        <v>30</v>
      </c>
      <c r="AM153" s="35" t="s">
        <v>935</v>
      </c>
      <c r="AN153" s="35" t="s">
        <v>68</v>
      </c>
      <c r="AO153" s="5">
        <v>180</v>
      </c>
      <c r="AP153" s="5">
        <v>0</v>
      </c>
      <c r="AQ153" s="35" t="s">
        <v>67</v>
      </c>
      <c r="AR153" s="35"/>
      <c r="AS153" s="122"/>
      <c r="AT153" s="35">
        <v>272</v>
      </c>
      <c r="AU153" s="35" t="s">
        <v>958</v>
      </c>
    </row>
    <row r="154" spans="1:47" x14ac:dyDescent="0.15">
      <c r="A154" s="14" t="s">
        <v>577</v>
      </c>
      <c r="B154" s="5" t="s">
        <v>578</v>
      </c>
      <c r="C154" s="36">
        <v>3</v>
      </c>
      <c r="D154" s="36">
        <v>0</v>
      </c>
      <c r="E154" s="5">
        <v>0</v>
      </c>
      <c r="F154" s="37">
        <f t="shared" si="28"/>
        <v>3</v>
      </c>
      <c r="G154" s="38">
        <v>0</v>
      </c>
      <c r="H154" s="37">
        <f t="shared" si="29"/>
        <v>3</v>
      </c>
      <c r="I154" s="36">
        <v>0</v>
      </c>
      <c r="J154" s="5">
        <v>3</v>
      </c>
      <c r="K154" s="37">
        <f t="shared" si="30"/>
        <v>0</v>
      </c>
      <c r="L154" s="38">
        <v>0</v>
      </c>
      <c r="M154" s="37">
        <f t="shared" si="31"/>
        <v>0</v>
      </c>
      <c r="N154" s="36">
        <v>0</v>
      </c>
      <c r="O154" s="5">
        <v>0</v>
      </c>
      <c r="P154" s="37">
        <f t="shared" si="32"/>
        <v>0</v>
      </c>
      <c r="Q154" s="38">
        <v>0</v>
      </c>
      <c r="R154" s="37">
        <f t="shared" si="33"/>
        <v>0</v>
      </c>
      <c r="S154" s="36">
        <v>0</v>
      </c>
      <c r="T154" s="5">
        <v>0</v>
      </c>
      <c r="U154" s="37">
        <f t="shared" si="34"/>
        <v>0</v>
      </c>
      <c r="V154" s="38">
        <v>0</v>
      </c>
      <c r="W154" s="37">
        <f t="shared" si="35"/>
        <v>0</v>
      </c>
      <c r="X154" s="36">
        <v>0</v>
      </c>
      <c r="Y154" s="5">
        <v>0</v>
      </c>
      <c r="Z154" s="37">
        <f t="shared" si="36"/>
        <v>0</v>
      </c>
      <c r="AA154" s="38">
        <v>0</v>
      </c>
      <c r="AB154" s="37">
        <f t="shared" si="37"/>
        <v>0</v>
      </c>
      <c r="AC154" s="36">
        <v>0</v>
      </c>
      <c r="AD154" s="5">
        <v>0</v>
      </c>
      <c r="AE154" s="37">
        <f t="shared" si="38"/>
        <v>0</v>
      </c>
      <c r="AF154" s="38">
        <v>0</v>
      </c>
      <c r="AG154" s="37">
        <f t="shared" si="39"/>
        <v>0</v>
      </c>
      <c r="AH154" s="36">
        <v>0</v>
      </c>
      <c r="AI154" s="5">
        <v>0</v>
      </c>
      <c r="AJ154" s="37">
        <f t="shared" si="40"/>
        <v>0</v>
      </c>
      <c r="AK154" s="38">
        <v>0</v>
      </c>
      <c r="AL154" s="37">
        <f t="shared" si="41"/>
        <v>0</v>
      </c>
      <c r="AM154" s="35" t="s">
        <v>949</v>
      </c>
      <c r="AN154" s="35" t="s">
        <v>68</v>
      </c>
      <c r="AO154" s="5">
        <v>180</v>
      </c>
      <c r="AP154" s="5">
        <v>0</v>
      </c>
      <c r="AQ154" s="35"/>
      <c r="AR154" s="35"/>
      <c r="AS154" s="122"/>
      <c r="AT154" s="35">
        <v>233</v>
      </c>
      <c r="AU154" s="35" t="s">
        <v>950</v>
      </c>
    </row>
    <row r="155" spans="1:47" x14ac:dyDescent="0.15">
      <c r="A155" s="14" t="s">
        <v>624</v>
      </c>
      <c r="B155" s="5" t="s">
        <v>625</v>
      </c>
      <c r="C155" s="36">
        <v>6</v>
      </c>
      <c r="D155" s="36">
        <v>0</v>
      </c>
      <c r="E155" s="5">
        <v>0</v>
      </c>
      <c r="F155" s="37">
        <f t="shared" si="28"/>
        <v>6</v>
      </c>
      <c r="G155" s="38">
        <v>0</v>
      </c>
      <c r="H155" s="37">
        <f t="shared" si="29"/>
        <v>6</v>
      </c>
      <c r="I155" s="36">
        <v>70</v>
      </c>
      <c r="J155" s="5">
        <v>68</v>
      </c>
      <c r="K155" s="37">
        <f t="shared" si="30"/>
        <v>8</v>
      </c>
      <c r="L155" s="38">
        <v>0</v>
      </c>
      <c r="M155" s="37">
        <f t="shared" si="31"/>
        <v>8</v>
      </c>
      <c r="N155" s="36">
        <v>40</v>
      </c>
      <c r="O155" s="5">
        <v>40</v>
      </c>
      <c r="P155" s="37">
        <f t="shared" si="32"/>
        <v>8</v>
      </c>
      <c r="Q155" s="38">
        <v>0</v>
      </c>
      <c r="R155" s="37">
        <f t="shared" si="33"/>
        <v>8</v>
      </c>
      <c r="S155" s="36">
        <v>60</v>
      </c>
      <c r="T155" s="5">
        <v>57</v>
      </c>
      <c r="U155" s="37">
        <f t="shared" si="34"/>
        <v>11</v>
      </c>
      <c r="V155" s="38">
        <v>0</v>
      </c>
      <c r="W155" s="37">
        <f t="shared" si="35"/>
        <v>11</v>
      </c>
      <c r="X155" s="36">
        <v>40</v>
      </c>
      <c r="Y155" s="5">
        <v>41</v>
      </c>
      <c r="Z155" s="37">
        <f t="shared" si="36"/>
        <v>10</v>
      </c>
      <c r="AA155" s="38">
        <v>0</v>
      </c>
      <c r="AB155" s="37">
        <f t="shared" si="37"/>
        <v>10</v>
      </c>
      <c r="AC155" s="36">
        <v>60</v>
      </c>
      <c r="AD155" s="5">
        <v>54</v>
      </c>
      <c r="AE155" s="37">
        <f t="shared" si="38"/>
        <v>16</v>
      </c>
      <c r="AF155" s="38">
        <v>0</v>
      </c>
      <c r="AG155" s="37">
        <f t="shared" si="39"/>
        <v>16</v>
      </c>
      <c r="AH155" s="36">
        <v>80</v>
      </c>
      <c r="AI155" s="5">
        <v>84</v>
      </c>
      <c r="AJ155" s="37">
        <f t="shared" si="40"/>
        <v>12</v>
      </c>
      <c r="AK155" s="38">
        <v>0</v>
      </c>
      <c r="AL155" s="37">
        <f t="shared" si="41"/>
        <v>12</v>
      </c>
      <c r="AM155" s="35" t="s">
        <v>913</v>
      </c>
      <c r="AN155" s="35" t="s">
        <v>68</v>
      </c>
      <c r="AO155" s="5">
        <v>200</v>
      </c>
      <c r="AP155" s="5">
        <v>0</v>
      </c>
      <c r="AQ155" s="35"/>
      <c r="AR155" s="35"/>
      <c r="AS155" s="122"/>
      <c r="AT155" s="35"/>
      <c r="AU155" s="35"/>
    </row>
    <row r="156" spans="1:47" x14ac:dyDescent="0.15">
      <c r="A156" s="14" t="s">
        <v>628</v>
      </c>
      <c r="B156" s="5" t="s">
        <v>629</v>
      </c>
      <c r="C156" s="36">
        <v>60</v>
      </c>
      <c r="D156" s="36">
        <v>0</v>
      </c>
      <c r="E156" s="5">
        <v>0</v>
      </c>
      <c r="F156" s="37">
        <f t="shared" si="28"/>
        <v>60</v>
      </c>
      <c r="G156" s="38">
        <v>0</v>
      </c>
      <c r="H156" s="37">
        <f t="shared" si="29"/>
        <v>60</v>
      </c>
      <c r="I156" s="36">
        <v>50</v>
      </c>
      <c r="J156" s="5">
        <v>0</v>
      </c>
      <c r="K156" s="37">
        <f t="shared" si="30"/>
        <v>110</v>
      </c>
      <c r="L156" s="38">
        <v>-70</v>
      </c>
      <c r="M156" s="37">
        <f t="shared" si="31"/>
        <v>40</v>
      </c>
      <c r="N156" s="36">
        <v>0</v>
      </c>
      <c r="O156" s="5">
        <v>0</v>
      </c>
      <c r="P156" s="37">
        <f t="shared" si="32"/>
        <v>40</v>
      </c>
      <c r="Q156" s="38">
        <v>-40</v>
      </c>
      <c r="R156" s="37">
        <f t="shared" si="33"/>
        <v>0</v>
      </c>
      <c r="S156" s="36">
        <v>100</v>
      </c>
      <c r="T156" s="5">
        <v>0</v>
      </c>
      <c r="U156" s="37">
        <f t="shared" si="34"/>
        <v>100</v>
      </c>
      <c r="V156" s="38">
        <v>-60</v>
      </c>
      <c r="W156" s="37">
        <f t="shared" si="35"/>
        <v>40</v>
      </c>
      <c r="X156" s="36">
        <v>0</v>
      </c>
      <c r="Y156" s="5">
        <v>0</v>
      </c>
      <c r="Z156" s="37">
        <f t="shared" si="36"/>
        <v>40</v>
      </c>
      <c r="AA156" s="38">
        <v>-40</v>
      </c>
      <c r="AB156" s="37">
        <f t="shared" si="37"/>
        <v>0</v>
      </c>
      <c r="AC156" s="36">
        <v>150</v>
      </c>
      <c r="AD156" s="5">
        <v>0</v>
      </c>
      <c r="AE156" s="37">
        <f t="shared" si="38"/>
        <v>150</v>
      </c>
      <c r="AF156" s="38">
        <v>-60</v>
      </c>
      <c r="AG156" s="37">
        <f t="shared" si="39"/>
        <v>90</v>
      </c>
      <c r="AH156" s="36">
        <v>0</v>
      </c>
      <c r="AI156" s="5">
        <v>0</v>
      </c>
      <c r="AJ156" s="37">
        <f t="shared" si="40"/>
        <v>90</v>
      </c>
      <c r="AK156" s="38">
        <v>-80</v>
      </c>
      <c r="AL156" s="37">
        <f t="shared" si="41"/>
        <v>10</v>
      </c>
      <c r="AM156" s="35" t="s">
        <v>913</v>
      </c>
      <c r="AN156" s="35" t="s">
        <v>69</v>
      </c>
      <c r="AO156" s="5">
        <v>0</v>
      </c>
      <c r="AP156" s="5">
        <v>0</v>
      </c>
      <c r="AQ156" s="35"/>
      <c r="AR156" s="35"/>
      <c r="AS156" s="122"/>
      <c r="AT156" s="35"/>
      <c r="AU156" s="35"/>
    </row>
    <row r="157" spans="1:47" x14ac:dyDescent="0.15">
      <c r="A157" s="14" t="s">
        <v>507</v>
      </c>
      <c r="B157" s="5" t="s">
        <v>508</v>
      </c>
      <c r="C157" s="36">
        <v>14</v>
      </c>
      <c r="D157" s="36">
        <v>90</v>
      </c>
      <c r="E157" s="5">
        <v>0</v>
      </c>
      <c r="F157" s="37">
        <f t="shared" si="28"/>
        <v>104</v>
      </c>
      <c r="G157" s="38">
        <v>0</v>
      </c>
      <c r="H157" s="37">
        <f t="shared" si="29"/>
        <v>104</v>
      </c>
      <c r="I157" s="36">
        <v>0</v>
      </c>
      <c r="J157" s="5">
        <v>69</v>
      </c>
      <c r="K157" s="37">
        <f t="shared" si="30"/>
        <v>35</v>
      </c>
      <c r="L157" s="38">
        <v>0</v>
      </c>
      <c r="M157" s="37">
        <f t="shared" si="31"/>
        <v>35</v>
      </c>
      <c r="N157" s="36">
        <v>0</v>
      </c>
      <c r="O157" s="5">
        <v>22</v>
      </c>
      <c r="P157" s="37">
        <f t="shared" si="32"/>
        <v>13</v>
      </c>
      <c r="Q157" s="38">
        <v>0</v>
      </c>
      <c r="R157" s="37">
        <f t="shared" si="33"/>
        <v>13</v>
      </c>
      <c r="S157" s="36">
        <v>90</v>
      </c>
      <c r="T157" s="5">
        <v>46</v>
      </c>
      <c r="U157" s="37">
        <f t="shared" si="34"/>
        <v>57</v>
      </c>
      <c r="V157" s="38">
        <v>0</v>
      </c>
      <c r="W157" s="37">
        <f t="shared" si="35"/>
        <v>57</v>
      </c>
      <c r="X157" s="36">
        <v>0</v>
      </c>
      <c r="Y157" s="5">
        <v>36</v>
      </c>
      <c r="Z157" s="37">
        <f t="shared" si="36"/>
        <v>21</v>
      </c>
      <c r="AA157" s="38">
        <v>0</v>
      </c>
      <c r="AB157" s="37">
        <f t="shared" si="37"/>
        <v>21</v>
      </c>
      <c r="AC157" s="36">
        <v>108</v>
      </c>
      <c r="AD157" s="5">
        <v>48</v>
      </c>
      <c r="AE157" s="37">
        <f t="shared" si="38"/>
        <v>81</v>
      </c>
      <c r="AF157" s="38">
        <v>0</v>
      </c>
      <c r="AG157" s="37">
        <f t="shared" si="39"/>
        <v>81</v>
      </c>
      <c r="AH157" s="36">
        <v>0</v>
      </c>
      <c r="AI157" s="5">
        <v>68</v>
      </c>
      <c r="AJ157" s="37">
        <f t="shared" si="40"/>
        <v>13</v>
      </c>
      <c r="AK157" s="38">
        <v>0</v>
      </c>
      <c r="AL157" s="37">
        <f t="shared" si="41"/>
        <v>13</v>
      </c>
      <c r="AM157" s="35" t="s">
        <v>574</v>
      </c>
      <c r="AN157" s="35" t="s">
        <v>68</v>
      </c>
      <c r="AO157" s="5">
        <v>220</v>
      </c>
      <c r="AP157" s="5">
        <v>0</v>
      </c>
      <c r="AQ157" s="35"/>
      <c r="AR157" s="35"/>
      <c r="AS157" s="122">
        <v>4528947143117</v>
      </c>
      <c r="AT157" s="35">
        <v>188</v>
      </c>
      <c r="AU157" s="35" t="s">
        <v>903</v>
      </c>
    </row>
    <row r="158" spans="1:47" x14ac:dyDescent="0.15">
      <c r="A158" s="14" t="s">
        <v>703</v>
      </c>
      <c r="B158" s="5" t="s">
        <v>727</v>
      </c>
      <c r="C158" s="36">
        <v>4</v>
      </c>
      <c r="D158" s="36">
        <v>0</v>
      </c>
      <c r="E158" s="5">
        <v>0</v>
      </c>
      <c r="F158" s="37">
        <f t="shared" si="28"/>
        <v>4</v>
      </c>
      <c r="G158" s="38">
        <v>0</v>
      </c>
      <c r="H158" s="37">
        <f t="shared" si="29"/>
        <v>4</v>
      </c>
      <c r="I158" s="36">
        <v>5</v>
      </c>
      <c r="J158" s="5">
        <v>0</v>
      </c>
      <c r="K158" s="37">
        <f t="shared" si="30"/>
        <v>9</v>
      </c>
      <c r="L158" s="38">
        <v>-3</v>
      </c>
      <c r="M158" s="37">
        <f t="shared" si="31"/>
        <v>6</v>
      </c>
      <c r="N158" s="36">
        <v>0</v>
      </c>
      <c r="O158" s="5">
        <v>0</v>
      </c>
      <c r="P158" s="37">
        <f t="shared" si="32"/>
        <v>6</v>
      </c>
      <c r="Q158" s="38">
        <v>-3</v>
      </c>
      <c r="R158" s="37">
        <f t="shared" si="33"/>
        <v>3</v>
      </c>
      <c r="S158" s="36">
        <v>5</v>
      </c>
      <c r="T158" s="5">
        <v>0</v>
      </c>
      <c r="U158" s="37">
        <f t="shared" si="34"/>
        <v>8</v>
      </c>
      <c r="V158" s="38">
        <v>-3</v>
      </c>
      <c r="W158" s="37">
        <f t="shared" si="35"/>
        <v>5</v>
      </c>
      <c r="X158" s="36">
        <v>0</v>
      </c>
      <c r="Y158" s="5">
        <v>0</v>
      </c>
      <c r="Z158" s="37">
        <f t="shared" si="36"/>
        <v>5</v>
      </c>
      <c r="AA158" s="38">
        <v>-3</v>
      </c>
      <c r="AB158" s="37">
        <f t="shared" si="37"/>
        <v>2</v>
      </c>
      <c r="AC158" s="36">
        <v>5</v>
      </c>
      <c r="AD158" s="5">
        <v>0</v>
      </c>
      <c r="AE158" s="37">
        <f t="shared" si="38"/>
        <v>7</v>
      </c>
      <c r="AF158" s="38">
        <v>-3</v>
      </c>
      <c r="AG158" s="37">
        <f t="shared" si="39"/>
        <v>4</v>
      </c>
      <c r="AH158" s="36">
        <v>0</v>
      </c>
      <c r="AI158" s="5">
        <v>0</v>
      </c>
      <c r="AJ158" s="37">
        <f t="shared" si="40"/>
        <v>4</v>
      </c>
      <c r="AK158" s="38">
        <v>-3</v>
      </c>
      <c r="AL158" s="37">
        <f t="shared" si="41"/>
        <v>1</v>
      </c>
      <c r="AM158" s="35" t="s">
        <v>913</v>
      </c>
      <c r="AN158" s="35" t="s">
        <v>68</v>
      </c>
      <c r="AO158" s="163">
        <v>2700</v>
      </c>
      <c r="AP158" s="5">
        <v>0</v>
      </c>
      <c r="AQ158" s="35"/>
      <c r="AR158" s="35"/>
      <c r="AS158" s="122"/>
      <c r="AT158" s="35">
        <v>525</v>
      </c>
      <c r="AU158" s="35" t="s">
        <v>959</v>
      </c>
    </row>
    <row r="159" spans="1:47" x14ac:dyDescent="0.15">
      <c r="A159" s="14" t="s">
        <v>728</v>
      </c>
      <c r="B159" s="5" t="s">
        <v>729</v>
      </c>
      <c r="C159" s="36">
        <v>0</v>
      </c>
      <c r="D159" s="36">
        <v>0</v>
      </c>
      <c r="E159" s="5">
        <v>0</v>
      </c>
      <c r="F159" s="37">
        <f t="shared" si="28"/>
        <v>0</v>
      </c>
      <c r="G159" s="38">
        <v>0</v>
      </c>
      <c r="H159" s="37">
        <f t="shared" si="29"/>
        <v>0</v>
      </c>
      <c r="I159" s="36">
        <v>0</v>
      </c>
      <c r="J159" s="5">
        <v>10</v>
      </c>
      <c r="K159" s="37">
        <f t="shared" si="30"/>
        <v>-10</v>
      </c>
      <c r="L159" s="38">
        <v>0</v>
      </c>
      <c r="M159" s="37">
        <f t="shared" si="31"/>
        <v>-10</v>
      </c>
      <c r="N159" s="36">
        <v>0</v>
      </c>
      <c r="O159" s="5">
        <v>0</v>
      </c>
      <c r="P159" s="37">
        <f t="shared" si="32"/>
        <v>-10</v>
      </c>
      <c r="Q159" s="38">
        <v>0</v>
      </c>
      <c r="R159" s="37">
        <f t="shared" si="33"/>
        <v>-10</v>
      </c>
      <c r="S159" s="36">
        <v>0</v>
      </c>
      <c r="T159" s="5">
        <v>0</v>
      </c>
      <c r="U159" s="37">
        <f t="shared" si="34"/>
        <v>-10</v>
      </c>
      <c r="V159" s="38">
        <v>0</v>
      </c>
      <c r="W159" s="37">
        <f t="shared" si="35"/>
        <v>-10</v>
      </c>
      <c r="X159" s="36">
        <v>0</v>
      </c>
      <c r="Y159" s="5">
        <v>0</v>
      </c>
      <c r="Z159" s="37">
        <f t="shared" si="36"/>
        <v>-10</v>
      </c>
      <c r="AA159" s="38">
        <v>0</v>
      </c>
      <c r="AB159" s="37">
        <f t="shared" si="37"/>
        <v>-10</v>
      </c>
      <c r="AC159" s="36">
        <v>0</v>
      </c>
      <c r="AD159" s="5">
        <v>0</v>
      </c>
      <c r="AE159" s="37">
        <f t="shared" si="38"/>
        <v>-10</v>
      </c>
      <c r="AF159" s="38">
        <v>0</v>
      </c>
      <c r="AG159" s="37">
        <f t="shared" si="39"/>
        <v>-10</v>
      </c>
      <c r="AH159" s="36">
        <v>0</v>
      </c>
      <c r="AI159" s="5">
        <v>0</v>
      </c>
      <c r="AJ159" s="37">
        <f t="shared" si="40"/>
        <v>-10</v>
      </c>
      <c r="AK159" s="38">
        <v>0</v>
      </c>
      <c r="AL159" s="37">
        <f t="shared" si="41"/>
        <v>-10</v>
      </c>
      <c r="AM159" s="35" t="s">
        <v>913</v>
      </c>
      <c r="AN159" s="35" t="s">
        <v>68</v>
      </c>
      <c r="AO159" s="5">
        <v>320</v>
      </c>
      <c r="AP159" s="5">
        <v>0</v>
      </c>
      <c r="AQ159" s="35"/>
      <c r="AR159" s="35"/>
      <c r="AS159" s="122"/>
      <c r="AT159" s="35">
        <v>525</v>
      </c>
      <c r="AU159" s="35" t="s">
        <v>959</v>
      </c>
    </row>
    <row r="160" spans="1:47" x14ac:dyDescent="0.15">
      <c r="A160" s="14" t="s">
        <v>960</v>
      </c>
      <c r="B160" s="5" t="s">
        <v>961</v>
      </c>
      <c r="C160" s="36">
        <v>0</v>
      </c>
      <c r="D160" s="36">
        <v>0</v>
      </c>
      <c r="E160" s="5">
        <v>0</v>
      </c>
      <c r="F160" s="37">
        <f t="shared" si="28"/>
        <v>0</v>
      </c>
      <c r="G160" s="38">
        <v>0</v>
      </c>
      <c r="H160" s="37">
        <f t="shared" si="29"/>
        <v>0</v>
      </c>
      <c r="I160" s="36">
        <v>20</v>
      </c>
      <c r="J160" s="5">
        <v>10</v>
      </c>
      <c r="K160" s="37">
        <f t="shared" si="30"/>
        <v>10</v>
      </c>
      <c r="L160" s="38">
        <v>0</v>
      </c>
      <c r="M160" s="37">
        <f t="shared" si="31"/>
        <v>10</v>
      </c>
      <c r="N160" s="36">
        <v>20</v>
      </c>
      <c r="O160" s="5">
        <v>15</v>
      </c>
      <c r="P160" s="37">
        <f t="shared" si="32"/>
        <v>15</v>
      </c>
      <c r="Q160" s="38">
        <v>0</v>
      </c>
      <c r="R160" s="37">
        <f t="shared" si="33"/>
        <v>15</v>
      </c>
      <c r="S160" s="36">
        <v>20</v>
      </c>
      <c r="T160" s="5">
        <v>15</v>
      </c>
      <c r="U160" s="37">
        <f t="shared" si="34"/>
        <v>20</v>
      </c>
      <c r="V160" s="38">
        <v>0</v>
      </c>
      <c r="W160" s="37">
        <f t="shared" si="35"/>
        <v>20</v>
      </c>
      <c r="X160" s="36">
        <v>20</v>
      </c>
      <c r="Y160" s="5">
        <v>15</v>
      </c>
      <c r="Z160" s="37">
        <f t="shared" si="36"/>
        <v>25</v>
      </c>
      <c r="AA160" s="38">
        <v>0</v>
      </c>
      <c r="AB160" s="37">
        <f t="shared" si="37"/>
        <v>25</v>
      </c>
      <c r="AC160" s="36">
        <v>20</v>
      </c>
      <c r="AD160" s="5">
        <v>15</v>
      </c>
      <c r="AE160" s="37">
        <f t="shared" si="38"/>
        <v>30</v>
      </c>
      <c r="AF160" s="38">
        <v>0</v>
      </c>
      <c r="AG160" s="37">
        <f t="shared" si="39"/>
        <v>30</v>
      </c>
      <c r="AH160" s="36">
        <v>20</v>
      </c>
      <c r="AI160" s="5">
        <v>33</v>
      </c>
      <c r="AJ160" s="37">
        <f t="shared" si="40"/>
        <v>17</v>
      </c>
      <c r="AK160" s="38">
        <v>0</v>
      </c>
      <c r="AL160" s="37">
        <f t="shared" si="41"/>
        <v>17</v>
      </c>
      <c r="AM160" s="35" t="s">
        <v>913</v>
      </c>
      <c r="AN160" s="35" t="s">
        <v>68</v>
      </c>
      <c r="AO160" s="5">
        <v>320</v>
      </c>
      <c r="AP160" s="5">
        <v>0</v>
      </c>
      <c r="AQ160" s="35"/>
      <c r="AR160" s="35"/>
      <c r="AS160" s="122"/>
      <c r="AT160" s="35">
        <v>525</v>
      </c>
      <c r="AU160" s="35" t="s">
        <v>959</v>
      </c>
    </row>
    <row r="161" spans="1:47" x14ac:dyDescent="0.15">
      <c r="A161" s="14" t="s">
        <v>586</v>
      </c>
      <c r="B161" s="5" t="s">
        <v>587</v>
      </c>
      <c r="C161" s="36">
        <v>6</v>
      </c>
      <c r="D161" s="36">
        <v>0</v>
      </c>
      <c r="E161" s="5">
        <v>0</v>
      </c>
      <c r="F161" s="37">
        <f t="shared" si="28"/>
        <v>6</v>
      </c>
      <c r="G161" s="38">
        <v>0</v>
      </c>
      <c r="H161" s="37">
        <f t="shared" si="29"/>
        <v>6</v>
      </c>
      <c r="I161" s="36">
        <v>0</v>
      </c>
      <c r="J161" s="5">
        <v>1</v>
      </c>
      <c r="K161" s="37">
        <f t="shared" si="30"/>
        <v>5</v>
      </c>
      <c r="L161" s="38">
        <v>-2</v>
      </c>
      <c r="M161" s="37">
        <f t="shared" si="31"/>
        <v>3</v>
      </c>
      <c r="N161" s="36">
        <v>0</v>
      </c>
      <c r="O161" s="5">
        <v>0</v>
      </c>
      <c r="P161" s="37">
        <f t="shared" si="32"/>
        <v>3</v>
      </c>
      <c r="Q161" s="38">
        <v>0</v>
      </c>
      <c r="R161" s="37">
        <f t="shared" si="33"/>
        <v>3</v>
      </c>
      <c r="S161" s="36">
        <v>0</v>
      </c>
      <c r="T161" s="5">
        <v>1</v>
      </c>
      <c r="U161" s="37">
        <f t="shared" si="34"/>
        <v>2</v>
      </c>
      <c r="V161" s="38">
        <v>0</v>
      </c>
      <c r="W161" s="37">
        <f t="shared" si="35"/>
        <v>2</v>
      </c>
      <c r="X161" s="36">
        <v>10</v>
      </c>
      <c r="Y161" s="5">
        <v>0</v>
      </c>
      <c r="Z161" s="37">
        <f t="shared" si="36"/>
        <v>12</v>
      </c>
      <c r="AA161" s="38">
        <v>0</v>
      </c>
      <c r="AB161" s="37">
        <f t="shared" si="37"/>
        <v>12</v>
      </c>
      <c r="AC161" s="36">
        <v>0</v>
      </c>
      <c r="AD161" s="5">
        <v>1</v>
      </c>
      <c r="AE161" s="37">
        <f t="shared" si="38"/>
        <v>11</v>
      </c>
      <c r="AF161" s="38">
        <v>0</v>
      </c>
      <c r="AG161" s="37">
        <f t="shared" si="39"/>
        <v>11</v>
      </c>
      <c r="AH161" s="36">
        <v>0</v>
      </c>
      <c r="AI161" s="5">
        <v>0</v>
      </c>
      <c r="AJ161" s="37">
        <f t="shared" si="40"/>
        <v>11</v>
      </c>
      <c r="AK161" s="38">
        <v>0</v>
      </c>
      <c r="AL161" s="37">
        <f t="shared" si="41"/>
        <v>11</v>
      </c>
      <c r="AM161" s="35" t="s">
        <v>896</v>
      </c>
      <c r="AN161" s="35" t="s">
        <v>68</v>
      </c>
      <c r="AO161" s="163">
        <v>3450</v>
      </c>
      <c r="AP161" s="5">
        <v>0</v>
      </c>
      <c r="AQ161" s="35" t="s">
        <v>67</v>
      </c>
      <c r="AR161" s="35"/>
      <c r="AS161" s="122" t="s">
        <v>916</v>
      </c>
      <c r="AT161" s="35">
        <v>215</v>
      </c>
      <c r="AU161" s="35" t="s">
        <v>962</v>
      </c>
    </row>
    <row r="162" spans="1:47" x14ac:dyDescent="0.15">
      <c r="A162" s="14" t="s">
        <v>579</v>
      </c>
      <c r="B162" s="5" t="s">
        <v>580</v>
      </c>
      <c r="C162" s="36">
        <v>0</v>
      </c>
      <c r="D162" s="36">
        <v>0</v>
      </c>
      <c r="E162" s="5">
        <v>0</v>
      </c>
      <c r="F162" s="37">
        <f t="shared" si="28"/>
        <v>0</v>
      </c>
      <c r="G162" s="38">
        <v>0</v>
      </c>
      <c r="H162" s="37">
        <f t="shared" si="29"/>
        <v>0</v>
      </c>
      <c r="I162" s="36">
        <v>20</v>
      </c>
      <c r="J162" s="5">
        <v>17</v>
      </c>
      <c r="K162" s="37">
        <f t="shared" si="30"/>
        <v>3</v>
      </c>
      <c r="L162" s="38">
        <v>0</v>
      </c>
      <c r="M162" s="37">
        <f t="shared" si="31"/>
        <v>3</v>
      </c>
      <c r="N162" s="36">
        <v>0</v>
      </c>
      <c r="O162" s="5">
        <v>8</v>
      </c>
      <c r="P162" s="37">
        <f t="shared" si="32"/>
        <v>-5</v>
      </c>
      <c r="Q162" s="38">
        <v>0</v>
      </c>
      <c r="R162" s="37">
        <f t="shared" si="33"/>
        <v>-5</v>
      </c>
      <c r="S162" s="36">
        <v>0</v>
      </c>
      <c r="T162" s="5">
        <v>12</v>
      </c>
      <c r="U162" s="37">
        <f t="shared" si="34"/>
        <v>-17</v>
      </c>
      <c r="V162" s="38">
        <v>0</v>
      </c>
      <c r="W162" s="37">
        <f t="shared" si="35"/>
        <v>-17</v>
      </c>
      <c r="X162" s="36">
        <v>0</v>
      </c>
      <c r="Y162" s="5">
        <v>8</v>
      </c>
      <c r="Z162" s="37">
        <f t="shared" si="36"/>
        <v>-25</v>
      </c>
      <c r="AA162" s="38">
        <v>0</v>
      </c>
      <c r="AB162" s="37">
        <f t="shared" si="37"/>
        <v>-25</v>
      </c>
      <c r="AC162" s="36">
        <v>0</v>
      </c>
      <c r="AD162" s="5">
        <v>6</v>
      </c>
      <c r="AE162" s="37">
        <f t="shared" si="38"/>
        <v>-31</v>
      </c>
      <c r="AF162" s="38">
        <v>0</v>
      </c>
      <c r="AG162" s="37">
        <f t="shared" si="39"/>
        <v>-31</v>
      </c>
      <c r="AH162" s="36">
        <v>0</v>
      </c>
      <c r="AI162" s="5">
        <v>0</v>
      </c>
      <c r="AJ162" s="37">
        <f t="shared" si="40"/>
        <v>-31</v>
      </c>
      <c r="AK162" s="38">
        <v>0</v>
      </c>
      <c r="AL162" s="37">
        <f t="shared" si="41"/>
        <v>-31</v>
      </c>
      <c r="AM162" s="35" t="s">
        <v>896</v>
      </c>
      <c r="AN162" s="35" t="s">
        <v>68</v>
      </c>
      <c r="AO162" s="5">
        <v>260</v>
      </c>
      <c r="AP162" s="5">
        <v>0</v>
      </c>
      <c r="AQ162" s="35"/>
      <c r="AR162" s="35"/>
      <c r="AS162" s="122">
        <v>4580450000000</v>
      </c>
      <c r="AT162" s="35"/>
      <c r="AU162" s="35"/>
    </row>
    <row r="163" spans="1:47" x14ac:dyDescent="0.15">
      <c r="A163" s="14" t="s">
        <v>963</v>
      </c>
      <c r="B163" s="5" t="s">
        <v>964</v>
      </c>
      <c r="C163" s="36">
        <v>5</v>
      </c>
      <c r="D163" s="36">
        <v>5</v>
      </c>
      <c r="E163" s="5">
        <v>0</v>
      </c>
      <c r="F163" s="37">
        <f t="shared" si="28"/>
        <v>10</v>
      </c>
      <c r="G163" s="38">
        <v>0</v>
      </c>
      <c r="H163" s="37">
        <f t="shared" si="29"/>
        <v>10</v>
      </c>
      <c r="I163" s="36">
        <v>0</v>
      </c>
      <c r="J163" s="5">
        <v>3</v>
      </c>
      <c r="K163" s="37">
        <f t="shared" si="30"/>
        <v>7</v>
      </c>
      <c r="L163" s="38">
        <v>-3</v>
      </c>
      <c r="M163" s="37">
        <f t="shared" si="31"/>
        <v>4</v>
      </c>
      <c r="N163" s="36">
        <v>0</v>
      </c>
      <c r="O163" s="5">
        <v>1</v>
      </c>
      <c r="P163" s="37">
        <f t="shared" si="32"/>
        <v>3</v>
      </c>
      <c r="Q163" s="38">
        <v>0</v>
      </c>
      <c r="R163" s="37">
        <f t="shared" si="33"/>
        <v>3</v>
      </c>
      <c r="S163" s="36">
        <v>10</v>
      </c>
      <c r="T163" s="5">
        <v>3</v>
      </c>
      <c r="U163" s="37">
        <f t="shared" si="34"/>
        <v>10</v>
      </c>
      <c r="V163" s="38">
        <v>-2</v>
      </c>
      <c r="W163" s="37">
        <f t="shared" si="35"/>
        <v>8</v>
      </c>
      <c r="X163" s="36">
        <v>0</v>
      </c>
      <c r="Y163" s="5">
        <v>2</v>
      </c>
      <c r="Z163" s="37">
        <f t="shared" si="36"/>
        <v>6</v>
      </c>
      <c r="AA163" s="38">
        <v>-1</v>
      </c>
      <c r="AB163" s="37">
        <f t="shared" si="37"/>
        <v>5</v>
      </c>
      <c r="AC163" s="36">
        <v>5</v>
      </c>
      <c r="AD163" s="5">
        <v>1</v>
      </c>
      <c r="AE163" s="37">
        <f t="shared" si="38"/>
        <v>9</v>
      </c>
      <c r="AF163" s="38">
        <v>-1</v>
      </c>
      <c r="AG163" s="37">
        <f t="shared" si="39"/>
        <v>8</v>
      </c>
      <c r="AH163" s="36">
        <v>0</v>
      </c>
      <c r="AI163" s="5">
        <v>1</v>
      </c>
      <c r="AJ163" s="37">
        <f t="shared" si="40"/>
        <v>7</v>
      </c>
      <c r="AK163" s="38">
        <v>0</v>
      </c>
      <c r="AL163" s="37">
        <f t="shared" si="41"/>
        <v>7</v>
      </c>
      <c r="AM163" s="35" t="s">
        <v>574</v>
      </c>
      <c r="AN163" s="35" t="s">
        <v>68</v>
      </c>
      <c r="AO163" s="163">
        <v>2800</v>
      </c>
      <c r="AP163" s="5">
        <v>0</v>
      </c>
      <c r="AQ163" s="35"/>
      <c r="AR163" s="35"/>
      <c r="AS163" s="122" t="s">
        <v>916</v>
      </c>
      <c r="AT163" s="35"/>
      <c r="AU163" s="35"/>
    </row>
    <row r="164" spans="1:47" x14ac:dyDescent="0.15">
      <c r="A164" s="14" t="s">
        <v>965</v>
      </c>
      <c r="B164" s="5" t="s">
        <v>966</v>
      </c>
      <c r="C164" s="36">
        <v>0</v>
      </c>
      <c r="D164" s="36">
        <v>0</v>
      </c>
      <c r="E164" s="5">
        <v>0</v>
      </c>
      <c r="F164" s="37">
        <f t="shared" si="28"/>
        <v>0</v>
      </c>
      <c r="G164" s="38">
        <v>0</v>
      </c>
      <c r="H164" s="37">
        <f t="shared" si="29"/>
        <v>0</v>
      </c>
      <c r="I164" s="36">
        <v>59</v>
      </c>
      <c r="J164" s="5">
        <v>51</v>
      </c>
      <c r="K164" s="37">
        <f t="shared" si="30"/>
        <v>8</v>
      </c>
      <c r="L164" s="38">
        <v>0</v>
      </c>
      <c r="M164" s="37">
        <f t="shared" si="31"/>
        <v>8</v>
      </c>
      <c r="N164" s="36">
        <v>0</v>
      </c>
      <c r="O164" s="5">
        <v>11</v>
      </c>
      <c r="P164" s="37">
        <f t="shared" si="32"/>
        <v>-3</v>
      </c>
      <c r="Q164" s="38">
        <v>0</v>
      </c>
      <c r="R164" s="37">
        <f t="shared" si="33"/>
        <v>-3</v>
      </c>
      <c r="S164" s="36">
        <v>40</v>
      </c>
      <c r="T164" s="5">
        <v>29</v>
      </c>
      <c r="U164" s="37">
        <f t="shared" si="34"/>
        <v>8</v>
      </c>
      <c r="V164" s="38">
        <v>0</v>
      </c>
      <c r="W164" s="37">
        <f t="shared" si="35"/>
        <v>8</v>
      </c>
      <c r="X164" s="36">
        <v>20</v>
      </c>
      <c r="Y164" s="5">
        <v>16</v>
      </c>
      <c r="Z164" s="37">
        <f t="shared" si="36"/>
        <v>12</v>
      </c>
      <c r="AA164" s="38">
        <v>0</v>
      </c>
      <c r="AB164" s="37">
        <f t="shared" si="37"/>
        <v>12</v>
      </c>
      <c r="AC164" s="36">
        <v>20</v>
      </c>
      <c r="AD164" s="5">
        <v>26</v>
      </c>
      <c r="AE164" s="37">
        <f t="shared" si="38"/>
        <v>6</v>
      </c>
      <c r="AF164" s="38">
        <v>0</v>
      </c>
      <c r="AG164" s="37">
        <f t="shared" si="39"/>
        <v>6</v>
      </c>
      <c r="AH164" s="36">
        <v>0</v>
      </c>
      <c r="AI164" s="5">
        <v>8</v>
      </c>
      <c r="AJ164" s="37">
        <f t="shared" si="40"/>
        <v>-2</v>
      </c>
      <c r="AK164" s="38">
        <v>0</v>
      </c>
      <c r="AL164" s="37">
        <f t="shared" si="41"/>
        <v>-2</v>
      </c>
      <c r="AM164" s="35" t="s">
        <v>574</v>
      </c>
      <c r="AN164" s="35" t="s">
        <v>68</v>
      </c>
      <c r="AO164" s="5">
        <v>165</v>
      </c>
      <c r="AP164" s="5">
        <v>0</v>
      </c>
      <c r="AQ164" s="35"/>
      <c r="AR164" s="35"/>
      <c r="AS164" s="122" t="s">
        <v>916</v>
      </c>
      <c r="AT164" s="35"/>
      <c r="AU164" s="35"/>
    </row>
    <row r="165" spans="1:47" x14ac:dyDescent="0.15">
      <c r="A165" s="14" t="s">
        <v>336</v>
      </c>
      <c r="B165" s="5" t="s">
        <v>337</v>
      </c>
      <c r="C165" s="36">
        <v>43</v>
      </c>
      <c r="D165" s="36">
        <v>0</v>
      </c>
      <c r="E165" s="5">
        <v>0</v>
      </c>
      <c r="F165" s="37">
        <f t="shared" si="28"/>
        <v>43</v>
      </c>
      <c r="G165" s="38">
        <v>0</v>
      </c>
      <c r="H165" s="37">
        <f t="shared" si="29"/>
        <v>43</v>
      </c>
      <c r="I165" s="36">
        <v>0</v>
      </c>
      <c r="J165" s="5">
        <v>0</v>
      </c>
      <c r="K165" s="37">
        <f t="shared" si="30"/>
        <v>43</v>
      </c>
      <c r="L165" s="38">
        <v>0</v>
      </c>
      <c r="M165" s="37">
        <f t="shared" si="31"/>
        <v>43</v>
      </c>
      <c r="N165" s="36">
        <v>0</v>
      </c>
      <c r="O165" s="5">
        <v>0</v>
      </c>
      <c r="P165" s="37">
        <f t="shared" si="32"/>
        <v>43</v>
      </c>
      <c r="Q165" s="38">
        <v>0</v>
      </c>
      <c r="R165" s="37">
        <f t="shared" si="33"/>
        <v>43</v>
      </c>
      <c r="S165" s="36">
        <v>0</v>
      </c>
      <c r="T165" s="5">
        <v>0</v>
      </c>
      <c r="U165" s="37">
        <f t="shared" si="34"/>
        <v>43</v>
      </c>
      <c r="V165" s="38">
        <v>0</v>
      </c>
      <c r="W165" s="37">
        <f t="shared" si="35"/>
        <v>43</v>
      </c>
      <c r="X165" s="36">
        <v>0</v>
      </c>
      <c r="Y165" s="5">
        <v>0</v>
      </c>
      <c r="Z165" s="37">
        <f t="shared" si="36"/>
        <v>43</v>
      </c>
      <c r="AA165" s="38">
        <v>0</v>
      </c>
      <c r="AB165" s="37">
        <f t="shared" si="37"/>
        <v>43</v>
      </c>
      <c r="AC165" s="36">
        <v>0</v>
      </c>
      <c r="AD165" s="5">
        <v>0</v>
      </c>
      <c r="AE165" s="37">
        <f t="shared" si="38"/>
        <v>43</v>
      </c>
      <c r="AF165" s="38">
        <v>0</v>
      </c>
      <c r="AG165" s="37">
        <f t="shared" si="39"/>
        <v>43</v>
      </c>
      <c r="AH165" s="36">
        <v>0</v>
      </c>
      <c r="AI165" s="5">
        <v>0</v>
      </c>
      <c r="AJ165" s="37">
        <f t="shared" si="40"/>
        <v>43</v>
      </c>
      <c r="AK165" s="38">
        <v>0</v>
      </c>
      <c r="AL165" s="37">
        <f t="shared" si="41"/>
        <v>43</v>
      </c>
      <c r="AM165" s="35" t="s">
        <v>896</v>
      </c>
      <c r="AN165" s="35" t="s">
        <v>68</v>
      </c>
      <c r="AO165" s="5">
        <v>240</v>
      </c>
      <c r="AP165" s="5">
        <v>0</v>
      </c>
      <c r="AQ165" s="35"/>
      <c r="AR165" s="35"/>
      <c r="AS165" s="122">
        <v>4580445524553</v>
      </c>
      <c r="AT165" s="35">
        <v>246</v>
      </c>
      <c r="AU165" s="35" t="s">
        <v>967</v>
      </c>
    </row>
    <row r="166" spans="1:47" x14ac:dyDescent="0.15">
      <c r="A166" s="14" t="s">
        <v>525</v>
      </c>
      <c r="B166" s="5" t="s">
        <v>526</v>
      </c>
      <c r="C166" s="36">
        <v>5</v>
      </c>
      <c r="D166" s="36">
        <v>0</v>
      </c>
      <c r="E166" s="5">
        <v>0</v>
      </c>
      <c r="F166" s="37">
        <f t="shared" si="28"/>
        <v>5</v>
      </c>
      <c r="G166" s="38">
        <v>0</v>
      </c>
      <c r="H166" s="37">
        <f t="shared" si="29"/>
        <v>5</v>
      </c>
      <c r="I166" s="36">
        <v>20</v>
      </c>
      <c r="J166" s="5">
        <v>9</v>
      </c>
      <c r="K166" s="37">
        <f t="shared" si="30"/>
        <v>16</v>
      </c>
      <c r="L166" s="38">
        <v>0</v>
      </c>
      <c r="M166" s="37">
        <f t="shared" si="31"/>
        <v>16</v>
      </c>
      <c r="N166" s="36">
        <v>0</v>
      </c>
      <c r="O166" s="5">
        <v>0</v>
      </c>
      <c r="P166" s="37">
        <f t="shared" si="32"/>
        <v>16</v>
      </c>
      <c r="Q166" s="38">
        <v>0</v>
      </c>
      <c r="R166" s="37">
        <f t="shared" si="33"/>
        <v>16</v>
      </c>
      <c r="S166" s="36">
        <v>0</v>
      </c>
      <c r="T166" s="5">
        <v>6</v>
      </c>
      <c r="U166" s="37">
        <f t="shared" si="34"/>
        <v>10</v>
      </c>
      <c r="V166" s="38">
        <v>0</v>
      </c>
      <c r="W166" s="37">
        <f t="shared" si="35"/>
        <v>10</v>
      </c>
      <c r="X166" s="36">
        <v>0</v>
      </c>
      <c r="Y166" s="5">
        <v>0</v>
      </c>
      <c r="Z166" s="37">
        <f t="shared" si="36"/>
        <v>10</v>
      </c>
      <c r="AA166" s="38">
        <v>0</v>
      </c>
      <c r="AB166" s="37">
        <f t="shared" si="37"/>
        <v>10</v>
      </c>
      <c r="AC166" s="36">
        <v>0</v>
      </c>
      <c r="AD166" s="5">
        <v>0</v>
      </c>
      <c r="AE166" s="37">
        <f t="shared" si="38"/>
        <v>10</v>
      </c>
      <c r="AF166" s="38">
        <v>0</v>
      </c>
      <c r="AG166" s="37">
        <f t="shared" si="39"/>
        <v>10</v>
      </c>
      <c r="AH166" s="36">
        <v>0</v>
      </c>
      <c r="AI166" s="5">
        <v>0</v>
      </c>
      <c r="AJ166" s="37">
        <f t="shared" si="40"/>
        <v>10</v>
      </c>
      <c r="AK166" s="38">
        <v>0</v>
      </c>
      <c r="AL166" s="37">
        <f t="shared" si="41"/>
        <v>10</v>
      </c>
      <c r="AM166" s="35" t="s">
        <v>896</v>
      </c>
      <c r="AN166" s="35" t="s">
        <v>68</v>
      </c>
      <c r="AO166" s="5">
        <v>240</v>
      </c>
      <c r="AP166" s="5">
        <v>0</v>
      </c>
      <c r="AQ166" s="35"/>
      <c r="AR166" s="35"/>
      <c r="AS166" s="122"/>
      <c r="AT166" s="35">
        <v>215</v>
      </c>
      <c r="AU166" s="35" t="s">
        <v>962</v>
      </c>
    </row>
    <row r="167" spans="1:47" x14ac:dyDescent="0.15">
      <c r="A167" s="14" t="s">
        <v>527</v>
      </c>
      <c r="B167" s="5" t="s">
        <v>809</v>
      </c>
      <c r="C167" s="36">
        <v>0</v>
      </c>
      <c r="D167" s="36">
        <v>0</v>
      </c>
      <c r="E167" s="5">
        <v>0</v>
      </c>
      <c r="F167" s="37">
        <f t="shared" si="28"/>
        <v>0</v>
      </c>
      <c r="G167" s="38">
        <v>0</v>
      </c>
      <c r="H167" s="37">
        <f t="shared" si="29"/>
        <v>0</v>
      </c>
      <c r="I167" s="36">
        <v>5</v>
      </c>
      <c r="J167" s="5">
        <v>1</v>
      </c>
      <c r="K167" s="37">
        <f t="shared" si="30"/>
        <v>4</v>
      </c>
      <c r="L167" s="38">
        <v>-1</v>
      </c>
      <c r="M167" s="37">
        <f t="shared" si="31"/>
        <v>3</v>
      </c>
      <c r="N167" s="36">
        <v>0</v>
      </c>
      <c r="O167" s="5">
        <v>1</v>
      </c>
      <c r="P167" s="37">
        <f t="shared" si="32"/>
        <v>2</v>
      </c>
      <c r="Q167" s="38">
        <v>0</v>
      </c>
      <c r="R167" s="37">
        <f t="shared" si="33"/>
        <v>2</v>
      </c>
      <c r="S167" s="36">
        <v>0</v>
      </c>
      <c r="T167" s="5">
        <v>1</v>
      </c>
      <c r="U167" s="37">
        <f t="shared" si="34"/>
        <v>1</v>
      </c>
      <c r="V167" s="38">
        <v>0</v>
      </c>
      <c r="W167" s="37">
        <f t="shared" si="35"/>
        <v>1</v>
      </c>
      <c r="X167" s="36">
        <v>0</v>
      </c>
      <c r="Y167" s="5">
        <v>1</v>
      </c>
      <c r="Z167" s="37">
        <f t="shared" si="36"/>
        <v>0</v>
      </c>
      <c r="AA167" s="38">
        <v>0</v>
      </c>
      <c r="AB167" s="37">
        <f t="shared" si="37"/>
        <v>0</v>
      </c>
      <c r="AC167" s="36">
        <v>0</v>
      </c>
      <c r="AD167" s="5">
        <v>0</v>
      </c>
      <c r="AE167" s="37">
        <f t="shared" si="38"/>
        <v>0</v>
      </c>
      <c r="AF167" s="38">
        <v>0</v>
      </c>
      <c r="AG167" s="37">
        <f t="shared" si="39"/>
        <v>0</v>
      </c>
      <c r="AH167" s="36">
        <v>0</v>
      </c>
      <c r="AI167" s="5">
        <v>0</v>
      </c>
      <c r="AJ167" s="37">
        <f t="shared" si="40"/>
        <v>0</v>
      </c>
      <c r="AK167" s="38">
        <v>0</v>
      </c>
      <c r="AL167" s="37">
        <f t="shared" si="41"/>
        <v>0</v>
      </c>
      <c r="AM167" s="35" t="s">
        <v>896</v>
      </c>
      <c r="AN167" s="35" t="s">
        <v>68</v>
      </c>
      <c r="AO167" s="163">
        <v>4000</v>
      </c>
      <c r="AP167" s="5">
        <v>0</v>
      </c>
      <c r="AQ167" s="35" t="s">
        <v>67</v>
      </c>
      <c r="AR167" s="35"/>
      <c r="AS167" s="122"/>
      <c r="AT167" s="35">
        <v>215</v>
      </c>
      <c r="AU167" s="35" t="s">
        <v>962</v>
      </c>
    </row>
    <row r="168" spans="1:47" x14ac:dyDescent="0.15">
      <c r="A168" s="14" t="s">
        <v>480</v>
      </c>
      <c r="B168" s="5" t="s">
        <v>481</v>
      </c>
      <c r="C168" s="36">
        <v>74</v>
      </c>
      <c r="D168" s="36">
        <v>0</v>
      </c>
      <c r="E168" s="5">
        <v>0</v>
      </c>
      <c r="F168" s="37">
        <f t="shared" si="28"/>
        <v>74</v>
      </c>
      <c r="G168" s="38">
        <v>0</v>
      </c>
      <c r="H168" s="37">
        <f t="shared" si="29"/>
        <v>74</v>
      </c>
      <c r="I168" s="36">
        <v>20</v>
      </c>
      <c r="J168" s="5">
        <v>20</v>
      </c>
      <c r="K168" s="37">
        <f t="shared" si="30"/>
        <v>74</v>
      </c>
      <c r="L168" s="38">
        <v>0</v>
      </c>
      <c r="M168" s="37">
        <f t="shared" si="31"/>
        <v>74</v>
      </c>
      <c r="N168" s="36">
        <v>0</v>
      </c>
      <c r="O168" s="5">
        <v>30</v>
      </c>
      <c r="P168" s="37">
        <f t="shared" si="32"/>
        <v>44</v>
      </c>
      <c r="Q168" s="38">
        <v>0</v>
      </c>
      <c r="R168" s="37">
        <f t="shared" si="33"/>
        <v>44</v>
      </c>
      <c r="S168" s="36">
        <v>60</v>
      </c>
      <c r="T168" s="5">
        <v>30</v>
      </c>
      <c r="U168" s="37">
        <f t="shared" si="34"/>
        <v>74</v>
      </c>
      <c r="V168" s="38">
        <v>0</v>
      </c>
      <c r="W168" s="37">
        <f t="shared" si="35"/>
        <v>74</v>
      </c>
      <c r="X168" s="36">
        <v>0</v>
      </c>
      <c r="Y168" s="5">
        <v>30</v>
      </c>
      <c r="Z168" s="37">
        <f t="shared" si="36"/>
        <v>44</v>
      </c>
      <c r="AA168" s="38">
        <v>0</v>
      </c>
      <c r="AB168" s="37">
        <f t="shared" si="37"/>
        <v>44</v>
      </c>
      <c r="AC168" s="36">
        <v>100</v>
      </c>
      <c r="AD168" s="5">
        <v>30</v>
      </c>
      <c r="AE168" s="37">
        <f t="shared" si="38"/>
        <v>114</v>
      </c>
      <c r="AF168" s="38">
        <v>0</v>
      </c>
      <c r="AG168" s="37">
        <f t="shared" si="39"/>
        <v>114</v>
      </c>
      <c r="AH168" s="36">
        <v>0</v>
      </c>
      <c r="AI168" s="5">
        <v>80</v>
      </c>
      <c r="AJ168" s="37">
        <f t="shared" si="40"/>
        <v>34</v>
      </c>
      <c r="AK168" s="38">
        <v>0</v>
      </c>
      <c r="AL168" s="37">
        <f t="shared" si="41"/>
        <v>34</v>
      </c>
      <c r="AM168" s="35" t="s">
        <v>913</v>
      </c>
      <c r="AN168" s="35" t="s">
        <v>68</v>
      </c>
      <c r="AO168" s="5">
        <v>220</v>
      </c>
      <c r="AP168" s="5">
        <v>0</v>
      </c>
      <c r="AQ168" s="35"/>
      <c r="AR168" s="35"/>
      <c r="AS168" s="122"/>
      <c r="AT168" s="35">
        <v>525</v>
      </c>
      <c r="AU168" s="35" t="s">
        <v>959</v>
      </c>
    </row>
    <row r="169" spans="1:47" x14ac:dyDescent="0.15">
      <c r="A169" s="14" t="s">
        <v>482</v>
      </c>
      <c r="B169" s="5" t="s">
        <v>483</v>
      </c>
      <c r="C169" s="36">
        <v>0</v>
      </c>
      <c r="D169" s="36">
        <v>0</v>
      </c>
      <c r="E169" s="5">
        <v>0</v>
      </c>
      <c r="F169" s="37">
        <f t="shared" si="28"/>
        <v>0</v>
      </c>
      <c r="G169" s="38">
        <v>0</v>
      </c>
      <c r="H169" s="37">
        <f t="shared" si="29"/>
        <v>0</v>
      </c>
      <c r="I169" s="36">
        <v>20</v>
      </c>
      <c r="J169" s="5">
        <v>10</v>
      </c>
      <c r="K169" s="37">
        <f t="shared" si="30"/>
        <v>10</v>
      </c>
      <c r="L169" s="38">
        <v>0</v>
      </c>
      <c r="M169" s="37">
        <f t="shared" si="31"/>
        <v>10</v>
      </c>
      <c r="N169" s="36">
        <v>0</v>
      </c>
      <c r="O169" s="5">
        <v>10</v>
      </c>
      <c r="P169" s="37">
        <f t="shared" si="32"/>
        <v>0</v>
      </c>
      <c r="Q169" s="38">
        <v>0</v>
      </c>
      <c r="R169" s="37">
        <f t="shared" si="33"/>
        <v>0</v>
      </c>
      <c r="S169" s="36">
        <v>20</v>
      </c>
      <c r="T169" s="5">
        <v>10</v>
      </c>
      <c r="U169" s="37">
        <f t="shared" si="34"/>
        <v>10</v>
      </c>
      <c r="V169" s="38">
        <v>0</v>
      </c>
      <c r="W169" s="37">
        <f t="shared" si="35"/>
        <v>10</v>
      </c>
      <c r="X169" s="36">
        <v>0</v>
      </c>
      <c r="Y169" s="5">
        <v>10</v>
      </c>
      <c r="Z169" s="37">
        <f t="shared" si="36"/>
        <v>0</v>
      </c>
      <c r="AA169" s="38">
        <v>0</v>
      </c>
      <c r="AB169" s="37">
        <f t="shared" si="37"/>
        <v>0</v>
      </c>
      <c r="AC169" s="36">
        <v>40</v>
      </c>
      <c r="AD169" s="5">
        <v>10</v>
      </c>
      <c r="AE169" s="37">
        <f t="shared" si="38"/>
        <v>30</v>
      </c>
      <c r="AF169" s="38">
        <v>0</v>
      </c>
      <c r="AG169" s="37">
        <f t="shared" si="39"/>
        <v>30</v>
      </c>
      <c r="AH169" s="36">
        <v>0</v>
      </c>
      <c r="AI169" s="5">
        <v>30</v>
      </c>
      <c r="AJ169" s="37">
        <f t="shared" si="40"/>
        <v>0</v>
      </c>
      <c r="AK169" s="38">
        <v>0</v>
      </c>
      <c r="AL169" s="37">
        <f t="shared" si="41"/>
        <v>0</v>
      </c>
      <c r="AM169" s="35" t="s">
        <v>913</v>
      </c>
      <c r="AN169" s="35" t="s">
        <v>68</v>
      </c>
      <c r="AO169" s="5">
        <v>0</v>
      </c>
      <c r="AP169" s="5">
        <v>0</v>
      </c>
      <c r="AQ169" s="35"/>
      <c r="AR169" s="35"/>
      <c r="AS169" s="122"/>
      <c r="AT169" s="35">
        <v>525</v>
      </c>
      <c r="AU169" s="35" t="s">
        <v>959</v>
      </c>
    </row>
    <row r="170" spans="1:47" x14ac:dyDescent="0.15">
      <c r="A170" s="14" t="s">
        <v>371</v>
      </c>
      <c r="B170" s="5" t="s">
        <v>372</v>
      </c>
      <c r="C170" s="36">
        <v>25</v>
      </c>
      <c r="D170" s="36">
        <v>40</v>
      </c>
      <c r="E170" s="5">
        <v>2</v>
      </c>
      <c r="F170" s="37">
        <f t="shared" si="28"/>
        <v>63</v>
      </c>
      <c r="G170" s="38">
        <v>0</v>
      </c>
      <c r="H170" s="37">
        <f t="shared" si="29"/>
        <v>63</v>
      </c>
      <c r="I170" s="36">
        <v>0</v>
      </c>
      <c r="J170" s="5">
        <v>12</v>
      </c>
      <c r="K170" s="37">
        <f t="shared" si="30"/>
        <v>51</v>
      </c>
      <c r="L170" s="38">
        <v>-8</v>
      </c>
      <c r="M170" s="37">
        <f t="shared" si="31"/>
        <v>43</v>
      </c>
      <c r="N170" s="36">
        <v>0</v>
      </c>
      <c r="O170" s="5">
        <v>16</v>
      </c>
      <c r="P170" s="37">
        <f t="shared" si="32"/>
        <v>27</v>
      </c>
      <c r="Q170" s="38">
        <v>0</v>
      </c>
      <c r="R170" s="37">
        <f t="shared" si="33"/>
        <v>27</v>
      </c>
      <c r="S170" s="36">
        <v>40</v>
      </c>
      <c r="T170" s="5">
        <v>19</v>
      </c>
      <c r="U170" s="37">
        <f t="shared" si="34"/>
        <v>48</v>
      </c>
      <c r="V170" s="38">
        <v>0</v>
      </c>
      <c r="W170" s="37">
        <f t="shared" si="35"/>
        <v>48</v>
      </c>
      <c r="X170" s="36">
        <v>0</v>
      </c>
      <c r="Y170" s="5">
        <v>15</v>
      </c>
      <c r="Z170" s="37">
        <f t="shared" si="36"/>
        <v>33</v>
      </c>
      <c r="AA170" s="38">
        <v>0</v>
      </c>
      <c r="AB170" s="37">
        <f t="shared" si="37"/>
        <v>33</v>
      </c>
      <c r="AC170" s="36">
        <v>40</v>
      </c>
      <c r="AD170" s="5">
        <v>10</v>
      </c>
      <c r="AE170" s="37">
        <f t="shared" si="38"/>
        <v>63</v>
      </c>
      <c r="AF170" s="38">
        <v>0</v>
      </c>
      <c r="AG170" s="37">
        <f t="shared" si="39"/>
        <v>63</v>
      </c>
      <c r="AH170" s="36">
        <v>0</v>
      </c>
      <c r="AI170" s="5">
        <v>19</v>
      </c>
      <c r="AJ170" s="37">
        <f t="shared" si="40"/>
        <v>44</v>
      </c>
      <c r="AK170" s="38">
        <v>0</v>
      </c>
      <c r="AL170" s="37">
        <f t="shared" si="41"/>
        <v>44</v>
      </c>
      <c r="AM170" s="35" t="s">
        <v>574</v>
      </c>
      <c r="AN170" s="35" t="s">
        <v>68</v>
      </c>
      <c r="AO170" s="163">
        <v>2300</v>
      </c>
      <c r="AP170" s="5">
        <v>0</v>
      </c>
      <c r="AQ170" s="35"/>
      <c r="AR170" s="35"/>
      <c r="AS170" s="122"/>
      <c r="AT170" s="35">
        <v>194</v>
      </c>
      <c r="AU170" s="35" t="s">
        <v>968</v>
      </c>
    </row>
    <row r="171" spans="1:47" x14ac:dyDescent="0.15">
      <c r="A171" s="14" t="s">
        <v>373</v>
      </c>
      <c r="B171" s="5" t="s">
        <v>374</v>
      </c>
      <c r="C171" s="36">
        <v>11</v>
      </c>
      <c r="D171" s="36">
        <v>0</v>
      </c>
      <c r="E171" s="5">
        <v>0</v>
      </c>
      <c r="F171" s="37">
        <f t="shared" si="28"/>
        <v>11</v>
      </c>
      <c r="G171" s="38">
        <v>0</v>
      </c>
      <c r="H171" s="37">
        <f t="shared" si="29"/>
        <v>11</v>
      </c>
      <c r="I171" s="36">
        <v>105</v>
      </c>
      <c r="J171" s="5">
        <v>91</v>
      </c>
      <c r="K171" s="37">
        <f t="shared" si="30"/>
        <v>25</v>
      </c>
      <c r="L171" s="38">
        <v>0</v>
      </c>
      <c r="M171" s="37">
        <f t="shared" si="31"/>
        <v>25</v>
      </c>
      <c r="N171" s="36">
        <v>0</v>
      </c>
      <c r="O171" s="5">
        <v>40</v>
      </c>
      <c r="P171" s="37">
        <f t="shared" si="32"/>
        <v>-15</v>
      </c>
      <c r="Q171" s="38">
        <v>0</v>
      </c>
      <c r="R171" s="37">
        <f t="shared" si="33"/>
        <v>-15</v>
      </c>
      <c r="S171" s="36">
        <v>0</v>
      </c>
      <c r="T171" s="5">
        <v>84</v>
      </c>
      <c r="U171" s="37">
        <f t="shared" si="34"/>
        <v>-99</v>
      </c>
      <c r="V171" s="38">
        <v>0</v>
      </c>
      <c r="W171" s="37">
        <f t="shared" si="35"/>
        <v>-99</v>
      </c>
      <c r="X171" s="36">
        <v>0</v>
      </c>
      <c r="Y171" s="5">
        <v>40</v>
      </c>
      <c r="Z171" s="37">
        <f t="shared" si="36"/>
        <v>-139</v>
      </c>
      <c r="AA171" s="38">
        <v>0</v>
      </c>
      <c r="AB171" s="37">
        <f t="shared" si="37"/>
        <v>-139</v>
      </c>
      <c r="AC171" s="36">
        <v>0</v>
      </c>
      <c r="AD171" s="5">
        <v>49</v>
      </c>
      <c r="AE171" s="37">
        <f t="shared" si="38"/>
        <v>-188</v>
      </c>
      <c r="AF171" s="38">
        <v>0</v>
      </c>
      <c r="AG171" s="37">
        <f t="shared" si="39"/>
        <v>-188</v>
      </c>
      <c r="AH171" s="36">
        <v>0</v>
      </c>
      <c r="AI171" s="5">
        <v>93</v>
      </c>
      <c r="AJ171" s="37">
        <f t="shared" si="40"/>
        <v>-281</v>
      </c>
      <c r="AK171" s="38">
        <v>0</v>
      </c>
      <c r="AL171" s="37">
        <f t="shared" si="41"/>
        <v>-281</v>
      </c>
      <c r="AM171" s="35" t="s">
        <v>574</v>
      </c>
      <c r="AN171" s="35" t="s">
        <v>68</v>
      </c>
      <c r="AO171" s="5">
        <v>110</v>
      </c>
      <c r="AP171" s="5">
        <v>0</v>
      </c>
      <c r="AQ171" s="35"/>
      <c r="AR171" s="35"/>
      <c r="AS171" s="122"/>
      <c r="AT171" s="35">
        <v>194</v>
      </c>
      <c r="AU171" s="35" t="s">
        <v>968</v>
      </c>
    </row>
    <row r="172" spans="1:47" x14ac:dyDescent="0.15">
      <c r="A172" s="14" t="s">
        <v>377</v>
      </c>
      <c r="B172" s="5" t="s">
        <v>378</v>
      </c>
      <c r="C172" s="36">
        <v>0</v>
      </c>
      <c r="D172" s="36">
        <v>0</v>
      </c>
      <c r="E172" s="5">
        <v>0</v>
      </c>
      <c r="F172" s="37">
        <f t="shared" si="28"/>
        <v>0</v>
      </c>
      <c r="G172" s="38">
        <v>0</v>
      </c>
      <c r="H172" s="37">
        <f t="shared" si="29"/>
        <v>0</v>
      </c>
      <c r="I172" s="36">
        <v>53</v>
      </c>
      <c r="J172" s="5">
        <v>53</v>
      </c>
      <c r="K172" s="37">
        <f t="shared" si="30"/>
        <v>0</v>
      </c>
      <c r="L172" s="38">
        <v>0</v>
      </c>
      <c r="M172" s="37">
        <f t="shared" si="31"/>
        <v>0</v>
      </c>
      <c r="N172" s="36">
        <v>0</v>
      </c>
      <c r="O172" s="5">
        <v>3</v>
      </c>
      <c r="P172" s="37">
        <f t="shared" si="32"/>
        <v>-3</v>
      </c>
      <c r="Q172" s="38">
        <v>0</v>
      </c>
      <c r="R172" s="37">
        <f t="shared" si="33"/>
        <v>-3</v>
      </c>
      <c r="S172" s="36">
        <v>0</v>
      </c>
      <c r="T172" s="5">
        <v>28</v>
      </c>
      <c r="U172" s="37">
        <f t="shared" si="34"/>
        <v>-31</v>
      </c>
      <c r="V172" s="38">
        <v>0</v>
      </c>
      <c r="W172" s="37">
        <f t="shared" si="35"/>
        <v>-31</v>
      </c>
      <c r="X172" s="36">
        <v>0</v>
      </c>
      <c r="Y172" s="5">
        <v>53</v>
      </c>
      <c r="Z172" s="37">
        <f t="shared" si="36"/>
        <v>-84</v>
      </c>
      <c r="AA172" s="38">
        <v>0</v>
      </c>
      <c r="AB172" s="37">
        <f t="shared" si="37"/>
        <v>-84</v>
      </c>
      <c r="AC172" s="36">
        <v>0</v>
      </c>
      <c r="AD172" s="5">
        <v>3</v>
      </c>
      <c r="AE172" s="37">
        <f t="shared" si="38"/>
        <v>-87</v>
      </c>
      <c r="AF172" s="38">
        <v>0</v>
      </c>
      <c r="AG172" s="37">
        <f t="shared" si="39"/>
        <v>-87</v>
      </c>
      <c r="AH172" s="36">
        <v>0</v>
      </c>
      <c r="AI172" s="5">
        <v>50</v>
      </c>
      <c r="AJ172" s="37">
        <f t="shared" si="40"/>
        <v>-137</v>
      </c>
      <c r="AK172" s="38">
        <v>0</v>
      </c>
      <c r="AL172" s="37">
        <f t="shared" si="41"/>
        <v>-137</v>
      </c>
      <c r="AM172" s="35" t="s">
        <v>574</v>
      </c>
      <c r="AN172" s="35" t="s">
        <v>68</v>
      </c>
      <c r="AO172" s="5">
        <v>160</v>
      </c>
      <c r="AP172" s="5">
        <v>0</v>
      </c>
      <c r="AQ172" s="35"/>
      <c r="AR172" s="35"/>
      <c r="AS172" s="122"/>
      <c r="AT172" s="35">
        <v>194</v>
      </c>
      <c r="AU172" s="35" t="s">
        <v>968</v>
      </c>
    </row>
    <row r="173" spans="1:47" x14ac:dyDescent="0.15">
      <c r="A173" s="14" t="s">
        <v>552</v>
      </c>
      <c r="B173" s="5" t="s">
        <v>553</v>
      </c>
      <c r="C173" s="36">
        <v>33</v>
      </c>
      <c r="D173" s="36">
        <v>0</v>
      </c>
      <c r="E173" s="5">
        <v>0</v>
      </c>
      <c r="F173" s="37">
        <f t="shared" si="28"/>
        <v>33</v>
      </c>
      <c r="G173" s="38">
        <v>0</v>
      </c>
      <c r="H173" s="37">
        <f t="shared" si="29"/>
        <v>33</v>
      </c>
      <c r="I173" s="36">
        <v>49</v>
      </c>
      <c r="J173" s="5">
        <v>15</v>
      </c>
      <c r="K173" s="37">
        <f t="shared" si="30"/>
        <v>67</v>
      </c>
      <c r="L173" s="38">
        <v>0</v>
      </c>
      <c r="M173" s="37">
        <f t="shared" si="31"/>
        <v>67</v>
      </c>
      <c r="N173" s="36">
        <v>0</v>
      </c>
      <c r="O173" s="5">
        <v>15</v>
      </c>
      <c r="P173" s="37">
        <f t="shared" si="32"/>
        <v>52</v>
      </c>
      <c r="Q173" s="38">
        <v>0</v>
      </c>
      <c r="R173" s="37">
        <f t="shared" si="33"/>
        <v>52</v>
      </c>
      <c r="S173" s="36">
        <v>0</v>
      </c>
      <c r="T173" s="5">
        <v>15</v>
      </c>
      <c r="U173" s="37">
        <f t="shared" si="34"/>
        <v>37</v>
      </c>
      <c r="V173" s="38">
        <v>0</v>
      </c>
      <c r="W173" s="37">
        <f t="shared" si="35"/>
        <v>37</v>
      </c>
      <c r="X173" s="36">
        <v>0</v>
      </c>
      <c r="Y173" s="5">
        <v>15</v>
      </c>
      <c r="Z173" s="37">
        <f t="shared" si="36"/>
        <v>22</v>
      </c>
      <c r="AA173" s="38">
        <v>0</v>
      </c>
      <c r="AB173" s="37">
        <f t="shared" si="37"/>
        <v>22</v>
      </c>
      <c r="AC173" s="36">
        <v>0</v>
      </c>
      <c r="AD173" s="5">
        <v>15</v>
      </c>
      <c r="AE173" s="37">
        <f t="shared" si="38"/>
        <v>7</v>
      </c>
      <c r="AF173" s="38">
        <v>0</v>
      </c>
      <c r="AG173" s="37">
        <f t="shared" si="39"/>
        <v>7</v>
      </c>
      <c r="AH173" s="36">
        <v>0</v>
      </c>
      <c r="AI173" s="5">
        <v>40</v>
      </c>
      <c r="AJ173" s="37">
        <f t="shared" si="40"/>
        <v>-33</v>
      </c>
      <c r="AK173" s="38">
        <v>0</v>
      </c>
      <c r="AL173" s="37">
        <f t="shared" si="41"/>
        <v>-33</v>
      </c>
      <c r="AM173" s="35" t="s">
        <v>957</v>
      </c>
      <c r="AN173" s="35" t="s">
        <v>68</v>
      </c>
      <c r="AO173" s="5">
        <v>0</v>
      </c>
      <c r="AP173" s="5">
        <v>0</v>
      </c>
      <c r="AQ173" s="35"/>
      <c r="AR173" s="35"/>
      <c r="AS173" s="122"/>
      <c r="AT173" s="35"/>
      <c r="AU173" s="35"/>
    </row>
    <row r="174" spans="1:47" x14ac:dyDescent="0.15">
      <c r="A174" s="14" t="s">
        <v>652</v>
      </c>
      <c r="B174" s="5" t="s">
        <v>653</v>
      </c>
      <c r="C174" s="36">
        <v>186</v>
      </c>
      <c r="D174" s="36">
        <v>120</v>
      </c>
      <c r="E174" s="5">
        <v>0</v>
      </c>
      <c r="F174" s="37">
        <f t="shared" si="28"/>
        <v>306</v>
      </c>
      <c r="G174" s="38">
        <v>0</v>
      </c>
      <c r="H174" s="37">
        <f t="shared" si="29"/>
        <v>306</v>
      </c>
      <c r="I174" s="36">
        <v>0</v>
      </c>
      <c r="J174" s="5">
        <v>114</v>
      </c>
      <c r="K174" s="37">
        <f t="shared" si="30"/>
        <v>192</v>
      </c>
      <c r="L174" s="38">
        <v>0</v>
      </c>
      <c r="M174" s="37">
        <f t="shared" si="31"/>
        <v>192</v>
      </c>
      <c r="N174" s="36">
        <v>0</v>
      </c>
      <c r="O174" s="5">
        <v>92</v>
      </c>
      <c r="P174" s="37">
        <f t="shared" si="32"/>
        <v>100</v>
      </c>
      <c r="Q174" s="38">
        <v>0</v>
      </c>
      <c r="R174" s="37">
        <f t="shared" si="33"/>
        <v>100</v>
      </c>
      <c r="S174" s="36">
        <v>240</v>
      </c>
      <c r="T174" s="5">
        <v>170</v>
      </c>
      <c r="U174" s="37">
        <f t="shared" si="34"/>
        <v>170</v>
      </c>
      <c r="V174" s="38">
        <v>0</v>
      </c>
      <c r="W174" s="37">
        <f t="shared" si="35"/>
        <v>170</v>
      </c>
      <c r="X174" s="36">
        <v>0</v>
      </c>
      <c r="Y174" s="5">
        <v>88</v>
      </c>
      <c r="Z174" s="37">
        <f t="shared" si="36"/>
        <v>82</v>
      </c>
      <c r="AA174" s="38">
        <v>0</v>
      </c>
      <c r="AB174" s="37">
        <f t="shared" si="37"/>
        <v>82</v>
      </c>
      <c r="AC174" s="36">
        <v>456</v>
      </c>
      <c r="AD174" s="5">
        <v>197</v>
      </c>
      <c r="AE174" s="37">
        <f t="shared" si="38"/>
        <v>341</v>
      </c>
      <c r="AF174" s="38">
        <v>0</v>
      </c>
      <c r="AG174" s="37">
        <f t="shared" si="39"/>
        <v>341</v>
      </c>
      <c r="AH174" s="36">
        <v>0</v>
      </c>
      <c r="AI174" s="5">
        <v>262</v>
      </c>
      <c r="AJ174" s="37">
        <f t="shared" si="40"/>
        <v>79</v>
      </c>
      <c r="AK174" s="38">
        <v>0</v>
      </c>
      <c r="AL174" s="37">
        <f t="shared" si="41"/>
        <v>79</v>
      </c>
      <c r="AM174" s="35" t="s">
        <v>574</v>
      </c>
      <c r="AN174" s="35" t="s">
        <v>68</v>
      </c>
      <c r="AO174" s="5">
        <v>200</v>
      </c>
      <c r="AP174" s="5">
        <v>0</v>
      </c>
      <c r="AQ174" s="35"/>
      <c r="AR174" s="35"/>
      <c r="AS174" s="122"/>
      <c r="AT174" s="35"/>
      <c r="AU174" s="35"/>
    </row>
    <row r="175" spans="1:47" x14ac:dyDescent="0.15">
      <c r="A175" s="14" t="s">
        <v>669</v>
      </c>
      <c r="B175" s="5" t="s">
        <v>670</v>
      </c>
      <c r="C175" s="36">
        <v>13</v>
      </c>
      <c r="D175" s="36">
        <v>60</v>
      </c>
      <c r="E175" s="5">
        <v>0</v>
      </c>
      <c r="F175" s="37">
        <f t="shared" si="28"/>
        <v>73</v>
      </c>
      <c r="G175" s="38">
        <v>0</v>
      </c>
      <c r="H175" s="37">
        <f t="shared" si="29"/>
        <v>73</v>
      </c>
      <c r="I175" s="36">
        <v>0</v>
      </c>
      <c r="J175" s="5">
        <v>41</v>
      </c>
      <c r="K175" s="37">
        <f t="shared" si="30"/>
        <v>32</v>
      </c>
      <c r="L175" s="38">
        <v>0</v>
      </c>
      <c r="M175" s="37">
        <f t="shared" si="31"/>
        <v>32</v>
      </c>
      <c r="N175" s="36">
        <v>0</v>
      </c>
      <c r="O175" s="5">
        <v>4</v>
      </c>
      <c r="P175" s="37">
        <f t="shared" si="32"/>
        <v>28</v>
      </c>
      <c r="Q175" s="38">
        <v>0</v>
      </c>
      <c r="R175" s="37">
        <f t="shared" si="33"/>
        <v>28</v>
      </c>
      <c r="S175" s="36">
        <v>0</v>
      </c>
      <c r="T175" s="5">
        <v>18</v>
      </c>
      <c r="U175" s="37">
        <f t="shared" si="34"/>
        <v>10</v>
      </c>
      <c r="V175" s="38">
        <v>0</v>
      </c>
      <c r="W175" s="37">
        <f t="shared" si="35"/>
        <v>10</v>
      </c>
      <c r="X175" s="36">
        <v>0</v>
      </c>
      <c r="Y175" s="5">
        <v>7</v>
      </c>
      <c r="Z175" s="37">
        <f t="shared" si="36"/>
        <v>3</v>
      </c>
      <c r="AA175" s="38">
        <v>0</v>
      </c>
      <c r="AB175" s="37">
        <f t="shared" si="37"/>
        <v>3</v>
      </c>
      <c r="AC175" s="36">
        <v>40</v>
      </c>
      <c r="AD175" s="5">
        <v>15</v>
      </c>
      <c r="AE175" s="37">
        <f t="shared" si="38"/>
        <v>28</v>
      </c>
      <c r="AF175" s="38">
        <v>0</v>
      </c>
      <c r="AG175" s="37">
        <f t="shared" si="39"/>
        <v>28</v>
      </c>
      <c r="AH175" s="36">
        <v>0</v>
      </c>
      <c r="AI175" s="5">
        <v>19</v>
      </c>
      <c r="AJ175" s="37">
        <f t="shared" si="40"/>
        <v>9</v>
      </c>
      <c r="AK175" s="38">
        <v>0</v>
      </c>
      <c r="AL175" s="37">
        <f t="shared" si="41"/>
        <v>9</v>
      </c>
      <c r="AM175" s="35" t="s">
        <v>574</v>
      </c>
      <c r="AN175" s="35" t="s">
        <v>68</v>
      </c>
      <c r="AO175" s="5">
        <v>215</v>
      </c>
      <c r="AP175" s="5">
        <v>0</v>
      </c>
      <c r="AQ175" s="35"/>
      <c r="AR175" s="35"/>
      <c r="AS175" s="122">
        <v>4528947014318</v>
      </c>
      <c r="AT175" s="35">
        <v>188</v>
      </c>
      <c r="AU175" s="35" t="s">
        <v>903</v>
      </c>
    </row>
    <row r="176" spans="1:47" x14ac:dyDescent="0.15">
      <c r="A176" s="14" t="s">
        <v>758</v>
      </c>
      <c r="B176" s="5" t="s">
        <v>759</v>
      </c>
      <c r="C176" s="36">
        <v>114</v>
      </c>
      <c r="D176" s="36">
        <v>0</v>
      </c>
      <c r="E176" s="5">
        <v>0</v>
      </c>
      <c r="F176" s="37">
        <f t="shared" si="28"/>
        <v>114</v>
      </c>
      <c r="G176" s="38">
        <v>0</v>
      </c>
      <c r="H176" s="37">
        <f t="shared" si="29"/>
        <v>114</v>
      </c>
      <c r="I176" s="36">
        <v>0</v>
      </c>
      <c r="J176" s="5">
        <v>20</v>
      </c>
      <c r="K176" s="37">
        <f t="shared" si="30"/>
        <v>94</v>
      </c>
      <c r="L176" s="38">
        <v>0</v>
      </c>
      <c r="M176" s="37">
        <f t="shared" si="31"/>
        <v>94</v>
      </c>
      <c r="N176" s="36">
        <v>0</v>
      </c>
      <c r="O176" s="5">
        <v>20</v>
      </c>
      <c r="P176" s="37">
        <f t="shared" si="32"/>
        <v>74</v>
      </c>
      <c r="Q176" s="38">
        <v>0</v>
      </c>
      <c r="R176" s="37">
        <f t="shared" si="33"/>
        <v>74</v>
      </c>
      <c r="S176" s="36">
        <v>0</v>
      </c>
      <c r="T176" s="5">
        <v>20</v>
      </c>
      <c r="U176" s="37">
        <f t="shared" si="34"/>
        <v>54</v>
      </c>
      <c r="V176" s="38">
        <v>0</v>
      </c>
      <c r="W176" s="37">
        <f t="shared" si="35"/>
        <v>54</v>
      </c>
      <c r="X176" s="36">
        <v>0</v>
      </c>
      <c r="Y176" s="5">
        <v>20</v>
      </c>
      <c r="Z176" s="37">
        <f t="shared" si="36"/>
        <v>34</v>
      </c>
      <c r="AA176" s="38">
        <v>0</v>
      </c>
      <c r="AB176" s="37">
        <f t="shared" si="37"/>
        <v>34</v>
      </c>
      <c r="AC176" s="36">
        <v>60</v>
      </c>
      <c r="AD176" s="5">
        <v>20</v>
      </c>
      <c r="AE176" s="37">
        <f t="shared" si="38"/>
        <v>74</v>
      </c>
      <c r="AF176" s="38">
        <v>0</v>
      </c>
      <c r="AG176" s="37">
        <f t="shared" si="39"/>
        <v>74</v>
      </c>
      <c r="AH176" s="36">
        <v>0</v>
      </c>
      <c r="AI176" s="5">
        <v>54</v>
      </c>
      <c r="AJ176" s="37">
        <f t="shared" si="40"/>
        <v>20</v>
      </c>
      <c r="AK176" s="38">
        <v>0</v>
      </c>
      <c r="AL176" s="37">
        <f t="shared" si="41"/>
        <v>20</v>
      </c>
      <c r="AM176" s="35" t="s">
        <v>913</v>
      </c>
      <c r="AN176" s="35" t="s">
        <v>68</v>
      </c>
      <c r="AO176" s="5">
        <v>280</v>
      </c>
      <c r="AP176" s="5">
        <v>0</v>
      </c>
      <c r="AQ176" s="35"/>
      <c r="AR176" s="35"/>
      <c r="AS176" s="122"/>
      <c r="AT176" s="35">
        <v>525</v>
      </c>
      <c r="AU176" s="35" t="s">
        <v>959</v>
      </c>
    </row>
    <row r="177" spans="1:47" x14ac:dyDescent="0.15">
      <c r="A177" s="14" t="s">
        <v>455</v>
      </c>
      <c r="B177" s="5" t="s">
        <v>456</v>
      </c>
      <c r="C177" s="36">
        <v>5</v>
      </c>
      <c r="D177" s="36">
        <v>3</v>
      </c>
      <c r="E177" s="5">
        <v>0</v>
      </c>
      <c r="F177" s="37">
        <f t="shared" si="28"/>
        <v>8</v>
      </c>
      <c r="G177" s="38">
        <v>0</v>
      </c>
      <c r="H177" s="37">
        <f t="shared" si="29"/>
        <v>8</v>
      </c>
      <c r="I177" s="36">
        <v>6</v>
      </c>
      <c r="J177" s="5">
        <v>0</v>
      </c>
      <c r="K177" s="37">
        <f t="shared" si="30"/>
        <v>14</v>
      </c>
      <c r="L177" s="38">
        <v>-7</v>
      </c>
      <c r="M177" s="37">
        <f t="shared" si="31"/>
        <v>7</v>
      </c>
      <c r="N177" s="36">
        <v>6</v>
      </c>
      <c r="O177" s="5">
        <v>0</v>
      </c>
      <c r="P177" s="37">
        <f t="shared" si="32"/>
        <v>13</v>
      </c>
      <c r="Q177" s="38">
        <v>0</v>
      </c>
      <c r="R177" s="37">
        <f t="shared" si="33"/>
        <v>13</v>
      </c>
      <c r="S177" s="36">
        <v>0</v>
      </c>
      <c r="T177" s="5">
        <v>0</v>
      </c>
      <c r="U177" s="37">
        <f t="shared" si="34"/>
        <v>13</v>
      </c>
      <c r="V177" s="38">
        <v>0</v>
      </c>
      <c r="W177" s="37">
        <f t="shared" si="35"/>
        <v>13</v>
      </c>
      <c r="X177" s="36">
        <v>6</v>
      </c>
      <c r="Y177" s="5">
        <v>0</v>
      </c>
      <c r="Z177" s="37">
        <f t="shared" si="36"/>
        <v>19</v>
      </c>
      <c r="AA177" s="38">
        <v>0</v>
      </c>
      <c r="AB177" s="37">
        <f t="shared" si="37"/>
        <v>19</v>
      </c>
      <c r="AC177" s="36">
        <v>6</v>
      </c>
      <c r="AD177" s="5">
        <v>0</v>
      </c>
      <c r="AE177" s="37">
        <f t="shared" si="38"/>
        <v>25</v>
      </c>
      <c r="AF177" s="38">
        <v>0</v>
      </c>
      <c r="AG177" s="37">
        <f t="shared" si="39"/>
        <v>25</v>
      </c>
      <c r="AH177" s="36">
        <v>6</v>
      </c>
      <c r="AI177" s="5">
        <v>0</v>
      </c>
      <c r="AJ177" s="37">
        <f t="shared" si="40"/>
        <v>31</v>
      </c>
      <c r="AK177" s="38">
        <v>0</v>
      </c>
      <c r="AL177" s="37">
        <f t="shared" si="41"/>
        <v>31</v>
      </c>
      <c r="AM177" s="35" t="s">
        <v>934</v>
      </c>
      <c r="AN177" s="35" t="s">
        <v>69</v>
      </c>
      <c r="AO177" s="5">
        <v>0</v>
      </c>
      <c r="AP177" s="5">
        <v>0</v>
      </c>
      <c r="AQ177" s="35" t="s">
        <v>67</v>
      </c>
      <c r="AR177" s="35"/>
      <c r="AS177" s="122"/>
      <c r="AT177" s="35">
        <v>191</v>
      </c>
      <c r="AU177" s="35" t="s">
        <v>969</v>
      </c>
    </row>
    <row r="178" spans="1:47" x14ac:dyDescent="0.15">
      <c r="A178" s="14" t="s">
        <v>262</v>
      </c>
      <c r="B178" s="5" t="s">
        <v>263</v>
      </c>
      <c r="C178" s="36">
        <v>59</v>
      </c>
      <c r="D178" s="36">
        <v>0</v>
      </c>
      <c r="E178" s="5">
        <v>0</v>
      </c>
      <c r="F178" s="37">
        <f t="shared" si="28"/>
        <v>59</v>
      </c>
      <c r="G178" s="38">
        <v>0</v>
      </c>
      <c r="H178" s="37">
        <f t="shared" si="29"/>
        <v>59</v>
      </c>
      <c r="I178" s="36">
        <v>221</v>
      </c>
      <c r="J178" s="5">
        <v>228</v>
      </c>
      <c r="K178" s="37">
        <f t="shared" si="30"/>
        <v>52</v>
      </c>
      <c r="L178" s="38">
        <v>0</v>
      </c>
      <c r="M178" s="37">
        <f t="shared" si="31"/>
        <v>52</v>
      </c>
      <c r="N178" s="36">
        <v>0</v>
      </c>
      <c r="O178" s="5">
        <v>116</v>
      </c>
      <c r="P178" s="37">
        <f t="shared" si="32"/>
        <v>-64</v>
      </c>
      <c r="Q178" s="38">
        <v>-10</v>
      </c>
      <c r="R178" s="37">
        <f t="shared" si="33"/>
        <v>-74</v>
      </c>
      <c r="S178" s="36">
        <v>0</v>
      </c>
      <c r="T178" s="5">
        <v>164</v>
      </c>
      <c r="U178" s="37">
        <f t="shared" si="34"/>
        <v>-238</v>
      </c>
      <c r="V178" s="38">
        <v>0</v>
      </c>
      <c r="W178" s="37">
        <f t="shared" si="35"/>
        <v>-238</v>
      </c>
      <c r="X178" s="36">
        <v>0</v>
      </c>
      <c r="Y178" s="5">
        <v>142</v>
      </c>
      <c r="Z178" s="37">
        <f t="shared" si="36"/>
        <v>-380</v>
      </c>
      <c r="AA178" s="38">
        <v>0</v>
      </c>
      <c r="AB178" s="37">
        <f t="shared" si="37"/>
        <v>-380</v>
      </c>
      <c r="AC178" s="36">
        <v>0</v>
      </c>
      <c r="AD178" s="5">
        <v>163</v>
      </c>
      <c r="AE178" s="37">
        <f t="shared" si="38"/>
        <v>-543</v>
      </c>
      <c r="AF178" s="38">
        <v>-40</v>
      </c>
      <c r="AG178" s="37">
        <f t="shared" si="39"/>
        <v>-583</v>
      </c>
      <c r="AH178" s="36">
        <v>0</v>
      </c>
      <c r="AI178" s="5">
        <v>259</v>
      </c>
      <c r="AJ178" s="37">
        <f t="shared" si="40"/>
        <v>-842</v>
      </c>
      <c r="AK178" s="38">
        <v>-5</v>
      </c>
      <c r="AL178" s="37">
        <f t="shared" si="41"/>
        <v>-847</v>
      </c>
      <c r="AM178" s="35" t="s">
        <v>934</v>
      </c>
      <c r="AN178" s="35" t="s">
        <v>68</v>
      </c>
      <c r="AO178" s="5">
        <v>170</v>
      </c>
      <c r="AP178" s="5">
        <v>0</v>
      </c>
      <c r="AQ178" s="35"/>
      <c r="AR178" s="35"/>
      <c r="AS178" s="122">
        <v>4580450000000</v>
      </c>
      <c r="AT178" s="35">
        <v>191</v>
      </c>
      <c r="AU178" s="35" t="s">
        <v>969</v>
      </c>
    </row>
    <row r="179" spans="1:47" x14ac:dyDescent="0.15">
      <c r="A179" s="14" t="s">
        <v>496</v>
      </c>
      <c r="B179" s="5" t="s">
        <v>497</v>
      </c>
      <c r="C179" s="36">
        <v>0</v>
      </c>
      <c r="D179" s="36">
        <v>0</v>
      </c>
      <c r="E179" s="5">
        <v>0</v>
      </c>
      <c r="F179" s="37">
        <f t="shared" si="28"/>
        <v>0</v>
      </c>
      <c r="G179" s="38">
        <v>0</v>
      </c>
      <c r="H179" s="37">
        <f t="shared" si="29"/>
        <v>0</v>
      </c>
      <c r="I179" s="36">
        <v>0</v>
      </c>
      <c r="J179" s="5">
        <v>0</v>
      </c>
      <c r="K179" s="37">
        <f t="shared" si="30"/>
        <v>0</v>
      </c>
      <c r="L179" s="38">
        <v>0</v>
      </c>
      <c r="M179" s="37">
        <f t="shared" si="31"/>
        <v>0</v>
      </c>
      <c r="N179" s="36">
        <v>2</v>
      </c>
      <c r="O179" s="5">
        <v>2</v>
      </c>
      <c r="P179" s="37">
        <f t="shared" si="32"/>
        <v>0</v>
      </c>
      <c r="Q179" s="38">
        <v>0</v>
      </c>
      <c r="R179" s="37">
        <f t="shared" si="33"/>
        <v>0</v>
      </c>
      <c r="S179" s="36">
        <v>0</v>
      </c>
      <c r="T179" s="5">
        <v>0</v>
      </c>
      <c r="U179" s="37">
        <f t="shared" si="34"/>
        <v>0</v>
      </c>
      <c r="V179" s="38">
        <v>0</v>
      </c>
      <c r="W179" s="37">
        <f t="shared" si="35"/>
        <v>0</v>
      </c>
      <c r="X179" s="36">
        <v>0</v>
      </c>
      <c r="Y179" s="5">
        <v>0</v>
      </c>
      <c r="Z179" s="37">
        <f t="shared" si="36"/>
        <v>0</v>
      </c>
      <c r="AA179" s="38">
        <v>0</v>
      </c>
      <c r="AB179" s="37">
        <f t="shared" si="37"/>
        <v>0</v>
      </c>
      <c r="AC179" s="36">
        <v>8</v>
      </c>
      <c r="AD179" s="5">
        <v>8</v>
      </c>
      <c r="AE179" s="37">
        <f t="shared" si="38"/>
        <v>0</v>
      </c>
      <c r="AF179" s="38">
        <v>0</v>
      </c>
      <c r="AG179" s="37">
        <f t="shared" si="39"/>
        <v>0</v>
      </c>
      <c r="AH179" s="36">
        <v>1</v>
      </c>
      <c r="AI179" s="5">
        <v>1</v>
      </c>
      <c r="AJ179" s="37">
        <f t="shared" si="40"/>
        <v>0</v>
      </c>
      <c r="AK179" s="38">
        <v>0</v>
      </c>
      <c r="AL179" s="37">
        <f t="shared" si="41"/>
        <v>0</v>
      </c>
      <c r="AM179" s="35" t="s">
        <v>934</v>
      </c>
      <c r="AN179" s="35" t="s">
        <v>68</v>
      </c>
      <c r="AO179" s="5">
        <v>875</v>
      </c>
      <c r="AP179" s="5">
        <v>0</v>
      </c>
      <c r="AQ179" s="35"/>
      <c r="AR179" s="35" t="s">
        <v>67</v>
      </c>
      <c r="AS179" s="122">
        <v>4580445525307</v>
      </c>
      <c r="AT179" s="35">
        <v>191</v>
      </c>
      <c r="AU179" s="35" t="s">
        <v>969</v>
      </c>
    </row>
    <row r="180" spans="1:47" x14ac:dyDescent="0.15">
      <c r="A180" s="14" t="s">
        <v>970</v>
      </c>
      <c r="B180" s="5" t="s">
        <v>971</v>
      </c>
      <c r="C180" s="36">
        <v>0</v>
      </c>
      <c r="D180" s="36">
        <v>0</v>
      </c>
      <c r="E180" s="5">
        <v>0</v>
      </c>
      <c r="F180" s="37">
        <f t="shared" si="28"/>
        <v>0</v>
      </c>
      <c r="G180" s="38">
        <v>0</v>
      </c>
      <c r="H180" s="37">
        <f t="shared" si="29"/>
        <v>0</v>
      </c>
      <c r="I180" s="36">
        <v>20</v>
      </c>
      <c r="J180" s="5">
        <v>17</v>
      </c>
      <c r="K180" s="37">
        <f t="shared" si="30"/>
        <v>3</v>
      </c>
      <c r="L180" s="38">
        <v>0</v>
      </c>
      <c r="M180" s="37">
        <f t="shared" si="31"/>
        <v>3</v>
      </c>
      <c r="N180" s="36">
        <v>0</v>
      </c>
      <c r="O180" s="5">
        <v>5</v>
      </c>
      <c r="P180" s="37">
        <f t="shared" si="32"/>
        <v>-2</v>
      </c>
      <c r="Q180" s="38">
        <v>0</v>
      </c>
      <c r="R180" s="37">
        <f t="shared" si="33"/>
        <v>-2</v>
      </c>
      <c r="S180" s="36">
        <v>20</v>
      </c>
      <c r="T180" s="5">
        <v>3</v>
      </c>
      <c r="U180" s="37">
        <f t="shared" si="34"/>
        <v>15</v>
      </c>
      <c r="V180" s="38">
        <v>0</v>
      </c>
      <c r="W180" s="37">
        <f t="shared" si="35"/>
        <v>15</v>
      </c>
      <c r="X180" s="36">
        <v>0</v>
      </c>
      <c r="Y180" s="5">
        <v>13</v>
      </c>
      <c r="Z180" s="37">
        <f t="shared" si="36"/>
        <v>2</v>
      </c>
      <c r="AA180" s="38">
        <v>0</v>
      </c>
      <c r="AB180" s="37">
        <f t="shared" si="37"/>
        <v>2</v>
      </c>
      <c r="AC180" s="36">
        <v>0</v>
      </c>
      <c r="AD180" s="5">
        <v>3</v>
      </c>
      <c r="AE180" s="37">
        <f t="shared" si="38"/>
        <v>-1</v>
      </c>
      <c r="AF180" s="38">
        <v>0</v>
      </c>
      <c r="AG180" s="37">
        <f t="shared" si="39"/>
        <v>-1</v>
      </c>
      <c r="AH180" s="36">
        <v>0</v>
      </c>
      <c r="AI180" s="5">
        <v>11</v>
      </c>
      <c r="AJ180" s="37">
        <f t="shared" si="40"/>
        <v>-12</v>
      </c>
      <c r="AK180" s="38">
        <v>0</v>
      </c>
      <c r="AL180" s="37">
        <f t="shared" si="41"/>
        <v>-12</v>
      </c>
      <c r="AM180" s="35" t="s">
        <v>913</v>
      </c>
      <c r="AN180" s="35" t="s">
        <v>68</v>
      </c>
      <c r="AO180" s="5">
        <v>235</v>
      </c>
      <c r="AP180" s="5">
        <v>0</v>
      </c>
      <c r="AQ180" s="35"/>
      <c r="AR180" s="35"/>
      <c r="AS180" s="122"/>
      <c r="AT180" s="35">
        <v>525</v>
      </c>
      <c r="AU180" s="35" t="s">
        <v>959</v>
      </c>
    </row>
    <row r="181" spans="1:47" x14ac:dyDescent="0.15">
      <c r="A181" s="14" t="s">
        <v>596</v>
      </c>
      <c r="B181" s="5" t="s">
        <v>597</v>
      </c>
      <c r="C181" s="36">
        <v>23</v>
      </c>
      <c r="D181" s="36">
        <v>0</v>
      </c>
      <c r="E181" s="5">
        <v>0</v>
      </c>
      <c r="F181" s="37">
        <f t="shared" si="28"/>
        <v>23</v>
      </c>
      <c r="G181" s="38">
        <v>0</v>
      </c>
      <c r="H181" s="37">
        <f t="shared" si="29"/>
        <v>23</v>
      </c>
      <c r="I181" s="36">
        <v>0</v>
      </c>
      <c r="J181" s="5">
        <v>8</v>
      </c>
      <c r="K181" s="37">
        <f t="shared" si="30"/>
        <v>15</v>
      </c>
      <c r="L181" s="38">
        <v>0</v>
      </c>
      <c r="M181" s="37">
        <f t="shared" si="31"/>
        <v>15</v>
      </c>
      <c r="N181" s="36">
        <v>0</v>
      </c>
      <c r="O181" s="5">
        <v>8</v>
      </c>
      <c r="P181" s="37">
        <f t="shared" si="32"/>
        <v>7</v>
      </c>
      <c r="Q181" s="38">
        <v>0</v>
      </c>
      <c r="R181" s="37">
        <f t="shared" si="33"/>
        <v>7</v>
      </c>
      <c r="S181" s="36">
        <v>40</v>
      </c>
      <c r="T181" s="5">
        <v>8</v>
      </c>
      <c r="U181" s="37">
        <f t="shared" si="34"/>
        <v>39</v>
      </c>
      <c r="V181" s="38">
        <v>0</v>
      </c>
      <c r="W181" s="37">
        <f t="shared" si="35"/>
        <v>39</v>
      </c>
      <c r="X181" s="36">
        <v>0</v>
      </c>
      <c r="Y181" s="5">
        <v>8</v>
      </c>
      <c r="Z181" s="37">
        <f t="shared" si="36"/>
        <v>31</v>
      </c>
      <c r="AA181" s="38">
        <v>0</v>
      </c>
      <c r="AB181" s="37">
        <f t="shared" si="37"/>
        <v>31</v>
      </c>
      <c r="AC181" s="36">
        <v>0</v>
      </c>
      <c r="AD181" s="5">
        <v>8</v>
      </c>
      <c r="AE181" s="37">
        <f t="shared" si="38"/>
        <v>23</v>
      </c>
      <c r="AF181" s="38">
        <v>0</v>
      </c>
      <c r="AG181" s="37">
        <f t="shared" si="39"/>
        <v>23</v>
      </c>
      <c r="AH181" s="36">
        <v>0</v>
      </c>
      <c r="AI181" s="5">
        <v>21</v>
      </c>
      <c r="AJ181" s="37">
        <f t="shared" si="40"/>
        <v>2</v>
      </c>
      <c r="AK181" s="38">
        <v>0</v>
      </c>
      <c r="AL181" s="37">
        <f t="shared" si="41"/>
        <v>2</v>
      </c>
      <c r="AM181" s="35" t="s">
        <v>906</v>
      </c>
      <c r="AN181" s="35" t="s">
        <v>68</v>
      </c>
      <c r="AO181" s="5">
        <v>300</v>
      </c>
      <c r="AP181" s="5">
        <v>0</v>
      </c>
      <c r="AQ181" s="35" t="s">
        <v>67</v>
      </c>
      <c r="AR181" s="35"/>
      <c r="AS181" s="122"/>
      <c r="AT181" s="35">
        <v>254</v>
      </c>
      <c r="AU181" s="35" t="s">
        <v>942</v>
      </c>
    </row>
    <row r="182" spans="1:47" x14ac:dyDescent="0.15">
      <c r="A182" s="14" t="s">
        <v>760</v>
      </c>
      <c r="B182" s="5" t="s">
        <v>761</v>
      </c>
      <c r="C182" s="36">
        <v>0</v>
      </c>
      <c r="D182" s="36">
        <v>0</v>
      </c>
      <c r="E182" s="5">
        <v>0</v>
      </c>
      <c r="F182" s="37">
        <f t="shared" si="28"/>
        <v>0</v>
      </c>
      <c r="G182" s="38">
        <v>0</v>
      </c>
      <c r="H182" s="37">
        <f t="shared" si="29"/>
        <v>0</v>
      </c>
      <c r="I182" s="36">
        <v>0</v>
      </c>
      <c r="J182" s="5">
        <v>0</v>
      </c>
      <c r="K182" s="37">
        <f t="shared" si="30"/>
        <v>0</v>
      </c>
      <c r="L182" s="38">
        <v>0</v>
      </c>
      <c r="M182" s="37">
        <f t="shared" si="31"/>
        <v>0</v>
      </c>
      <c r="N182" s="36">
        <v>0</v>
      </c>
      <c r="O182" s="5">
        <v>0</v>
      </c>
      <c r="P182" s="37">
        <f t="shared" si="32"/>
        <v>0</v>
      </c>
      <c r="Q182" s="38">
        <v>0</v>
      </c>
      <c r="R182" s="37">
        <f t="shared" si="33"/>
        <v>0</v>
      </c>
      <c r="S182" s="36">
        <v>20</v>
      </c>
      <c r="T182" s="5">
        <v>0</v>
      </c>
      <c r="U182" s="37">
        <f t="shared" si="34"/>
        <v>20</v>
      </c>
      <c r="V182" s="38">
        <v>0</v>
      </c>
      <c r="W182" s="37">
        <f t="shared" si="35"/>
        <v>20</v>
      </c>
      <c r="X182" s="36">
        <v>0</v>
      </c>
      <c r="Y182" s="5">
        <v>0</v>
      </c>
      <c r="Z182" s="37">
        <f t="shared" si="36"/>
        <v>20</v>
      </c>
      <c r="AA182" s="38">
        <v>0</v>
      </c>
      <c r="AB182" s="37">
        <f t="shared" si="37"/>
        <v>20</v>
      </c>
      <c r="AC182" s="36">
        <v>0</v>
      </c>
      <c r="AD182" s="5">
        <v>0</v>
      </c>
      <c r="AE182" s="37">
        <f t="shared" si="38"/>
        <v>20</v>
      </c>
      <c r="AF182" s="38">
        <v>0</v>
      </c>
      <c r="AG182" s="37">
        <f t="shared" si="39"/>
        <v>20</v>
      </c>
      <c r="AH182" s="36">
        <v>0</v>
      </c>
      <c r="AI182" s="5">
        <v>0</v>
      </c>
      <c r="AJ182" s="37">
        <f t="shared" si="40"/>
        <v>20</v>
      </c>
      <c r="AK182" s="38">
        <v>0</v>
      </c>
      <c r="AL182" s="37">
        <f t="shared" si="41"/>
        <v>20</v>
      </c>
      <c r="AM182" s="35" t="s">
        <v>906</v>
      </c>
      <c r="AN182" s="35" t="s">
        <v>68</v>
      </c>
      <c r="AO182" s="5">
        <v>240</v>
      </c>
      <c r="AP182" s="5">
        <v>0</v>
      </c>
      <c r="AQ182" s="35" t="s">
        <v>67</v>
      </c>
      <c r="AR182" s="35"/>
      <c r="AS182" s="122"/>
      <c r="AT182" s="35">
        <v>673</v>
      </c>
      <c r="AU182" s="35" t="s">
        <v>972</v>
      </c>
    </row>
    <row r="183" spans="1:47" x14ac:dyDescent="0.15">
      <c r="A183" s="14" t="s">
        <v>995</v>
      </c>
      <c r="B183" s="5" t="s">
        <v>996</v>
      </c>
      <c r="C183" s="36">
        <v>0</v>
      </c>
      <c r="D183" s="36">
        <v>0</v>
      </c>
      <c r="E183" s="5">
        <v>0</v>
      </c>
      <c r="F183" s="37">
        <f t="shared" si="28"/>
        <v>0</v>
      </c>
      <c r="G183" s="38">
        <v>0</v>
      </c>
      <c r="H183" s="37">
        <f t="shared" si="29"/>
        <v>0</v>
      </c>
      <c r="I183" s="36">
        <v>8</v>
      </c>
      <c r="J183" s="5">
        <v>0</v>
      </c>
      <c r="K183" s="37">
        <f t="shared" si="30"/>
        <v>8</v>
      </c>
      <c r="L183" s="38">
        <v>0</v>
      </c>
      <c r="M183" s="37">
        <f t="shared" si="31"/>
        <v>8</v>
      </c>
      <c r="N183" s="36">
        <v>0</v>
      </c>
      <c r="O183" s="5">
        <v>0</v>
      </c>
      <c r="P183" s="37">
        <f t="shared" si="32"/>
        <v>8</v>
      </c>
      <c r="Q183" s="38">
        <v>0</v>
      </c>
      <c r="R183" s="37">
        <f t="shared" si="33"/>
        <v>8</v>
      </c>
      <c r="S183" s="36">
        <v>0</v>
      </c>
      <c r="T183" s="5">
        <v>0</v>
      </c>
      <c r="U183" s="37">
        <f t="shared" si="34"/>
        <v>8</v>
      </c>
      <c r="V183" s="38">
        <v>0</v>
      </c>
      <c r="W183" s="37">
        <f t="shared" si="35"/>
        <v>8</v>
      </c>
      <c r="X183" s="36">
        <v>8</v>
      </c>
      <c r="Y183" s="5">
        <v>0</v>
      </c>
      <c r="Z183" s="37">
        <f t="shared" si="36"/>
        <v>16</v>
      </c>
      <c r="AA183" s="38">
        <v>0</v>
      </c>
      <c r="AB183" s="37">
        <f t="shared" si="37"/>
        <v>16</v>
      </c>
      <c r="AC183" s="36">
        <v>0</v>
      </c>
      <c r="AD183" s="5">
        <v>0</v>
      </c>
      <c r="AE183" s="37">
        <f t="shared" si="38"/>
        <v>16</v>
      </c>
      <c r="AF183" s="38">
        <v>0</v>
      </c>
      <c r="AG183" s="37">
        <f t="shared" si="39"/>
        <v>16</v>
      </c>
      <c r="AH183" s="36">
        <v>0</v>
      </c>
      <c r="AI183" s="5">
        <v>0</v>
      </c>
      <c r="AJ183" s="37">
        <f t="shared" si="40"/>
        <v>16</v>
      </c>
      <c r="AK183" s="38">
        <v>0</v>
      </c>
      <c r="AL183" s="37">
        <f t="shared" si="41"/>
        <v>16</v>
      </c>
      <c r="AM183" s="35" t="s">
        <v>901</v>
      </c>
      <c r="AN183" s="35" t="s">
        <v>69</v>
      </c>
      <c r="AO183" s="5">
        <v>0</v>
      </c>
      <c r="AP183" s="5">
        <v>0</v>
      </c>
      <c r="AQ183" s="35" t="s">
        <v>67</v>
      </c>
      <c r="AR183" s="35"/>
      <c r="AS183" s="122"/>
      <c r="AT183" s="35">
        <v>172</v>
      </c>
      <c r="AU183" s="35" t="s">
        <v>902</v>
      </c>
    </row>
    <row r="184" spans="1:47" x14ac:dyDescent="0.15">
      <c r="A184" s="14" t="s">
        <v>643</v>
      </c>
      <c r="B184" s="5" t="s">
        <v>644</v>
      </c>
      <c r="C184" s="36">
        <v>282</v>
      </c>
      <c r="D184" s="36">
        <v>0</v>
      </c>
      <c r="E184" s="5">
        <v>0</v>
      </c>
      <c r="F184" s="37">
        <f t="shared" si="28"/>
        <v>282</v>
      </c>
      <c r="G184" s="38">
        <v>0</v>
      </c>
      <c r="H184" s="37">
        <f t="shared" si="29"/>
        <v>282</v>
      </c>
      <c r="I184" s="36">
        <v>60</v>
      </c>
      <c r="J184" s="5">
        <v>0</v>
      </c>
      <c r="K184" s="37">
        <f t="shared" si="30"/>
        <v>342</v>
      </c>
      <c r="L184" s="38">
        <v>-100</v>
      </c>
      <c r="M184" s="37">
        <f t="shared" si="31"/>
        <v>242</v>
      </c>
      <c r="N184" s="36">
        <v>0</v>
      </c>
      <c r="O184" s="5">
        <v>0</v>
      </c>
      <c r="P184" s="37">
        <f t="shared" si="32"/>
        <v>242</v>
      </c>
      <c r="Q184" s="38">
        <v>0</v>
      </c>
      <c r="R184" s="37">
        <f t="shared" si="33"/>
        <v>242</v>
      </c>
      <c r="S184" s="36">
        <v>0</v>
      </c>
      <c r="T184" s="5">
        <v>0</v>
      </c>
      <c r="U184" s="37">
        <f t="shared" si="34"/>
        <v>242</v>
      </c>
      <c r="V184" s="38">
        <v>0</v>
      </c>
      <c r="W184" s="37">
        <f t="shared" si="35"/>
        <v>242</v>
      </c>
      <c r="X184" s="36">
        <v>0</v>
      </c>
      <c r="Y184" s="5">
        <v>0</v>
      </c>
      <c r="Z184" s="37">
        <f t="shared" si="36"/>
        <v>242</v>
      </c>
      <c r="AA184" s="38">
        <v>0</v>
      </c>
      <c r="AB184" s="37">
        <f t="shared" si="37"/>
        <v>242</v>
      </c>
      <c r="AC184" s="36">
        <v>0</v>
      </c>
      <c r="AD184" s="5">
        <v>0</v>
      </c>
      <c r="AE184" s="37">
        <f t="shared" si="38"/>
        <v>242</v>
      </c>
      <c r="AF184" s="38">
        <v>0</v>
      </c>
      <c r="AG184" s="37">
        <f t="shared" si="39"/>
        <v>242</v>
      </c>
      <c r="AH184" s="36">
        <v>0</v>
      </c>
      <c r="AI184" s="5">
        <v>0</v>
      </c>
      <c r="AJ184" s="37">
        <f t="shared" si="40"/>
        <v>242</v>
      </c>
      <c r="AK184" s="38">
        <v>0</v>
      </c>
      <c r="AL184" s="37">
        <f t="shared" si="41"/>
        <v>242</v>
      </c>
      <c r="AM184" s="35" t="s">
        <v>923</v>
      </c>
      <c r="AN184" s="35" t="s">
        <v>69</v>
      </c>
      <c r="AO184" s="5">
        <v>0</v>
      </c>
      <c r="AP184" s="5">
        <v>0</v>
      </c>
      <c r="AQ184" s="35"/>
      <c r="AR184" s="35"/>
      <c r="AS184" s="122"/>
      <c r="AT184" s="35">
        <v>693</v>
      </c>
      <c r="AU184" s="35" t="s">
        <v>924</v>
      </c>
    </row>
    <row r="185" spans="1:47" x14ac:dyDescent="0.15">
      <c r="A185" s="14" t="s">
        <v>645</v>
      </c>
      <c r="B185" s="5" t="s">
        <v>646</v>
      </c>
      <c r="C185" s="36">
        <v>0</v>
      </c>
      <c r="D185" s="36">
        <v>0</v>
      </c>
      <c r="E185" s="5">
        <v>0</v>
      </c>
      <c r="F185" s="37">
        <f t="shared" si="28"/>
        <v>0</v>
      </c>
      <c r="G185" s="38">
        <v>0</v>
      </c>
      <c r="H185" s="37">
        <f t="shared" si="29"/>
        <v>0</v>
      </c>
      <c r="I185" s="36">
        <v>0</v>
      </c>
      <c r="J185" s="5">
        <v>0</v>
      </c>
      <c r="K185" s="37">
        <f t="shared" si="30"/>
        <v>0</v>
      </c>
      <c r="L185" s="38">
        <v>0</v>
      </c>
      <c r="M185" s="37">
        <f t="shared" si="31"/>
        <v>0</v>
      </c>
      <c r="N185" s="36">
        <v>0</v>
      </c>
      <c r="O185" s="5">
        <v>0</v>
      </c>
      <c r="P185" s="37">
        <f t="shared" si="32"/>
        <v>0</v>
      </c>
      <c r="Q185" s="38">
        <v>0</v>
      </c>
      <c r="R185" s="37">
        <f t="shared" si="33"/>
        <v>0</v>
      </c>
      <c r="S185" s="36">
        <v>0</v>
      </c>
      <c r="T185" s="5">
        <v>0</v>
      </c>
      <c r="U185" s="37">
        <f t="shared" si="34"/>
        <v>0</v>
      </c>
      <c r="V185" s="38">
        <v>0</v>
      </c>
      <c r="W185" s="37">
        <f t="shared" si="35"/>
        <v>0</v>
      </c>
      <c r="X185" s="36">
        <v>0</v>
      </c>
      <c r="Y185" s="5">
        <v>0</v>
      </c>
      <c r="Z185" s="37">
        <f t="shared" si="36"/>
        <v>0</v>
      </c>
      <c r="AA185" s="38">
        <v>0</v>
      </c>
      <c r="AB185" s="37">
        <f t="shared" si="37"/>
        <v>0</v>
      </c>
      <c r="AC185" s="36">
        <v>0</v>
      </c>
      <c r="AD185" s="5">
        <v>0</v>
      </c>
      <c r="AE185" s="37">
        <f t="shared" si="38"/>
        <v>0</v>
      </c>
      <c r="AF185" s="38">
        <v>0</v>
      </c>
      <c r="AG185" s="37">
        <f t="shared" si="39"/>
        <v>0</v>
      </c>
      <c r="AH185" s="36">
        <v>0</v>
      </c>
      <c r="AI185" s="5">
        <v>0</v>
      </c>
      <c r="AJ185" s="37">
        <f t="shared" si="40"/>
        <v>0</v>
      </c>
      <c r="AK185" s="38">
        <v>0</v>
      </c>
      <c r="AL185" s="37">
        <f t="shared" si="41"/>
        <v>0</v>
      </c>
      <c r="AM185" s="35" t="s">
        <v>923</v>
      </c>
      <c r="AN185" s="35" t="s">
        <v>69</v>
      </c>
      <c r="AO185" s="5">
        <v>0</v>
      </c>
      <c r="AP185" s="5">
        <v>0</v>
      </c>
      <c r="AQ185" s="35"/>
      <c r="AR185" s="35"/>
      <c r="AS185" s="122"/>
      <c r="AT185" s="35">
        <v>693</v>
      </c>
      <c r="AU185" s="35" t="s">
        <v>924</v>
      </c>
    </row>
    <row r="186" spans="1:47" x14ac:dyDescent="0.15">
      <c r="A186" s="14" t="s">
        <v>647</v>
      </c>
      <c r="B186" s="5" t="s">
        <v>648</v>
      </c>
      <c r="C186" s="36">
        <v>15</v>
      </c>
      <c r="D186" s="36">
        <v>0</v>
      </c>
      <c r="E186" s="5">
        <v>0</v>
      </c>
      <c r="F186" s="37">
        <f t="shared" si="28"/>
        <v>15</v>
      </c>
      <c r="G186" s="38">
        <v>0</v>
      </c>
      <c r="H186" s="37">
        <f t="shared" si="29"/>
        <v>15</v>
      </c>
      <c r="I186" s="36">
        <v>103</v>
      </c>
      <c r="J186" s="5">
        <v>106</v>
      </c>
      <c r="K186" s="37">
        <f t="shared" si="30"/>
        <v>12</v>
      </c>
      <c r="L186" s="38">
        <v>0</v>
      </c>
      <c r="M186" s="37">
        <f t="shared" si="31"/>
        <v>12</v>
      </c>
      <c r="N186" s="36">
        <v>0</v>
      </c>
      <c r="O186" s="5">
        <v>41</v>
      </c>
      <c r="P186" s="37">
        <f t="shared" si="32"/>
        <v>-29</v>
      </c>
      <c r="Q186" s="38">
        <v>0</v>
      </c>
      <c r="R186" s="37">
        <f t="shared" si="33"/>
        <v>-29</v>
      </c>
      <c r="S186" s="36">
        <v>0</v>
      </c>
      <c r="T186" s="5">
        <v>72</v>
      </c>
      <c r="U186" s="37">
        <f t="shared" si="34"/>
        <v>-101</v>
      </c>
      <c r="V186" s="38">
        <v>0</v>
      </c>
      <c r="W186" s="37">
        <f t="shared" si="35"/>
        <v>-101</v>
      </c>
      <c r="X186" s="36">
        <v>0</v>
      </c>
      <c r="Y186" s="5">
        <v>37</v>
      </c>
      <c r="Z186" s="37">
        <f t="shared" si="36"/>
        <v>-138</v>
      </c>
      <c r="AA186" s="38">
        <v>0</v>
      </c>
      <c r="AB186" s="37">
        <f t="shared" si="37"/>
        <v>-138</v>
      </c>
      <c r="AC186" s="36">
        <v>0</v>
      </c>
      <c r="AD186" s="5">
        <v>60</v>
      </c>
      <c r="AE186" s="37">
        <f t="shared" si="38"/>
        <v>-198</v>
      </c>
      <c r="AF186" s="38">
        <v>0</v>
      </c>
      <c r="AG186" s="37">
        <f t="shared" si="39"/>
        <v>-198</v>
      </c>
      <c r="AH186" s="36">
        <v>0</v>
      </c>
      <c r="AI186" s="5">
        <v>63</v>
      </c>
      <c r="AJ186" s="37">
        <f t="shared" si="40"/>
        <v>-261</v>
      </c>
      <c r="AK186" s="38">
        <v>0</v>
      </c>
      <c r="AL186" s="37">
        <f t="shared" si="41"/>
        <v>-261</v>
      </c>
      <c r="AM186" s="35" t="s">
        <v>923</v>
      </c>
      <c r="AN186" s="35" t="s">
        <v>68</v>
      </c>
      <c r="AO186" s="5">
        <v>100</v>
      </c>
      <c r="AP186" s="5">
        <v>0</v>
      </c>
      <c r="AQ186" s="35"/>
      <c r="AR186" s="35"/>
      <c r="AS186" s="122"/>
      <c r="AT186" s="35">
        <v>693</v>
      </c>
      <c r="AU186" s="35" t="s">
        <v>924</v>
      </c>
    </row>
    <row r="187" spans="1:47" x14ac:dyDescent="0.15">
      <c r="A187" s="14" t="s">
        <v>789</v>
      </c>
      <c r="B187" s="5" t="s">
        <v>790</v>
      </c>
      <c r="C187" s="36">
        <v>0</v>
      </c>
      <c r="D187" s="36">
        <v>0</v>
      </c>
      <c r="E187" s="5">
        <v>0</v>
      </c>
      <c r="F187" s="37">
        <f t="shared" si="28"/>
        <v>0</v>
      </c>
      <c r="G187" s="38">
        <v>0</v>
      </c>
      <c r="H187" s="37">
        <f t="shared" si="29"/>
        <v>0</v>
      </c>
      <c r="I187" s="36">
        <v>0</v>
      </c>
      <c r="J187" s="5">
        <v>0</v>
      </c>
      <c r="K187" s="37">
        <f t="shared" si="30"/>
        <v>0</v>
      </c>
      <c r="L187" s="38">
        <v>0</v>
      </c>
      <c r="M187" s="37">
        <f t="shared" si="31"/>
        <v>0</v>
      </c>
      <c r="N187" s="36">
        <v>0</v>
      </c>
      <c r="O187" s="5">
        <v>0</v>
      </c>
      <c r="P187" s="37">
        <f t="shared" si="32"/>
        <v>0</v>
      </c>
      <c r="Q187" s="38">
        <v>0</v>
      </c>
      <c r="R187" s="37">
        <f t="shared" si="33"/>
        <v>0</v>
      </c>
      <c r="S187" s="36">
        <v>0</v>
      </c>
      <c r="T187" s="5">
        <v>0</v>
      </c>
      <c r="U187" s="37">
        <f t="shared" si="34"/>
        <v>0</v>
      </c>
      <c r="V187" s="38">
        <v>0</v>
      </c>
      <c r="W187" s="37">
        <f t="shared" si="35"/>
        <v>0</v>
      </c>
      <c r="X187" s="36">
        <v>0</v>
      </c>
      <c r="Y187" s="5">
        <v>0</v>
      </c>
      <c r="Z187" s="37">
        <f t="shared" si="36"/>
        <v>0</v>
      </c>
      <c r="AA187" s="38">
        <v>0</v>
      </c>
      <c r="AB187" s="37">
        <f t="shared" si="37"/>
        <v>0</v>
      </c>
      <c r="AC187" s="36">
        <v>0</v>
      </c>
      <c r="AD187" s="5">
        <v>0</v>
      </c>
      <c r="AE187" s="37">
        <f t="shared" si="38"/>
        <v>0</v>
      </c>
      <c r="AF187" s="38">
        <v>0</v>
      </c>
      <c r="AG187" s="37">
        <f t="shared" si="39"/>
        <v>0</v>
      </c>
      <c r="AH187" s="36">
        <v>0</v>
      </c>
      <c r="AI187" s="5">
        <v>0</v>
      </c>
      <c r="AJ187" s="37">
        <f t="shared" si="40"/>
        <v>0</v>
      </c>
      <c r="AK187" s="38">
        <v>0</v>
      </c>
      <c r="AL187" s="37">
        <f t="shared" si="41"/>
        <v>0</v>
      </c>
      <c r="AM187" s="35" t="s">
        <v>923</v>
      </c>
      <c r="AN187" s="35" t="s">
        <v>68</v>
      </c>
      <c r="AO187" s="5">
        <v>150</v>
      </c>
      <c r="AP187" s="5">
        <v>0</v>
      </c>
      <c r="AQ187" s="35"/>
      <c r="AR187" s="35"/>
      <c r="AS187" s="122"/>
      <c r="AT187" s="35">
        <v>693</v>
      </c>
      <c r="AU187" s="35" t="s">
        <v>924</v>
      </c>
    </row>
    <row r="188" spans="1:47" x14ac:dyDescent="0.15">
      <c r="A188" s="14" t="s">
        <v>548</v>
      </c>
      <c r="B188" s="5" t="s">
        <v>549</v>
      </c>
      <c r="C188" s="36">
        <v>28</v>
      </c>
      <c r="D188" s="36">
        <v>0</v>
      </c>
      <c r="E188" s="5">
        <v>0</v>
      </c>
      <c r="F188" s="37">
        <f t="shared" si="28"/>
        <v>28</v>
      </c>
      <c r="G188" s="38">
        <v>0</v>
      </c>
      <c r="H188" s="37">
        <f t="shared" si="29"/>
        <v>28</v>
      </c>
      <c r="I188" s="36">
        <v>0</v>
      </c>
      <c r="J188" s="5">
        <v>10</v>
      </c>
      <c r="K188" s="37">
        <f t="shared" si="30"/>
        <v>18</v>
      </c>
      <c r="L188" s="38">
        <v>0</v>
      </c>
      <c r="M188" s="37">
        <f t="shared" si="31"/>
        <v>18</v>
      </c>
      <c r="N188" s="36">
        <v>0</v>
      </c>
      <c r="O188" s="5">
        <v>10</v>
      </c>
      <c r="P188" s="37">
        <f t="shared" si="32"/>
        <v>8</v>
      </c>
      <c r="Q188" s="38">
        <v>0</v>
      </c>
      <c r="R188" s="37">
        <f t="shared" si="33"/>
        <v>8</v>
      </c>
      <c r="S188" s="36">
        <v>20</v>
      </c>
      <c r="T188" s="5">
        <v>10</v>
      </c>
      <c r="U188" s="37">
        <f t="shared" si="34"/>
        <v>18</v>
      </c>
      <c r="V188" s="38">
        <v>0</v>
      </c>
      <c r="W188" s="37">
        <f t="shared" si="35"/>
        <v>18</v>
      </c>
      <c r="X188" s="36">
        <v>0</v>
      </c>
      <c r="Y188" s="5">
        <v>10</v>
      </c>
      <c r="Z188" s="37">
        <f t="shared" si="36"/>
        <v>8</v>
      </c>
      <c r="AA188" s="38">
        <v>0</v>
      </c>
      <c r="AB188" s="37">
        <f t="shared" si="37"/>
        <v>8</v>
      </c>
      <c r="AC188" s="36">
        <v>40</v>
      </c>
      <c r="AD188" s="5">
        <v>10</v>
      </c>
      <c r="AE188" s="37">
        <f t="shared" si="38"/>
        <v>38</v>
      </c>
      <c r="AF188" s="38">
        <v>0</v>
      </c>
      <c r="AG188" s="37">
        <f t="shared" si="39"/>
        <v>38</v>
      </c>
      <c r="AH188" s="36">
        <v>0</v>
      </c>
      <c r="AI188" s="5">
        <v>30</v>
      </c>
      <c r="AJ188" s="37">
        <f t="shared" si="40"/>
        <v>8</v>
      </c>
      <c r="AK188" s="38">
        <v>0</v>
      </c>
      <c r="AL188" s="37">
        <f t="shared" si="41"/>
        <v>8</v>
      </c>
      <c r="AM188" s="35" t="s">
        <v>913</v>
      </c>
      <c r="AN188" s="35" t="s">
        <v>68</v>
      </c>
      <c r="AO188" s="5">
        <v>145</v>
      </c>
      <c r="AP188" s="5">
        <v>0</v>
      </c>
      <c r="AQ188" s="35"/>
      <c r="AR188" s="35"/>
      <c r="AS188" s="122"/>
      <c r="AT188" s="35">
        <v>525</v>
      </c>
      <c r="AU188" s="35" t="s">
        <v>959</v>
      </c>
    </row>
    <row r="189" spans="1:47" x14ac:dyDescent="0.15">
      <c r="A189" s="14" t="s">
        <v>799</v>
      </c>
      <c r="B189" s="5" t="s">
        <v>800</v>
      </c>
      <c r="C189" s="36">
        <v>18</v>
      </c>
      <c r="D189" s="36">
        <v>30</v>
      </c>
      <c r="E189" s="5">
        <v>0</v>
      </c>
      <c r="F189" s="37">
        <f t="shared" si="28"/>
        <v>48</v>
      </c>
      <c r="G189" s="38">
        <v>0</v>
      </c>
      <c r="H189" s="37">
        <f t="shared" si="29"/>
        <v>48</v>
      </c>
      <c r="I189" s="36">
        <v>0</v>
      </c>
      <c r="J189" s="5">
        <v>10</v>
      </c>
      <c r="K189" s="37">
        <f t="shared" si="30"/>
        <v>38</v>
      </c>
      <c r="L189" s="38">
        <v>0</v>
      </c>
      <c r="M189" s="37">
        <f t="shared" si="31"/>
        <v>38</v>
      </c>
      <c r="N189" s="36">
        <v>0</v>
      </c>
      <c r="O189" s="5">
        <v>10</v>
      </c>
      <c r="P189" s="37">
        <f t="shared" si="32"/>
        <v>28</v>
      </c>
      <c r="Q189" s="38">
        <v>0</v>
      </c>
      <c r="R189" s="37">
        <f t="shared" si="33"/>
        <v>28</v>
      </c>
      <c r="S189" s="36">
        <v>60</v>
      </c>
      <c r="T189" s="5">
        <v>10</v>
      </c>
      <c r="U189" s="37">
        <f t="shared" si="34"/>
        <v>78</v>
      </c>
      <c r="V189" s="38">
        <v>0</v>
      </c>
      <c r="W189" s="37">
        <f t="shared" si="35"/>
        <v>78</v>
      </c>
      <c r="X189" s="36">
        <v>0</v>
      </c>
      <c r="Y189" s="5">
        <v>10</v>
      </c>
      <c r="Z189" s="37">
        <f t="shared" si="36"/>
        <v>68</v>
      </c>
      <c r="AA189" s="38">
        <v>0</v>
      </c>
      <c r="AB189" s="37">
        <f t="shared" si="37"/>
        <v>68</v>
      </c>
      <c r="AC189" s="36">
        <v>60</v>
      </c>
      <c r="AD189" s="5">
        <v>10</v>
      </c>
      <c r="AE189" s="37">
        <f t="shared" si="38"/>
        <v>118</v>
      </c>
      <c r="AF189" s="38">
        <v>0</v>
      </c>
      <c r="AG189" s="37">
        <f t="shared" si="39"/>
        <v>118</v>
      </c>
      <c r="AH189" s="36">
        <v>0</v>
      </c>
      <c r="AI189" s="5">
        <v>30</v>
      </c>
      <c r="AJ189" s="37">
        <f t="shared" si="40"/>
        <v>88</v>
      </c>
      <c r="AK189" s="38">
        <v>0</v>
      </c>
      <c r="AL189" s="37">
        <f t="shared" si="41"/>
        <v>88</v>
      </c>
      <c r="AM189" s="35" t="s">
        <v>574</v>
      </c>
      <c r="AN189" s="35" t="s">
        <v>68</v>
      </c>
      <c r="AO189" s="5">
        <v>480</v>
      </c>
      <c r="AP189" s="5">
        <v>0</v>
      </c>
      <c r="AQ189" s="35"/>
      <c r="AR189" s="35"/>
      <c r="AS189" s="122">
        <v>4528950000000</v>
      </c>
      <c r="AT189" s="35">
        <v>188</v>
      </c>
      <c r="AU189" s="35" t="s">
        <v>903</v>
      </c>
    </row>
    <row r="190" spans="1:47" x14ac:dyDescent="0.15">
      <c r="A190" s="14" t="s">
        <v>175</v>
      </c>
      <c r="B190" s="5" t="s">
        <v>518</v>
      </c>
      <c r="C190" s="36">
        <v>3</v>
      </c>
      <c r="D190" s="36">
        <v>12</v>
      </c>
      <c r="E190" s="5">
        <v>0</v>
      </c>
      <c r="F190" s="37">
        <f t="shared" si="28"/>
        <v>15</v>
      </c>
      <c r="G190" s="38">
        <v>0</v>
      </c>
      <c r="H190" s="37">
        <f t="shared" si="29"/>
        <v>15</v>
      </c>
      <c r="I190" s="36">
        <v>0</v>
      </c>
      <c r="J190" s="5">
        <v>6</v>
      </c>
      <c r="K190" s="37">
        <f t="shared" si="30"/>
        <v>9</v>
      </c>
      <c r="L190" s="38">
        <v>0</v>
      </c>
      <c r="M190" s="37">
        <f t="shared" si="31"/>
        <v>9</v>
      </c>
      <c r="N190" s="36">
        <v>12</v>
      </c>
      <c r="O190" s="5">
        <v>9</v>
      </c>
      <c r="P190" s="37">
        <f t="shared" si="32"/>
        <v>12</v>
      </c>
      <c r="Q190" s="38">
        <v>0</v>
      </c>
      <c r="R190" s="37">
        <f t="shared" si="33"/>
        <v>12</v>
      </c>
      <c r="S190" s="36">
        <v>0</v>
      </c>
      <c r="T190" s="5">
        <v>0</v>
      </c>
      <c r="U190" s="37">
        <f t="shared" si="34"/>
        <v>12</v>
      </c>
      <c r="V190" s="38">
        <v>0</v>
      </c>
      <c r="W190" s="37">
        <f t="shared" si="35"/>
        <v>12</v>
      </c>
      <c r="X190" s="36">
        <v>0</v>
      </c>
      <c r="Y190" s="5">
        <v>8</v>
      </c>
      <c r="Z190" s="37">
        <f t="shared" si="36"/>
        <v>4</v>
      </c>
      <c r="AA190" s="38">
        <v>0</v>
      </c>
      <c r="AB190" s="37">
        <f t="shared" si="37"/>
        <v>4</v>
      </c>
      <c r="AC190" s="36">
        <v>0</v>
      </c>
      <c r="AD190" s="5">
        <v>0</v>
      </c>
      <c r="AE190" s="37">
        <f t="shared" si="38"/>
        <v>4</v>
      </c>
      <c r="AF190" s="38">
        <v>0</v>
      </c>
      <c r="AG190" s="37">
        <f t="shared" si="39"/>
        <v>4</v>
      </c>
      <c r="AH190" s="36">
        <v>12</v>
      </c>
      <c r="AI190" s="5">
        <v>6</v>
      </c>
      <c r="AJ190" s="37">
        <f t="shared" si="40"/>
        <v>10</v>
      </c>
      <c r="AK190" s="38">
        <v>0</v>
      </c>
      <c r="AL190" s="37">
        <f t="shared" si="41"/>
        <v>10</v>
      </c>
      <c r="AM190" s="35" t="s">
        <v>197</v>
      </c>
      <c r="AN190" s="35" t="s">
        <v>68</v>
      </c>
      <c r="AO190" s="5">
        <v>600</v>
      </c>
      <c r="AP190" s="5">
        <v>0</v>
      </c>
      <c r="AQ190" s="35" t="s">
        <v>67</v>
      </c>
      <c r="AR190" s="35"/>
      <c r="AS190" s="122"/>
      <c r="AT190" s="35">
        <v>138</v>
      </c>
      <c r="AU190" s="35" t="s">
        <v>973</v>
      </c>
    </row>
    <row r="191" spans="1:47" x14ac:dyDescent="0.15">
      <c r="A191" s="14" t="s">
        <v>133</v>
      </c>
      <c r="B191" s="5" t="s">
        <v>134</v>
      </c>
      <c r="C191" s="36">
        <v>101</v>
      </c>
      <c r="D191" s="36">
        <v>180</v>
      </c>
      <c r="E191" s="5">
        <v>0</v>
      </c>
      <c r="F191" s="37">
        <f t="shared" si="28"/>
        <v>281</v>
      </c>
      <c r="G191" s="38">
        <v>0</v>
      </c>
      <c r="H191" s="37">
        <f t="shared" si="29"/>
        <v>281</v>
      </c>
      <c r="I191" s="36">
        <v>0</v>
      </c>
      <c r="J191" s="5">
        <v>159</v>
      </c>
      <c r="K191" s="37">
        <f t="shared" si="30"/>
        <v>122</v>
      </c>
      <c r="L191" s="38">
        <v>0</v>
      </c>
      <c r="M191" s="37">
        <f t="shared" si="31"/>
        <v>122</v>
      </c>
      <c r="N191" s="36">
        <v>90</v>
      </c>
      <c r="O191" s="5">
        <v>72</v>
      </c>
      <c r="P191" s="37">
        <f t="shared" si="32"/>
        <v>140</v>
      </c>
      <c r="Q191" s="38">
        <v>0</v>
      </c>
      <c r="R191" s="37">
        <f t="shared" si="33"/>
        <v>140</v>
      </c>
      <c r="S191" s="36">
        <v>60</v>
      </c>
      <c r="T191" s="5">
        <v>124</v>
      </c>
      <c r="U191" s="37">
        <f t="shared" si="34"/>
        <v>76</v>
      </c>
      <c r="V191" s="38">
        <v>0</v>
      </c>
      <c r="W191" s="37">
        <f t="shared" si="35"/>
        <v>76</v>
      </c>
      <c r="X191" s="36">
        <v>210</v>
      </c>
      <c r="Y191" s="5">
        <v>67</v>
      </c>
      <c r="Z191" s="37">
        <f t="shared" si="36"/>
        <v>219</v>
      </c>
      <c r="AA191" s="38">
        <v>0</v>
      </c>
      <c r="AB191" s="37">
        <f t="shared" si="37"/>
        <v>219</v>
      </c>
      <c r="AC191" s="36">
        <v>0</v>
      </c>
      <c r="AD191" s="5">
        <v>136</v>
      </c>
      <c r="AE191" s="37">
        <f t="shared" si="38"/>
        <v>83</v>
      </c>
      <c r="AF191" s="38">
        <v>0</v>
      </c>
      <c r="AG191" s="37">
        <f t="shared" si="39"/>
        <v>83</v>
      </c>
      <c r="AH191" s="36">
        <v>150</v>
      </c>
      <c r="AI191" s="5">
        <v>160</v>
      </c>
      <c r="AJ191" s="37">
        <f t="shared" si="40"/>
        <v>73</v>
      </c>
      <c r="AK191" s="38">
        <v>0</v>
      </c>
      <c r="AL191" s="37">
        <f t="shared" si="41"/>
        <v>73</v>
      </c>
      <c r="AM191" s="35" t="s">
        <v>197</v>
      </c>
      <c r="AN191" s="35" t="s">
        <v>68</v>
      </c>
      <c r="AO191" s="5">
        <v>110</v>
      </c>
      <c r="AP191" s="5">
        <v>0</v>
      </c>
      <c r="AQ191" s="35" t="s">
        <v>67</v>
      </c>
      <c r="AR191" s="35"/>
      <c r="AS191" s="122"/>
      <c r="AT191" s="35">
        <v>138</v>
      </c>
      <c r="AU191" s="35" t="s">
        <v>973</v>
      </c>
    </row>
    <row r="192" spans="1:47" x14ac:dyDescent="0.15">
      <c r="A192" s="14" t="s">
        <v>117</v>
      </c>
      <c r="B192" s="5" t="s">
        <v>118</v>
      </c>
      <c r="C192" s="36">
        <v>23</v>
      </c>
      <c r="D192" s="36">
        <v>20</v>
      </c>
      <c r="E192" s="5">
        <v>0</v>
      </c>
      <c r="F192" s="37">
        <f t="shared" si="28"/>
        <v>43</v>
      </c>
      <c r="G192" s="38">
        <v>0</v>
      </c>
      <c r="H192" s="37">
        <f t="shared" si="29"/>
        <v>43</v>
      </c>
      <c r="I192" s="36">
        <v>0</v>
      </c>
      <c r="J192" s="5">
        <v>8</v>
      </c>
      <c r="K192" s="37">
        <f t="shared" si="30"/>
        <v>35</v>
      </c>
      <c r="L192" s="38">
        <v>0</v>
      </c>
      <c r="M192" s="37">
        <f t="shared" si="31"/>
        <v>35</v>
      </c>
      <c r="N192" s="36">
        <v>0</v>
      </c>
      <c r="O192" s="5">
        <v>3</v>
      </c>
      <c r="P192" s="37">
        <f t="shared" si="32"/>
        <v>32</v>
      </c>
      <c r="Q192" s="38">
        <v>0</v>
      </c>
      <c r="R192" s="37">
        <f t="shared" si="33"/>
        <v>32</v>
      </c>
      <c r="S192" s="36">
        <v>0</v>
      </c>
      <c r="T192" s="5">
        <v>8</v>
      </c>
      <c r="U192" s="37">
        <f t="shared" si="34"/>
        <v>24</v>
      </c>
      <c r="V192" s="38">
        <v>0</v>
      </c>
      <c r="W192" s="37">
        <f t="shared" si="35"/>
        <v>24</v>
      </c>
      <c r="X192" s="36">
        <v>0</v>
      </c>
      <c r="Y192" s="5">
        <v>3</v>
      </c>
      <c r="Z192" s="37">
        <f t="shared" si="36"/>
        <v>21</v>
      </c>
      <c r="AA192" s="38">
        <v>0</v>
      </c>
      <c r="AB192" s="37">
        <f t="shared" si="37"/>
        <v>21</v>
      </c>
      <c r="AC192" s="36">
        <v>0</v>
      </c>
      <c r="AD192" s="5">
        <v>8</v>
      </c>
      <c r="AE192" s="37">
        <f t="shared" si="38"/>
        <v>13</v>
      </c>
      <c r="AF192" s="38">
        <v>0</v>
      </c>
      <c r="AG192" s="37">
        <f t="shared" si="39"/>
        <v>13</v>
      </c>
      <c r="AH192" s="36">
        <v>20</v>
      </c>
      <c r="AI192" s="5">
        <v>9</v>
      </c>
      <c r="AJ192" s="37">
        <f t="shared" si="40"/>
        <v>24</v>
      </c>
      <c r="AK192" s="38">
        <v>0</v>
      </c>
      <c r="AL192" s="37">
        <f t="shared" si="41"/>
        <v>24</v>
      </c>
      <c r="AM192" s="35" t="s">
        <v>197</v>
      </c>
      <c r="AN192" s="35" t="s">
        <v>68</v>
      </c>
      <c r="AO192" s="5">
        <v>110</v>
      </c>
      <c r="AP192" s="5">
        <v>0</v>
      </c>
      <c r="AQ192" s="35" t="s">
        <v>67</v>
      </c>
      <c r="AR192" s="35"/>
      <c r="AS192" s="122"/>
      <c r="AT192" s="35">
        <v>138</v>
      </c>
      <c r="AU192" s="35" t="s">
        <v>973</v>
      </c>
    </row>
    <row r="193" spans="1:47" x14ac:dyDescent="0.15">
      <c r="A193" s="14" t="s">
        <v>338</v>
      </c>
      <c r="B193" s="5" t="s">
        <v>339</v>
      </c>
      <c r="C193" s="36">
        <v>48</v>
      </c>
      <c r="D193" s="36">
        <v>0</v>
      </c>
      <c r="E193" s="5">
        <v>0</v>
      </c>
      <c r="F193" s="37">
        <f t="shared" si="28"/>
        <v>48</v>
      </c>
      <c r="G193" s="38">
        <v>0</v>
      </c>
      <c r="H193" s="37">
        <f t="shared" si="29"/>
        <v>48</v>
      </c>
      <c r="I193" s="36">
        <v>0</v>
      </c>
      <c r="J193" s="5">
        <v>24</v>
      </c>
      <c r="K193" s="37">
        <f t="shared" si="30"/>
        <v>24</v>
      </c>
      <c r="L193" s="38">
        <v>-5</v>
      </c>
      <c r="M193" s="37">
        <f t="shared" si="31"/>
        <v>19</v>
      </c>
      <c r="N193" s="36">
        <v>30</v>
      </c>
      <c r="O193" s="5">
        <v>18</v>
      </c>
      <c r="P193" s="37">
        <f t="shared" si="32"/>
        <v>31</v>
      </c>
      <c r="Q193" s="38">
        <v>0</v>
      </c>
      <c r="R193" s="37">
        <f t="shared" si="33"/>
        <v>31</v>
      </c>
      <c r="S193" s="36">
        <v>30</v>
      </c>
      <c r="T193" s="5">
        <v>19</v>
      </c>
      <c r="U193" s="37">
        <f t="shared" si="34"/>
        <v>42</v>
      </c>
      <c r="V193" s="38">
        <v>0</v>
      </c>
      <c r="W193" s="37">
        <f t="shared" si="35"/>
        <v>42</v>
      </c>
      <c r="X193" s="36">
        <v>0</v>
      </c>
      <c r="Y193" s="5">
        <v>20</v>
      </c>
      <c r="Z193" s="37">
        <f t="shared" si="36"/>
        <v>22</v>
      </c>
      <c r="AA193" s="38">
        <v>-5</v>
      </c>
      <c r="AB193" s="37">
        <f t="shared" si="37"/>
        <v>17</v>
      </c>
      <c r="AC193" s="36">
        <v>30</v>
      </c>
      <c r="AD193" s="5">
        <v>17</v>
      </c>
      <c r="AE193" s="37">
        <f t="shared" si="38"/>
        <v>30</v>
      </c>
      <c r="AF193" s="38">
        <v>0</v>
      </c>
      <c r="AG193" s="37">
        <f t="shared" si="39"/>
        <v>30</v>
      </c>
      <c r="AH193" s="36">
        <v>30</v>
      </c>
      <c r="AI193" s="5">
        <v>37</v>
      </c>
      <c r="AJ193" s="37">
        <f t="shared" si="40"/>
        <v>23</v>
      </c>
      <c r="AK193" s="38">
        <v>0</v>
      </c>
      <c r="AL193" s="37">
        <f t="shared" si="41"/>
        <v>23</v>
      </c>
      <c r="AM193" s="35" t="s">
        <v>974</v>
      </c>
      <c r="AN193" s="35" t="s">
        <v>68</v>
      </c>
      <c r="AO193" s="5">
        <v>200</v>
      </c>
      <c r="AP193" s="5">
        <v>0</v>
      </c>
      <c r="AQ193" s="35" t="s">
        <v>67</v>
      </c>
      <c r="AR193" s="35"/>
      <c r="AS193" s="122">
        <v>4571517100133</v>
      </c>
      <c r="AT193" s="35">
        <v>292</v>
      </c>
      <c r="AU193" s="35" t="s">
        <v>975</v>
      </c>
    </row>
    <row r="194" spans="1:47" x14ac:dyDescent="0.15">
      <c r="A194" s="14" t="s">
        <v>340</v>
      </c>
      <c r="B194" s="5" t="s">
        <v>341</v>
      </c>
      <c r="C194" s="36">
        <v>30</v>
      </c>
      <c r="D194" s="36">
        <v>0</v>
      </c>
      <c r="E194" s="5">
        <v>0</v>
      </c>
      <c r="F194" s="37">
        <f t="shared" si="28"/>
        <v>30</v>
      </c>
      <c r="G194" s="38">
        <v>0</v>
      </c>
      <c r="H194" s="37">
        <f t="shared" si="29"/>
        <v>30</v>
      </c>
      <c r="I194" s="36">
        <v>0</v>
      </c>
      <c r="J194" s="5">
        <v>27</v>
      </c>
      <c r="K194" s="37">
        <f t="shared" si="30"/>
        <v>3</v>
      </c>
      <c r="L194" s="38">
        <v>0</v>
      </c>
      <c r="M194" s="37">
        <f t="shared" si="31"/>
        <v>3</v>
      </c>
      <c r="N194" s="36">
        <v>40</v>
      </c>
      <c r="O194" s="5">
        <v>10</v>
      </c>
      <c r="P194" s="37">
        <f t="shared" si="32"/>
        <v>33</v>
      </c>
      <c r="Q194" s="38">
        <v>0</v>
      </c>
      <c r="R194" s="37">
        <f t="shared" si="33"/>
        <v>33</v>
      </c>
      <c r="S194" s="36">
        <v>20</v>
      </c>
      <c r="T194" s="5">
        <v>24</v>
      </c>
      <c r="U194" s="37">
        <f t="shared" si="34"/>
        <v>29</v>
      </c>
      <c r="V194" s="38">
        <v>0</v>
      </c>
      <c r="W194" s="37">
        <f t="shared" si="35"/>
        <v>29</v>
      </c>
      <c r="X194" s="36">
        <v>0</v>
      </c>
      <c r="Y194" s="5">
        <v>12</v>
      </c>
      <c r="Z194" s="37">
        <f t="shared" si="36"/>
        <v>17</v>
      </c>
      <c r="AA194" s="38">
        <v>0</v>
      </c>
      <c r="AB194" s="37">
        <f t="shared" si="37"/>
        <v>17</v>
      </c>
      <c r="AC194" s="36">
        <v>20</v>
      </c>
      <c r="AD194" s="5">
        <v>17</v>
      </c>
      <c r="AE194" s="37">
        <f t="shared" si="38"/>
        <v>20</v>
      </c>
      <c r="AF194" s="38">
        <v>0</v>
      </c>
      <c r="AG194" s="37">
        <f t="shared" si="39"/>
        <v>20</v>
      </c>
      <c r="AH194" s="36">
        <v>40</v>
      </c>
      <c r="AI194" s="5">
        <v>29</v>
      </c>
      <c r="AJ194" s="37">
        <f t="shared" si="40"/>
        <v>31</v>
      </c>
      <c r="AK194" s="38">
        <v>0</v>
      </c>
      <c r="AL194" s="37">
        <f t="shared" si="41"/>
        <v>31</v>
      </c>
      <c r="AM194" s="35" t="s">
        <v>974</v>
      </c>
      <c r="AN194" s="35" t="s">
        <v>68</v>
      </c>
      <c r="AO194" s="5">
        <v>290</v>
      </c>
      <c r="AP194" s="5">
        <v>0</v>
      </c>
      <c r="AQ194" s="35" t="s">
        <v>67</v>
      </c>
      <c r="AR194" s="35"/>
      <c r="AS194" s="122">
        <v>4571517100188</v>
      </c>
      <c r="AT194" s="35">
        <v>292</v>
      </c>
      <c r="AU194" s="35" t="s">
        <v>975</v>
      </c>
    </row>
    <row r="195" spans="1:47" x14ac:dyDescent="0.15">
      <c r="A195" s="14" t="s">
        <v>976</v>
      </c>
      <c r="B195" s="5" t="s">
        <v>977</v>
      </c>
      <c r="C195" s="36">
        <v>0</v>
      </c>
      <c r="D195" s="36">
        <v>0</v>
      </c>
      <c r="E195" s="5">
        <v>0</v>
      </c>
      <c r="F195" s="37">
        <f t="shared" si="28"/>
        <v>0</v>
      </c>
      <c r="G195" s="38">
        <v>0</v>
      </c>
      <c r="H195" s="37">
        <f t="shared" si="29"/>
        <v>0</v>
      </c>
      <c r="I195" s="36">
        <v>1</v>
      </c>
      <c r="J195" s="5">
        <v>1</v>
      </c>
      <c r="K195" s="37">
        <f t="shared" si="30"/>
        <v>0</v>
      </c>
      <c r="L195" s="38">
        <v>0</v>
      </c>
      <c r="M195" s="37">
        <f t="shared" si="31"/>
        <v>0</v>
      </c>
      <c r="N195" s="36">
        <v>0</v>
      </c>
      <c r="O195" s="5">
        <v>0</v>
      </c>
      <c r="P195" s="37">
        <f t="shared" si="32"/>
        <v>0</v>
      </c>
      <c r="Q195" s="38">
        <v>0</v>
      </c>
      <c r="R195" s="37">
        <f t="shared" si="33"/>
        <v>0</v>
      </c>
      <c r="S195" s="36">
        <v>0</v>
      </c>
      <c r="T195" s="5">
        <v>0</v>
      </c>
      <c r="U195" s="37">
        <f t="shared" si="34"/>
        <v>0</v>
      </c>
      <c r="V195" s="38">
        <v>0</v>
      </c>
      <c r="W195" s="37">
        <f t="shared" si="35"/>
        <v>0</v>
      </c>
      <c r="X195" s="36">
        <v>1</v>
      </c>
      <c r="Y195" s="5">
        <v>1</v>
      </c>
      <c r="Z195" s="37">
        <f t="shared" si="36"/>
        <v>0</v>
      </c>
      <c r="AA195" s="38">
        <v>0</v>
      </c>
      <c r="AB195" s="37">
        <f t="shared" si="37"/>
        <v>0</v>
      </c>
      <c r="AC195" s="36">
        <v>0</v>
      </c>
      <c r="AD195" s="5">
        <v>0</v>
      </c>
      <c r="AE195" s="37">
        <f t="shared" si="38"/>
        <v>0</v>
      </c>
      <c r="AF195" s="38">
        <v>0</v>
      </c>
      <c r="AG195" s="37">
        <f t="shared" si="39"/>
        <v>0</v>
      </c>
      <c r="AH195" s="36">
        <v>0</v>
      </c>
      <c r="AI195" s="5">
        <v>0</v>
      </c>
      <c r="AJ195" s="37">
        <f t="shared" si="40"/>
        <v>0</v>
      </c>
      <c r="AK195" s="38">
        <v>0</v>
      </c>
      <c r="AL195" s="37">
        <f t="shared" si="41"/>
        <v>0</v>
      </c>
      <c r="AM195" s="35" t="s">
        <v>978</v>
      </c>
      <c r="AN195" s="35" t="s">
        <v>68</v>
      </c>
      <c r="AO195" s="163">
        <v>1000</v>
      </c>
      <c r="AP195" s="5">
        <v>0</v>
      </c>
      <c r="AQ195" s="35"/>
      <c r="AR195" s="35" t="s">
        <v>67</v>
      </c>
      <c r="AS195" s="122">
        <v>4571517100133</v>
      </c>
      <c r="AT195" s="35">
        <v>292</v>
      </c>
      <c r="AU195" s="35" t="s">
        <v>975</v>
      </c>
    </row>
    <row r="196" spans="1:47" x14ac:dyDescent="0.15">
      <c r="A196" s="14" t="s">
        <v>28</v>
      </c>
      <c r="B196" s="5" t="s">
        <v>75</v>
      </c>
      <c r="C196" s="36">
        <v>66</v>
      </c>
      <c r="D196" s="36">
        <v>120</v>
      </c>
      <c r="E196" s="5">
        <v>0</v>
      </c>
      <c r="F196" s="37">
        <f t="shared" si="28"/>
        <v>186</v>
      </c>
      <c r="G196" s="38">
        <v>0</v>
      </c>
      <c r="H196" s="37">
        <f t="shared" si="29"/>
        <v>186</v>
      </c>
      <c r="I196" s="36">
        <v>0</v>
      </c>
      <c r="J196" s="5">
        <v>78</v>
      </c>
      <c r="K196" s="37">
        <f t="shared" si="30"/>
        <v>108</v>
      </c>
      <c r="L196" s="38">
        <v>0</v>
      </c>
      <c r="M196" s="37">
        <f t="shared" si="31"/>
        <v>108</v>
      </c>
      <c r="N196" s="36">
        <v>60</v>
      </c>
      <c r="O196" s="5">
        <v>56</v>
      </c>
      <c r="P196" s="37">
        <f t="shared" si="32"/>
        <v>112</v>
      </c>
      <c r="Q196" s="38">
        <v>0</v>
      </c>
      <c r="R196" s="37">
        <f t="shared" si="33"/>
        <v>112</v>
      </c>
      <c r="S196" s="36">
        <v>60</v>
      </c>
      <c r="T196" s="5">
        <v>69</v>
      </c>
      <c r="U196" s="37">
        <f t="shared" si="34"/>
        <v>103</v>
      </c>
      <c r="V196" s="38">
        <v>0</v>
      </c>
      <c r="W196" s="37">
        <f t="shared" si="35"/>
        <v>103</v>
      </c>
      <c r="X196" s="36">
        <v>60</v>
      </c>
      <c r="Y196" s="5">
        <v>50</v>
      </c>
      <c r="Z196" s="37">
        <f t="shared" si="36"/>
        <v>113</v>
      </c>
      <c r="AA196" s="38">
        <v>0</v>
      </c>
      <c r="AB196" s="37">
        <f t="shared" si="37"/>
        <v>113</v>
      </c>
      <c r="AC196" s="36">
        <v>0</v>
      </c>
      <c r="AD196" s="5">
        <v>67</v>
      </c>
      <c r="AE196" s="37">
        <f t="shared" si="38"/>
        <v>46</v>
      </c>
      <c r="AF196" s="38">
        <v>0</v>
      </c>
      <c r="AG196" s="37">
        <f t="shared" si="39"/>
        <v>46</v>
      </c>
      <c r="AH196" s="36">
        <v>60</v>
      </c>
      <c r="AI196" s="5">
        <v>84</v>
      </c>
      <c r="AJ196" s="37">
        <f t="shared" si="40"/>
        <v>22</v>
      </c>
      <c r="AK196" s="38">
        <v>0</v>
      </c>
      <c r="AL196" s="37">
        <f t="shared" si="41"/>
        <v>22</v>
      </c>
      <c r="AM196" s="35" t="s">
        <v>197</v>
      </c>
      <c r="AN196" s="35" t="s">
        <v>68</v>
      </c>
      <c r="AO196" s="5">
        <v>80</v>
      </c>
      <c r="AP196" s="5">
        <v>0</v>
      </c>
      <c r="AQ196" s="35" t="s">
        <v>67</v>
      </c>
      <c r="AR196" s="35"/>
      <c r="AS196" s="122"/>
      <c r="AT196" s="35">
        <v>138</v>
      </c>
      <c r="AU196" s="35" t="s">
        <v>973</v>
      </c>
    </row>
    <row r="197" spans="1:47" x14ac:dyDescent="0.15">
      <c r="A197" s="14" t="s">
        <v>119</v>
      </c>
      <c r="B197" s="5" t="s">
        <v>120</v>
      </c>
      <c r="C197" s="36">
        <v>11</v>
      </c>
      <c r="D197" s="36">
        <v>30</v>
      </c>
      <c r="E197" s="5">
        <v>0</v>
      </c>
      <c r="F197" s="37">
        <f t="shared" si="28"/>
        <v>41</v>
      </c>
      <c r="G197" s="38">
        <v>0</v>
      </c>
      <c r="H197" s="37">
        <f t="shared" si="29"/>
        <v>41</v>
      </c>
      <c r="I197" s="36">
        <v>0</v>
      </c>
      <c r="J197" s="5">
        <v>5</v>
      </c>
      <c r="K197" s="37">
        <f t="shared" si="30"/>
        <v>36</v>
      </c>
      <c r="L197" s="38">
        <v>0</v>
      </c>
      <c r="M197" s="37">
        <f t="shared" si="31"/>
        <v>36</v>
      </c>
      <c r="N197" s="36">
        <v>0</v>
      </c>
      <c r="O197" s="5">
        <v>4</v>
      </c>
      <c r="P197" s="37">
        <f t="shared" si="32"/>
        <v>32</v>
      </c>
      <c r="Q197" s="38">
        <v>0</v>
      </c>
      <c r="R197" s="37">
        <f t="shared" si="33"/>
        <v>32</v>
      </c>
      <c r="S197" s="36">
        <v>0</v>
      </c>
      <c r="T197" s="5">
        <v>7</v>
      </c>
      <c r="U197" s="37">
        <f t="shared" si="34"/>
        <v>25</v>
      </c>
      <c r="V197" s="38">
        <v>0</v>
      </c>
      <c r="W197" s="37">
        <f t="shared" si="35"/>
        <v>25</v>
      </c>
      <c r="X197" s="36">
        <v>0</v>
      </c>
      <c r="Y197" s="5">
        <v>3</v>
      </c>
      <c r="Z197" s="37">
        <f t="shared" si="36"/>
        <v>22</v>
      </c>
      <c r="AA197" s="38">
        <v>0</v>
      </c>
      <c r="AB197" s="37">
        <f t="shared" si="37"/>
        <v>22</v>
      </c>
      <c r="AC197" s="36">
        <v>0</v>
      </c>
      <c r="AD197" s="5">
        <v>6</v>
      </c>
      <c r="AE197" s="37">
        <f t="shared" si="38"/>
        <v>16</v>
      </c>
      <c r="AF197" s="38">
        <v>0</v>
      </c>
      <c r="AG197" s="37">
        <f t="shared" si="39"/>
        <v>16</v>
      </c>
      <c r="AH197" s="36">
        <v>0</v>
      </c>
      <c r="AI197" s="5">
        <v>10</v>
      </c>
      <c r="AJ197" s="37">
        <f t="shared" si="40"/>
        <v>6</v>
      </c>
      <c r="AK197" s="38">
        <v>0</v>
      </c>
      <c r="AL197" s="37">
        <f t="shared" si="41"/>
        <v>6</v>
      </c>
      <c r="AM197" s="35" t="s">
        <v>197</v>
      </c>
      <c r="AN197" s="35" t="s">
        <v>68</v>
      </c>
      <c r="AO197" s="5">
        <v>140</v>
      </c>
      <c r="AP197" s="5">
        <v>0</v>
      </c>
      <c r="AQ197" s="35" t="s">
        <v>67</v>
      </c>
      <c r="AR197" s="35"/>
      <c r="AS197" s="122"/>
      <c r="AT197" s="35">
        <v>138</v>
      </c>
      <c r="AU197" s="35" t="s">
        <v>973</v>
      </c>
    </row>
    <row r="198" spans="1:47" x14ac:dyDescent="0.15">
      <c r="A198" s="14" t="s">
        <v>242</v>
      </c>
      <c r="B198" s="5" t="s">
        <v>243</v>
      </c>
      <c r="C198" s="36">
        <v>47</v>
      </c>
      <c r="D198" s="36">
        <v>0</v>
      </c>
      <c r="E198" s="5">
        <v>0</v>
      </c>
      <c r="F198" s="37">
        <f t="shared" si="28"/>
        <v>47</v>
      </c>
      <c r="G198" s="38">
        <v>0</v>
      </c>
      <c r="H198" s="37">
        <f t="shared" si="29"/>
        <v>47</v>
      </c>
      <c r="I198" s="36">
        <v>0</v>
      </c>
      <c r="J198" s="5">
        <v>16</v>
      </c>
      <c r="K198" s="37">
        <f t="shared" si="30"/>
        <v>31</v>
      </c>
      <c r="L198" s="38">
        <v>0</v>
      </c>
      <c r="M198" s="37">
        <f t="shared" si="31"/>
        <v>31</v>
      </c>
      <c r="N198" s="36">
        <v>0</v>
      </c>
      <c r="O198" s="5">
        <v>6</v>
      </c>
      <c r="P198" s="37">
        <f t="shared" si="32"/>
        <v>25</v>
      </c>
      <c r="Q198" s="38">
        <v>0</v>
      </c>
      <c r="R198" s="37">
        <f t="shared" si="33"/>
        <v>25</v>
      </c>
      <c r="S198" s="36">
        <v>0</v>
      </c>
      <c r="T198" s="5">
        <v>9</v>
      </c>
      <c r="U198" s="37">
        <f t="shared" si="34"/>
        <v>16</v>
      </c>
      <c r="V198" s="38">
        <v>0</v>
      </c>
      <c r="W198" s="37">
        <f t="shared" si="35"/>
        <v>16</v>
      </c>
      <c r="X198" s="36">
        <v>0</v>
      </c>
      <c r="Y198" s="5">
        <v>6</v>
      </c>
      <c r="Z198" s="37">
        <f t="shared" si="36"/>
        <v>10</v>
      </c>
      <c r="AA198" s="38">
        <v>0</v>
      </c>
      <c r="AB198" s="37">
        <f t="shared" si="37"/>
        <v>10</v>
      </c>
      <c r="AC198" s="36">
        <v>80</v>
      </c>
      <c r="AD198" s="5">
        <v>9</v>
      </c>
      <c r="AE198" s="37">
        <f t="shared" si="38"/>
        <v>81</v>
      </c>
      <c r="AF198" s="38">
        <v>0</v>
      </c>
      <c r="AG198" s="37">
        <f t="shared" si="39"/>
        <v>81</v>
      </c>
      <c r="AH198" s="36">
        <v>0</v>
      </c>
      <c r="AI198" s="5">
        <v>22</v>
      </c>
      <c r="AJ198" s="37">
        <f t="shared" si="40"/>
        <v>59</v>
      </c>
      <c r="AK198" s="38">
        <v>0</v>
      </c>
      <c r="AL198" s="37">
        <f t="shared" si="41"/>
        <v>59</v>
      </c>
      <c r="AM198" s="35" t="s">
        <v>897</v>
      </c>
      <c r="AN198" s="35" t="s">
        <v>68</v>
      </c>
      <c r="AO198" s="5">
        <v>120</v>
      </c>
      <c r="AP198" s="5">
        <v>0</v>
      </c>
      <c r="AQ198" s="35" t="s">
        <v>67</v>
      </c>
      <c r="AR198" s="35"/>
      <c r="AS198" s="122"/>
      <c r="AT198" s="35"/>
      <c r="AU198" s="35"/>
    </row>
    <row r="199" spans="1:47" x14ac:dyDescent="0.15">
      <c r="A199" s="14" t="s">
        <v>89</v>
      </c>
      <c r="B199" s="5" t="s">
        <v>90</v>
      </c>
      <c r="C199" s="36">
        <v>26</v>
      </c>
      <c r="D199" s="36">
        <v>20</v>
      </c>
      <c r="E199" s="5">
        <v>0</v>
      </c>
      <c r="F199" s="37">
        <f t="shared" si="28"/>
        <v>46</v>
      </c>
      <c r="G199" s="38">
        <v>0</v>
      </c>
      <c r="H199" s="37">
        <f t="shared" si="29"/>
        <v>46</v>
      </c>
      <c r="I199" s="36">
        <v>0</v>
      </c>
      <c r="J199" s="5">
        <v>34</v>
      </c>
      <c r="K199" s="37">
        <f t="shared" si="30"/>
        <v>12</v>
      </c>
      <c r="L199" s="38">
        <v>0</v>
      </c>
      <c r="M199" s="37">
        <f t="shared" si="31"/>
        <v>12</v>
      </c>
      <c r="N199" s="36">
        <v>20</v>
      </c>
      <c r="O199" s="5">
        <v>7</v>
      </c>
      <c r="P199" s="37">
        <f t="shared" si="32"/>
        <v>25</v>
      </c>
      <c r="Q199" s="38">
        <v>0</v>
      </c>
      <c r="R199" s="37">
        <f t="shared" si="33"/>
        <v>25</v>
      </c>
      <c r="S199" s="36">
        <v>0</v>
      </c>
      <c r="T199" s="5">
        <v>20</v>
      </c>
      <c r="U199" s="37">
        <f t="shared" si="34"/>
        <v>5</v>
      </c>
      <c r="V199" s="38">
        <v>0</v>
      </c>
      <c r="W199" s="37">
        <f t="shared" si="35"/>
        <v>5</v>
      </c>
      <c r="X199" s="36">
        <v>60</v>
      </c>
      <c r="Y199" s="5">
        <v>10</v>
      </c>
      <c r="Z199" s="37">
        <f t="shared" si="36"/>
        <v>55</v>
      </c>
      <c r="AA199" s="38">
        <v>0</v>
      </c>
      <c r="AB199" s="37">
        <f t="shared" si="37"/>
        <v>55</v>
      </c>
      <c r="AC199" s="36">
        <v>0</v>
      </c>
      <c r="AD199" s="5">
        <v>24</v>
      </c>
      <c r="AE199" s="37">
        <f t="shared" si="38"/>
        <v>31</v>
      </c>
      <c r="AF199" s="38">
        <v>0</v>
      </c>
      <c r="AG199" s="37">
        <f t="shared" si="39"/>
        <v>31</v>
      </c>
      <c r="AH199" s="36">
        <v>20</v>
      </c>
      <c r="AI199" s="5">
        <v>20</v>
      </c>
      <c r="AJ199" s="37">
        <f t="shared" si="40"/>
        <v>31</v>
      </c>
      <c r="AK199" s="38">
        <v>0</v>
      </c>
      <c r="AL199" s="37">
        <f t="shared" si="41"/>
        <v>31</v>
      </c>
      <c r="AM199" s="35" t="s">
        <v>197</v>
      </c>
      <c r="AN199" s="35" t="s">
        <v>68</v>
      </c>
      <c r="AO199" s="5">
        <v>135</v>
      </c>
      <c r="AP199" s="5">
        <v>0</v>
      </c>
      <c r="AQ199" s="35" t="s">
        <v>67</v>
      </c>
      <c r="AR199" s="35"/>
      <c r="AS199" s="122"/>
      <c r="AT199" s="35">
        <v>138</v>
      </c>
      <c r="AU199" s="35" t="s">
        <v>973</v>
      </c>
    </row>
    <row r="200" spans="1:47" x14ac:dyDescent="0.15">
      <c r="A200" s="14" t="s">
        <v>546</v>
      </c>
      <c r="B200" s="5" t="s">
        <v>547</v>
      </c>
      <c r="C200" s="36">
        <v>21</v>
      </c>
      <c r="D200" s="36">
        <v>50</v>
      </c>
      <c r="E200" s="5">
        <v>0</v>
      </c>
      <c r="F200" s="37">
        <f t="shared" ref="F200:F263" si="42">D200-E200+C200</f>
        <v>71</v>
      </c>
      <c r="G200" s="38">
        <v>0</v>
      </c>
      <c r="H200" s="37">
        <f t="shared" ref="H200:H263" si="43">F200+G200</f>
        <v>71</v>
      </c>
      <c r="I200" s="36">
        <v>0</v>
      </c>
      <c r="J200" s="5">
        <v>28</v>
      </c>
      <c r="K200" s="37">
        <f t="shared" ref="K200:K263" si="44">I200-J200+H200</f>
        <v>43</v>
      </c>
      <c r="L200" s="38">
        <v>0</v>
      </c>
      <c r="M200" s="37">
        <f t="shared" ref="M200:M263" si="45">K200+L200</f>
        <v>43</v>
      </c>
      <c r="N200" s="36">
        <v>0</v>
      </c>
      <c r="O200" s="5">
        <v>15</v>
      </c>
      <c r="P200" s="37">
        <f t="shared" ref="P200:P263" si="46">N200-O200+M200</f>
        <v>28</v>
      </c>
      <c r="Q200" s="38">
        <v>0</v>
      </c>
      <c r="R200" s="37">
        <f t="shared" ref="R200:R263" si="47">P200+Q200</f>
        <v>28</v>
      </c>
      <c r="S200" s="36">
        <v>60</v>
      </c>
      <c r="T200" s="5">
        <v>21</v>
      </c>
      <c r="U200" s="37">
        <f t="shared" ref="U200:U263" si="48">S200-T200+R200</f>
        <v>67</v>
      </c>
      <c r="V200" s="38">
        <v>0</v>
      </c>
      <c r="W200" s="37">
        <f t="shared" ref="W200:W263" si="49">U200+V200</f>
        <v>67</v>
      </c>
      <c r="X200" s="36">
        <v>0</v>
      </c>
      <c r="Y200" s="5">
        <v>17</v>
      </c>
      <c r="Z200" s="37">
        <f t="shared" ref="Z200:Z263" si="50">X200-Y200+W200</f>
        <v>50</v>
      </c>
      <c r="AA200" s="38">
        <v>-5</v>
      </c>
      <c r="AB200" s="37">
        <f t="shared" ref="AB200:AB263" si="51">Z200+AA200</f>
        <v>45</v>
      </c>
      <c r="AC200" s="36">
        <v>70</v>
      </c>
      <c r="AD200" s="5">
        <v>17</v>
      </c>
      <c r="AE200" s="37">
        <f t="shared" ref="AE200:AE263" si="52">AC200-AD200+AB200</f>
        <v>98</v>
      </c>
      <c r="AF200" s="38">
        <v>0</v>
      </c>
      <c r="AG200" s="37">
        <f t="shared" ref="AG200:AG263" si="53">AE200+AF200</f>
        <v>98</v>
      </c>
      <c r="AH200" s="36">
        <v>0</v>
      </c>
      <c r="AI200" s="5">
        <v>33</v>
      </c>
      <c r="AJ200" s="37">
        <f t="shared" ref="AJ200:AJ263" si="54">AH200-AI200+AG200</f>
        <v>65</v>
      </c>
      <c r="AK200" s="38">
        <v>-5</v>
      </c>
      <c r="AL200" s="37">
        <f t="shared" ref="AL200:AL263" si="55">AJ200+AK200</f>
        <v>60</v>
      </c>
      <c r="AM200" s="35" t="s">
        <v>574</v>
      </c>
      <c r="AN200" s="35" t="s">
        <v>68</v>
      </c>
      <c r="AO200" s="5">
        <v>190</v>
      </c>
      <c r="AP200" s="5">
        <v>0</v>
      </c>
      <c r="AQ200" s="35"/>
      <c r="AR200" s="35"/>
      <c r="AS200" s="122">
        <v>4944942000017</v>
      </c>
      <c r="AT200" s="35">
        <v>194</v>
      </c>
      <c r="AU200" s="35" t="s">
        <v>968</v>
      </c>
    </row>
    <row r="201" spans="1:47" x14ac:dyDescent="0.15">
      <c r="A201" s="14" t="s">
        <v>676</v>
      </c>
      <c r="B201" s="5" t="s">
        <v>677</v>
      </c>
      <c r="C201" s="36">
        <v>0</v>
      </c>
      <c r="D201" s="36">
        <v>0</v>
      </c>
      <c r="E201" s="5">
        <v>0</v>
      </c>
      <c r="F201" s="37">
        <f t="shared" si="42"/>
        <v>0</v>
      </c>
      <c r="G201" s="38">
        <v>0</v>
      </c>
      <c r="H201" s="37">
        <f t="shared" si="43"/>
        <v>0</v>
      </c>
      <c r="I201" s="36">
        <v>0</v>
      </c>
      <c r="J201" s="5">
        <v>0</v>
      </c>
      <c r="K201" s="37">
        <f t="shared" si="44"/>
        <v>0</v>
      </c>
      <c r="L201" s="38">
        <v>0</v>
      </c>
      <c r="M201" s="37">
        <f t="shared" si="45"/>
        <v>0</v>
      </c>
      <c r="N201" s="36">
        <v>0</v>
      </c>
      <c r="O201" s="5">
        <v>0</v>
      </c>
      <c r="P201" s="37">
        <f t="shared" si="46"/>
        <v>0</v>
      </c>
      <c r="Q201" s="38">
        <v>0</v>
      </c>
      <c r="R201" s="37">
        <f t="shared" si="47"/>
        <v>0</v>
      </c>
      <c r="S201" s="36">
        <v>0</v>
      </c>
      <c r="T201" s="5">
        <v>0</v>
      </c>
      <c r="U201" s="37">
        <f t="shared" si="48"/>
        <v>0</v>
      </c>
      <c r="V201" s="38">
        <v>0</v>
      </c>
      <c r="W201" s="37">
        <f t="shared" si="49"/>
        <v>0</v>
      </c>
      <c r="X201" s="36">
        <v>1</v>
      </c>
      <c r="Y201" s="5">
        <v>1</v>
      </c>
      <c r="Z201" s="37">
        <f t="shared" si="50"/>
        <v>0</v>
      </c>
      <c r="AA201" s="38">
        <v>0</v>
      </c>
      <c r="AB201" s="37">
        <f t="shared" si="51"/>
        <v>0</v>
      </c>
      <c r="AC201" s="36">
        <v>0</v>
      </c>
      <c r="AD201" s="5">
        <v>0</v>
      </c>
      <c r="AE201" s="37">
        <f t="shared" si="52"/>
        <v>0</v>
      </c>
      <c r="AF201" s="38">
        <v>0</v>
      </c>
      <c r="AG201" s="37">
        <f t="shared" si="53"/>
        <v>0</v>
      </c>
      <c r="AH201" s="36">
        <v>1</v>
      </c>
      <c r="AI201" s="5">
        <v>1</v>
      </c>
      <c r="AJ201" s="37">
        <f t="shared" si="54"/>
        <v>0</v>
      </c>
      <c r="AK201" s="38">
        <v>0</v>
      </c>
      <c r="AL201" s="37">
        <f t="shared" si="55"/>
        <v>0</v>
      </c>
      <c r="AM201" s="35" t="s">
        <v>574</v>
      </c>
      <c r="AN201" s="35" t="s">
        <v>68</v>
      </c>
      <c r="AO201" s="5">
        <v>950</v>
      </c>
      <c r="AP201" s="5">
        <v>0</v>
      </c>
      <c r="AQ201" s="35"/>
      <c r="AR201" s="35" t="s">
        <v>67</v>
      </c>
      <c r="AS201" s="122">
        <v>4944942000017</v>
      </c>
      <c r="AT201" s="35"/>
      <c r="AU201" s="35"/>
    </row>
    <row r="202" spans="1:47" x14ac:dyDescent="0.15">
      <c r="A202" s="14" t="s">
        <v>280</v>
      </c>
      <c r="B202" s="5" t="s">
        <v>281</v>
      </c>
      <c r="C202" s="36">
        <v>48</v>
      </c>
      <c r="D202" s="36">
        <v>0</v>
      </c>
      <c r="E202" s="5">
        <v>0</v>
      </c>
      <c r="F202" s="37">
        <f t="shared" si="42"/>
        <v>48</v>
      </c>
      <c r="G202" s="38">
        <v>0</v>
      </c>
      <c r="H202" s="37">
        <f t="shared" si="43"/>
        <v>48</v>
      </c>
      <c r="I202" s="36">
        <v>0</v>
      </c>
      <c r="J202" s="5">
        <v>22</v>
      </c>
      <c r="K202" s="37">
        <f t="shared" si="44"/>
        <v>26</v>
      </c>
      <c r="L202" s="38">
        <v>0</v>
      </c>
      <c r="M202" s="37">
        <f t="shared" si="45"/>
        <v>26</v>
      </c>
      <c r="N202" s="36">
        <v>0</v>
      </c>
      <c r="O202" s="5">
        <v>11</v>
      </c>
      <c r="P202" s="37">
        <f t="shared" si="46"/>
        <v>15</v>
      </c>
      <c r="Q202" s="38">
        <v>0</v>
      </c>
      <c r="R202" s="37">
        <f t="shared" si="47"/>
        <v>15</v>
      </c>
      <c r="S202" s="36">
        <v>100</v>
      </c>
      <c r="T202" s="5">
        <v>22</v>
      </c>
      <c r="U202" s="37">
        <f t="shared" si="48"/>
        <v>93</v>
      </c>
      <c r="V202" s="38">
        <v>0</v>
      </c>
      <c r="W202" s="37">
        <f t="shared" si="49"/>
        <v>93</v>
      </c>
      <c r="X202" s="36">
        <v>0</v>
      </c>
      <c r="Y202" s="5">
        <v>22</v>
      </c>
      <c r="Z202" s="37">
        <f t="shared" si="50"/>
        <v>71</v>
      </c>
      <c r="AA202" s="38">
        <v>0</v>
      </c>
      <c r="AB202" s="37">
        <f t="shared" si="51"/>
        <v>71</v>
      </c>
      <c r="AC202" s="36">
        <v>0</v>
      </c>
      <c r="AD202" s="5">
        <v>10</v>
      </c>
      <c r="AE202" s="37">
        <f t="shared" si="52"/>
        <v>61</v>
      </c>
      <c r="AF202" s="38">
        <v>0</v>
      </c>
      <c r="AG202" s="37">
        <f t="shared" si="53"/>
        <v>61</v>
      </c>
      <c r="AH202" s="36">
        <v>0</v>
      </c>
      <c r="AI202" s="5">
        <v>30</v>
      </c>
      <c r="AJ202" s="37">
        <f t="shared" si="54"/>
        <v>31</v>
      </c>
      <c r="AK202" s="38">
        <v>0</v>
      </c>
      <c r="AL202" s="37">
        <f t="shared" si="55"/>
        <v>31</v>
      </c>
      <c r="AM202" s="35" t="s">
        <v>906</v>
      </c>
      <c r="AN202" s="35" t="s">
        <v>68</v>
      </c>
      <c r="AO202" s="5">
        <v>130</v>
      </c>
      <c r="AP202" s="5">
        <v>0</v>
      </c>
      <c r="AQ202" s="35" t="s">
        <v>67</v>
      </c>
      <c r="AR202" s="35"/>
      <c r="AS202" s="122">
        <v>4571102110028</v>
      </c>
      <c r="AT202" s="35">
        <v>661</v>
      </c>
      <c r="AU202" s="35" t="s">
        <v>979</v>
      </c>
    </row>
    <row r="203" spans="1:47" x14ac:dyDescent="0.15">
      <c r="A203" s="14" t="s">
        <v>156</v>
      </c>
      <c r="B203" s="5" t="s">
        <v>157</v>
      </c>
      <c r="C203" s="36">
        <v>0</v>
      </c>
      <c r="D203" s="36">
        <v>4</v>
      </c>
      <c r="E203" s="5">
        <v>0</v>
      </c>
      <c r="F203" s="37">
        <f t="shared" si="42"/>
        <v>4</v>
      </c>
      <c r="G203" s="38">
        <v>0</v>
      </c>
      <c r="H203" s="37">
        <f t="shared" si="43"/>
        <v>4</v>
      </c>
      <c r="I203" s="36">
        <v>0</v>
      </c>
      <c r="J203" s="5">
        <v>2</v>
      </c>
      <c r="K203" s="37">
        <f t="shared" si="44"/>
        <v>2</v>
      </c>
      <c r="L203" s="38">
        <v>0</v>
      </c>
      <c r="M203" s="37">
        <f t="shared" si="45"/>
        <v>2</v>
      </c>
      <c r="N203" s="36">
        <v>0</v>
      </c>
      <c r="O203" s="5">
        <v>2</v>
      </c>
      <c r="P203" s="37">
        <f t="shared" si="46"/>
        <v>0</v>
      </c>
      <c r="Q203" s="38">
        <v>0</v>
      </c>
      <c r="R203" s="37">
        <f t="shared" si="47"/>
        <v>0</v>
      </c>
      <c r="S203" s="36">
        <v>3</v>
      </c>
      <c r="T203" s="5">
        <v>1</v>
      </c>
      <c r="U203" s="37">
        <f t="shared" si="48"/>
        <v>2</v>
      </c>
      <c r="V203" s="38">
        <v>0</v>
      </c>
      <c r="W203" s="37">
        <f t="shared" si="49"/>
        <v>2</v>
      </c>
      <c r="X203" s="36">
        <v>0</v>
      </c>
      <c r="Y203" s="5">
        <v>2</v>
      </c>
      <c r="Z203" s="37">
        <f t="shared" si="50"/>
        <v>0</v>
      </c>
      <c r="AA203" s="38">
        <v>0</v>
      </c>
      <c r="AB203" s="37">
        <f t="shared" si="51"/>
        <v>0</v>
      </c>
      <c r="AC203" s="36">
        <v>5</v>
      </c>
      <c r="AD203" s="5">
        <v>2</v>
      </c>
      <c r="AE203" s="37">
        <f t="shared" si="52"/>
        <v>3</v>
      </c>
      <c r="AF203" s="38">
        <v>0</v>
      </c>
      <c r="AG203" s="37">
        <f t="shared" si="53"/>
        <v>3</v>
      </c>
      <c r="AH203" s="36">
        <v>0</v>
      </c>
      <c r="AI203" s="5">
        <v>3</v>
      </c>
      <c r="AJ203" s="37">
        <f t="shared" si="54"/>
        <v>0</v>
      </c>
      <c r="AK203" s="38">
        <v>0</v>
      </c>
      <c r="AL203" s="37">
        <f t="shared" si="55"/>
        <v>0</v>
      </c>
      <c r="AM203" s="35" t="s">
        <v>574</v>
      </c>
      <c r="AN203" s="35" t="s">
        <v>68</v>
      </c>
      <c r="AO203" s="163">
        <v>2200</v>
      </c>
      <c r="AP203" s="5">
        <v>0</v>
      </c>
      <c r="AQ203" s="35"/>
      <c r="AR203" s="35"/>
      <c r="AS203" s="122"/>
      <c r="AT203" s="35"/>
      <c r="AU203" s="35"/>
    </row>
    <row r="204" spans="1:47" x14ac:dyDescent="0.15">
      <c r="A204" s="14" t="s">
        <v>283</v>
      </c>
      <c r="B204" s="5" t="s">
        <v>284</v>
      </c>
      <c r="C204" s="36">
        <v>88</v>
      </c>
      <c r="D204" s="36">
        <v>0</v>
      </c>
      <c r="E204" s="5">
        <v>0</v>
      </c>
      <c r="F204" s="37">
        <f t="shared" si="42"/>
        <v>88</v>
      </c>
      <c r="G204" s="38">
        <v>0</v>
      </c>
      <c r="H204" s="37">
        <f t="shared" si="43"/>
        <v>88</v>
      </c>
      <c r="I204" s="36">
        <v>0</v>
      </c>
      <c r="J204" s="5">
        <v>19</v>
      </c>
      <c r="K204" s="37">
        <f t="shared" si="44"/>
        <v>69</v>
      </c>
      <c r="L204" s="38">
        <v>0</v>
      </c>
      <c r="M204" s="37">
        <f t="shared" si="45"/>
        <v>69</v>
      </c>
      <c r="N204" s="36">
        <v>0</v>
      </c>
      <c r="O204" s="5">
        <v>13</v>
      </c>
      <c r="P204" s="37">
        <f t="shared" si="46"/>
        <v>56</v>
      </c>
      <c r="Q204" s="38">
        <v>0</v>
      </c>
      <c r="R204" s="37">
        <f t="shared" si="47"/>
        <v>56</v>
      </c>
      <c r="S204" s="36">
        <v>100</v>
      </c>
      <c r="T204" s="5">
        <v>14</v>
      </c>
      <c r="U204" s="37">
        <f t="shared" si="48"/>
        <v>142</v>
      </c>
      <c r="V204" s="38">
        <v>0</v>
      </c>
      <c r="W204" s="37">
        <f t="shared" si="49"/>
        <v>142</v>
      </c>
      <c r="X204" s="36">
        <v>0</v>
      </c>
      <c r="Y204" s="5">
        <v>11</v>
      </c>
      <c r="Z204" s="37">
        <f t="shared" si="50"/>
        <v>131</v>
      </c>
      <c r="AA204" s="38">
        <v>0</v>
      </c>
      <c r="AB204" s="37">
        <f t="shared" si="51"/>
        <v>131</v>
      </c>
      <c r="AC204" s="36">
        <v>0</v>
      </c>
      <c r="AD204" s="5">
        <v>9</v>
      </c>
      <c r="AE204" s="37">
        <f t="shared" si="52"/>
        <v>122</v>
      </c>
      <c r="AF204" s="38">
        <v>0</v>
      </c>
      <c r="AG204" s="37">
        <f t="shared" si="53"/>
        <v>122</v>
      </c>
      <c r="AH204" s="36">
        <v>0</v>
      </c>
      <c r="AI204" s="5">
        <v>26</v>
      </c>
      <c r="AJ204" s="37">
        <f t="shared" si="54"/>
        <v>96</v>
      </c>
      <c r="AK204" s="38">
        <v>0</v>
      </c>
      <c r="AL204" s="37">
        <f t="shared" si="55"/>
        <v>96</v>
      </c>
      <c r="AM204" s="35" t="s">
        <v>906</v>
      </c>
      <c r="AN204" s="35" t="s">
        <v>68</v>
      </c>
      <c r="AO204" s="5">
        <v>140</v>
      </c>
      <c r="AP204" s="5">
        <v>0</v>
      </c>
      <c r="AQ204" s="35" t="s">
        <v>67</v>
      </c>
      <c r="AR204" s="35"/>
      <c r="AS204" s="122">
        <v>4571102110011</v>
      </c>
      <c r="AT204" s="35"/>
      <c r="AU204" s="35"/>
    </row>
    <row r="205" spans="1:47" x14ac:dyDescent="0.15">
      <c r="A205" s="14" t="s">
        <v>503</v>
      </c>
      <c r="B205" s="5" t="s">
        <v>504</v>
      </c>
      <c r="C205" s="36">
        <v>35</v>
      </c>
      <c r="D205" s="36">
        <v>0</v>
      </c>
      <c r="E205" s="5">
        <v>0</v>
      </c>
      <c r="F205" s="37">
        <f t="shared" si="42"/>
        <v>35</v>
      </c>
      <c r="G205" s="38">
        <v>0</v>
      </c>
      <c r="H205" s="37">
        <f t="shared" si="43"/>
        <v>35</v>
      </c>
      <c r="I205" s="36">
        <v>0</v>
      </c>
      <c r="J205" s="5">
        <v>35</v>
      </c>
      <c r="K205" s="37">
        <f t="shared" si="44"/>
        <v>0</v>
      </c>
      <c r="L205" s="38">
        <v>0</v>
      </c>
      <c r="M205" s="37">
        <f t="shared" si="45"/>
        <v>0</v>
      </c>
      <c r="N205" s="36">
        <v>0</v>
      </c>
      <c r="O205" s="5">
        <v>12</v>
      </c>
      <c r="P205" s="37">
        <f t="shared" si="46"/>
        <v>-12</v>
      </c>
      <c r="Q205" s="38">
        <v>0</v>
      </c>
      <c r="R205" s="37">
        <f t="shared" si="47"/>
        <v>-12</v>
      </c>
      <c r="S205" s="36">
        <v>0</v>
      </c>
      <c r="T205" s="5">
        <v>31</v>
      </c>
      <c r="U205" s="37">
        <f t="shared" si="48"/>
        <v>-43</v>
      </c>
      <c r="V205" s="38">
        <v>0</v>
      </c>
      <c r="W205" s="37">
        <f t="shared" si="49"/>
        <v>-43</v>
      </c>
      <c r="X205" s="36">
        <v>0</v>
      </c>
      <c r="Y205" s="5">
        <v>12</v>
      </c>
      <c r="Z205" s="37">
        <f t="shared" si="50"/>
        <v>-55</v>
      </c>
      <c r="AA205" s="38">
        <v>0</v>
      </c>
      <c r="AB205" s="37">
        <f t="shared" si="51"/>
        <v>-55</v>
      </c>
      <c r="AC205" s="36">
        <v>0</v>
      </c>
      <c r="AD205" s="5">
        <v>18</v>
      </c>
      <c r="AE205" s="37">
        <f t="shared" si="52"/>
        <v>-73</v>
      </c>
      <c r="AF205" s="38">
        <v>0</v>
      </c>
      <c r="AG205" s="37">
        <f t="shared" si="53"/>
        <v>-73</v>
      </c>
      <c r="AH205" s="36">
        <v>0</v>
      </c>
      <c r="AI205" s="5">
        <v>17</v>
      </c>
      <c r="AJ205" s="37">
        <f t="shared" si="54"/>
        <v>-90</v>
      </c>
      <c r="AK205" s="38">
        <v>0</v>
      </c>
      <c r="AL205" s="37">
        <f t="shared" si="55"/>
        <v>-90</v>
      </c>
      <c r="AM205" s="35" t="s">
        <v>574</v>
      </c>
      <c r="AN205" s="35" t="s">
        <v>68</v>
      </c>
      <c r="AO205" s="5">
        <v>155</v>
      </c>
      <c r="AP205" s="5">
        <v>0</v>
      </c>
      <c r="AQ205" s="35"/>
      <c r="AR205" s="35"/>
      <c r="AS205" s="122">
        <v>4582270160678</v>
      </c>
      <c r="AT205" s="35"/>
      <c r="AU205" s="35"/>
    </row>
    <row r="206" spans="1:47" x14ac:dyDescent="0.15">
      <c r="A206" s="14" t="s">
        <v>1010</v>
      </c>
      <c r="B206" s="5" t="s">
        <v>1011</v>
      </c>
      <c r="C206" s="36">
        <v>0</v>
      </c>
      <c r="D206" s="36">
        <v>0</v>
      </c>
      <c r="E206" s="5">
        <v>0</v>
      </c>
      <c r="F206" s="37">
        <f t="shared" si="42"/>
        <v>0</v>
      </c>
      <c r="G206" s="38">
        <v>0</v>
      </c>
      <c r="H206" s="37">
        <f t="shared" si="43"/>
        <v>0</v>
      </c>
      <c r="I206" s="36">
        <v>120</v>
      </c>
      <c r="J206" s="5">
        <v>24</v>
      </c>
      <c r="K206" s="37">
        <f t="shared" si="44"/>
        <v>96</v>
      </c>
      <c r="L206" s="38">
        <v>0</v>
      </c>
      <c r="M206" s="37">
        <f t="shared" si="45"/>
        <v>96</v>
      </c>
      <c r="N206" s="36">
        <v>0</v>
      </c>
      <c r="O206" s="5">
        <v>14</v>
      </c>
      <c r="P206" s="37">
        <f t="shared" si="46"/>
        <v>82</v>
      </c>
      <c r="Q206" s="38">
        <v>0</v>
      </c>
      <c r="R206" s="37">
        <f t="shared" si="47"/>
        <v>82</v>
      </c>
      <c r="S206" s="36">
        <v>0</v>
      </c>
      <c r="T206" s="5">
        <v>24</v>
      </c>
      <c r="U206" s="37">
        <f t="shared" si="48"/>
        <v>58</v>
      </c>
      <c r="V206" s="38">
        <v>0</v>
      </c>
      <c r="W206" s="37">
        <f t="shared" si="49"/>
        <v>58</v>
      </c>
      <c r="X206" s="36">
        <v>120</v>
      </c>
      <c r="Y206" s="5">
        <v>24</v>
      </c>
      <c r="Z206" s="37">
        <f t="shared" si="50"/>
        <v>154</v>
      </c>
      <c r="AA206" s="38">
        <v>0</v>
      </c>
      <c r="AB206" s="37">
        <f t="shared" si="51"/>
        <v>154</v>
      </c>
      <c r="AC206" s="36">
        <v>0</v>
      </c>
      <c r="AD206" s="5">
        <v>14</v>
      </c>
      <c r="AE206" s="37">
        <f t="shared" si="52"/>
        <v>140</v>
      </c>
      <c r="AF206" s="38">
        <v>0</v>
      </c>
      <c r="AG206" s="37">
        <f t="shared" si="53"/>
        <v>140</v>
      </c>
      <c r="AH206" s="36">
        <v>120</v>
      </c>
      <c r="AI206" s="5">
        <v>52</v>
      </c>
      <c r="AJ206" s="37">
        <f t="shared" si="54"/>
        <v>208</v>
      </c>
      <c r="AK206" s="38">
        <v>0</v>
      </c>
      <c r="AL206" s="37">
        <f t="shared" si="55"/>
        <v>208</v>
      </c>
      <c r="AM206" s="35" t="s">
        <v>906</v>
      </c>
      <c r="AN206" s="35" t="s">
        <v>68</v>
      </c>
      <c r="AO206" s="5">
        <v>155</v>
      </c>
      <c r="AP206" s="5">
        <v>0</v>
      </c>
      <c r="AQ206" s="35" t="s">
        <v>67</v>
      </c>
      <c r="AR206" s="35"/>
      <c r="AS206" s="122">
        <v>4571102110103</v>
      </c>
      <c r="AT206" s="35">
        <v>661</v>
      </c>
      <c r="AU206" s="35" t="s">
        <v>979</v>
      </c>
    </row>
    <row r="207" spans="1:47" x14ac:dyDescent="0.15">
      <c r="A207" s="14" t="s">
        <v>704</v>
      </c>
      <c r="B207" s="5" t="s">
        <v>705</v>
      </c>
      <c r="C207" s="36">
        <v>0</v>
      </c>
      <c r="D207" s="36">
        <v>0</v>
      </c>
      <c r="E207" s="5">
        <v>0</v>
      </c>
      <c r="F207" s="37">
        <f t="shared" si="42"/>
        <v>0</v>
      </c>
      <c r="G207" s="38">
        <v>0</v>
      </c>
      <c r="H207" s="37">
        <f t="shared" si="43"/>
        <v>0</v>
      </c>
      <c r="I207" s="36">
        <v>0</v>
      </c>
      <c r="J207" s="5">
        <v>0</v>
      </c>
      <c r="K207" s="37">
        <f t="shared" si="44"/>
        <v>0</v>
      </c>
      <c r="L207" s="38">
        <v>0</v>
      </c>
      <c r="M207" s="37">
        <f t="shared" si="45"/>
        <v>0</v>
      </c>
      <c r="N207" s="36">
        <v>0</v>
      </c>
      <c r="O207" s="5">
        <v>0</v>
      </c>
      <c r="P207" s="37">
        <f t="shared" si="46"/>
        <v>0</v>
      </c>
      <c r="Q207" s="38">
        <v>0</v>
      </c>
      <c r="R207" s="37">
        <f t="shared" si="47"/>
        <v>0</v>
      </c>
      <c r="S207" s="36">
        <v>0</v>
      </c>
      <c r="T207" s="5">
        <v>0</v>
      </c>
      <c r="U207" s="37">
        <f t="shared" si="48"/>
        <v>0</v>
      </c>
      <c r="V207" s="38">
        <v>0</v>
      </c>
      <c r="W207" s="37">
        <f t="shared" si="49"/>
        <v>0</v>
      </c>
      <c r="X207" s="36">
        <v>0</v>
      </c>
      <c r="Y207" s="5">
        <v>0</v>
      </c>
      <c r="Z207" s="37">
        <f t="shared" si="50"/>
        <v>0</v>
      </c>
      <c r="AA207" s="38">
        <v>0</v>
      </c>
      <c r="AB207" s="37">
        <f t="shared" si="51"/>
        <v>0</v>
      </c>
      <c r="AC207" s="36">
        <v>0</v>
      </c>
      <c r="AD207" s="5">
        <v>0</v>
      </c>
      <c r="AE207" s="37">
        <f t="shared" si="52"/>
        <v>0</v>
      </c>
      <c r="AF207" s="38">
        <v>0</v>
      </c>
      <c r="AG207" s="37">
        <f t="shared" si="53"/>
        <v>0</v>
      </c>
      <c r="AH207" s="36">
        <v>0</v>
      </c>
      <c r="AI207" s="5">
        <v>0</v>
      </c>
      <c r="AJ207" s="37">
        <f t="shared" si="54"/>
        <v>0</v>
      </c>
      <c r="AK207" s="38">
        <v>0</v>
      </c>
      <c r="AL207" s="37">
        <f t="shared" si="55"/>
        <v>0</v>
      </c>
      <c r="AM207" s="35" t="s">
        <v>574</v>
      </c>
      <c r="AN207" s="35" t="s">
        <v>68</v>
      </c>
      <c r="AO207" s="5">
        <v>180</v>
      </c>
      <c r="AP207" s="5">
        <v>0</v>
      </c>
      <c r="AQ207" s="35"/>
      <c r="AR207" s="35"/>
      <c r="AS207" s="122"/>
      <c r="AT207" s="35"/>
      <c r="AU207" s="35"/>
    </row>
    <row r="208" spans="1:47" x14ac:dyDescent="0.15">
      <c r="A208" s="14" t="s">
        <v>588</v>
      </c>
      <c r="B208" s="5" t="s">
        <v>589</v>
      </c>
      <c r="C208" s="36">
        <v>33</v>
      </c>
      <c r="D208" s="36">
        <v>0</v>
      </c>
      <c r="E208" s="5">
        <v>0</v>
      </c>
      <c r="F208" s="37">
        <f t="shared" si="42"/>
        <v>33</v>
      </c>
      <c r="G208" s="38">
        <v>0</v>
      </c>
      <c r="H208" s="37">
        <f t="shared" si="43"/>
        <v>33</v>
      </c>
      <c r="I208" s="36">
        <v>0</v>
      </c>
      <c r="J208" s="5">
        <v>0</v>
      </c>
      <c r="K208" s="37">
        <f t="shared" si="44"/>
        <v>33</v>
      </c>
      <c r="L208" s="38">
        <v>0</v>
      </c>
      <c r="M208" s="37">
        <f t="shared" si="45"/>
        <v>33</v>
      </c>
      <c r="N208" s="36">
        <v>0</v>
      </c>
      <c r="O208" s="5">
        <v>0</v>
      </c>
      <c r="P208" s="37">
        <f t="shared" si="46"/>
        <v>33</v>
      </c>
      <c r="Q208" s="38">
        <v>0</v>
      </c>
      <c r="R208" s="37">
        <f t="shared" si="47"/>
        <v>33</v>
      </c>
      <c r="S208" s="36">
        <v>0</v>
      </c>
      <c r="T208" s="5">
        <v>0</v>
      </c>
      <c r="U208" s="37">
        <f t="shared" si="48"/>
        <v>33</v>
      </c>
      <c r="V208" s="38">
        <v>0</v>
      </c>
      <c r="W208" s="37">
        <f t="shared" si="49"/>
        <v>33</v>
      </c>
      <c r="X208" s="36">
        <v>0</v>
      </c>
      <c r="Y208" s="5">
        <v>0</v>
      </c>
      <c r="Z208" s="37">
        <f t="shared" si="50"/>
        <v>33</v>
      </c>
      <c r="AA208" s="38">
        <v>0</v>
      </c>
      <c r="AB208" s="37">
        <f t="shared" si="51"/>
        <v>33</v>
      </c>
      <c r="AC208" s="36">
        <v>0</v>
      </c>
      <c r="AD208" s="5">
        <v>0</v>
      </c>
      <c r="AE208" s="37">
        <f t="shared" si="52"/>
        <v>33</v>
      </c>
      <c r="AF208" s="38">
        <v>0</v>
      </c>
      <c r="AG208" s="37">
        <f t="shared" si="53"/>
        <v>33</v>
      </c>
      <c r="AH208" s="36">
        <v>0</v>
      </c>
      <c r="AI208" s="5">
        <v>0</v>
      </c>
      <c r="AJ208" s="37">
        <f t="shared" si="54"/>
        <v>33</v>
      </c>
      <c r="AK208" s="38">
        <v>0</v>
      </c>
      <c r="AL208" s="37">
        <f t="shared" si="55"/>
        <v>33</v>
      </c>
      <c r="AM208" s="35" t="s">
        <v>574</v>
      </c>
      <c r="AN208" s="35" t="s">
        <v>68</v>
      </c>
      <c r="AO208" s="5">
        <v>480</v>
      </c>
      <c r="AP208" s="5">
        <v>0</v>
      </c>
      <c r="AQ208" s="35"/>
      <c r="AR208" s="35"/>
      <c r="AS208" s="122"/>
      <c r="AT208" s="35">
        <v>705</v>
      </c>
      <c r="AU208" s="35" t="s">
        <v>980</v>
      </c>
    </row>
    <row r="209" spans="1:47" x14ac:dyDescent="0.15">
      <c r="A209" s="14" t="s">
        <v>756</v>
      </c>
      <c r="B209" s="5" t="s">
        <v>757</v>
      </c>
      <c r="C209" s="36">
        <v>0</v>
      </c>
      <c r="D209" s="36">
        <v>0</v>
      </c>
      <c r="E209" s="5">
        <v>0</v>
      </c>
      <c r="F209" s="37">
        <f t="shared" si="42"/>
        <v>0</v>
      </c>
      <c r="G209" s="38">
        <v>0</v>
      </c>
      <c r="H209" s="37">
        <f t="shared" si="43"/>
        <v>0</v>
      </c>
      <c r="I209" s="36">
        <v>91</v>
      </c>
      <c r="J209" s="5">
        <v>72</v>
      </c>
      <c r="K209" s="37">
        <f t="shared" si="44"/>
        <v>19</v>
      </c>
      <c r="L209" s="38">
        <v>0</v>
      </c>
      <c r="M209" s="37">
        <f t="shared" si="45"/>
        <v>19</v>
      </c>
      <c r="N209" s="36">
        <v>0</v>
      </c>
      <c r="O209" s="5">
        <v>10</v>
      </c>
      <c r="P209" s="37">
        <f t="shared" si="46"/>
        <v>9</v>
      </c>
      <c r="Q209" s="38">
        <v>0</v>
      </c>
      <c r="R209" s="37">
        <f t="shared" si="47"/>
        <v>9</v>
      </c>
      <c r="S209" s="36">
        <v>100</v>
      </c>
      <c r="T209" s="5">
        <v>53</v>
      </c>
      <c r="U209" s="37">
        <f t="shared" si="48"/>
        <v>56</v>
      </c>
      <c r="V209" s="38">
        <v>0</v>
      </c>
      <c r="W209" s="37">
        <f t="shared" si="49"/>
        <v>56</v>
      </c>
      <c r="X209" s="36">
        <v>0</v>
      </c>
      <c r="Y209" s="5">
        <v>15</v>
      </c>
      <c r="Z209" s="37">
        <f t="shared" si="50"/>
        <v>41</v>
      </c>
      <c r="AA209" s="38">
        <v>0</v>
      </c>
      <c r="AB209" s="37">
        <f t="shared" si="51"/>
        <v>41</v>
      </c>
      <c r="AC209" s="36">
        <v>100</v>
      </c>
      <c r="AD209" s="5">
        <v>31</v>
      </c>
      <c r="AE209" s="37">
        <f t="shared" si="52"/>
        <v>110</v>
      </c>
      <c r="AF209" s="38">
        <v>0</v>
      </c>
      <c r="AG209" s="37">
        <f t="shared" si="53"/>
        <v>110</v>
      </c>
      <c r="AH209" s="36">
        <v>0</v>
      </c>
      <c r="AI209" s="5">
        <v>30</v>
      </c>
      <c r="AJ209" s="37">
        <f t="shared" si="54"/>
        <v>80</v>
      </c>
      <c r="AK209" s="38">
        <v>0</v>
      </c>
      <c r="AL209" s="37">
        <f t="shared" si="55"/>
        <v>80</v>
      </c>
      <c r="AM209" s="35" t="s">
        <v>913</v>
      </c>
      <c r="AN209" s="35" t="s">
        <v>68</v>
      </c>
      <c r="AO209" s="5">
        <v>200</v>
      </c>
      <c r="AP209" s="5">
        <v>0</v>
      </c>
      <c r="AQ209" s="35"/>
      <c r="AR209" s="35"/>
      <c r="AS209" s="122"/>
      <c r="AT209" s="35"/>
      <c r="AU209" s="35"/>
    </row>
    <row r="210" spans="1:47" x14ac:dyDescent="0.15">
      <c r="A210" s="14" t="s">
        <v>556</v>
      </c>
      <c r="B210" s="5" t="s">
        <v>557</v>
      </c>
      <c r="C210" s="36">
        <v>300</v>
      </c>
      <c r="D210" s="36">
        <v>0</v>
      </c>
      <c r="E210" s="5">
        <v>0</v>
      </c>
      <c r="F210" s="37">
        <f t="shared" si="42"/>
        <v>300</v>
      </c>
      <c r="G210" s="38">
        <v>0</v>
      </c>
      <c r="H210" s="37">
        <f t="shared" si="43"/>
        <v>300</v>
      </c>
      <c r="I210" s="36">
        <v>200</v>
      </c>
      <c r="J210" s="5">
        <v>159</v>
      </c>
      <c r="K210" s="37">
        <f t="shared" si="44"/>
        <v>341</v>
      </c>
      <c r="L210" s="38">
        <v>0</v>
      </c>
      <c r="M210" s="37">
        <f t="shared" si="45"/>
        <v>341</v>
      </c>
      <c r="N210" s="36">
        <v>200</v>
      </c>
      <c r="O210" s="5">
        <v>71</v>
      </c>
      <c r="P210" s="37">
        <f t="shared" si="46"/>
        <v>470</v>
      </c>
      <c r="Q210" s="38">
        <v>0</v>
      </c>
      <c r="R210" s="37">
        <f t="shared" si="47"/>
        <v>470</v>
      </c>
      <c r="S210" s="36">
        <v>0</v>
      </c>
      <c r="T210" s="5">
        <v>78</v>
      </c>
      <c r="U210" s="37">
        <f t="shared" si="48"/>
        <v>392</v>
      </c>
      <c r="V210" s="38">
        <v>0</v>
      </c>
      <c r="W210" s="37">
        <f t="shared" si="49"/>
        <v>392</v>
      </c>
      <c r="X210" s="36">
        <v>0</v>
      </c>
      <c r="Y210" s="5">
        <v>92</v>
      </c>
      <c r="Z210" s="37">
        <f t="shared" si="50"/>
        <v>300</v>
      </c>
      <c r="AA210" s="38">
        <v>-5</v>
      </c>
      <c r="AB210" s="37">
        <f t="shared" si="51"/>
        <v>295</v>
      </c>
      <c r="AC210" s="36">
        <v>0</v>
      </c>
      <c r="AD210" s="5">
        <v>124</v>
      </c>
      <c r="AE210" s="37">
        <f t="shared" si="52"/>
        <v>171</v>
      </c>
      <c r="AF210" s="38">
        <v>0</v>
      </c>
      <c r="AG210" s="37">
        <f t="shared" si="53"/>
        <v>171</v>
      </c>
      <c r="AH210" s="36">
        <v>200</v>
      </c>
      <c r="AI210" s="5">
        <v>146</v>
      </c>
      <c r="AJ210" s="37">
        <f t="shared" si="54"/>
        <v>225</v>
      </c>
      <c r="AK210" s="38">
        <v>0</v>
      </c>
      <c r="AL210" s="37">
        <f t="shared" si="55"/>
        <v>225</v>
      </c>
      <c r="AM210" s="35" t="s">
        <v>901</v>
      </c>
      <c r="AN210" s="35" t="s">
        <v>68</v>
      </c>
      <c r="AO210" s="5">
        <v>220</v>
      </c>
      <c r="AP210" s="5">
        <v>0</v>
      </c>
      <c r="AQ210" s="35" t="s">
        <v>67</v>
      </c>
      <c r="AR210" s="35"/>
      <c r="AS210" s="122">
        <v>4580450000000</v>
      </c>
      <c r="AT210" s="35">
        <v>172</v>
      </c>
      <c r="AU210" s="35" t="s">
        <v>902</v>
      </c>
    </row>
    <row r="211" spans="1:47" x14ac:dyDescent="0.15">
      <c r="A211" s="14" t="s">
        <v>613</v>
      </c>
      <c r="B211" s="5" t="s">
        <v>649</v>
      </c>
      <c r="C211" s="36">
        <v>0</v>
      </c>
      <c r="D211" s="36">
        <v>0</v>
      </c>
      <c r="E211" s="5">
        <v>0</v>
      </c>
      <c r="F211" s="37">
        <f t="shared" si="42"/>
        <v>0</v>
      </c>
      <c r="G211" s="38">
        <v>0</v>
      </c>
      <c r="H211" s="37">
        <f t="shared" si="43"/>
        <v>0</v>
      </c>
      <c r="I211" s="36">
        <v>0</v>
      </c>
      <c r="J211" s="5">
        <v>0</v>
      </c>
      <c r="K211" s="37">
        <f t="shared" si="44"/>
        <v>0</v>
      </c>
      <c r="L211" s="38">
        <v>0</v>
      </c>
      <c r="M211" s="37">
        <f t="shared" si="45"/>
        <v>0</v>
      </c>
      <c r="N211" s="36">
        <v>0</v>
      </c>
      <c r="O211" s="5">
        <v>0</v>
      </c>
      <c r="P211" s="37">
        <f t="shared" si="46"/>
        <v>0</v>
      </c>
      <c r="Q211" s="38">
        <v>0</v>
      </c>
      <c r="R211" s="37">
        <f t="shared" si="47"/>
        <v>0</v>
      </c>
      <c r="S211" s="36">
        <v>0</v>
      </c>
      <c r="T211" s="5">
        <v>0</v>
      </c>
      <c r="U211" s="37">
        <f t="shared" si="48"/>
        <v>0</v>
      </c>
      <c r="V211" s="38">
        <v>0</v>
      </c>
      <c r="W211" s="37">
        <f t="shared" si="49"/>
        <v>0</v>
      </c>
      <c r="X211" s="36">
        <v>1</v>
      </c>
      <c r="Y211" s="5">
        <v>1</v>
      </c>
      <c r="Z211" s="37">
        <f t="shared" si="50"/>
        <v>0</v>
      </c>
      <c r="AA211" s="38">
        <v>0</v>
      </c>
      <c r="AB211" s="37">
        <f t="shared" si="51"/>
        <v>0</v>
      </c>
      <c r="AC211" s="36">
        <v>0</v>
      </c>
      <c r="AD211" s="5">
        <v>0</v>
      </c>
      <c r="AE211" s="37">
        <f t="shared" si="52"/>
        <v>0</v>
      </c>
      <c r="AF211" s="38">
        <v>0</v>
      </c>
      <c r="AG211" s="37">
        <f t="shared" si="53"/>
        <v>0</v>
      </c>
      <c r="AH211" s="36">
        <v>0</v>
      </c>
      <c r="AI211" s="5">
        <v>0</v>
      </c>
      <c r="AJ211" s="37">
        <f t="shared" si="54"/>
        <v>0</v>
      </c>
      <c r="AK211" s="38">
        <v>0</v>
      </c>
      <c r="AL211" s="37">
        <f t="shared" si="55"/>
        <v>0</v>
      </c>
      <c r="AM211" s="35" t="s">
        <v>901</v>
      </c>
      <c r="AN211" s="35" t="s">
        <v>68</v>
      </c>
      <c r="AO211" s="163">
        <v>1150</v>
      </c>
      <c r="AP211" s="5">
        <v>0</v>
      </c>
      <c r="AQ211" s="35"/>
      <c r="AR211" s="35" t="s">
        <v>67</v>
      </c>
      <c r="AS211" s="122">
        <v>4580445528407</v>
      </c>
      <c r="AT211" s="35"/>
      <c r="AU211" s="35"/>
    </row>
    <row r="212" spans="1:47" x14ac:dyDescent="0.15">
      <c r="A212" s="14" t="s">
        <v>471</v>
      </c>
      <c r="B212" s="5" t="s">
        <v>472</v>
      </c>
      <c r="C212" s="36">
        <v>54</v>
      </c>
      <c r="D212" s="36">
        <v>0</v>
      </c>
      <c r="E212" s="5">
        <v>0</v>
      </c>
      <c r="F212" s="37">
        <f t="shared" si="42"/>
        <v>54</v>
      </c>
      <c r="G212" s="38">
        <v>0</v>
      </c>
      <c r="H212" s="37">
        <f t="shared" si="43"/>
        <v>54</v>
      </c>
      <c r="I212" s="36">
        <v>0</v>
      </c>
      <c r="J212" s="5">
        <v>23</v>
      </c>
      <c r="K212" s="37">
        <f t="shared" si="44"/>
        <v>31</v>
      </c>
      <c r="L212" s="38">
        <v>0</v>
      </c>
      <c r="M212" s="37">
        <f t="shared" si="45"/>
        <v>31</v>
      </c>
      <c r="N212" s="36">
        <v>0</v>
      </c>
      <c r="O212" s="5">
        <v>18</v>
      </c>
      <c r="P212" s="37">
        <f t="shared" si="46"/>
        <v>13</v>
      </c>
      <c r="Q212" s="38">
        <v>0</v>
      </c>
      <c r="R212" s="37">
        <f t="shared" si="47"/>
        <v>13</v>
      </c>
      <c r="S212" s="36">
        <v>45</v>
      </c>
      <c r="T212" s="5">
        <v>17</v>
      </c>
      <c r="U212" s="37">
        <f t="shared" si="48"/>
        <v>41</v>
      </c>
      <c r="V212" s="38">
        <v>0</v>
      </c>
      <c r="W212" s="37">
        <f t="shared" si="49"/>
        <v>41</v>
      </c>
      <c r="X212" s="36">
        <v>0</v>
      </c>
      <c r="Y212" s="5">
        <v>13</v>
      </c>
      <c r="Z212" s="37">
        <f t="shared" si="50"/>
        <v>28</v>
      </c>
      <c r="AA212" s="38">
        <v>0</v>
      </c>
      <c r="AB212" s="37">
        <f t="shared" si="51"/>
        <v>28</v>
      </c>
      <c r="AC212" s="36">
        <v>45</v>
      </c>
      <c r="AD212" s="5">
        <v>16</v>
      </c>
      <c r="AE212" s="37">
        <f t="shared" si="52"/>
        <v>57</v>
      </c>
      <c r="AF212" s="38">
        <v>-5</v>
      </c>
      <c r="AG212" s="37">
        <f t="shared" si="53"/>
        <v>52</v>
      </c>
      <c r="AH212" s="36">
        <v>0</v>
      </c>
      <c r="AI212" s="5">
        <v>25</v>
      </c>
      <c r="AJ212" s="37">
        <f t="shared" si="54"/>
        <v>27</v>
      </c>
      <c r="AK212" s="38">
        <v>0</v>
      </c>
      <c r="AL212" s="37">
        <f t="shared" si="55"/>
        <v>27</v>
      </c>
      <c r="AM212" s="35" t="s">
        <v>978</v>
      </c>
      <c r="AN212" s="35" t="s">
        <v>68</v>
      </c>
      <c r="AO212" s="5">
        <v>125</v>
      </c>
      <c r="AP212" s="5">
        <v>0</v>
      </c>
      <c r="AQ212" s="35" t="s">
        <v>67</v>
      </c>
      <c r="AR212" s="35"/>
      <c r="AS212" s="122">
        <v>4571517100218</v>
      </c>
      <c r="AT212" s="35"/>
      <c r="AU212" s="35"/>
    </row>
    <row r="213" spans="1:47" x14ac:dyDescent="0.15">
      <c r="A213" s="14" t="s">
        <v>981</v>
      </c>
      <c r="B213" s="5" t="s">
        <v>982</v>
      </c>
      <c r="C213" s="36">
        <v>0</v>
      </c>
      <c r="D213" s="36">
        <v>0</v>
      </c>
      <c r="E213" s="5">
        <v>0</v>
      </c>
      <c r="F213" s="37">
        <f t="shared" si="42"/>
        <v>0</v>
      </c>
      <c r="G213" s="38">
        <v>0</v>
      </c>
      <c r="H213" s="37">
        <f t="shared" si="43"/>
        <v>0</v>
      </c>
      <c r="I213" s="36">
        <v>0</v>
      </c>
      <c r="J213" s="5">
        <v>0</v>
      </c>
      <c r="K213" s="37">
        <f t="shared" si="44"/>
        <v>0</v>
      </c>
      <c r="L213" s="38">
        <v>0</v>
      </c>
      <c r="M213" s="37">
        <f t="shared" si="45"/>
        <v>0</v>
      </c>
      <c r="N213" s="36">
        <v>0</v>
      </c>
      <c r="O213" s="5">
        <v>0</v>
      </c>
      <c r="P213" s="37">
        <f t="shared" si="46"/>
        <v>0</v>
      </c>
      <c r="Q213" s="38">
        <v>0</v>
      </c>
      <c r="R213" s="37">
        <f t="shared" si="47"/>
        <v>0</v>
      </c>
      <c r="S213" s="36">
        <v>0</v>
      </c>
      <c r="T213" s="5">
        <v>0</v>
      </c>
      <c r="U213" s="37">
        <f t="shared" si="48"/>
        <v>0</v>
      </c>
      <c r="V213" s="38">
        <v>0</v>
      </c>
      <c r="W213" s="37">
        <f t="shared" si="49"/>
        <v>0</v>
      </c>
      <c r="X213" s="36">
        <v>0</v>
      </c>
      <c r="Y213" s="5">
        <v>0</v>
      </c>
      <c r="Z213" s="37">
        <f t="shared" si="50"/>
        <v>0</v>
      </c>
      <c r="AA213" s="38">
        <v>0</v>
      </c>
      <c r="AB213" s="37">
        <f t="shared" si="51"/>
        <v>0</v>
      </c>
      <c r="AC213" s="36">
        <v>1</v>
      </c>
      <c r="AD213" s="5">
        <v>1</v>
      </c>
      <c r="AE213" s="37">
        <f t="shared" si="52"/>
        <v>0</v>
      </c>
      <c r="AF213" s="38">
        <v>0</v>
      </c>
      <c r="AG213" s="37">
        <f t="shared" si="53"/>
        <v>0</v>
      </c>
      <c r="AH213" s="36">
        <v>0</v>
      </c>
      <c r="AI213" s="5">
        <v>0</v>
      </c>
      <c r="AJ213" s="37">
        <f t="shared" si="54"/>
        <v>0</v>
      </c>
      <c r="AK213" s="38">
        <v>0</v>
      </c>
      <c r="AL213" s="37">
        <f t="shared" si="55"/>
        <v>0</v>
      </c>
      <c r="AM213" s="35" t="s">
        <v>978</v>
      </c>
      <c r="AN213" s="35" t="s">
        <v>68</v>
      </c>
      <c r="AO213" s="5">
        <v>625</v>
      </c>
      <c r="AP213" s="5">
        <v>0</v>
      </c>
      <c r="AQ213" s="35"/>
      <c r="AR213" s="35" t="s">
        <v>67</v>
      </c>
      <c r="AS213" s="122">
        <v>4571517100218</v>
      </c>
      <c r="AT213" s="35"/>
      <c r="AU213" s="35"/>
    </row>
    <row r="214" spans="1:47" x14ac:dyDescent="0.15">
      <c r="A214" s="14" t="s">
        <v>181</v>
      </c>
      <c r="B214" s="5" t="s">
        <v>182</v>
      </c>
      <c r="C214" s="36">
        <v>8</v>
      </c>
      <c r="D214" s="36">
        <v>110</v>
      </c>
      <c r="E214" s="5">
        <v>0</v>
      </c>
      <c r="F214" s="37">
        <f t="shared" si="42"/>
        <v>118</v>
      </c>
      <c r="G214" s="38">
        <v>0</v>
      </c>
      <c r="H214" s="37">
        <f t="shared" si="43"/>
        <v>118</v>
      </c>
      <c r="I214" s="36">
        <v>0</v>
      </c>
      <c r="J214" s="5">
        <v>60</v>
      </c>
      <c r="K214" s="37">
        <f t="shared" si="44"/>
        <v>58</v>
      </c>
      <c r="L214" s="38">
        <v>-5</v>
      </c>
      <c r="M214" s="37">
        <f t="shared" si="45"/>
        <v>53</v>
      </c>
      <c r="N214" s="36">
        <v>0</v>
      </c>
      <c r="O214" s="5">
        <v>33</v>
      </c>
      <c r="P214" s="37">
        <f t="shared" si="46"/>
        <v>20</v>
      </c>
      <c r="Q214" s="38">
        <v>-10</v>
      </c>
      <c r="R214" s="37">
        <f t="shared" si="47"/>
        <v>10</v>
      </c>
      <c r="S214" s="36">
        <v>80</v>
      </c>
      <c r="T214" s="5">
        <v>47</v>
      </c>
      <c r="U214" s="37">
        <f t="shared" si="48"/>
        <v>43</v>
      </c>
      <c r="V214" s="38">
        <v>0</v>
      </c>
      <c r="W214" s="37">
        <f t="shared" si="49"/>
        <v>43</v>
      </c>
      <c r="X214" s="36">
        <v>0</v>
      </c>
      <c r="Y214" s="5">
        <v>22</v>
      </c>
      <c r="Z214" s="37">
        <f t="shared" si="50"/>
        <v>21</v>
      </c>
      <c r="AA214" s="38">
        <v>-10</v>
      </c>
      <c r="AB214" s="37">
        <f t="shared" si="51"/>
        <v>11</v>
      </c>
      <c r="AC214" s="36">
        <v>120</v>
      </c>
      <c r="AD214" s="5">
        <v>44</v>
      </c>
      <c r="AE214" s="37">
        <f t="shared" si="52"/>
        <v>87</v>
      </c>
      <c r="AF214" s="38">
        <v>-40</v>
      </c>
      <c r="AG214" s="37">
        <f t="shared" si="53"/>
        <v>47</v>
      </c>
      <c r="AH214" s="36">
        <v>0</v>
      </c>
      <c r="AI214" s="5">
        <v>44</v>
      </c>
      <c r="AJ214" s="37">
        <f t="shared" si="54"/>
        <v>3</v>
      </c>
      <c r="AK214" s="38">
        <v>0</v>
      </c>
      <c r="AL214" s="37">
        <f t="shared" si="55"/>
        <v>3</v>
      </c>
      <c r="AM214" s="35" t="s">
        <v>574</v>
      </c>
      <c r="AN214" s="35" t="s">
        <v>68</v>
      </c>
      <c r="AO214" s="5">
        <v>180</v>
      </c>
      <c r="AP214" s="5">
        <v>165</v>
      </c>
      <c r="AQ214" s="35"/>
      <c r="AR214" s="35"/>
      <c r="AS214" s="122">
        <v>4560109260904</v>
      </c>
      <c r="AT214" s="35">
        <v>231</v>
      </c>
      <c r="AU214" s="35" t="s">
        <v>943</v>
      </c>
    </row>
    <row r="215" spans="1:47" x14ac:dyDescent="0.15">
      <c r="A215" s="14" t="s">
        <v>678</v>
      </c>
      <c r="B215" s="5" t="s">
        <v>679</v>
      </c>
      <c r="C215" s="36">
        <v>0</v>
      </c>
      <c r="D215" s="36">
        <v>0</v>
      </c>
      <c r="E215" s="5">
        <v>0</v>
      </c>
      <c r="F215" s="37">
        <f t="shared" si="42"/>
        <v>0</v>
      </c>
      <c r="G215" s="38">
        <v>0</v>
      </c>
      <c r="H215" s="37">
        <f t="shared" si="43"/>
        <v>0</v>
      </c>
      <c r="I215" s="36">
        <v>1</v>
      </c>
      <c r="J215" s="5">
        <v>1</v>
      </c>
      <c r="K215" s="37">
        <f t="shared" si="44"/>
        <v>0</v>
      </c>
      <c r="L215" s="38">
        <v>0</v>
      </c>
      <c r="M215" s="37">
        <f t="shared" si="45"/>
        <v>0</v>
      </c>
      <c r="N215" s="36">
        <v>2</v>
      </c>
      <c r="O215" s="5">
        <v>2</v>
      </c>
      <c r="P215" s="37">
        <f t="shared" si="46"/>
        <v>0</v>
      </c>
      <c r="Q215" s="38">
        <v>0</v>
      </c>
      <c r="R215" s="37">
        <f t="shared" si="47"/>
        <v>0</v>
      </c>
      <c r="S215" s="36">
        <v>0</v>
      </c>
      <c r="T215" s="5">
        <v>0</v>
      </c>
      <c r="U215" s="37">
        <f t="shared" si="48"/>
        <v>0</v>
      </c>
      <c r="V215" s="38">
        <v>0</v>
      </c>
      <c r="W215" s="37">
        <f t="shared" si="49"/>
        <v>0</v>
      </c>
      <c r="X215" s="36">
        <v>2</v>
      </c>
      <c r="Y215" s="5">
        <v>2</v>
      </c>
      <c r="Z215" s="37">
        <f t="shared" si="50"/>
        <v>0</v>
      </c>
      <c r="AA215" s="38">
        <v>0</v>
      </c>
      <c r="AB215" s="37">
        <f t="shared" si="51"/>
        <v>0</v>
      </c>
      <c r="AC215" s="36">
        <v>8</v>
      </c>
      <c r="AD215" s="5">
        <v>8</v>
      </c>
      <c r="AE215" s="37">
        <f t="shared" si="52"/>
        <v>0</v>
      </c>
      <c r="AF215" s="38">
        <v>0</v>
      </c>
      <c r="AG215" s="37">
        <f t="shared" si="53"/>
        <v>0</v>
      </c>
      <c r="AH215" s="36">
        <v>0</v>
      </c>
      <c r="AI215" s="5">
        <v>1</v>
      </c>
      <c r="AJ215" s="37">
        <f t="shared" si="54"/>
        <v>-1</v>
      </c>
      <c r="AK215" s="38">
        <v>0</v>
      </c>
      <c r="AL215" s="37">
        <f t="shared" si="55"/>
        <v>-1</v>
      </c>
      <c r="AM215" s="35" t="s">
        <v>574</v>
      </c>
      <c r="AN215" s="35" t="s">
        <v>68</v>
      </c>
      <c r="AO215" s="5">
        <v>975</v>
      </c>
      <c r="AP215" s="5">
        <v>0</v>
      </c>
      <c r="AQ215" s="35"/>
      <c r="AR215" s="35" t="s">
        <v>67</v>
      </c>
      <c r="AS215" s="122">
        <v>4560109260904</v>
      </c>
      <c r="AT215" s="35">
        <v>231</v>
      </c>
      <c r="AU215" s="35" t="s">
        <v>943</v>
      </c>
    </row>
    <row r="216" spans="1:47" x14ac:dyDescent="0.15">
      <c r="A216" s="14" t="s">
        <v>570</v>
      </c>
      <c r="B216" s="5" t="s">
        <v>571</v>
      </c>
      <c r="C216" s="36">
        <v>27</v>
      </c>
      <c r="D216" s="36">
        <v>0</v>
      </c>
      <c r="E216" s="5">
        <v>0</v>
      </c>
      <c r="F216" s="37">
        <f t="shared" si="42"/>
        <v>27</v>
      </c>
      <c r="G216" s="38">
        <v>0</v>
      </c>
      <c r="H216" s="37">
        <f t="shared" si="43"/>
        <v>27</v>
      </c>
      <c r="I216" s="36">
        <v>0</v>
      </c>
      <c r="J216" s="5">
        <v>12</v>
      </c>
      <c r="K216" s="37">
        <f t="shared" si="44"/>
        <v>15</v>
      </c>
      <c r="L216" s="38">
        <v>0</v>
      </c>
      <c r="M216" s="37">
        <f t="shared" si="45"/>
        <v>15</v>
      </c>
      <c r="N216" s="36">
        <v>0</v>
      </c>
      <c r="O216" s="5">
        <v>2</v>
      </c>
      <c r="P216" s="37">
        <f t="shared" si="46"/>
        <v>13</v>
      </c>
      <c r="Q216" s="38">
        <v>0</v>
      </c>
      <c r="R216" s="37">
        <f t="shared" si="47"/>
        <v>13</v>
      </c>
      <c r="S216" s="36">
        <v>0</v>
      </c>
      <c r="T216" s="5">
        <v>2</v>
      </c>
      <c r="U216" s="37">
        <f t="shared" si="48"/>
        <v>11</v>
      </c>
      <c r="V216" s="38">
        <v>0</v>
      </c>
      <c r="W216" s="37">
        <f t="shared" si="49"/>
        <v>11</v>
      </c>
      <c r="X216" s="36">
        <v>0</v>
      </c>
      <c r="Y216" s="5">
        <v>7</v>
      </c>
      <c r="Z216" s="37">
        <f t="shared" si="50"/>
        <v>4</v>
      </c>
      <c r="AA216" s="38">
        <v>0</v>
      </c>
      <c r="AB216" s="37">
        <f t="shared" si="51"/>
        <v>4</v>
      </c>
      <c r="AC216" s="36">
        <v>20</v>
      </c>
      <c r="AD216" s="5">
        <v>5</v>
      </c>
      <c r="AE216" s="37">
        <f t="shared" si="52"/>
        <v>19</v>
      </c>
      <c r="AF216" s="38">
        <v>0</v>
      </c>
      <c r="AG216" s="37">
        <f t="shared" si="53"/>
        <v>19</v>
      </c>
      <c r="AH216" s="36">
        <v>0</v>
      </c>
      <c r="AI216" s="5">
        <v>7</v>
      </c>
      <c r="AJ216" s="37">
        <f t="shared" si="54"/>
        <v>12</v>
      </c>
      <c r="AK216" s="38">
        <v>0</v>
      </c>
      <c r="AL216" s="37">
        <f t="shared" si="55"/>
        <v>12</v>
      </c>
      <c r="AM216" s="35" t="s">
        <v>935</v>
      </c>
      <c r="AN216" s="35" t="s">
        <v>68</v>
      </c>
      <c r="AO216" s="5">
        <v>160</v>
      </c>
      <c r="AP216" s="5">
        <v>0</v>
      </c>
      <c r="AQ216" s="35" t="s">
        <v>67</v>
      </c>
      <c r="AR216" s="35"/>
      <c r="AS216" s="122"/>
      <c r="AT216" s="35"/>
      <c r="AU216" s="35"/>
    </row>
    <row r="217" spans="1:47" x14ac:dyDescent="0.15">
      <c r="A217" s="14" t="s">
        <v>202</v>
      </c>
      <c r="B217" s="5" t="s">
        <v>203</v>
      </c>
      <c r="C217" s="36">
        <v>0</v>
      </c>
      <c r="D217" s="36">
        <v>0</v>
      </c>
      <c r="E217" s="5">
        <v>0</v>
      </c>
      <c r="F217" s="37">
        <f t="shared" si="42"/>
        <v>0</v>
      </c>
      <c r="G217" s="38">
        <v>0</v>
      </c>
      <c r="H217" s="37">
        <f t="shared" si="43"/>
        <v>0</v>
      </c>
      <c r="I217" s="36">
        <v>0</v>
      </c>
      <c r="J217" s="5">
        <v>0</v>
      </c>
      <c r="K217" s="37">
        <f t="shared" si="44"/>
        <v>0</v>
      </c>
      <c r="L217" s="38">
        <v>0</v>
      </c>
      <c r="M217" s="37">
        <f t="shared" si="45"/>
        <v>0</v>
      </c>
      <c r="N217" s="36">
        <v>0</v>
      </c>
      <c r="O217" s="5">
        <v>1</v>
      </c>
      <c r="P217" s="37">
        <f t="shared" si="46"/>
        <v>-1</v>
      </c>
      <c r="Q217" s="38">
        <v>0</v>
      </c>
      <c r="R217" s="37">
        <f t="shared" si="47"/>
        <v>-1</v>
      </c>
      <c r="S217" s="36">
        <v>0</v>
      </c>
      <c r="T217" s="5">
        <v>0</v>
      </c>
      <c r="U217" s="37">
        <f t="shared" si="48"/>
        <v>-1</v>
      </c>
      <c r="V217" s="38">
        <v>0</v>
      </c>
      <c r="W217" s="37">
        <f t="shared" si="49"/>
        <v>-1</v>
      </c>
      <c r="X217" s="36">
        <v>0</v>
      </c>
      <c r="Y217" s="5">
        <v>0</v>
      </c>
      <c r="Z217" s="37">
        <f t="shared" si="50"/>
        <v>-1</v>
      </c>
      <c r="AA217" s="38">
        <v>0</v>
      </c>
      <c r="AB217" s="37">
        <f t="shared" si="51"/>
        <v>-1</v>
      </c>
      <c r="AC217" s="36">
        <v>0</v>
      </c>
      <c r="AD217" s="5">
        <v>2</v>
      </c>
      <c r="AE217" s="37">
        <f t="shared" si="52"/>
        <v>-3</v>
      </c>
      <c r="AF217" s="38">
        <v>0</v>
      </c>
      <c r="AG217" s="37">
        <f t="shared" si="53"/>
        <v>-3</v>
      </c>
      <c r="AH217" s="36">
        <v>0</v>
      </c>
      <c r="AI217" s="5">
        <v>0</v>
      </c>
      <c r="AJ217" s="37">
        <f t="shared" si="54"/>
        <v>-3</v>
      </c>
      <c r="AK217" s="38">
        <v>0</v>
      </c>
      <c r="AL217" s="37">
        <f t="shared" si="55"/>
        <v>-3</v>
      </c>
      <c r="AM217" s="35" t="s">
        <v>197</v>
      </c>
      <c r="AN217" s="35" t="s">
        <v>68</v>
      </c>
      <c r="AO217" s="5">
        <v>500</v>
      </c>
      <c r="AP217" s="5">
        <v>0</v>
      </c>
      <c r="AQ217" s="35" t="s">
        <v>67</v>
      </c>
      <c r="AR217" s="35"/>
      <c r="AS217" s="122"/>
      <c r="AT217" s="35">
        <v>201</v>
      </c>
      <c r="AU217" s="35" t="s">
        <v>983</v>
      </c>
    </row>
    <row r="218" spans="1:47" x14ac:dyDescent="0.15">
      <c r="A218" s="14" t="s">
        <v>680</v>
      </c>
      <c r="B218" s="5" t="s">
        <v>681</v>
      </c>
      <c r="C218" s="36">
        <v>0</v>
      </c>
      <c r="D218" s="36">
        <v>0</v>
      </c>
      <c r="E218" s="5">
        <v>0</v>
      </c>
      <c r="F218" s="37">
        <f t="shared" si="42"/>
        <v>0</v>
      </c>
      <c r="G218" s="38">
        <v>0</v>
      </c>
      <c r="H218" s="37">
        <f t="shared" si="43"/>
        <v>0</v>
      </c>
      <c r="I218" s="36">
        <v>0</v>
      </c>
      <c r="J218" s="5">
        <v>0</v>
      </c>
      <c r="K218" s="37">
        <f t="shared" si="44"/>
        <v>0</v>
      </c>
      <c r="L218" s="38">
        <v>0</v>
      </c>
      <c r="M218" s="37">
        <f t="shared" si="45"/>
        <v>0</v>
      </c>
      <c r="N218" s="36">
        <v>0</v>
      </c>
      <c r="O218" s="5">
        <v>0</v>
      </c>
      <c r="P218" s="37">
        <f t="shared" si="46"/>
        <v>0</v>
      </c>
      <c r="Q218" s="38">
        <v>0</v>
      </c>
      <c r="R218" s="37">
        <f t="shared" si="47"/>
        <v>0</v>
      </c>
      <c r="S218" s="36">
        <v>0</v>
      </c>
      <c r="T218" s="5">
        <v>0</v>
      </c>
      <c r="U218" s="37">
        <f t="shared" si="48"/>
        <v>0</v>
      </c>
      <c r="V218" s="38">
        <v>0</v>
      </c>
      <c r="W218" s="37">
        <f t="shared" si="49"/>
        <v>0</v>
      </c>
      <c r="X218" s="36">
        <v>0</v>
      </c>
      <c r="Y218" s="5">
        <v>0</v>
      </c>
      <c r="Z218" s="37">
        <f t="shared" si="50"/>
        <v>0</v>
      </c>
      <c r="AA218" s="38">
        <v>0</v>
      </c>
      <c r="AB218" s="37">
        <f t="shared" si="51"/>
        <v>0</v>
      </c>
      <c r="AC218" s="36">
        <v>0</v>
      </c>
      <c r="AD218" s="5">
        <v>0</v>
      </c>
      <c r="AE218" s="37">
        <f t="shared" si="52"/>
        <v>0</v>
      </c>
      <c r="AF218" s="38">
        <v>0</v>
      </c>
      <c r="AG218" s="37">
        <f t="shared" si="53"/>
        <v>0</v>
      </c>
      <c r="AH218" s="36">
        <v>0</v>
      </c>
      <c r="AI218" s="5">
        <v>0</v>
      </c>
      <c r="AJ218" s="37">
        <f t="shared" si="54"/>
        <v>0</v>
      </c>
      <c r="AK218" s="38">
        <v>0</v>
      </c>
      <c r="AL218" s="37">
        <f t="shared" si="55"/>
        <v>0</v>
      </c>
      <c r="AM218" s="35"/>
      <c r="AN218" s="35"/>
      <c r="AO218" s="5">
        <v>0</v>
      </c>
      <c r="AP218" s="5">
        <v>0</v>
      </c>
      <c r="AQ218" s="35"/>
      <c r="AR218" s="35"/>
      <c r="AS218" s="122"/>
      <c r="AT218" s="35"/>
      <c r="AU218" s="35"/>
    </row>
    <row r="219" spans="1:47" x14ac:dyDescent="0.15">
      <c r="A219" s="14" t="s">
        <v>528</v>
      </c>
      <c r="B219" s="5" t="s">
        <v>529</v>
      </c>
      <c r="C219" s="36">
        <v>0</v>
      </c>
      <c r="D219" s="36">
        <v>0</v>
      </c>
      <c r="E219" s="5">
        <v>0</v>
      </c>
      <c r="F219" s="37">
        <f t="shared" si="42"/>
        <v>0</v>
      </c>
      <c r="G219" s="38">
        <v>0</v>
      </c>
      <c r="H219" s="37">
        <f t="shared" si="43"/>
        <v>0</v>
      </c>
      <c r="I219" s="36">
        <v>0</v>
      </c>
      <c r="J219" s="5">
        <v>0</v>
      </c>
      <c r="K219" s="37">
        <f t="shared" si="44"/>
        <v>0</v>
      </c>
      <c r="L219" s="38">
        <v>0</v>
      </c>
      <c r="M219" s="37">
        <f t="shared" si="45"/>
        <v>0</v>
      </c>
      <c r="N219" s="36">
        <v>0</v>
      </c>
      <c r="O219" s="5">
        <v>0</v>
      </c>
      <c r="P219" s="37">
        <f t="shared" si="46"/>
        <v>0</v>
      </c>
      <c r="Q219" s="38">
        <v>0</v>
      </c>
      <c r="R219" s="37">
        <f t="shared" si="47"/>
        <v>0</v>
      </c>
      <c r="S219" s="36">
        <v>0</v>
      </c>
      <c r="T219" s="5">
        <v>0</v>
      </c>
      <c r="U219" s="37">
        <f t="shared" si="48"/>
        <v>0</v>
      </c>
      <c r="V219" s="38">
        <v>0</v>
      </c>
      <c r="W219" s="37">
        <f t="shared" si="49"/>
        <v>0</v>
      </c>
      <c r="X219" s="36">
        <v>0</v>
      </c>
      <c r="Y219" s="5">
        <v>0</v>
      </c>
      <c r="Z219" s="37">
        <f t="shared" si="50"/>
        <v>0</v>
      </c>
      <c r="AA219" s="38">
        <v>0</v>
      </c>
      <c r="AB219" s="37">
        <f t="shared" si="51"/>
        <v>0</v>
      </c>
      <c r="AC219" s="36">
        <v>0</v>
      </c>
      <c r="AD219" s="5">
        <v>0</v>
      </c>
      <c r="AE219" s="37">
        <f t="shared" si="52"/>
        <v>0</v>
      </c>
      <c r="AF219" s="38">
        <v>0</v>
      </c>
      <c r="AG219" s="37">
        <f t="shared" si="53"/>
        <v>0</v>
      </c>
      <c r="AH219" s="36">
        <v>0</v>
      </c>
      <c r="AI219" s="5">
        <v>0</v>
      </c>
      <c r="AJ219" s="37">
        <f t="shared" si="54"/>
        <v>0</v>
      </c>
      <c r="AK219" s="38">
        <v>0</v>
      </c>
      <c r="AL219" s="37">
        <f t="shared" si="55"/>
        <v>0</v>
      </c>
      <c r="AM219" s="35"/>
      <c r="AN219" s="35"/>
      <c r="AO219" s="5">
        <v>0</v>
      </c>
      <c r="AP219" s="5">
        <v>0</v>
      </c>
      <c r="AQ219" s="35"/>
      <c r="AR219" s="35"/>
      <c r="AS219" s="122"/>
      <c r="AT219" s="35"/>
      <c r="AU219" s="35"/>
    </row>
    <row r="220" spans="1:47" x14ac:dyDescent="0.15">
      <c r="A220" s="14" t="s">
        <v>530</v>
      </c>
      <c r="B220" s="5" t="s">
        <v>531</v>
      </c>
      <c r="C220" s="36">
        <v>0</v>
      </c>
      <c r="D220" s="36">
        <v>0</v>
      </c>
      <c r="E220" s="5">
        <v>0</v>
      </c>
      <c r="F220" s="37">
        <f t="shared" si="42"/>
        <v>0</v>
      </c>
      <c r="G220" s="38">
        <v>0</v>
      </c>
      <c r="H220" s="37">
        <f t="shared" si="43"/>
        <v>0</v>
      </c>
      <c r="I220" s="36">
        <v>0</v>
      </c>
      <c r="J220" s="5">
        <v>0</v>
      </c>
      <c r="K220" s="37">
        <f t="shared" si="44"/>
        <v>0</v>
      </c>
      <c r="L220" s="38">
        <v>0</v>
      </c>
      <c r="M220" s="37">
        <f t="shared" si="45"/>
        <v>0</v>
      </c>
      <c r="N220" s="36">
        <v>0</v>
      </c>
      <c r="O220" s="5">
        <v>1</v>
      </c>
      <c r="P220" s="37">
        <f t="shared" si="46"/>
        <v>-1</v>
      </c>
      <c r="Q220" s="38">
        <v>0</v>
      </c>
      <c r="R220" s="37">
        <f t="shared" si="47"/>
        <v>-1</v>
      </c>
      <c r="S220" s="36">
        <v>0</v>
      </c>
      <c r="T220" s="5">
        <v>0</v>
      </c>
      <c r="U220" s="37">
        <f t="shared" si="48"/>
        <v>-1</v>
      </c>
      <c r="V220" s="38">
        <v>0</v>
      </c>
      <c r="W220" s="37">
        <f t="shared" si="49"/>
        <v>-1</v>
      </c>
      <c r="X220" s="36">
        <v>0</v>
      </c>
      <c r="Y220" s="5">
        <v>0</v>
      </c>
      <c r="Z220" s="37">
        <f t="shared" si="50"/>
        <v>-1</v>
      </c>
      <c r="AA220" s="38">
        <v>0</v>
      </c>
      <c r="AB220" s="37">
        <f t="shared" si="51"/>
        <v>-1</v>
      </c>
      <c r="AC220" s="36">
        <v>0</v>
      </c>
      <c r="AD220" s="5">
        <v>0</v>
      </c>
      <c r="AE220" s="37">
        <f t="shared" si="52"/>
        <v>-1</v>
      </c>
      <c r="AF220" s="38">
        <v>0</v>
      </c>
      <c r="AG220" s="37">
        <f t="shared" si="53"/>
        <v>-1</v>
      </c>
      <c r="AH220" s="36">
        <v>0</v>
      </c>
      <c r="AI220" s="5">
        <v>0</v>
      </c>
      <c r="AJ220" s="37">
        <f t="shared" si="54"/>
        <v>-1</v>
      </c>
      <c r="AK220" s="38">
        <v>0</v>
      </c>
      <c r="AL220" s="37">
        <f t="shared" si="55"/>
        <v>-1</v>
      </c>
      <c r="AM220" s="35" t="s">
        <v>978</v>
      </c>
      <c r="AN220" s="35" t="s">
        <v>68</v>
      </c>
      <c r="AO220" s="163">
        <v>1200</v>
      </c>
      <c r="AP220" s="5">
        <v>0</v>
      </c>
      <c r="AQ220" s="35" t="s">
        <v>67</v>
      </c>
      <c r="AR220" s="35"/>
      <c r="AS220" s="122"/>
      <c r="AT220" s="35">
        <v>201</v>
      </c>
      <c r="AU220" s="35" t="s">
        <v>983</v>
      </c>
    </row>
    <row r="221" spans="1:47" x14ac:dyDescent="0.15">
      <c r="A221" s="14" t="s">
        <v>382</v>
      </c>
      <c r="B221" s="5" t="s">
        <v>383</v>
      </c>
      <c r="C221" s="36">
        <v>0</v>
      </c>
      <c r="D221" s="36">
        <v>0</v>
      </c>
      <c r="E221" s="5">
        <v>0</v>
      </c>
      <c r="F221" s="37">
        <f t="shared" si="42"/>
        <v>0</v>
      </c>
      <c r="G221" s="38">
        <v>0</v>
      </c>
      <c r="H221" s="37">
        <f t="shared" si="43"/>
        <v>0</v>
      </c>
      <c r="I221" s="36">
        <v>0</v>
      </c>
      <c r="J221" s="5">
        <v>0</v>
      </c>
      <c r="K221" s="37">
        <f t="shared" si="44"/>
        <v>0</v>
      </c>
      <c r="L221" s="38">
        <v>0</v>
      </c>
      <c r="M221" s="37">
        <f t="shared" si="45"/>
        <v>0</v>
      </c>
      <c r="N221" s="36">
        <v>0</v>
      </c>
      <c r="O221" s="5">
        <v>0</v>
      </c>
      <c r="P221" s="37">
        <f t="shared" si="46"/>
        <v>0</v>
      </c>
      <c r="Q221" s="38">
        <v>0</v>
      </c>
      <c r="R221" s="37">
        <f t="shared" si="47"/>
        <v>0</v>
      </c>
      <c r="S221" s="36">
        <v>0</v>
      </c>
      <c r="T221" s="5">
        <v>0</v>
      </c>
      <c r="U221" s="37">
        <f t="shared" si="48"/>
        <v>0</v>
      </c>
      <c r="V221" s="38">
        <v>0</v>
      </c>
      <c r="W221" s="37">
        <f t="shared" si="49"/>
        <v>0</v>
      </c>
      <c r="X221" s="36">
        <v>0</v>
      </c>
      <c r="Y221" s="5">
        <v>0</v>
      </c>
      <c r="Z221" s="37">
        <f t="shared" si="50"/>
        <v>0</v>
      </c>
      <c r="AA221" s="38">
        <v>0</v>
      </c>
      <c r="AB221" s="37">
        <f t="shared" si="51"/>
        <v>0</v>
      </c>
      <c r="AC221" s="36">
        <v>0</v>
      </c>
      <c r="AD221" s="5">
        <v>0</v>
      </c>
      <c r="AE221" s="37">
        <f t="shared" si="52"/>
        <v>0</v>
      </c>
      <c r="AF221" s="38">
        <v>0</v>
      </c>
      <c r="AG221" s="37">
        <f t="shared" si="53"/>
        <v>0</v>
      </c>
      <c r="AH221" s="36">
        <v>0</v>
      </c>
      <c r="AI221" s="5">
        <v>0</v>
      </c>
      <c r="AJ221" s="37">
        <f t="shared" si="54"/>
        <v>0</v>
      </c>
      <c r="AK221" s="38">
        <v>0</v>
      </c>
      <c r="AL221" s="37">
        <f t="shared" si="55"/>
        <v>0</v>
      </c>
      <c r="AM221" s="35"/>
      <c r="AN221" s="35"/>
      <c r="AO221" s="5">
        <v>0</v>
      </c>
      <c r="AP221" s="5">
        <v>0</v>
      </c>
      <c r="AQ221" s="35"/>
      <c r="AR221" s="35"/>
      <c r="AS221" s="122"/>
      <c r="AT221" s="35"/>
      <c r="AU221" s="35"/>
    </row>
    <row r="222" spans="1:47" x14ac:dyDescent="0.15">
      <c r="A222" s="14" t="s">
        <v>532</v>
      </c>
      <c r="B222" s="5" t="s">
        <v>533</v>
      </c>
      <c r="C222" s="36">
        <v>0</v>
      </c>
      <c r="D222" s="36">
        <v>0</v>
      </c>
      <c r="E222" s="5">
        <v>0</v>
      </c>
      <c r="F222" s="37">
        <f t="shared" si="42"/>
        <v>0</v>
      </c>
      <c r="G222" s="38">
        <v>0</v>
      </c>
      <c r="H222" s="37">
        <f t="shared" si="43"/>
        <v>0</v>
      </c>
      <c r="I222" s="36">
        <v>0</v>
      </c>
      <c r="J222" s="5">
        <v>0</v>
      </c>
      <c r="K222" s="37">
        <f t="shared" si="44"/>
        <v>0</v>
      </c>
      <c r="L222" s="38">
        <v>0</v>
      </c>
      <c r="M222" s="37">
        <f t="shared" si="45"/>
        <v>0</v>
      </c>
      <c r="N222" s="36">
        <v>0</v>
      </c>
      <c r="O222" s="5">
        <v>1</v>
      </c>
      <c r="P222" s="37">
        <f t="shared" si="46"/>
        <v>-1</v>
      </c>
      <c r="Q222" s="38">
        <v>0</v>
      </c>
      <c r="R222" s="37">
        <f t="shared" si="47"/>
        <v>-1</v>
      </c>
      <c r="S222" s="36">
        <v>0</v>
      </c>
      <c r="T222" s="5">
        <v>0</v>
      </c>
      <c r="U222" s="37">
        <f t="shared" si="48"/>
        <v>-1</v>
      </c>
      <c r="V222" s="38">
        <v>0</v>
      </c>
      <c r="W222" s="37">
        <f t="shared" si="49"/>
        <v>-1</v>
      </c>
      <c r="X222" s="36">
        <v>0</v>
      </c>
      <c r="Y222" s="5">
        <v>0</v>
      </c>
      <c r="Z222" s="37">
        <f t="shared" si="50"/>
        <v>-1</v>
      </c>
      <c r="AA222" s="38">
        <v>0</v>
      </c>
      <c r="AB222" s="37">
        <f t="shared" si="51"/>
        <v>-1</v>
      </c>
      <c r="AC222" s="36">
        <v>0</v>
      </c>
      <c r="AD222" s="5">
        <v>0</v>
      </c>
      <c r="AE222" s="37">
        <f t="shared" si="52"/>
        <v>-1</v>
      </c>
      <c r="AF222" s="38">
        <v>0</v>
      </c>
      <c r="AG222" s="37">
        <f t="shared" si="53"/>
        <v>-1</v>
      </c>
      <c r="AH222" s="36">
        <v>0</v>
      </c>
      <c r="AI222" s="5">
        <v>0</v>
      </c>
      <c r="AJ222" s="37">
        <f t="shared" si="54"/>
        <v>-1</v>
      </c>
      <c r="AK222" s="38">
        <v>0</v>
      </c>
      <c r="AL222" s="37">
        <f t="shared" si="55"/>
        <v>-1</v>
      </c>
      <c r="AM222" s="35" t="s">
        <v>978</v>
      </c>
      <c r="AN222" s="35" t="s">
        <v>68</v>
      </c>
      <c r="AO222" s="5">
        <v>702</v>
      </c>
      <c r="AP222" s="5">
        <v>0</v>
      </c>
      <c r="AQ222" s="35" t="s">
        <v>67</v>
      </c>
      <c r="AR222" s="35"/>
      <c r="AS222" s="122"/>
      <c r="AT222" s="35">
        <v>201</v>
      </c>
      <c r="AU222" s="35" t="s">
        <v>983</v>
      </c>
    </row>
    <row r="223" spans="1:47" x14ac:dyDescent="0.15">
      <c r="A223" s="14" t="s">
        <v>204</v>
      </c>
      <c r="B223" s="5" t="s">
        <v>205</v>
      </c>
      <c r="C223" s="36">
        <v>0</v>
      </c>
      <c r="D223" s="36">
        <v>0</v>
      </c>
      <c r="E223" s="5">
        <v>0</v>
      </c>
      <c r="F223" s="37">
        <f t="shared" si="42"/>
        <v>0</v>
      </c>
      <c r="G223" s="38">
        <v>0</v>
      </c>
      <c r="H223" s="37">
        <f t="shared" si="43"/>
        <v>0</v>
      </c>
      <c r="I223" s="36">
        <v>0</v>
      </c>
      <c r="J223" s="5">
        <v>0</v>
      </c>
      <c r="K223" s="37">
        <f t="shared" si="44"/>
        <v>0</v>
      </c>
      <c r="L223" s="38">
        <v>0</v>
      </c>
      <c r="M223" s="37">
        <f t="shared" si="45"/>
        <v>0</v>
      </c>
      <c r="N223" s="36">
        <v>0</v>
      </c>
      <c r="O223" s="5">
        <v>0</v>
      </c>
      <c r="P223" s="37">
        <f t="shared" si="46"/>
        <v>0</v>
      </c>
      <c r="Q223" s="38">
        <v>0</v>
      </c>
      <c r="R223" s="37">
        <f t="shared" si="47"/>
        <v>0</v>
      </c>
      <c r="S223" s="36">
        <v>0</v>
      </c>
      <c r="T223" s="5">
        <v>0</v>
      </c>
      <c r="U223" s="37">
        <f t="shared" si="48"/>
        <v>0</v>
      </c>
      <c r="V223" s="38">
        <v>0</v>
      </c>
      <c r="W223" s="37">
        <f t="shared" si="49"/>
        <v>0</v>
      </c>
      <c r="X223" s="36">
        <v>0</v>
      </c>
      <c r="Y223" s="5">
        <v>0</v>
      </c>
      <c r="Z223" s="37">
        <f t="shared" si="50"/>
        <v>0</v>
      </c>
      <c r="AA223" s="38">
        <v>0</v>
      </c>
      <c r="AB223" s="37">
        <f t="shared" si="51"/>
        <v>0</v>
      </c>
      <c r="AC223" s="36">
        <v>0</v>
      </c>
      <c r="AD223" s="5">
        <v>1</v>
      </c>
      <c r="AE223" s="37">
        <f t="shared" si="52"/>
        <v>-1</v>
      </c>
      <c r="AF223" s="38">
        <v>0</v>
      </c>
      <c r="AG223" s="37">
        <f t="shared" si="53"/>
        <v>-1</v>
      </c>
      <c r="AH223" s="36">
        <v>0</v>
      </c>
      <c r="AI223" s="5">
        <v>0</v>
      </c>
      <c r="AJ223" s="37">
        <f t="shared" si="54"/>
        <v>-1</v>
      </c>
      <c r="AK223" s="38">
        <v>0</v>
      </c>
      <c r="AL223" s="37">
        <f t="shared" si="55"/>
        <v>-1</v>
      </c>
      <c r="AM223" s="35" t="s">
        <v>978</v>
      </c>
      <c r="AN223" s="35" t="s">
        <v>68</v>
      </c>
      <c r="AO223" s="5">
        <v>648</v>
      </c>
      <c r="AP223" s="5">
        <v>0</v>
      </c>
      <c r="AQ223" s="35" t="s">
        <v>67</v>
      </c>
      <c r="AR223" s="35"/>
      <c r="AS223" s="122"/>
      <c r="AT223" s="35">
        <v>201</v>
      </c>
      <c r="AU223" s="35" t="s">
        <v>983</v>
      </c>
    </row>
    <row r="224" spans="1:47" x14ac:dyDescent="0.15">
      <c r="A224" s="14" t="s">
        <v>143</v>
      </c>
      <c r="B224" s="5" t="s">
        <v>144</v>
      </c>
      <c r="C224" s="36">
        <v>94</v>
      </c>
      <c r="D224" s="36">
        <v>0</v>
      </c>
      <c r="E224" s="5">
        <v>0</v>
      </c>
      <c r="F224" s="37">
        <f t="shared" si="42"/>
        <v>94</v>
      </c>
      <c r="G224" s="38">
        <v>0</v>
      </c>
      <c r="H224" s="37">
        <f t="shared" si="43"/>
        <v>94</v>
      </c>
      <c r="I224" s="36">
        <v>0</v>
      </c>
      <c r="J224" s="5">
        <v>5</v>
      </c>
      <c r="K224" s="37">
        <f t="shared" si="44"/>
        <v>89</v>
      </c>
      <c r="L224" s="38">
        <v>-10</v>
      </c>
      <c r="M224" s="37">
        <f t="shared" si="45"/>
        <v>79</v>
      </c>
      <c r="N224" s="36">
        <v>0</v>
      </c>
      <c r="O224" s="5">
        <v>0</v>
      </c>
      <c r="P224" s="37">
        <f t="shared" si="46"/>
        <v>79</v>
      </c>
      <c r="Q224" s="38">
        <v>0</v>
      </c>
      <c r="R224" s="37">
        <f t="shared" si="47"/>
        <v>79</v>
      </c>
      <c r="S224" s="36">
        <v>0</v>
      </c>
      <c r="T224" s="5">
        <v>0</v>
      </c>
      <c r="U224" s="37">
        <f t="shared" si="48"/>
        <v>79</v>
      </c>
      <c r="V224" s="38">
        <v>0</v>
      </c>
      <c r="W224" s="37">
        <f t="shared" si="49"/>
        <v>79</v>
      </c>
      <c r="X224" s="36">
        <v>0</v>
      </c>
      <c r="Y224" s="5">
        <v>0</v>
      </c>
      <c r="Z224" s="37">
        <f t="shared" si="50"/>
        <v>79</v>
      </c>
      <c r="AA224" s="38">
        <v>0</v>
      </c>
      <c r="AB224" s="37">
        <f t="shared" si="51"/>
        <v>79</v>
      </c>
      <c r="AC224" s="36">
        <v>0</v>
      </c>
      <c r="AD224" s="5">
        <v>0</v>
      </c>
      <c r="AE224" s="37">
        <f t="shared" si="52"/>
        <v>79</v>
      </c>
      <c r="AF224" s="38">
        <v>0</v>
      </c>
      <c r="AG224" s="37">
        <f t="shared" si="53"/>
        <v>79</v>
      </c>
      <c r="AH224" s="36">
        <v>0</v>
      </c>
      <c r="AI224" s="5">
        <v>0</v>
      </c>
      <c r="AJ224" s="37">
        <f t="shared" si="54"/>
        <v>79</v>
      </c>
      <c r="AK224" s="38">
        <v>0</v>
      </c>
      <c r="AL224" s="37">
        <f t="shared" si="55"/>
        <v>79</v>
      </c>
      <c r="AM224" s="35" t="s">
        <v>896</v>
      </c>
      <c r="AN224" s="35" t="s">
        <v>68</v>
      </c>
      <c r="AO224" s="5">
        <v>155</v>
      </c>
      <c r="AP224" s="5">
        <v>0</v>
      </c>
      <c r="AQ224" s="35" t="s">
        <v>67</v>
      </c>
      <c r="AR224" s="35"/>
      <c r="AS224" s="122">
        <v>45.801200000000001</v>
      </c>
      <c r="AT224" s="35">
        <v>246</v>
      </c>
      <c r="AU224" s="35" t="s">
        <v>967</v>
      </c>
    </row>
    <row r="225" spans="1:47" x14ac:dyDescent="0.15">
      <c r="A225" s="14" t="s">
        <v>682</v>
      </c>
      <c r="B225" s="5" t="s">
        <v>683</v>
      </c>
      <c r="C225" s="36">
        <v>0</v>
      </c>
      <c r="D225" s="36">
        <v>0</v>
      </c>
      <c r="E225" s="5">
        <v>0</v>
      </c>
      <c r="F225" s="37">
        <f t="shared" si="42"/>
        <v>0</v>
      </c>
      <c r="G225" s="38">
        <v>0</v>
      </c>
      <c r="H225" s="37">
        <f t="shared" si="43"/>
        <v>0</v>
      </c>
      <c r="I225" s="36">
        <v>1</v>
      </c>
      <c r="J225" s="5">
        <v>1</v>
      </c>
      <c r="K225" s="37">
        <f t="shared" si="44"/>
        <v>0</v>
      </c>
      <c r="L225" s="38">
        <v>0</v>
      </c>
      <c r="M225" s="37">
        <f t="shared" si="45"/>
        <v>0</v>
      </c>
      <c r="N225" s="36">
        <v>0</v>
      </c>
      <c r="O225" s="5">
        <v>0</v>
      </c>
      <c r="P225" s="37">
        <f t="shared" si="46"/>
        <v>0</v>
      </c>
      <c r="Q225" s="38">
        <v>0</v>
      </c>
      <c r="R225" s="37">
        <f t="shared" si="47"/>
        <v>0</v>
      </c>
      <c r="S225" s="36">
        <v>0</v>
      </c>
      <c r="T225" s="5">
        <v>0</v>
      </c>
      <c r="U225" s="37">
        <f t="shared" si="48"/>
        <v>0</v>
      </c>
      <c r="V225" s="38">
        <v>0</v>
      </c>
      <c r="W225" s="37">
        <f t="shared" si="49"/>
        <v>0</v>
      </c>
      <c r="X225" s="36">
        <v>0</v>
      </c>
      <c r="Y225" s="5">
        <v>0</v>
      </c>
      <c r="Z225" s="37">
        <f t="shared" si="50"/>
        <v>0</v>
      </c>
      <c r="AA225" s="38">
        <v>0</v>
      </c>
      <c r="AB225" s="37">
        <f t="shared" si="51"/>
        <v>0</v>
      </c>
      <c r="AC225" s="36">
        <v>0</v>
      </c>
      <c r="AD225" s="5">
        <v>0</v>
      </c>
      <c r="AE225" s="37">
        <f t="shared" si="52"/>
        <v>0</v>
      </c>
      <c r="AF225" s="38">
        <v>0</v>
      </c>
      <c r="AG225" s="37">
        <f t="shared" si="53"/>
        <v>0</v>
      </c>
      <c r="AH225" s="36">
        <v>0</v>
      </c>
      <c r="AI225" s="5">
        <v>0</v>
      </c>
      <c r="AJ225" s="37">
        <f t="shared" si="54"/>
        <v>0</v>
      </c>
      <c r="AK225" s="38">
        <v>0</v>
      </c>
      <c r="AL225" s="37">
        <f t="shared" si="55"/>
        <v>0</v>
      </c>
      <c r="AM225" s="35" t="s">
        <v>896</v>
      </c>
      <c r="AN225" s="35" t="s">
        <v>68</v>
      </c>
      <c r="AO225" s="163">
        <v>1650</v>
      </c>
      <c r="AP225" s="5">
        <v>0</v>
      </c>
      <c r="AQ225" s="35"/>
      <c r="AR225" s="35" t="s">
        <v>67</v>
      </c>
      <c r="AS225" s="122">
        <v>4580119523004</v>
      </c>
      <c r="AT225" s="35">
        <v>246</v>
      </c>
      <c r="AU225" s="35" t="s">
        <v>967</v>
      </c>
    </row>
    <row r="226" spans="1:47" x14ac:dyDescent="0.15">
      <c r="A226" s="14" t="s">
        <v>984</v>
      </c>
      <c r="B226" s="5" t="s">
        <v>985</v>
      </c>
      <c r="C226" s="36">
        <v>15</v>
      </c>
      <c r="D226" s="36">
        <v>0</v>
      </c>
      <c r="E226" s="5">
        <v>0</v>
      </c>
      <c r="F226" s="37">
        <f t="shared" si="42"/>
        <v>15</v>
      </c>
      <c r="G226" s="38">
        <v>0</v>
      </c>
      <c r="H226" s="37">
        <f t="shared" si="43"/>
        <v>15</v>
      </c>
      <c r="I226" s="36">
        <v>0</v>
      </c>
      <c r="J226" s="5">
        <v>0</v>
      </c>
      <c r="K226" s="37">
        <f t="shared" si="44"/>
        <v>15</v>
      </c>
      <c r="L226" s="38">
        <v>0</v>
      </c>
      <c r="M226" s="37">
        <f t="shared" si="45"/>
        <v>15</v>
      </c>
      <c r="N226" s="36">
        <v>0</v>
      </c>
      <c r="O226" s="5">
        <v>0</v>
      </c>
      <c r="P226" s="37">
        <f t="shared" si="46"/>
        <v>15</v>
      </c>
      <c r="Q226" s="38">
        <v>0</v>
      </c>
      <c r="R226" s="37">
        <f t="shared" si="47"/>
        <v>15</v>
      </c>
      <c r="S226" s="36">
        <v>0</v>
      </c>
      <c r="T226" s="5">
        <v>0</v>
      </c>
      <c r="U226" s="37">
        <f t="shared" si="48"/>
        <v>15</v>
      </c>
      <c r="V226" s="38">
        <v>0</v>
      </c>
      <c r="W226" s="37">
        <f t="shared" si="49"/>
        <v>15</v>
      </c>
      <c r="X226" s="36">
        <v>0</v>
      </c>
      <c r="Y226" s="5">
        <v>0</v>
      </c>
      <c r="Z226" s="37">
        <f t="shared" si="50"/>
        <v>15</v>
      </c>
      <c r="AA226" s="38">
        <v>0</v>
      </c>
      <c r="AB226" s="37">
        <f t="shared" si="51"/>
        <v>15</v>
      </c>
      <c r="AC226" s="36">
        <v>0</v>
      </c>
      <c r="AD226" s="5">
        <v>0</v>
      </c>
      <c r="AE226" s="37">
        <f t="shared" si="52"/>
        <v>15</v>
      </c>
      <c r="AF226" s="38">
        <v>0</v>
      </c>
      <c r="AG226" s="37">
        <f t="shared" si="53"/>
        <v>15</v>
      </c>
      <c r="AH226" s="36">
        <v>0</v>
      </c>
      <c r="AI226" s="5">
        <v>0</v>
      </c>
      <c r="AJ226" s="37">
        <f t="shared" si="54"/>
        <v>15</v>
      </c>
      <c r="AK226" s="38">
        <v>0</v>
      </c>
      <c r="AL226" s="37">
        <f t="shared" si="55"/>
        <v>15</v>
      </c>
      <c r="AM226" s="35" t="s">
        <v>574</v>
      </c>
      <c r="AN226" s="35" t="s">
        <v>68</v>
      </c>
      <c r="AO226" s="5">
        <v>700</v>
      </c>
      <c r="AP226" s="5">
        <v>0</v>
      </c>
      <c r="AQ226" s="35"/>
      <c r="AR226" s="35"/>
      <c r="AS226" s="122">
        <v>4528947611012</v>
      </c>
      <c r="AT226" s="35">
        <v>188</v>
      </c>
      <c r="AU226" s="35" t="s">
        <v>903</v>
      </c>
    </row>
    <row r="227" spans="1:47" x14ac:dyDescent="0.15">
      <c r="A227" s="14" t="s">
        <v>84</v>
      </c>
      <c r="B227" s="5" t="s">
        <v>85</v>
      </c>
      <c r="C227" s="36">
        <v>12</v>
      </c>
      <c r="D227" s="36">
        <v>100</v>
      </c>
      <c r="E227" s="5">
        <v>0</v>
      </c>
      <c r="F227" s="37">
        <f t="shared" si="42"/>
        <v>112</v>
      </c>
      <c r="G227" s="38">
        <v>0</v>
      </c>
      <c r="H227" s="37">
        <f t="shared" si="43"/>
        <v>112</v>
      </c>
      <c r="I227" s="36">
        <v>0</v>
      </c>
      <c r="J227" s="5">
        <v>62</v>
      </c>
      <c r="K227" s="37">
        <f t="shared" si="44"/>
        <v>50</v>
      </c>
      <c r="L227" s="38">
        <v>0</v>
      </c>
      <c r="M227" s="37">
        <f t="shared" si="45"/>
        <v>50</v>
      </c>
      <c r="N227" s="36">
        <v>0</v>
      </c>
      <c r="O227" s="5">
        <v>31</v>
      </c>
      <c r="P227" s="37">
        <f t="shared" si="46"/>
        <v>19</v>
      </c>
      <c r="Q227" s="38">
        <v>-10</v>
      </c>
      <c r="R227" s="37">
        <f t="shared" si="47"/>
        <v>9</v>
      </c>
      <c r="S227" s="36">
        <v>100</v>
      </c>
      <c r="T227" s="5">
        <v>39</v>
      </c>
      <c r="U227" s="37">
        <f t="shared" si="48"/>
        <v>70</v>
      </c>
      <c r="V227" s="38">
        <v>0</v>
      </c>
      <c r="W227" s="37">
        <f t="shared" si="49"/>
        <v>70</v>
      </c>
      <c r="X227" s="36">
        <v>0</v>
      </c>
      <c r="Y227" s="5">
        <v>57</v>
      </c>
      <c r="Z227" s="37">
        <f t="shared" si="50"/>
        <v>13</v>
      </c>
      <c r="AA227" s="38">
        <v>0</v>
      </c>
      <c r="AB227" s="37">
        <f t="shared" si="51"/>
        <v>13</v>
      </c>
      <c r="AC227" s="36">
        <v>70</v>
      </c>
      <c r="AD227" s="5">
        <v>23</v>
      </c>
      <c r="AE227" s="37">
        <f t="shared" si="52"/>
        <v>60</v>
      </c>
      <c r="AF227" s="38">
        <v>-10</v>
      </c>
      <c r="AG227" s="37">
        <f t="shared" si="53"/>
        <v>50</v>
      </c>
      <c r="AH227" s="36">
        <v>0</v>
      </c>
      <c r="AI227" s="5">
        <v>46</v>
      </c>
      <c r="AJ227" s="37">
        <f t="shared" si="54"/>
        <v>4</v>
      </c>
      <c r="AK227" s="38">
        <v>0</v>
      </c>
      <c r="AL227" s="37">
        <f t="shared" si="55"/>
        <v>4</v>
      </c>
      <c r="AM227" s="35" t="s">
        <v>574</v>
      </c>
      <c r="AN227" s="35" t="s">
        <v>68</v>
      </c>
      <c r="AO227" s="5">
        <v>170</v>
      </c>
      <c r="AP227" s="5">
        <v>0</v>
      </c>
      <c r="AQ227" s="35"/>
      <c r="AR227" s="35"/>
      <c r="AS227" s="122">
        <v>4560109260102</v>
      </c>
      <c r="AT227" s="35">
        <v>231</v>
      </c>
      <c r="AU227" s="35" t="s">
        <v>943</v>
      </c>
    </row>
    <row r="228" spans="1:47" x14ac:dyDescent="0.15">
      <c r="A228" s="14" t="s">
        <v>684</v>
      </c>
      <c r="B228" s="5" t="s">
        <v>685</v>
      </c>
      <c r="C228" s="36">
        <v>0</v>
      </c>
      <c r="D228" s="36">
        <v>0</v>
      </c>
      <c r="E228" s="5">
        <v>0</v>
      </c>
      <c r="F228" s="37">
        <f t="shared" si="42"/>
        <v>0</v>
      </c>
      <c r="G228" s="38">
        <v>0</v>
      </c>
      <c r="H228" s="37">
        <f t="shared" si="43"/>
        <v>0</v>
      </c>
      <c r="I228" s="36">
        <v>0</v>
      </c>
      <c r="J228" s="5">
        <v>0</v>
      </c>
      <c r="K228" s="37">
        <f t="shared" si="44"/>
        <v>0</v>
      </c>
      <c r="L228" s="38">
        <v>0</v>
      </c>
      <c r="M228" s="37">
        <f t="shared" si="45"/>
        <v>0</v>
      </c>
      <c r="N228" s="36">
        <v>2</v>
      </c>
      <c r="O228" s="5">
        <v>2</v>
      </c>
      <c r="P228" s="37">
        <f t="shared" si="46"/>
        <v>0</v>
      </c>
      <c r="Q228" s="38">
        <v>0</v>
      </c>
      <c r="R228" s="37">
        <f t="shared" si="47"/>
        <v>0</v>
      </c>
      <c r="S228" s="36">
        <v>0</v>
      </c>
      <c r="T228" s="5">
        <v>0</v>
      </c>
      <c r="U228" s="37">
        <f t="shared" si="48"/>
        <v>0</v>
      </c>
      <c r="V228" s="38">
        <v>0</v>
      </c>
      <c r="W228" s="37">
        <f t="shared" si="49"/>
        <v>0</v>
      </c>
      <c r="X228" s="36">
        <v>0</v>
      </c>
      <c r="Y228" s="5">
        <v>0</v>
      </c>
      <c r="Z228" s="37">
        <f t="shared" si="50"/>
        <v>0</v>
      </c>
      <c r="AA228" s="38">
        <v>0</v>
      </c>
      <c r="AB228" s="37">
        <f t="shared" si="51"/>
        <v>0</v>
      </c>
      <c r="AC228" s="36">
        <v>2</v>
      </c>
      <c r="AD228" s="5">
        <v>2</v>
      </c>
      <c r="AE228" s="37">
        <f t="shared" si="52"/>
        <v>0</v>
      </c>
      <c r="AF228" s="38">
        <v>0</v>
      </c>
      <c r="AG228" s="37">
        <f t="shared" si="53"/>
        <v>0</v>
      </c>
      <c r="AH228" s="36">
        <v>0</v>
      </c>
      <c r="AI228" s="5">
        <v>0</v>
      </c>
      <c r="AJ228" s="37">
        <f t="shared" si="54"/>
        <v>0</v>
      </c>
      <c r="AK228" s="38">
        <v>0</v>
      </c>
      <c r="AL228" s="37">
        <f t="shared" si="55"/>
        <v>0</v>
      </c>
      <c r="AM228" s="35" t="s">
        <v>574</v>
      </c>
      <c r="AN228" s="35" t="s">
        <v>68</v>
      </c>
      <c r="AO228" s="5">
        <v>950</v>
      </c>
      <c r="AP228" s="5">
        <v>0</v>
      </c>
      <c r="AQ228" s="35"/>
      <c r="AR228" s="35" t="s">
        <v>67</v>
      </c>
      <c r="AS228" s="122">
        <v>4560109260102</v>
      </c>
      <c r="AT228" s="35">
        <v>231</v>
      </c>
      <c r="AU228" s="35" t="s">
        <v>943</v>
      </c>
    </row>
    <row r="229" spans="1:47" x14ac:dyDescent="0.15">
      <c r="A229" s="14" t="s">
        <v>160</v>
      </c>
      <c r="B229" s="5" t="s">
        <v>161</v>
      </c>
      <c r="C229" s="36">
        <v>9</v>
      </c>
      <c r="D229" s="36">
        <v>0</v>
      </c>
      <c r="E229" s="5">
        <v>0</v>
      </c>
      <c r="F229" s="37">
        <f t="shared" si="42"/>
        <v>9</v>
      </c>
      <c r="G229" s="38">
        <v>0</v>
      </c>
      <c r="H229" s="37">
        <f t="shared" si="43"/>
        <v>9</v>
      </c>
      <c r="I229" s="36">
        <v>0</v>
      </c>
      <c r="J229" s="5">
        <v>2</v>
      </c>
      <c r="K229" s="37">
        <f t="shared" si="44"/>
        <v>7</v>
      </c>
      <c r="L229" s="38">
        <v>0</v>
      </c>
      <c r="M229" s="37">
        <f t="shared" si="45"/>
        <v>7</v>
      </c>
      <c r="N229" s="36">
        <v>20</v>
      </c>
      <c r="O229" s="5">
        <v>3</v>
      </c>
      <c r="P229" s="37">
        <f t="shared" si="46"/>
        <v>24</v>
      </c>
      <c r="Q229" s="38">
        <v>-20</v>
      </c>
      <c r="R229" s="37">
        <f t="shared" si="47"/>
        <v>4</v>
      </c>
      <c r="S229" s="36">
        <v>10</v>
      </c>
      <c r="T229" s="5">
        <v>4</v>
      </c>
      <c r="U229" s="37">
        <f t="shared" si="48"/>
        <v>10</v>
      </c>
      <c r="V229" s="38">
        <v>0</v>
      </c>
      <c r="W229" s="37">
        <f t="shared" si="49"/>
        <v>10</v>
      </c>
      <c r="X229" s="36">
        <v>0</v>
      </c>
      <c r="Y229" s="5">
        <v>3</v>
      </c>
      <c r="Z229" s="37">
        <f t="shared" si="50"/>
        <v>7</v>
      </c>
      <c r="AA229" s="38">
        <v>0</v>
      </c>
      <c r="AB229" s="37">
        <f t="shared" si="51"/>
        <v>7</v>
      </c>
      <c r="AC229" s="36">
        <v>90</v>
      </c>
      <c r="AD229" s="5">
        <v>5</v>
      </c>
      <c r="AE229" s="37">
        <f t="shared" si="52"/>
        <v>92</v>
      </c>
      <c r="AF229" s="38">
        <v>-90</v>
      </c>
      <c r="AG229" s="37">
        <f t="shared" si="53"/>
        <v>2</v>
      </c>
      <c r="AH229" s="36">
        <v>0</v>
      </c>
      <c r="AI229" s="5">
        <v>0</v>
      </c>
      <c r="AJ229" s="37">
        <f t="shared" si="54"/>
        <v>2</v>
      </c>
      <c r="AK229" s="38">
        <v>0</v>
      </c>
      <c r="AL229" s="37">
        <f t="shared" si="55"/>
        <v>2</v>
      </c>
      <c r="AM229" s="35" t="s">
        <v>935</v>
      </c>
      <c r="AN229" s="35" t="s">
        <v>68</v>
      </c>
      <c r="AO229" s="5">
        <v>105</v>
      </c>
      <c r="AP229" s="5">
        <v>0</v>
      </c>
      <c r="AQ229" s="35" t="s">
        <v>67</v>
      </c>
      <c r="AR229" s="35"/>
      <c r="AS229" s="122">
        <v>4562100000000</v>
      </c>
      <c r="AT229" s="35"/>
      <c r="AU229" s="35"/>
    </row>
    <row r="230" spans="1:47" x14ac:dyDescent="0.15">
      <c r="A230" s="14" t="s">
        <v>162</v>
      </c>
      <c r="B230" s="5" t="s">
        <v>163</v>
      </c>
      <c r="C230" s="36">
        <v>0</v>
      </c>
      <c r="D230" s="36">
        <v>4</v>
      </c>
      <c r="E230" s="5">
        <v>0</v>
      </c>
      <c r="F230" s="37">
        <f t="shared" si="42"/>
        <v>4</v>
      </c>
      <c r="G230" s="38">
        <v>0</v>
      </c>
      <c r="H230" s="37">
        <f t="shared" si="43"/>
        <v>4</v>
      </c>
      <c r="I230" s="36">
        <v>0</v>
      </c>
      <c r="J230" s="5">
        <v>4</v>
      </c>
      <c r="K230" s="37">
        <f t="shared" si="44"/>
        <v>0</v>
      </c>
      <c r="L230" s="38">
        <v>0</v>
      </c>
      <c r="M230" s="37">
        <f t="shared" si="45"/>
        <v>0</v>
      </c>
      <c r="N230" s="36">
        <v>1</v>
      </c>
      <c r="O230" s="5">
        <v>1</v>
      </c>
      <c r="P230" s="37">
        <f t="shared" si="46"/>
        <v>0</v>
      </c>
      <c r="Q230" s="38">
        <v>0</v>
      </c>
      <c r="R230" s="37">
        <f t="shared" si="47"/>
        <v>0</v>
      </c>
      <c r="S230" s="36">
        <v>4</v>
      </c>
      <c r="T230" s="5">
        <v>4</v>
      </c>
      <c r="U230" s="37">
        <f t="shared" si="48"/>
        <v>0</v>
      </c>
      <c r="V230" s="38">
        <v>0</v>
      </c>
      <c r="W230" s="37">
        <f t="shared" si="49"/>
        <v>0</v>
      </c>
      <c r="X230" s="36">
        <v>0</v>
      </c>
      <c r="Y230" s="5">
        <v>0</v>
      </c>
      <c r="Z230" s="37">
        <f t="shared" si="50"/>
        <v>0</v>
      </c>
      <c r="AA230" s="38">
        <v>0</v>
      </c>
      <c r="AB230" s="37">
        <f t="shared" si="51"/>
        <v>0</v>
      </c>
      <c r="AC230" s="36">
        <v>0</v>
      </c>
      <c r="AD230" s="5">
        <v>0</v>
      </c>
      <c r="AE230" s="37">
        <f t="shared" si="52"/>
        <v>0</v>
      </c>
      <c r="AF230" s="38">
        <v>0</v>
      </c>
      <c r="AG230" s="37">
        <f t="shared" si="53"/>
        <v>0</v>
      </c>
      <c r="AH230" s="36">
        <v>0</v>
      </c>
      <c r="AI230" s="5">
        <v>0</v>
      </c>
      <c r="AJ230" s="37">
        <f t="shared" si="54"/>
        <v>0</v>
      </c>
      <c r="AK230" s="38">
        <v>0</v>
      </c>
      <c r="AL230" s="37">
        <f t="shared" si="55"/>
        <v>0</v>
      </c>
      <c r="AM230" s="35" t="s">
        <v>935</v>
      </c>
      <c r="AN230" s="35" t="s">
        <v>68</v>
      </c>
      <c r="AO230" s="163">
        <v>1350</v>
      </c>
      <c r="AP230" s="5">
        <v>0</v>
      </c>
      <c r="AQ230" s="35" t="s">
        <v>67</v>
      </c>
      <c r="AR230" s="35"/>
      <c r="AS230" s="122"/>
      <c r="AT230" s="35"/>
      <c r="AU230" s="35"/>
    </row>
    <row r="231" spans="1:47" x14ac:dyDescent="0.15">
      <c r="A231" s="14" t="s">
        <v>183</v>
      </c>
      <c r="B231" s="5" t="s">
        <v>184</v>
      </c>
      <c r="C231" s="36">
        <v>0</v>
      </c>
      <c r="D231" s="36">
        <v>0</v>
      </c>
      <c r="E231" s="5">
        <v>0</v>
      </c>
      <c r="F231" s="37">
        <f t="shared" si="42"/>
        <v>0</v>
      </c>
      <c r="G231" s="38">
        <v>0</v>
      </c>
      <c r="H231" s="37">
        <f t="shared" si="43"/>
        <v>0</v>
      </c>
      <c r="I231" s="36">
        <v>0</v>
      </c>
      <c r="J231" s="5">
        <v>0</v>
      </c>
      <c r="K231" s="37">
        <f t="shared" si="44"/>
        <v>0</v>
      </c>
      <c r="L231" s="38">
        <v>0</v>
      </c>
      <c r="M231" s="37">
        <f t="shared" si="45"/>
        <v>0</v>
      </c>
      <c r="N231" s="36">
        <v>2</v>
      </c>
      <c r="O231" s="5">
        <v>2</v>
      </c>
      <c r="P231" s="37">
        <f t="shared" si="46"/>
        <v>0</v>
      </c>
      <c r="Q231" s="38">
        <v>0</v>
      </c>
      <c r="R231" s="37">
        <f t="shared" si="47"/>
        <v>0</v>
      </c>
      <c r="S231" s="36">
        <v>0</v>
      </c>
      <c r="T231" s="5">
        <v>0</v>
      </c>
      <c r="U231" s="37">
        <f t="shared" si="48"/>
        <v>0</v>
      </c>
      <c r="V231" s="38">
        <v>0</v>
      </c>
      <c r="W231" s="37">
        <f t="shared" si="49"/>
        <v>0</v>
      </c>
      <c r="X231" s="36">
        <v>0</v>
      </c>
      <c r="Y231" s="5">
        <v>0</v>
      </c>
      <c r="Z231" s="37">
        <f t="shared" si="50"/>
        <v>0</v>
      </c>
      <c r="AA231" s="38">
        <v>0</v>
      </c>
      <c r="AB231" s="37">
        <f t="shared" si="51"/>
        <v>0</v>
      </c>
      <c r="AC231" s="36">
        <v>9</v>
      </c>
      <c r="AD231" s="5">
        <v>9</v>
      </c>
      <c r="AE231" s="37">
        <f t="shared" si="52"/>
        <v>0</v>
      </c>
      <c r="AF231" s="38">
        <v>0</v>
      </c>
      <c r="AG231" s="37">
        <f t="shared" si="53"/>
        <v>0</v>
      </c>
      <c r="AH231" s="36">
        <v>0</v>
      </c>
      <c r="AI231" s="5">
        <v>0</v>
      </c>
      <c r="AJ231" s="37">
        <f t="shared" si="54"/>
        <v>0</v>
      </c>
      <c r="AK231" s="38">
        <v>0</v>
      </c>
      <c r="AL231" s="37">
        <f t="shared" si="55"/>
        <v>0</v>
      </c>
      <c r="AM231" s="35" t="s">
        <v>935</v>
      </c>
      <c r="AN231" s="35" t="s">
        <v>68</v>
      </c>
      <c r="AO231" s="163">
        <v>1050</v>
      </c>
      <c r="AP231" s="5">
        <v>0</v>
      </c>
      <c r="AQ231" s="35"/>
      <c r="AR231" s="35"/>
      <c r="AS231" s="122">
        <v>4560178479535</v>
      </c>
      <c r="AT231" s="35"/>
      <c r="AU231" s="35"/>
    </row>
    <row r="232" spans="1:47" x14ac:dyDescent="0.15">
      <c r="A232" s="14" t="s">
        <v>986</v>
      </c>
      <c r="B232" s="5" t="s">
        <v>987</v>
      </c>
      <c r="C232" s="36">
        <v>0</v>
      </c>
      <c r="D232" s="36">
        <v>30</v>
      </c>
      <c r="E232" s="5">
        <v>0</v>
      </c>
      <c r="F232" s="37">
        <f t="shared" si="42"/>
        <v>30</v>
      </c>
      <c r="G232" s="38">
        <v>0</v>
      </c>
      <c r="H232" s="37">
        <f t="shared" si="43"/>
        <v>30</v>
      </c>
      <c r="I232" s="36">
        <v>0</v>
      </c>
      <c r="J232" s="5">
        <v>14</v>
      </c>
      <c r="K232" s="37">
        <f t="shared" si="44"/>
        <v>16</v>
      </c>
      <c r="L232" s="38">
        <v>0</v>
      </c>
      <c r="M232" s="37">
        <f t="shared" si="45"/>
        <v>16</v>
      </c>
      <c r="N232" s="36">
        <v>0</v>
      </c>
      <c r="O232" s="5">
        <v>14</v>
      </c>
      <c r="P232" s="37">
        <f t="shared" si="46"/>
        <v>2</v>
      </c>
      <c r="Q232" s="38">
        <v>0</v>
      </c>
      <c r="R232" s="37">
        <f t="shared" si="47"/>
        <v>2</v>
      </c>
      <c r="S232" s="36">
        <v>20</v>
      </c>
      <c r="T232" s="5">
        <v>14</v>
      </c>
      <c r="U232" s="37">
        <f t="shared" si="48"/>
        <v>8</v>
      </c>
      <c r="V232" s="38">
        <v>0</v>
      </c>
      <c r="W232" s="37">
        <f t="shared" si="49"/>
        <v>8</v>
      </c>
      <c r="X232" s="36">
        <v>0</v>
      </c>
      <c r="Y232" s="5">
        <v>8</v>
      </c>
      <c r="Z232" s="37">
        <f t="shared" si="50"/>
        <v>0</v>
      </c>
      <c r="AA232" s="38">
        <v>0</v>
      </c>
      <c r="AB232" s="37">
        <f t="shared" si="51"/>
        <v>0</v>
      </c>
      <c r="AC232" s="36">
        <v>40</v>
      </c>
      <c r="AD232" s="5">
        <v>8</v>
      </c>
      <c r="AE232" s="37">
        <f t="shared" si="52"/>
        <v>32</v>
      </c>
      <c r="AF232" s="38">
        <v>0</v>
      </c>
      <c r="AG232" s="37">
        <f t="shared" si="53"/>
        <v>32</v>
      </c>
      <c r="AH232" s="36">
        <v>0</v>
      </c>
      <c r="AI232" s="5">
        <v>28</v>
      </c>
      <c r="AJ232" s="37">
        <f t="shared" si="54"/>
        <v>4</v>
      </c>
      <c r="AK232" s="38">
        <v>0</v>
      </c>
      <c r="AL232" s="37">
        <f t="shared" si="55"/>
        <v>4</v>
      </c>
      <c r="AM232" s="35" t="s">
        <v>574</v>
      </c>
      <c r="AN232" s="35" t="s">
        <v>68</v>
      </c>
      <c r="AO232" s="5">
        <v>900</v>
      </c>
      <c r="AP232" s="5">
        <v>0</v>
      </c>
      <c r="AQ232" s="35"/>
      <c r="AR232" s="35"/>
      <c r="AS232" s="122"/>
      <c r="AT232" s="35">
        <v>231</v>
      </c>
      <c r="AU232" s="35" t="s">
        <v>943</v>
      </c>
    </row>
    <row r="233" spans="1:47" x14ac:dyDescent="0.15">
      <c r="A233" s="14" t="s">
        <v>815</v>
      </c>
      <c r="B233" s="5" t="s">
        <v>858</v>
      </c>
      <c r="C233" s="36">
        <v>30</v>
      </c>
      <c r="D233" s="36">
        <v>200</v>
      </c>
      <c r="E233" s="5">
        <v>0</v>
      </c>
      <c r="F233" s="37">
        <f t="shared" si="42"/>
        <v>230</v>
      </c>
      <c r="G233" s="38">
        <v>0</v>
      </c>
      <c r="H233" s="37">
        <f t="shared" si="43"/>
        <v>230</v>
      </c>
      <c r="I233" s="36">
        <v>0</v>
      </c>
      <c r="J233" s="5">
        <v>132</v>
      </c>
      <c r="K233" s="37">
        <f t="shared" si="44"/>
        <v>98</v>
      </c>
      <c r="L233" s="38">
        <v>-5</v>
      </c>
      <c r="M233" s="37">
        <f t="shared" si="45"/>
        <v>93</v>
      </c>
      <c r="N233" s="36">
        <v>0</v>
      </c>
      <c r="O233" s="5">
        <v>42</v>
      </c>
      <c r="P233" s="37">
        <f t="shared" si="46"/>
        <v>51</v>
      </c>
      <c r="Q233" s="38">
        <v>0</v>
      </c>
      <c r="R233" s="37">
        <f t="shared" si="47"/>
        <v>51</v>
      </c>
      <c r="S233" s="36">
        <v>200</v>
      </c>
      <c r="T233" s="5">
        <v>61</v>
      </c>
      <c r="U233" s="37">
        <f t="shared" si="48"/>
        <v>190</v>
      </c>
      <c r="V233" s="38">
        <v>0</v>
      </c>
      <c r="W233" s="37">
        <f t="shared" si="49"/>
        <v>190</v>
      </c>
      <c r="X233" s="36">
        <v>0</v>
      </c>
      <c r="Y233" s="5">
        <v>74</v>
      </c>
      <c r="Z233" s="37">
        <f t="shared" si="50"/>
        <v>116</v>
      </c>
      <c r="AA233" s="38">
        <v>0</v>
      </c>
      <c r="AB233" s="37">
        <f t="shared" si="51"/>
        <v>116</v>
      </c>
      <c r="AC233" s="36">
        <v>200</v>
      </c>
      <c r="AD233" s="5">
        <v>52</v>
      </c>
      <c r="AE233" s="37">
        <f t="shared" si="52"/>
        <v>264</v>
      </c>
      <c r="AF233" s="38">
        <v>-5</v>
      </c>
      <c r="AG233" s="37">
        <f t="shared" si="53"/>
        <v>259</v>
      </c>
      <c r="AH233" s="36">
        <v>0</v>
      </c>
      <c r="AI233" s="5">
        <v>133</v>
      </c>
      <c r="AJ233" s="37">
        <f t="shared" si="54"/>
        <v>126</v>
      </c>
      <c r="AK233" s="38">
        <v>0</v>
      </c>
      <c r="AL233" s="37">
        <f t="shared" si="55"/>
        <v>126</v>
      </c>
      <c r="AM233" s="35" t="s">
        <v>935</v>
      </c>
      <c r="AN233" s="35" t="s">
        <v>68</v>
      </c>
      <c r="AO233" s="5">
        <v>105</v>
      </c>
      <c r="AP233" s="5">
        <v>0</v>
      </c>
      <c r="AQ233" s="35"/>
      <c r="AR233" s="35"/>
      <c r="AS233" s="122">
        <v>4562214790079</v>
      </c>
      <c r="AT233" s="35"/>
      <c r="AU233" s="35"/>
    </row>
    <row r="234" spans="1:47" x14ac:dyDescent="0.15">
      <c r="A234" s="14" t="s">
        <v>988</v>
      </c>
      <c r="B234" s="5" t="s">
        <v>989</v>
      </c>
      <c r="C234" s="36">
        <v>0</v>
      </c>
      <c r="D234" s="36">
        <v>0</v>
      </c>
      <c r="E234" s="5">
        <v>0</v>
      </c>
      <c r="F234" s="37">
        <f t="shared" si="42"/>
        <v>0</v>
      </c>
      <c r="G234" s="38">
        <v>0</v>
      </c>
      <c r="H234" s="37">
        <f t="shared" si="43"/>
        <v>0</v>
      </c>
      <c r="I234" s="36">
        <v>1</v>
      </c>
      <c r="J234" s="5">
        <v>1</v>
      </c>
      <c r="K234" s="37">
        <f t="shared" si="44"/>
        <v>0</v>
      </c>
      <c r="L234" s="38">
        <v>0</v>
      </c>
      <c r="M234" s="37">
        <f t="shared" si="45"/>
        <v>0</v>
      </c>
      <c r="N234" s="36">
        <v>0</v>
      </c>
      <c r="O234" s="5">
        <v>0</v>
      </c>
      <c r="P234" s="37">
        <f t="shared" si="46"/>
        <v>0</v>
      </c>
      <c r="Q234" s="38">
        <v>0</v>
      </c>
      <c r="R234" s="37">
        <f t="shared" si="47"/>
        <v>0</v>
      </c>
      <c r="S234" s="36">
        <v>0</v>
      </c>
      <c r="T234" s="5">
        <v>0</v>
      </c>
      <c r="U234" s="37">
        <f t="shared" si="48"/>
        <v>0</v>
      </c>
      <c r="V234" s="38">
        <v>0</v>
      </c>
      <c r="W234" s="37">
        <f t="shared" si="49"/>
        <v>0</v>
      </c>
      <c r="X234" s="36">
        <v>0</v>
      </c>
      <c r="Y234" s="5">
        <v>0</v>
      </c>
      <c r="Z234" s="37">
        <f t="shared" si="50"/>
        <v>0</v>
      </c>
      <c r="AA234" s="38">
        <v>0</v>
      </c>
      <c r="AB234" s="37">
        <f t="shared" si="51"/>
        <v>0</v>
      </c>
      <c r="AC234" s="36">
        <v>1</v>
      </c>
      <c r="AD234" s="5">
        <v>1</v>
      </c>
      <c r="AE234" s="37">
        <f t="shared" si="52"/>
        <v>0</v>
      </c>
      <c r="AF234" s="38">
        <v>0</v>
      </c>
      <c r="AG234" s="37">
        <f t="shared" si="53"/>
        <v>0</v>
      </c>
      <c r="AH234" s="36">
        <v>0</v>
      </c>
      <c r="AI234" s="5">
        <v>0</v>
      </c>
      <c r="AJ234" s="37">
        <f t="shared" si="54"/>
        <v>0</v>
      </c>
      <c r="AK234" s="38">
        <v>0</v>
      </c>
      <c r="AL234" s="37">
        <f t="shared" si="55"/>
        <v>0</v>
      </c>
      <c r="AM234" s="35" t="s">
        <v>935</v>
      </c>
      <c r="AN234" s="35" t="s">
        <v>68</v>
      </c>
      <c r="AO234" s="163">
        <v>1100</v>
      </c>
      <c r="AP234" s="5">
        <v>0</v>
      </c>
      <c r="AQ234" s="35"/>
      <c r="AR234" s="35" t="s">
        <v>67</v>
      </c>
      <c r="AS234" s="122">
        <v>4562214790079</v>
      </c>
      <c r="AT234" s="35">
        <v>194</v>
      </c>
      <c r="AU234" s="35" t="s">
        <v>968</v>
      </c>
    </row>
    <row r="235" spans="1:47" x14ac:dyDescent="0.15">
      <c r="A235" s="14" t="s">
        <v>391</v>
      </c>
      <c r="B235" s="5" t="s">
        <v>392</v>
      </c>
      <c r="C235" s="36">
        <v>0</v>
      </c>
      <c r="D235" s="36">
        <v>0</v>
      </c>
      <c r="E235" s="5">
        <v>0</v>
      </c>
      <c r="F235" s="37">
        <f t="shared" si="42"/>
        <v>0</v>
      </c>
      <c r="G235" s="38">
        <v>0</v>
      </c>
      <c r="H235" s="37">
        <f t="shared" si="43"/>
        <v>0</v>
      </c>
      <c r="I235" s="36">
        <v>0</v>
      </c>
      <c r="J235" s="5">
        <v>0</v>
      </c>
      <c r="K235" s="37">
        <f t="shared" si="44"/>
        <v>0</v>
      </c>
      <c r="L235" s="38">
        <v>0</v>
      </c>
      <c r="M235" s="37">
        <f t="shared" si="45"/>
        <v>0</v>
      </c>
      <c r="N235" s="36">
        <v>0</v>
      </c>
      <c r="O235" s="5">
        <v>0</v>
      </c>
      <c r="P235" s="37">
        <f t="shared" si="46"/>
        <v>0</v>
      </c>
      <c r="Q235" s="38">
        <v>0</v>
      </c>
      <c r="R235" s="37">
        <f t="shared" si="47"/>
        <v>0</v>
      </c>
      <c r="S235" s="36">
        <v>8</v>
      </c>
      <c r="T235" s="5">
        <v>0</v>
      </c>
      <c r="U235" s="37">
        <f t="shared" si="48"/>
        <v>8</v>
      </c>
      <c r="V235" s="38">
        <v>0</v>
      </c>
      <c r="W235" s="37">
        <f t="shared" si="49"/>
        <v>8</v>
      </c>
      <c r="X235" s="36">
        <v>0</v>
      </c>
      <c r="Y235" s="5">
        <v>0</v>
      </c>
      <c r="Z235" s="37">
        <f t="shared" si="50"/>
        <v>8</v>
      </c>
      <c r="AA235" s="38">
        <v>0</v>
      </c>
      <c r="AB235" s="37">
        <f t="shared" si="51"/>
        <v>8</v>
      </c>
      <c r="AC235" s="36">
        <v>0</v>
      </c>
      <c r="AD235" s="5">
        <v>0</v>
      </c>
      <c r="AE235" s="37">
        <f t="shared" si="52"/>
        <v>8</v>
      </c>
      <c r="AF235" s="38">
        <v>0</v>
      </c>
      <c r="AG235" s="37">
        <f t="shared" si="53"/>
        <v>8</v>
      </c>
      <c r="AH235" s="36">
        <v>0</v>
      </c>
      <c r="AI235" s="5">
        <v>0</v>
      </c>
      <c r="AJ235" s="37">
        <f t="shared" si="54"/>
        <v>8</v>
      </c>
      <c r="AK235" s="38">
        <v>0</v>
      </c>
      <c r="AL235" s="37">
        <f t="shared" si="55"/>
        <v>8</v>
      </c>
      <c r="AM235" s="35" t="s">
        <v>897</v>
      </c>
      <c r="AN235" s="35" t="s">
        <v>68</v>
      </c>
      <c r="AO235" s="5">
        <v>400</v>
      </c>
      <c r="AP235" s="5">
        <v>0</v>
      </c>
      <c r="AQ235" s="35" t="s">
        <v>67</v>
      </c>
      <c r="AR235" s="35"/>
      <c r="AS235" s="122">
        <v>4571158991336</v>
      </c>
      <c r="AT235" s="35"/>
      <c r="AU235" s="35"/>
    </row>
    <row r="236" spans="1:47" x14ac:dyDescent="0.15">
      <c r="A236" s="14" t="s">
        <v>113</v>
      </c>
      <c r="B236" s="5" t="s">
        <v>114</v>
      </c>
      <c r="C236" s="36">
        <v>50</v>
      </c>
      <c r="D236" s="36">
        <v>48</v>
      </c>
      <c r="E236" s="5">
        <v>0</v>
      </c>
      <c r="F236" s="37">
        <f t="shared" si="42"/>
        <v>98</v>
      </c>
      <c r="G236" s="38">
        <v>0</v>
      </c>
      <c r="H236" s="37">
        <f t="shared" si="43"/>
        <v>98</v>
      </c>
      <c r="I236" s="36">
        <v>0</v>
      </c>
      <c r="J236" s="5">
        <v>27</v>
      </c>
      <c r="K236" s="37">
        <f t="shared" si="44"/>
        <v>71</v>
      </c>
      <c r="L236" s="38">
        <v>0</v>
      </c>
      <c r="M236" s="37">
        <f t="shared" si="45"/>
        <v>71</v>
      </c>
      <c r="N236" s="36">
        <v>0</v>
      </c>
      <c r="O236" s="5">
        <v>21</v>
      </c>
      <c r="P236" s="37">
        <f t="shared" si="46"/>
        <v>50</v>
      </c>
      <c r="Q236" s="38">
        <v>0</v>
      </c>
      <c r="R236" s="37">
        <f t="shared" si="47"/>
        <v>50</v>
      </c>
      <c r="S236" s="36">
        <v>0</v>
      </c>
      <c r="T236" s="5">
        <v>14</v>
      </c>
      <c r="U236" s="37">
        <f t="shared" si="48"/>
        <v>36</v>
      </c>
      <c r="V236" s="38">
        <v>0</v>
      </c>
      <c r="W236" s="37">
        <f t="shared" si="49"/>
        <v>36</v>
      </c>
      <c r="X236" s="36">
        <v>0</v>
      </c>
      <c r="Y236" s="5">
        <v>15</v>
      </c>
      <c r="Z236" s="37">
        <f t="shared" si="50"/>
        <v>21</v>
      </c>
      <c r="AA236" s="38">
        <v>0</v>
      </c>
      <c r="AB236" s="37">
        <f t="shared" si="51"/>
        <v>21</v>
      </c>
      <c r="AC236" s="36">
        <v>48</v>
      </c>
      <c r="AD236" s="5">
        <v>24</v>
      </c>
      <c r="AE236" s="37">
        <f t="shared" si="52"/>
        <v>45</v>
      </c>
      <c r="AF236" s="38">
        <v>0</v>
      </c>
      <c r="AG236" s="37">
        <f t="shared" si="53"/>
        <v>45</v>
      </c>
      <c r="AH236" s="36">
        <v>48</v>
      </c>
      <c r="AI236" s="5">
        <v>27</v>
      </c>
      <c r="AJ236" s="37">
        <f t="shared" si="54"/>
        <v>66</v>
      </c>
      <c r="AK236" s="38">
        <v>0</v>
      </c>
      <c r="AL236" s="37">
        <f t="shared" si="55"/>
        <v>66</v>
      </c>
      <c r="AM236" s="35" t="s">
        <v>897</v>
      </c>
      <c r="AN236" s="35" t="s">
        <v>68</v>
      </c>
      <c r="AO236" s="5">
        <v>135</v>
      </c>
      <c r="AP236" s="5">
        <v>0</v>
      </c>
      <c r="AQ236" s="35" t="s">
        <v>67</v>
      </c>
      <c r="AR236" s="35"/>
      <c r="AS236" s="122">
        <v>4571158991329</v>
      </c>
      <c r="AT236" s="35"/>
      <c r="AU236" s="35"/>
    </row>
    <row r="237" spans="1:47" x14ac:dyDescent="0.15">
      <c r="A237" s="14" t="s">
        <v>127</v>
      </c>
      <c r="B237" s="5" t="s">
        <v>128</v>
      </c>
      <c r="C237" s="36">
        <v>48</v>
      </c>
      <c r="D237" s="36">
        <v>48</v>
      </c>
      <c r="E237" s="5">
        <v>0</v>
      </c>
      <c r="F237" s="37">
        <f t="shared" si="42"/>
        <v>96</v>
      </c>
      <c r="G237" s="38">
        <v>0</v>
      </c>
      <c r="H237" s="37">
        <f t="shared" si="43"/>
        <v>96</v>
      </c>
      <c r="I237" s="36">
        <v>0</v>
      </c>
      <c r="J237" s="5">
        <v>51</v>
      </c>
      <c r="K237" s="37">
        <f t="shared" si="44"/>
        <v>45</v>
      </c>
      <c r="L237" s="38">
        <v>0</v>
      </c>
      <c r="M237" s="37">
        <f t="shared" si="45"/>
        <v>45</v>
      </c>
      <c r="N237" s="36">
        <v>0</v>
      </c>
      <c r="O237" s="5">
        <v>27</v>
      </c>
      <c r="P237" s="37">
        <f t="shared" si="46"/>
        <v>18</v>
      </c>
      <c r="Q237" s="38">
        <v>0</v>
      </c>
      <c r="R237" s="37">
        <f t="shared" si="47"/>
        <v>18</v>
      </c>
      <c r="S237" s="36">
        <v>252</v>
      </c>
      <c r="T237" s="5">
        <v>44</v>
      </c>
      <c r="U237" s="37">
        <f t="shared" si="48"/>
        <v>226</v>
      </c>
      <c r="V237" s="38">
        <v>-192</v>
      </c>
      <c r="W237" s="37">
        <f t="shared" si="49"/>
        <v>34</v>
      </c>
      <c r="X237" s="36">
        <v>0</v>
      </c>
      <c r="Y237" s="5">
        <v>15</v>
      </c>
      <c r="Z237" s="37">
        <f t="shared" si="50"/>
        <v>19</v>
      </c>
      <c r="AA237" s="38">
        <v>0</v>
      </c>
      <c r="AB237" s="37">
        <f t="shared" si="51"/>
        <v>19</v>
      </c>
      <c r="AC237" s="36">
        <v>96</v>
      </c>
      <c r="AD237" s="5">
        <v>34</v>
      </c>
      <c r="AE237" s="37">
        <f t="shared" si="52"/>
        <v>81</v>
      </c>
      <c r="AF237" s="38">
        <v>0</v>
      </c>
      <c r="AG237" s="37">
        <f t="shared" si="53"/>
        <v>81</v>
      </c>
      <c r="AH237" s="36">
        <v>48</v>
      </c>
      <c r="AI237" s="5">
        <v>48</v>
      </c>
      <c r="AJ237" s="37">
        <f t="shared" si="54"/>
        <v>81</v>
      </c>
      <c r="AK237" s="38">
        <v>0</v>
      </c>
      <c r="AL237" s="37">
        <f t="shared" si="55"/>
        <v>81</v>
      </c>
      <c r="AM237" s="35" t="s">
        <v>897</v>
      </c>
      <c r="AN237" s="35" t="s">
        <v>68</v>
      </c>
      <c r="AO237" s="5">
        <v>135</v>
      </c>
      <c r="AP237" s="5">
        <v>0</v>
      </c>
      <c r="AQ237" s="35" t="s">
        <v>67</v>
      </c>
      <c r="AR237" s="35"/>
      <c r="AS237" s="122">
        <v>4571158991336</v>
      </c>
      <c r="AT237" s="35"/>
      <c r="AU237" s="35"/>
    </row>
    <row r="238" spans="1:47" x14ac:dyDescent="0.15">
      <c r="A238" s="14" t="s">
        <v>1026</v>
      </c>
      <c r="B238" s="5" t="s">
        <v>1063</v>
      </c>
      <c r="C238" s="36">
        <v>0</v>
      </c>
      <c r="D238" s="36">
        <v>0</v>
      </c>
      <c r="E238" s="5">
        <v>0</v>
      </c>
      <c r="F238" s="37">
        <f t="shared" si="42"/>
        <v>0</v>
      </c>
      <c r="G238" s="38">
        <v>0</v>
      </c>
      <c r="H238" s="37">
        <f t="shared" si="43"/>
        <v>0</v>
      </c>
      <c r="I238" s="36">
        <v>0</v>
      </c>
      <c r="J238" s="5">
        <v>0</v>
      </c>
      <c r="K238" s="37">
        <f t="shared" si="44"/>
        <v>0</v>
      </c>
      <c r="L238" s="38">
        <v>0</v>
      </c>
      <c r="M238" s="37">
        <f t="shared" si="45"/>
        <v>0</v>
      </c>
      <c r="N238" s="36">
        <v>0</v>
      </c>
      <c r="O238" s="5">
        <v>0</v>
      </c>
      <c r="P238" s="37">
        <f t="shared" si="46"/>
        <v>0</v>
      </c>
      <c r="Q238" s="38">
        <v>0</v>
      </c>
      <c r="R238" s="37">
        <f t="shared" si="47"/>
        <v>0</v>
      </c>
      <c r="S238" s="36">
        <v>16</v>
      </c>
      <c r="T238" s="5">
        <v>16</v>
      </c>
      <c r="U238" s="37">
        <f t="shared" si="48"/>
        <v>0</v>
      </c>
      <c r="V238" s="38">
        <v>0</v>
      </c>
      <c r="W238" s="37">
        <f t="shared" si="49"/>
        <v>0</v>
      </c>
      <c r="X238" s="36">
        <v>0</v>
      </c>
      <c r="Y238" s="5">
        <v>0</v>
      </c>
      <c r="Z238" s="37">
        <f t="shared" si="50"/>
        <v>0</v>
      </c>
      <c r="AA238" s="38">
        <v>0</v>
      </c>
      <c r="AB238" s="37">
        <f t="shared" si="51"/>
        <v>0</v>
      </c>
      <c r="AC238" s="36">
        <v>0</v>
      </c>
      <c r="AD238" s="5">
        <v>0</v>
      </c>
      <c r="AE238" s="37">
        <f t="shared" si="52"/>
        <v>0</v>
      </c>
      <c r="AF238" s="38">
        <v>0</v>
      </c>
      <c r="AG238" s="37">
        <f t="shared" si="53"/>
        <v>0</v>
      </c>
      <c r="AH238" s="36">
        <v>0</v>
      </c>
      <c r="AI238" s="5">
        <v>0</v>
      </c>
      <c r="AJ238" s="37">
        <f t="shared" si="54"/>
        <v>0</v>
      </c>
      <c r="AK238" s="38">
        <v>0</v>
      </c>
      <c r="AL238" s="37">
        <f t="shared" si="55"/>
        <v>0</v>
      </c>
      <c r="AM238" s="35" t="s">
        <v>897</v>
      </c>
      <c r="AN238" s="35" t="s">
        <v>68</v>
      </c>
      <c r="AO238" s="163">
        <v>1620</v>
      </c>
      <c r="AP238" s="5">
        <v>0</v>
      </c>
      <c r="AQ238" s="35"/>
      <c r="AR238" s="35"/>
      <c r="AS238" s="122"/>
      <c r="AT238" s="35"/>
      <c r="AU238" s="35"/>
    </row>
    <row r="239" spans="1:47" x14ac:dyDescent="0.15">
      <c r="A239" s="14" t="s">
        <v>18</v>
      </c>
      <c r="B239" s="5" t="s">
        <v>83</v>
      </c>
      <c r="C239" s="36">
        <v>0</v>
      </c>
      <c r="D239" s="36">
        <v>0</v>
      </c>
      <c r="E239" s="5">
        <v>0</v>
      </c>
      <c r="F239" s="37">
        <f t="shared" si="42"/>
        <v>0</v>
      </c>
      <c r="G239" s="38">
        <v>0</v>
      </c>
      <c r="H239" s="37">
        <f t="shared" si="43"/>
        <v>0</v>
      </c>
      <c r="I239" s="36">
        <v>4</v>
      </c>
      <c r="J239" s="5">
        <v>4</v>
      </c>
      <c r="K239" s="37">
        <f t="shared" si="44"/>
        <v>0</v>
      </c>
      <c r="L239" s="38">
        <v>0</v>
      </c>
      <c r="M239" s="37">
        <f t="shared" si="45"/>
        <v>0</v>
      </c>
      <c r="N239" s="36">
        <v>0</v>
      </c>
      <c r="O239" s="5">
        <v>0</v>
      </c>
      <c r="P239" s="37">
        <f t="shared" si="46"/>
        <v>0</v>
      </c>
      <c r="Q239" s="38">
        <v>0</v>
      </c>
      <c r="R239" s="37">
        <f t="shared" si="47"/>
        <v>0</v>
      </c>
      <c r="S239" s="36">
        <v>6</v>
      </c>
      <c r="T239" s="5">
        <v>6</v>
      </c>
      <c r="U239" s="37">
        <f t="shared" si="48"/>
        <v>0</v>
      </c>
      <c r="V239" s="38">
        <v>0</v>
      </c>
      <c r="W239" s="37">
        <f t="shared" si="49"/>
        <v>0</v>
      </c>
      <c r="X239" s="36">
        <v>0</v>
      </c>
      <c r="Y239" s="5">
        <v>0</v>
      </c>
      <c r="Z239" s="37">
        <f t="shared" si="50"/>
        <v>0</v>
      </c>
      <c r="AA239" s="38">
        <v>0</v>
      </c>
      <c r="AB239" s="37">
        <f t="shared" si="51"/>
        <v>0</v>
      </c>
      <c r="AC239" s="36">
        <v>5</v>
      </c>
      <c r="AD239" s="5">
        <v>2</v>
      </c>
      <c r="AE239" s="37">
        <f t="shared" si="52"/>
        <v>3</v>
      </c>
      <c r="AF239" s="38">
        <v>0</v>
      </c>
      <c r="AG239" s="37">
        <f t="shared" si="53"/>
        <v>3</v>
      </c>
      <c r="AH239" s="36">
        <v>0</v>
      </c>
      <c r="AI239" s="5">
        <v>3</v>
      </c>
      <c r="AJ239" s="37">
        <f t="shared" si="54"/>
        <v>0</v>
      </c>
      <c r="AK239" s="38">
        <v>0</v>
      </c>
      <c r="AL239" s="37">
        <f t="shared" si="55"/>
        <v>0</v>
      </c>
      <c r="AM239" s="35" t="s">
        <v>957</v>
      </c>
      <c r="AN239" s="35" t="s">
        <v>69</v>
      </c>
      <c r="AO239" s="163">
        <v>7100</v>
      </c>
      <c r="AP239" s="5">
        <v>0</v>
      </c>
      <c r="AQ239" s="35" t="s">
        <v>67</v>
      </c>
      <c r="AR239" s="35"/>
      <c r="AS239" s="122"/>
      <c r="AT239" s="35">
        <v>103</v>
      </c>
      <c r="AU239" s="35" t="s">
        <v>581</v>
      </c>
    </row>
    <row r="240" spans="1:47" x14ac:dyDescent="0.15">
      <c r="A240" s="14" t="s">
        <v>692</v>
      </c>
      <c r="B240" s="5" t="s">
        <v>693</v>
      </c>
      <c r="C240" s="36">
        <v>0</v>
      </c>
      <c r="D240" s="36">
        <v>0</v>
      </c>
      <c r="E240" s="5">
        <v>0</v>
      </c>
      <c r="F240" s="37">
        <f t="shared" si="42"/>
        <v>0</v>
      </c>
      <c r="G240" s="38">
        <v>0</v>
      </c>
      <c r="H240" s="37">
        <f t="shared" si="43"/>
        <v>0</v>
      </c>
      <c r="I240" s="36">
        <v>0</v>
      </c>
      <c r="J240" s="5">
        <v>0</v>
      </c>
      <c r="K240" s="37">
        <f t="shared" si="44"/>
        <v>0</v>
      </c>
      <c r="L240" s="38">
        <v>0</v>
      </c>
      <c r="M240" s="37">
        <f t="shared" si="45"/>
        <v>0</v>
      </c>
      <c r="N240" s="36">
        <v>0</v>
      </c>
      <c r="O240" s="5">
        <v>0</v>
      </c>
      <c r="P240" s="37">
        <f t="shared" si="46"/>
        <v>0</v>
      </c>
      <c r="Q240" s="38">
        <v>0</v>
      </c>
      <c r="R240" s="37">
        <f t="shared" si="47"/>
        <v>0</v>
      </c>
      <c r="S240" s="36">
        <v>0</v>
      </c>
      <c r="T240" s="5">
        <v>0</v>
      </c>
      <c r="U240" s="37">
        <f t="shared" si="48"/>
        <v>0</v>
      </c>
      <c r="V240" s="38">
        <v>0</v>
      </c>
      <c r="W240" s="37">
        <f t="shared" si="49"/>
        <v>0</v>
      </c>
      <c r="X240" s="36">
        <v>0</v>
      </c>
      <c r="Y240" s="5">
        <v>0</v>
      </c>
      <c r="Z240" s="37">
        <f t="shared" si="50"/>
        <v>0</v>
      </c>
      <c r="AA240" s="38">
        <v>0</v>
      </c>
      <c r="AB240" s="37">
        <f t="shared" si="51"/>
        <v>0</v>
      </c>
      <c r="AC240" s="36">
        <v>24</v>
      </c>
      <c r="AD240" s="5">
        <v>24</v>
      </c>
      <c r="AE240" s="37">
        <f t="shared" si="52"/>
        <v>0</v>
      </c>
      <c r="AF240" s="38">
        <v>0</v>
      </c>
      <c r="AG240" s="37">
        <f t="shared" si="53"/>
        <v>0</v>
      </c>
      <c r="AH240" s="36">
        <v>0</v>
      </c>
      <c r="AI240" s="5">
        <v>0</v>
      </c>
      <c r="AJ240" s="37">
        <f t="shared" si="54"/>
        <v>0</v>
      </c>
      <c r="AK240" s="38">
        <v>0</v>
      </c>
      <c r="AL240" s="37">
        <f t="shared" si="55"/>
        <v>0</v>
      </c>
      <c r="AM240" s="35" t="s">
        <v>197</v>
      </c>
      <c r="AN240" s="35" t="s">
        <v>68</v>
      </c>
      <c r="AO240" s="5">
        <v>406</v>
      </c>
      <c r="AP240" s="5">
        <v>0</v>
      </c>
      <c r="AQ240" s="35" t="s">
        <v>67</v>
      </c>
      <c r="AR240" s="35"/>
      <c r="AS240" s="122"/>
      <c r="AT240" s="35">
        <v>282</v>
      </c>
      <c r="AU240" s="35" t="s">
        <v>664</v>
      </c>
    </row>
    <row r="241" spans="1:47" x14ac:dyDescent="0.15">
      <c r="A241" s="14" t="s">
        <v>694</v>
      </c>
      <c r="B241" s="5" t="s">
        <v>695</v>
      </c>
      <c r="C241" s="36">
        <v>0</v>
      </c>
      <c r="D241" s="36">
        <v>0</v>
      </c>
      <c r="E241" s="5">
        <v>0</v>
      </c>
      <c r="F241" s="37">
        <f t="shared" si="42"/>
        <v>0</v>
      </c>
      <c r="G241" s="38">
        <v>0</v>
      </c>
      <c r="H241" s="37">
        <f t="shared" si="43"/>
        <v>0</v>
      </c>
      <c r="I241" s="36">
        <v>0</v>
      </c>
      <c r="J241" s="5">
        <v>0</v>
      </c>
      <c r="K241" s="37">
        <f t="shared" si="44"/>
        <v>0</v>
      </c>
      <c r="L241" s="38">
        <v>0</v>
      </c>
      <c r="M241" s="37">
        <f t="shared" si="45"/>
        <v>0</v>
      </c>
      <c r="N241" s="36">
        <v>0</v>
      </c>
      <c r="O241" s="5">
        <v>0</v>
      </c>
      <c r="P241" s="37">
        <f t="shared" si="46"/>
        <v>0</v>
      </c>
      <c r="Q241" s="38">
        <v>0</v>
      </c>
      <c r="R241" s="37">
        <f t="shared" si="47"/>
        <v>0</v>
      </c>
      <c r="S241" s="36">
        <v>0</v>
      </c>
      <c r="T241" s="5">
        <v>0</v>
      </c>
      <c r="U241" s="37">
        <f t="shared" si="48"/>
        <v>0</v>
      </c>
      <c r="V241" s="38">
        <v>0</v>
      </c>
      <c r="W241" s="37">
        <f t="shared" si="49"/>
        <v>0</v>
      </c>
      <c r="X241" s="36">
        <v>0</v>
      </c>
      <c r="Y241" s="5">
        <v>0</v>
      </c>
      <c r="Z241" s="37">
        <f t="shared" si="50"/>
        <v>0</v>
      </c>
      <c r="AA241" s="38">
        <v>0</v>
      </c>
      <c r="AB241" s="37">
        <f t="shared" si="51"/>
        <v>0</v>
      </c>
      <c r="AC241" s="36">
        <v>24</v>
      </c>
      <c r="AD241" s="5">
        <v>24</v>
      </c>
      <c r="AE241" s="37">
        <f t="shared" si="52"/>
        <v>0</v>
      </c>
      <c r="AF241" s="38">
        <v>0</v>
      </c>
      <c r="AG241" s="37">
        <f t="shared" si="53"/>
        <v>0</v>
      </c>
      <c r="AH241" s="36">
        <v>0</v>
      </c>
      <c r="AI241" s="5">
        <v>0</v>
      </c>
      <c r="AJ241" s="37">
        <f t="shared" si="54"/>
        <v>0</v>
      </c>
      <c r="AK241" s="38">
        <v>0</v>
      </c>
      <c r="AL241" s="37">
        <f t="shared" si="55"/>
        <v>0</v>
      </c>
      <c r="AM241" s="35" t="s">
        <v>197</v>
      </c>
      <c r="AN241" s="35" t="s">
        <v>68</v>
      </c>
      <c r="AO241" s="5">
        <v>336</v>
      </c>
      <c r="AP241" s="5">
        <v>0</v>
      </c>
      <c r="AQ241" s="35" t="s">
        <v>67</v>
      </c>
      <c r="AR241" s="35"/>
      <c r="AS241" s="122"/>
      <c r="AT241" s="35">
        <v>282</v>
      </c>
      <c r="AU241" s="35" t="s">
        <v>664</v>
      </c>
    </row>
    <row r="242" spans="1:47" x14ac:dyDescent="0.15">
      <c r="A242" s="14" t="s">
        <v>696</v>
      </c>
      <c r="B242" s="5" t="s">
        <v>697</v>
      </c>
      <c r="C242" s="36">
        <v>0</v>
      </c>
      <c r="D242" s="36">
        <v>0</v>
      </c>
      <c r="E242" s="5">
        <v>0</v>
      </c>
      <c r="F242" s="37">
        <f t="shared" si="42"/>
        <v>0</v>
      </c>
      <c r="G242" s="38">
        <v>0</v>
      </c>
      <c r="H242" s="37">
        <f t="shared" si="43"/>
        <v>0</v>
      </c>
      <c r="I242" s="36">
        <v>0</v>
      </c>
      <c r="J242" s="5">
        <v>0</v>
      </c>
      <c r="K242" s="37">
        <f t="shared" si="44"/>
        <v>0</v>
      </c>
      <c r="L242" s="38">
        <v>0</v>
      </c>
      <c r="M242" s="37">
        <f t="shared" si="45"/>
        <v>0</v>
      </c>
      <c r="N242" s="36">
        <v>25</v>
      </c>
      <c r="O242" s="5">
        <v>25</v>
      </c>
      <c r="P242" s="37">
        <f t="shared" si="46"/>
        <v>0</v>
      </c>
      <c r="Q242" s="38">
        <v>0</v>
      </c>
      <c r="R242" s="37">
        <f t="shared" si="47"/>
        <v>0</v>
      </c>
      <c r="S242" s="36">
        <v>0</v>
      </c>
      <c r="T242" s="5">
        <v>0</v>
      </c>
      <c r="U242" s="37">
        <f t="shared" si="48"/>
        <v>0</v>
      </c>
      <c r="V242" s="38">
        <v>0</v>
      </c>
      <c r="W242" s="37">
        <f t="shared" si="49"/>
        <v>0</v>
      </c>
      <c r="X242" s="36">
        <v>0</v>
      </c>
      <c r="Y242" s="5">
        <v>0</v>
      </c>
      <c r="Z242" s="37">
        <f t="shared" si="50"/>
        <v>0</v>
      </c>
      <c r="AA242" s="38">
        <v>0</v>
      </c>
      <c r="AB242" s="37">
        <f t="shared" si="51"/>
        <v>0</v>
      </c>
      <c r="AC242" s="36">
        <v>50</v>
      </c>
      <c r="AD242" s="5">
        <v>50</v>
      </c>
      <c r="AE242" s="37">
        <f t="shared" si="52"/>
        <v>0</v>
      </c>
      <c r="AF242" s="38">
        <v>0</v>
      </c>
      <c r="AG242" s="37">
        <f t="shared" si="53"/>
        <v>0</v>
      </c>
      <c r="AH242" s="36">
        <v>0</v>
      </c>
      <c r="AI242" s="5">
        <v>0</v>
      </c>
      <c r="AJ242" s="37">
        <f t="shared" si="54"/>
        <v>0</v>
      </c>
      <c r="AK242" s="38">
        <v>0</v>
      </c>
      <c r="AL242" s="37">
        <f t="shared" si="55"/>
        <v>0</v>
      </c>
      <c r="AM242" s="35" t="s">
        <v>197</v>
      </c>
      <c r="AN242" s="35" t="s">
        <v>68</v>
      </c>
      <c r="AO242" s="5">
        <v>240</v>
      </c>
      <c r="AP242" s="5">
        <v>0</v>
      </c>
      <c r="AQ242" s="35" t="s">
        <v>67</v>
      </c>
      <c r="AR242" s="35"/>
      <c r="AS242" s="122"/>
      <c r="AT242" s="35">
        <v>282</v>
      </c>
      <c r="AU242" s="35" t="s">
        <v>664</v>
      </c>
    </row>
    <row r="243" spans="1:47" x14ac:dyDescent="0.15">
      <c r="A243" s="14" t="s">
        <v>304</v>
      </c>
      <c r="B243" s="5" t="s">
        <v>305</v>
      </c>
      <c r="C243" s="36">
        <v>0</v>
      </c>
      <c r="D243" s="36">
        <v>0</v>
      </c>
      <c r="E243" s="5">
        <v>0</v>
      </c>
      <c r="F243" s="37">
        <f t="shared" si="42"/>
        <v>0</v>
      </c>
      <c r="G243" s="38">
        <v>0</v>
      </c>
      <c r="H243" s="37">
        <f t="shared" si="43"/>
        <v>0</v>
      </c>
      <c r="I243" s="36">
        <v>0</v>
      </c>
      <c r="J243" s="5">
        <v>0</v>
      </c>
      <c r="K243" s="37">
        <f t="shared" si="44"/>
        <v>0</v>
      </c>
      <c r="L243" s="38">
        <v>0</v>
      </c>
      <c r="M243" s="37">
        <f t="shared" si="45"/>
        <v>0</v>
      </c>
      <c r="N243" s="36">
        <v>0</v>
      </c>
      <c r="O243" s="5">
        <v>0</v>
      </c>
      <c r="P243" s="37">
        <f t="shared" si="46"/>
        <v>0</v>
      </c>
      <c r="Q243" s="38">
        <v>0</v>
      </c>
      <c r="R243" s="37">
        <f t="shared" si="47"/>
        <v>0</v>
      </c>
      <c r="S243" s="36">
        <v>0</v>
      </c>
      <c r="T243" s="5">
        <v>0</v>
      </c>
      <c r="U243" s="37">
        <f t="shared" si="48"/>
        <v>0</v>
      </c>
      <c r="V243" s="38">
        <v>0</v>
      </c>
      <c r="W243" s="37">
        <f t="shared" si="49"/>
        <v>0</v>
      </c>
      <c r="X243" s="36">
        <v>0</v>
      </c>
      <c r="Y243" s="5">
        <v>0</v>
      </c>
      <c r="Z243" s="37">
        <f t="shared" si="50"/>
        <v>0</v>
      </c>
      <c r="AA243" s="38">
        <v>0</v>
      </c>
      <c r="AB243" s="37">
        <f t="shared" si="51"/>
        <v>0</v>
      </c>
      <c r="AC243" s="36">
        <v>0</v>
      </c>
      <c r="AD243" s="5">
        <v>0</v>
      </c>
      <c r="AE243" s="37">
        <f t="shared" si="52"/>
        <v>0</v>
      </c>
      <c r="AF243" s="38">
        <v>0</v>
      </c>
      <c r="AG243" s="37">
        <f t="shared" si="53"/>
        <v>0</v>
      </c>
      <c r="AH243" s="36">
        <v>0</v>
      </c>
      <c r="AI243" s="5">
        <v>0</v>
      </c>
      <c r="AJ243" s="37">
        <f t="shared" si="54"/>
        <v>0</v>
      </c>
      <c r="AK243" s="38">
        <v>0</v>
      </c>
      <c r="AL243" s="37">
        <f t="shared" si="55"/>
        <v>0</v>
      </c>
      <c r="AM243" s="35"/>
      <c r="AN243" s="35"/>
      <c r="AO243" s="5">
        <v>0</v>
      </c>
      <c r="AP243" s="5">
        <v>0</v>
      </c>
      <c r="AQ243" s="35"/>
      <c r="AR243" s="35"/>
      <c r="AS243" s="122"/>
      <c r="AT243" s="35"/>
      <c r="AU243" s="35"/>
    </row>
    <row r="244" spans="1:47" x14ac:dyDescent="0.15">
      <c r="A244" s="14" t="s">
        <v>413</v>
      </c>
      <c r="B244" s="5" t="s">
        <v>414</v>
      </c>
      <c r="C244" s="36">
        <v>0</v>
      </c>
      <c r="D244" s="36">
        <v>1</v>
      </c>
      <c r="E244" s="5">
        <v>0</v>
      </c>
      <c r="F244" s="37">
        <f t="shared" si="42"/>
        <v>1</v>
      </c>
      <c r="G244" s="38">
        <v>0</v>
      </c>
      <c r="H244" s="37">
        <f t="shared" si="43"/>
        <v>1</v>
      </c>
      <c r="I244" s="36">
        <v>0</v>
      </c>
      <c r="J244" s="5">
        <v>1</v>
      </c>
      <c r="K244" s="37">
        <f t="shared" si="44"/>
        <v>0</v>
      </c>
      <c r="L244" s="38">
        <v>0</v>
      </c>
      <c r="M244" s="37">
        <f t="shared" si="45"/>
        <v>0</v>
      </c>
      <c r="N244" s="36">
        <v>0</v>
      </c>
      <c r="O244" s="5">
        <v>0</v>
      </c>
      <c r="P244" s="37">
        <f t="shared" si="46"/>
        <v>0</v>
      </c>
      <c r="Q244" s="38">
        <v>0</v>
      </c>
      <c r="R244" s="37">
        <f t="shared" si="47"/>
        <v>0</v>
      </c>
      <c r="S244" s="36">
        <v>0</v>
      </c>
      <c r="T244" s="5">
        <v>0</v>
      </c>
      <c r="U244" s="37">
        <f t="shared" si="48"/>
        <v>0</v>
      </c>
      <c r="V244" s="38">
        <v>0</v>
      </c>
      <c r="W244" s="37">
        <f t="shared" si="49"/>
        <v>0</v>
      </c>
      <c r="X244" s="36">
        <v>0</v>
      </c>
      <c r="Y244" s="5">
        <v>0</v>
      </c>
      <c r="Z244" s="37">
        <f t="shared" si="50"/>
        <v>0</v>
      </c>
      <c r="AA244" s="38">
        <v>0</v>
      </c>
      <c r="AB244" s="37">
        <f t="shared" si="51"/>
        <v>0</v>
      </c>
      <c r="AC244" s="36">
        <v>0</v>
      </c>
      <c r="AD244" s="5">
        <v>0</v>
      </c>
      <c r="AE244" s="37">
        <f t="shared" si="52"/>
        <v>0</v>
      </c>
      <c r="AF244" s="38">
        <v>0</v>
      </c>
      <c r="AG244" s="37">
        <f t="shared" si="53"/>
        <v>0</v>
      </c>
      <c r="AH244" s="36">
        <v>0</v>
      </c>
      <c r="AI244" s="5">
        <v>0</v>
      </c>
      <c r="AJ244" s="37">
        <f t="shared" si="54"/>
        <v>0</v>
      </c>
      <c r="AK244" s="38">
        <v>0</v>
      </c>
      <c r="AL244" s="37">
        <f t="shared" si="55"/>
        <v>0</v>
      </c>
      <c r="AM244" s="35" t="s">
        <v>574</v>
      </c>
      <c r="AN244" s="35" t="s">
        <v>69</v>
      </c>
      <c r="AO244" s="163">
        <v>7100</v>
      </c>
      <c r="AP244" s="5">
        <v>0</v>
      </c>
      <c r="AQ244" s="35"/>
      <c r="AR244" s="35"/>
      <c r="AS244" s="122"/>
      <c r="AT244" s="35">
        <v>103</v>
      </c>
      <c r="AU244" s="35" t="s">
        <v>581</v>
      </c>
    </row>
    <row r="245" spans="1:47" x14ac:dyDescent="0.15">
      <c r="A245" s="14" t="s">
        <v>867</v>
      </c>
      <c r="B245" s="5" t="s">
        <v>868</v>
      </c>
      <c r="C245" s="36">
        <v>0</v>
      </c>
      <c r="D245" s="36">
        <v>2</v>
      </c>
      <c r="E245" s="5">
        <v>0</v>
      </c>
      <c r="F245" s="37">
        <f t="shared" si="42"/>
        <v>2</v>
      </c>
      <c r="G245" s="38">
        <v>0</v>
      </c>
      <c r="H245" s="37">
        <f t="shared" si="43"/>
        <v>2</v>
      </c>
      <c r="I245" s="36">
        <v>0</v>
      </c>
      <c r="J245" s="5">
        <v>2</v>
      </c>
      <c r="K245" s="37">
        <f t="shared" si="44"/>
        <v>0</v>
      </c>
      <c r="L245" s="38">
        <v>0</v>
      </c>
      <c r="M245" s="37">
        <f t="shared" si="45"/>
        <v>0</v>
      </c>
      <c r="N245" s="36">
        <v>0</v>
      </c>
      <c r="O245" s="5">
        <v>0</v>
      </c>
      <c r="P245" s="37">
        <f t="shared" si="46"/>
        <v>0</v>
      </c>
      <c r="Q245" s="38">
        <v>0</v>
      </c>
      <c r="R245" s="37">
        <f t="shared" si="47"/>
        <v>0</v>
      </c>
      <c r="S245" s="36">
        <v>0</v>
      </c>
      <c r="T245" s="5">
        <v>0</v>
      </c>
      <c r="U245" s="37">
        <f t="shared" si="48"/>
        <v>0</v>
      </c>
      <c r="V245" s="38">
        <v>0</v>
      </c>
      <c r="W245" s="37">
        <f t="shared" si="49"/>
        <v>0</v>
      </c>
      <c r="X245" s="36">
        <v>0</v>
      </c>
      <c r="Y245" s="5">
        <v>0</v>
      </c>
      <c r="Z245" s="37">
        <f t="shared" si="50"/>
        <v>0</v>
      </c>
      <c r="AA245" s="38">
        <v>0</v>
      </c>
      <c r="AB245" s="37">
        <f t="shared" si="51"/>
        <v>0</v>
      </c>
      <c r="AC245" s="36">
        <v>1</v>
      </c>
      <c r="AD245" s="5">
        <v>1</v>
      </c>
      <c r="AE245" s="37">
        <f t="shared" si="52"/>
        <v>0</v>
      </c>
      <c r="AF245" s="38">
        <v>0</v>
      </c>
      <c r="AG245" s="37">
        <f t="shared" si="53"/>
        <v>0</v>
      </c>
      <c r="AH245" s="36">
        <v>0</v>
      </c>
      <c r="AI245" s="5">
        <v>0</v>
      </c>
      <c r="AJ245" s="37">
        <f t="shared" si="54"/>
        <v>0</v>
      </c>
      <c r="AK245" s="38">
        <v>0</v>
      </c>
      <c r="AL245" s="37">
        <f t="shared" si="55"/>
        <v>0</v>
      </c>
      <c r="AM245" s="35" t="s">
        <v>574</v>
      </c>
      <c r="AN245" s="35" t="s">
        <v>69</v>
      </c>
      <c r="AO245" s="163">
        <v>7100</v>
      </c>
      <c r="AP245" s="5">
        <v>0</v>
      </c>
      <c r="AQ245" s="35"/>
      <c r="AR245" s="35"/>
      <c r="AS245" s="122"/>
      <c r="AT245" s="35">
        <v>103</v>
      </c>
      <c r="AU245" s="35" t="s">
        <v>581</v>
      </c>
    </row>
    <row r="246" spans="1:47" x14ac:dyDescent="0.15">
      <c r="A246" s="14" t="s">
        <v>590</v>
      </c>
      <c r="B246" s="5" t="s">
        <v>591</v>
      </c>
      <c r="C246" s="36">
        <v>6</v>
      </c>
      <c r="D246" s="36">
        <v>0</v>
      </c>
      <c r="E246" s="5">
        <v>0</v>
      </c>
      <c r="F246" s="37">
        <f t="shared" si="42"/>
        <v>6</v>
      </c>
      <c r="G246" s="38">
        <v>0</v>
      </c>
      <c r="H246" s="37">
        <f t="shared" si="43"/>
        <v>6</v>
      </c>
      <c r="I246" s="36">
        <v>0</v>
      </c>
      <c r="J246" s="5">
        <v>0</v>
      </c>
      <c r="K246" s="37">
        <f t="shared" si="44"/>
        <v>6</v>
      </c>
      <c r="L246" s="38">
        <v>0</v>
      </c>
      <c r="M246" s="37">
        <f t="shared" si="45"/>
        <v>6</v>
      </c>
      <c r="N246" s="36">
        <v>0</v>
      </c>
      <c r="O246" s="5">
        <v>0</v>
      </c>
      <c r="P246" s="37">
        <f t="shared" si="46"/>
        <v>6</v>
      </c>
      <c r="Q246" s="38">
        <v>0</v>
      </c>
      <c r="R246" s="37">
        <f t="shared" si="47"/>
        <v>6</v>
      </c>
      <c r="S246" s="36">
        <v>0</v>
      </c>
      <c r="T246" s="5">
        <v>0</v>
      </c>
      <c r="U246" s="37">
        <f t="shared" si="48"/>
        <v>6</v>
      </c>
      <c r="V246" s="38">
        <v>0</v>
      </c>
      <c r="W246" s="37">
        <f t="shared" si="49"/>
        <v>6</v>
      </c>
      <c r="X246" s="36">
        <v>0</v>
      </c>
      <c r="Y246" s="5">
        <v>0</v>
      </c>
      <c r="Z246" s="37">
        <f t="shared" si="50"/>
        <v>6</v>
      </c>
      <c r="AA246" s="38">
        <v>0</v>
      </c>
      <c r="AB246" s="37">
        <f t="shared" si="51"/>
        <v>6</v>
      </c>
      <c r="AC246" s="36">
        <v>0</v>
      </c>
      <c r="AD246" s="5">
        <v>0</v>
      </c>
      <c r="AE246" s="37">
        <f t="shared" si="52"/>
        <v>6</v>
      </c>
      <c r="AF246" s="38">
        <v>0</v>
      </c>
      <c r="AG246" s="37">
        <f t="shared" si="53"/>
        <v>6</v>
      </c>
      <c r="AH246" s="36">
        <v>0</v>
      </c>
      <c r="AI246" s="5">
        <v>0</v>
      </c>
      <c r="AJ246" s="37">
        <f t="shared" si="54"/>
        <v>6</v>
      </c>
      <c r="AK246" s="38">
        <v>0</v>
      </c>
      <c r="AL246" s="37">
        <f t="shared" si="55"/>
        <v>6</v>
      </c>
      <c r="AM246" s="35"/>
      <c r="AN246" s="35" t="s">
        <v>69</v>
      </c>
      <c r="AO246" s="163">
        <v>5600</v>
      </c>
      <c r="AP246" s="5">
        <v>0</v>
      </c>
      <c r="AQ246" s="35" t="s">
        <v>67</v>
      </c>
      <c r="AR246" s="35"/>
      <c r="AS246" s="122"/>
      <c r="AT246" s="35"/>
      <c r="AU246" s="35"/>
    </row>
    <row r="247" spans="1:47" x14ac:dyDescent="0.15">
      <c r="A247" s="14" t="s">
        <v>592</v>
      </c>
      <c r="B247" s="5" t="s">
        <v>593</v>
      </c>
      <c r="C247" s="36">
        <v>0</v>
      </c>
      <c r="D247" s="36">
        <v>0</v>
      </c>
      <c r="E247" s="5">
        <v>0</v>
      </c>
      <c r="F247" s="37">
        <f t="shared" si="42"/>
        <v>0</v>
      </c>
      <c r="G247" s="38">
        <v>0</v>
      </c>
      <c r="H247" s="37">
        <f t="shared" si="43"/>
        <v>0</v>
      </c>
      <c r="I247" s="36">
        <v>0</v>
      </c>
      <c r="J247" s="5">
        <v>0</v>
      </c>
      <c r="K247" s="37">
        <f t="shared" si="44"/>
        <v>0</v>
      </c>
      <c r="L247" s="38">
        <v>0</v>
      </c>
      <c r="M247" s="37">
        <f t="shared" si="45"/>
        <v>0</v>
      </c>
      <c r="N247" s="36">
        <v>0</v>
      </c>
      <c r="O247" s="5">
        <v>0</v>
      </c>
      <c r="P247" s="37">
        <f t="shared" si="46"/>
        <v>0</v>
      </c>
      <c r="Q247" s="38">
        <v>0</v>
      </c>
      <c r="R247" s="37">
        <f t="shared" si="47"/>
        <v>0</v>
      </c>
      <c r="S247" s="36">
        <v>0</v>
      </c>
      <c r="T247" s="5">
        <v>0</v>
      </c>
      <c r="U247" s="37">
        <f t="shared" si="48"/>
        <v>0</v>
      </c>
      <c r="V247" s="38">
        <v>0</v>
      </c>
      <c r="W247" s="37">
        <f t="shared" si="49"/>
        <v>0</v>
      </c>
      <c r="X247" s="36">
        <v>0</v>
      </c>
      <c r="Y247" s="5">
        <v>0</v>
      </c>
      <c r="Z247" s="37">
        <f t="shared" si="50"/>
        <v>0</v>
      </c>
      <c r="AA247" s="38">
        <v>0</v>
      </c>
      <c r="AB247" s="37">
        <f t="shared" si="51"/>
        <v>0</v>
      </c>
      <c r="AC247" s="36">
        <v>0</v>
      </c>
      <c r="AD247" s="5">
        <v>0</v>
      </c>
      <c r="AE247" s="37">
        <f t="shared" si="52"/>
        <v>0</v>
      </c>
      <c r="AF247" s="38">
        <v>0</v>
      </c>
      <c r="AG247" s="37">
        <f t="shared" si="53"/>
        <v>0</v>
      </c>
      <c r="AH247" s="36">
        <v>0</v>
      </c>
      <c r="AI247" s="5">
        <v>0</v>
      </c>
      <c r="AJ247" s="37">
        <f t="shared" si="54"/>
        <v>0</v>
      </c>
      <c r="AK247" s="38">
        <v>0</v>
      </c>
      <c r="AL247" s="37">
        <f t="shared" si="55"/>
        <v>0</v>
      </c>
      <c r="AM247" s="35"/>
      <c r="AN247" s="35" t="s">
        <v>69</v>
      </c>
      <c r="AO247" s="163">
        <v>6600</v>
      </c>
      <c r="AP247" s="5">
        <v>0</v>
      </c>
      <c r="AQ247" s="35" t="s">
        <v>67</v>
      </c>
      <c r="AR247" s="35"/>
      <c r="AS247" s="122"/>
      <c r="AT247" s="35"/>
      <c r="AU247" s="35"/>
    </row>
    <row r="248" spans="1:47" x14ac:dyDescent="0.15">
      <c r="A248" s="14" t="s">
        <v>145</v>
      </c>
      <c r="B248" s="5" t="s">
        <v>146</v>
      </c>
      <c r="C248" s="36">
        <v>0</v>
      </c>
      <c r="D248" s="36">
        <v>0</v>
      </c>
      <c r="E248" s="5">
        <v>0</v>
      </c>
      <c r="F248" s="37">
        <f t="shared" si="42"/>
        <v>0</v>
      </c>
      <c r="G248" s="38">
        <v>0</v>
      </c>
      <c r="H248" s="37">
        <f t="shared" si="43"/>
        <v>0</v>
      </c>
      <c r="I248" s="36">
        <v>6</v>
      </c>
      <c r="J248" s="5">
        <v>6</v>
      </c>
      <c r="K248" s="37">
        <f t="shared" si="44"/>
        <v>0</v>
      </c>
      <c r="L248" s="38">
        <v>0</v>
      </c>
      <c r="M248" s="37">
        <f t="shared" si="45"/>
        <v>0</v>
      </c>
      <c r="N248" s="36">
        <v>0</v>
      </c>
      <c r="O248" s="5">
        <v>0</v>
      </c>
      <c r="P248" s="37">
        <f t="shared" si="46"/>
        <v>0</v>
      </c>
      <c r="Q248" s="38">
        <v>0</v>
      </c>
      <c r="R248" s="37">
        <f t="shared" si="47"/>
        <v>0</v>
      </c>
      <c r="S248" s="36">
        <v>0</v>
      </c>
      <c r="T248" s="5">
        <v>0</v>
      </c>
      <c r="U248" s="37">
        <f t="shared" si="48"/>
        <v>0</v>
      </c>
      <c r="V248" s="38">
        <v>0</v>
      </c>
      <c r="W248" s="37">
        <f t="shared" si="49"/>
        <v>0</v>
      </c>
      <c r="X248" s="36">
        <v>0</v>
      </c>
      <c r="Y248" s="5">
        <v>0</v>
      </c>
      <c r="Z248" s="37">
        <f t="shared" si="50"/>
        <v>0</v>
      </c>
      <c r="AA248" s="38">
        <v>0</v>
      </c>
      <c r="AB248" s="37">
        <f t="shared" si="51"/>
        <v>0</v>
      </c>
      <c r="AC248" s="36">
        <v>0</v>
      </c>
      <c r="AD248" s="5">
        <v>0</v>
      </c>
      <c r="AE248" s="37">
        <f t="shared" si="52"/>
        <v>0</v>
      </c>
      <c r="AF248" s="38">
        <v>0</v>
      </c>
      <c r="AG248" s="37">
        <f t="shared" si="53"/>
        <v>0</v>
      </c>
      <c r="AH248" s="36">
        <v>0</v>
      </c>
      <c r="AI248" s="5">
        <v>0</v>
      </c>
      <c r="AJ248" s="37">
        <f t="shared" si="54"/>
        <v>0</v>
      </c>
      <c r="AK248" s="38">
        <v>0</v>
      </c>
      <c r="AL248" s="37">
        <f t="shared" si="55"/>
        <v>0</v>
      </c>
      <c r="AM248" s="35"/>
      <c r="AN248" s="35"/>
      <c r="AO248" s="5">
        <v>162</v>
      </c>
      <c r="AP248" s="5">
        <v>0</v>
      </c>
      <c r="AQ248" s="35"/>
      <c r="AR248" s="35"/>
      <c r="AS248" s="122"/>
      <c r="AT248" s="35">
        <v>213</v>
      </c>
      <c r="AU248" s="35" t="s">
        <v>1017</v>
      </c>
    </row>
    <row r="249" spans="1:47" x14ac:dyDescent="0.15">
      <c r="A249" s="14" t="s">
        <v>437</v>
      </c>
      <c r="B249" s="5" t="s">
        <v>438</v>
      </c>
      <c r="C249" s="36">
        <v>0</v>
      </c>
      <c r="D249" s="36">
        <v>0</v>
      </c>
      <c r="E249" s="5">
        <v>0</v>
      </c>
      <c r="F249" s="37">
        <f t="shared" si="42"/>
        <v>0</v>
      </c>
      <c r="G249" s="38">
        <v>0</v>
      </c>
      <c r="H249" s="37">
        <f t="shared" si="43"/>
        <v>0</v>
      </c>
      <c r="I249" s="36">
        <v>18</v>
      </c>
      <c r="J249" s="5">
        <v>18</v>
      </c>
      <c r="K249" s="37">
        <f t="shared" si="44"/>
        <v>0</v>
      </c>
      <c r="L249" s="38">
        <v>0</v>
      </c>
      <c r="M249" s="37">
        <f t="shared" si="45"/>
        <v>0</v>
      </c>
      <c r="N249" s="36">
        <v>0</v>
      </c>
      <c r="O249" s="5">
        <v>0</v>
      </c>
      <c r="P249" s="37">
        <f t="shared" si="46"/>
        <v>0</v>
      </c>
      <c r="Q249" s="38">
        <v>0</v>
      </c>
      <c r="R249" s="37">
        <f t="shared" si="47"/>
        <v>0</v>
      </c>
      <c r="S249" s="36">
        <v>0</v>
      </c>
      <c r="T249" s="5">
        <v>0</v>
      </c>
      <c r="U249" s="37">
        <f t="shared" si="48"/>
        <v>0</v>
      </c>
      <c r="V249" s="38">
        <v>0</v>
      </c>
      <c r="W249" s="37">
        <f t="shared" si="49"/>
        <v>0</v>
      </c>
      <c r="X249" s="36">
        <v>0</v>
      </c>
      <c r="Y249" s="5">
        <v>0</v>
      </c>
      <c r="Z249" s="37">
        <f t="shared" si="50"/>
        <v>0</v>
      </c>
      <c r="AA249" s="38">
        <v>0</v>
      </c>
      <c r="AB249" s="37">
        <f t="shared" si="51"/>
        <v>0</v>
      </c>
      <c r="AC249" s="36">
        <v>0</v>
      </c>
      <c r="AD249" s="5">
        <v>0</v>
      </c>
      <c r="AE249" s="37">
        <f t="shared" si="52"/>
        <v>0</v>
      </c>
      <c r="AF249" s="38">
        <v>0</v>
      </c>
      <c r="AG249" s="37">
        <f t="shared" si="53"/>
        <v>0</v>
      </c>
      <c r="AH249" s="36">
        <v>0</v>
      </c>
      <c r="AI249" s="5">
        <v>0</v>
      </c>
      <c r="AJ249" s="37">
        <f t="shared" si="54"/>
        <v>0</v>
      </c>
      <c r="AK249" s="38">
        <v>0</v>
      </c>
      <c r="AL249" s="37">
        <f t="shared" si="55"/>
        <v>0</v>
      </c>
      <c r="AM249" s="35"/>
      <c r="AN249" s="35"/>
      <c r="AO249" s="5">
        <v>138</v>
      </c>
      <c r="AP249" s="5">
        <v>0</v>
      </c>
      <c r="AQ249" s="35"/>
      <c r="AR249" s="35"/>
      <c r="AS249" s="122"/>
      <c r="AT249" s="35">
        <v>213</v>
      </c>
      <c r="AU249" s="35" t="s">
        <v>1017</v>
      </c>
    </row>
    <row r="250" spans="1:47" x14ac:dyDescent="0.15">
      <c r="A250" s="14" t="s">
        <v>439</v>
      </c>
      <c r="B250" s="5" t="s">
        <v>440</v>
      </c>
      <c r="C250" s="36">
        <v>0</v>
      </c>
      <c r="D250" s="36">
        <v>0</v>
      </c>
      <c r="E250" s="5">
        <v>0</v>
      </c>
      <c r="F250" s="37">
        <f t="shared" si="42"/>
        <v>0</v>
      </c>
      <c r="G250" s="38">
        <v>0</v>
      </c>
      <c r="H250" s="37">
        <f t="shared" si="43"/>
        <v>0</v>
      </c>
      <c r="I250" s="36">
        <v>4</v>
      </c>
      <c r="J250" s="5">
        <v>4</v>
      </c>
      <c r="K250" s="37">
        <f t="shared" si="44"/>
        <v>0</v>
      </c>
      <c r="L250" s="38">
        <v>0</v>
      </c>
      <c r="M250" s="37">
        <f t="shared" si="45"/>
        <v>0</v>
      </c>
      <c r="N250" s="36">
        <v>0</v>
      </c>
      <c r="O250" s="5">
        <v>0</v>
      </c>
      <c r="P250" s="37">
        <f t="shared" si="46"/>
        <v>0</v>
      </c>
      <c r="Q250" s="38">
        <v>0</v>
      </c>
      <c r="R250" s="37">
        <f t="shared" si="47"/>
        <v>0</v>
      </c>
      <c r="S250" s="36">
        <v>0</v>
      </c>
      <c r="T250" s="5">
        <v>0</v>
      </c>
      <c r="U250" s="37">
        <f t="shared" si="48"/>
        <v>0</v>
      </c>
      <c r="V250" s="38">
        <v>0</v>
      </c>
      <c r="W250" s="37">
        <f t="shared" si="49"/>
        <v>0</v>
      </c>
      <c r="X250" s="36">
        <v>0</v>
      </c>
      <c r="Y250" s="5">
        <v>0</v>
      </c>
      <c r="Z250" s="37">
        <f t="shared" si="50"/>
        <v>0</v>
      </c>
      <c r="AA250" s="38">
        <v>0</v>
      </c>
      <c r="AB250" s="37">
        <f t="shared" si="51"/>
        <v>0</v>
      </c>
      <c r="AC250" s="36">
        <v>0</v>
      </c>
      <c r="AD250" s="5">
        <v>0</v>
      </c>
      <c r="AE250" s="37">
        <f t="shared" si="52"/>
        <v>0</v>
      </c>
      <c r="AF250" s="38">
        <v>0</v>
      </c>
      <c r="AG250" s="37">
        <f t="shared" si="53"/>
        <v>0</v>
      </c>
      <c r="AH250" s="36">
        <v>0</v>
      </c>
      <c r="AI250" s="5">
        <v>0</v>
      </c>
      <c r="AJ250" s="37">
        <f t="shared" si="54"/>
        <v>0</v>
      </c>
      <c r="AK250" s="38">
        <v>0</v>
      </c>
      <c r="AL250" s="37">
        <f t="shared" si="55"/>
        <v>0</v>
      </c>
      <c r="AM250" s="35"/>
      <c r="AN250" s="35"/>
      <c r="AO250" s="5">
        <v>146</v>
      </c>
      <c r="AP250" s="5">
        <v>0</v>
      </c>
      <c r="AQ250" s="35"/>
      <c r="AR250" s="35"/>
      <c r="AS250" s="122"/>
      <c r="AT250" s="35">
        <v>213</v>
      </c>
      <c r="AU250" s="35" t="s">
        <v>1017</v>
      </c>
    </row>
    <row r="251" spans="1:47" x14ac:dyDescent="0.15">
      <c r="A251" s="14" t="s">
        <v>441</v>
      </c>
      <c r="B251" s="5" t="s">
        <v>442</v>
      </c>
      <c r="C251" s="36">
        <v>0</v>
      </c>
      <c r="D251" s="36">
        <v>0</v>
      </c>
      <c r="E251" s="5">
        <v>0</v>
      </c>
      <c r="F251" s="37">
        <f t="shared" si="42"/>
        <v>0</v>
      </c>
      <c r="G251" s="38">
        <v>0</v>
      </c>
      <c r="H251" s="37">
        <f t="shared" si="43"/>
        <v>0</v>
      </c>
      <c r="I251" s="36">
        <v>8</v>
      </c>
      <c r="J251" s="5">
        <v>8</v>
      </c>
      <c r="K251" s="37">
        <f t="shared" si="44"/>
        <v>0</v>
      </c>
      <c r="L251" s="38">
        <v>0</v>
      </c>
      <c r="M251" s="37">
        <f t="shared" si="45"/>
        <v>0</v>
      </c>
      <c r="N251" s="36">
        <v>0</v>
      </c>
      <c r="O251" s="5">
        <v>0</v>
      </c>
      <c r="P251" s="37">
        <f t="shared" si="46"/>
        <v>0</v>
      </c>
      <c r="Q251" s="38">
        <v>0</v>
      </c>
      <c r="R251" s="37">
        <f t="shared" si="47"/>
        <v>0</v>
      </c>
      <c r="S251" s="36">
        <v>0</v>
      </c>
      <c r="T251" s="5">
        <v>0</v>
      </c>
      <c r="U251" s="37">
        <f t="shared" si="48"/>
        <v>0</v>
      </c>
      <c r="V251" s="38">
        <v>0</v>
      </c>
      <c r="W251" s="37">
        <f t="shared" si="49"/>
        <v>0</v>
      </c>
      <c r="X251" s="36">
        <v>0</v>
      </c>
      <c r="Y251" s="5">
        <v>0</v>
      </c>
      <c r="Z251" s="37">
        <f t="shared" si="50"/>
        <v>0</v>
      </c>
      <c r="AA251" s="38">
        <v>0</v>
      </c>
      <c r="AB251" s="37">
        <f t="shared" si="51"/>
        <v>0</v>
      </c>
      <c r="AC251" s="36">
        <v>0</v>
      </c>
      <c r="AD251" s="5">
        <v>0</v>
      </c>
      <c r="AE251" s="37">
        <f t="shared" si="52"/>
        <v>0</v>
      </c>
      <c r="AF251" s="38">
        <v>0</v>
      </c>
      <c r="AG251" s="37">
        <f t="shared" si="53"/>
        <v>0</v>
      </c>
      <c r="AH251" s="36">
        <v>0</v>
      </c>
      <c r="AI251" s="5">
        <v>0</v>
      </c>
      <c r="AJ251" s="37">
        <f t="shared" si="54"/>
        <v>0</v>
      </c>
      <c r="AK251" s="38">
        <v>0</v>
      </c>
      <c r="AL251" s="37">
        <f t="shared" si="55"/>
        <v>0</v>
      </c>
      <c r="AM251" s="35"/>
      <c r="AN251" s="35"/>
      <c r="AO251" s="5">
        <v>149</v>
      </c>
      <c r="AP251" s="5">
        <v>0</v>
      </c>
      <c r="AQ251" s="35"/>
      <c r="AR251" s="35"/>
      <c r="AS251" s="122"/>
      <c r="AT251" s="35">
        <v>213</v>
      </c>
      <c r="AU251" s="35" t="s">
        <v>1017</v>
      </c>
    </row>
    <row r="252" spans="1:47" x14ac:dyDescent="0.15">
      <c r="A252" s="14" t="s">
        <v>443</v>
      </c>
      <c r="B252" s="5" t="s">
        <v>444</v>
      </c>
      <c r="C252" s="36">
        <v>0</v>
      </c>
      <c r="D252" s="36">
        <v>0</v>
      </c>
      <c r="E252" s="5">
        <v>0</v>
      </c>
      <c r="F252" s="37">
        <f t="shared" si="42"/>
        <v>0</v>
      </c>
      <c r="G252" s="38">
        <v>0</v>
      </c>
      <c r="H252" s="37">
        <f t="shared" si="43"/>
        <v>0</v>
      </c>
      <c r="I252" s="36">
        <v>4</v>
      </c>
      <c r="J252" s="5">
        <v>4</v>
      </c>
      <c r="K252" s="37">
        <f t="shared" si="44"/>
        <v>0</v>
      </c>
      <c r="L252" s="38">
        <v>0</v>
      </c>
      <c r="M252" s="37">
        <f t="shared" si="45"/>
        <v>0</v>
      </c>
      <c r="N252" s="36">
        <v>0</v>
      </c>
      <c r="O252" s="5">
        <v>0</v>
      </c>
      <c r="P252" s="37">
        <f t="shared" si="46"/>
        <v>0</v>
      </c>
      <c r="Q252" s="38">
        <v>0</v>
      </c>
      <c r="R252" s="37">
        <f t="shared" si="47"/>
        <v>0</v>
      </c>
      <c r="S252" s="36">
        <v>0</v>
      </c>
      <c r="T252" s="5">
        <v>0</v>
      </c>
      <c r="U252" s="37">
        <f t="shared" si="48"/>
        <v>0</v>
      </c>
      <c r="V252" s="38">
        <v>0</v>
      </c>
      <c r="W252" s="37">
        <f t="shared" si="49"/>
        <v>0</v>
      </c>
      <c r="X252" s="36">
        <v>0</v>
      </c>
      <c r="Y252" s="5">
        <v>0</v>
      </c>
      <c r="Z252" s="37">
        <f t="shared" si="50"/>
        <v>0</v>
      </c>
      <c r="AA252" s="38">
        <v>0</v>
      </c>
      <c r="AB252" s="37">
        <f t="shared" si="51"/>
        <v>0</v>
      </c>
      <c r="AC252" s="36">
        <v>0</v>
      </c>
      <c r="AD252" s="5">
        <v>0</v>
      </c>
      <c r="AE252" s="37">
        <f t="shared" si="52"/>
        <v>0</v>
      </c>
      <c r="AF252" s="38">
        <v>0</v>
      </c>
      <c r="AG252" s="37">
        <f t="shared" si="53"/>
        <v>0</v>
      </c>
      <c r="AH252" s="36">
        <v>0</v>
      </c>
      <c r="AI252" s="5">
        <v>0</v>
      </c>
      <c r="AJ252" s="37">
        <f t="shared" si="54"/>
        <v>0</v>
      </c>
      <c r="AK252" s="38">
        <v>0</v>
      </c>
      <c r="AL252" s="37">
        <f t="shared" si="55"/>
        <v>0</v>
      </c>
      <c r="AM252" s="35"/>
      <c r="AN252" s="35"/>
      <c r="AO252" s="5">
        <v>162</v>
      </c>
      <c r="AP252" s="5">
        <v>0</v>
      </c>
      <c r="AQ252" s="35"/>
      <c r="AR252" s="35"/>
      <c r="AS252" s="122"/>
      <c r="AT252" s="35">
        <v>213</v>
      </c>
      <c r="AU252" s="35" t="s">
        <v>1017</v>
      </c>
    </row>
    <row r="253" spans="1:47" x14ac:dyDescent="0.15">
      <c r="A253" s="14" t="s">
        <v>445</v>
      </c>
      <c r="B253" s="5" t="s">
        <v>446</v>
      </c>
      <c r="C253" s="36">
        <v>0</v>
      </c>
      <c r="D253" s="36">
        <v>0</v>
      </c>
      <c r="E253" s="5">
        <v>0</v>
      </c>
      <c r="F253" s="37">
        <f t="shared" si="42"/>
        <v>0</v>
      </c>
      <c r="G253" s="38">
        <v>0</v>
      </c>
      <c r="H253" s="37">
        <f t="shared" si="43"/>
        <v>0</v>
      </c>
      <c r="I253" s="36">
        <v>2</v>
      </c>
      <c r="J253" s="5">
        <v>2</v>
      </c>
      <c r="K253" s="37">
        <f t="shared" si="44"/>
        <v>0</v>
      </c>
      <c r="L253" s="38">
        <v>0</v>
      </c>
      <c r="M253" s="37">
        <f t="shared" si="45"/>
        <v>0</v>
      </c>
      <c r="N253" s="36">
        <v>0</v>
      </c>
      <c r="O253" s="5">
        <v>0</v>
      </c>
      <c r="P253" s="37">
        <f t="shared" si="46"/>
        <v>0</v>
      </c>
      <c r="Q253" s="38">
        <v>0</v>
      </c>
      <c r="R253" s="37">
        <f t="shared" si="47"/>
        <v>0</v>
      </c>
      <c r="S253" s="36">
        <v>0</v>
      </c>
      <c r="T253" s="5">
        <v>0</v>
      </c>
      <c r="U253" s="37">
        <f t="shared" si="48"/>
        <v>0</v>
      </c>
      <c r="V253" s="38">
        <v>0</v>
      </c>
      <c r="W253" s="37">
        <f t="shared" si="49"/>
        <v>0</v>
      </c>
      <c r="X253" s="36">
        <v>0</v>
      </c>
      <c r="Y253" s="5">
        <v>0</v>
      </c>
      <c r="Z253" s="37">
        <f t="shared" si="50"/>
        <v>0</v>
      </c>
      <c r="AA253" s="38">
        <v>0</v>
      </c>
      <c r="AB253" s="37">
        <f t="shared" si="51"/>
        <v>0</v>
      </c>
      <c r="AC253" s="36">
        <v>0</v>
      </c>
      <c r="AD253" s="5">
        <v>0</v>
      </c>
      <c r="AE253" s="37">
        <f t="shared" si="52"/>
        <v>0</v>
      </c>
      <c r="AF253" s="38">
        <v>0</v>
      </c>
      <c r="AG253" s="37">
        <f t="shared" si="53"/>
        <v>0</v>
      </c>
      <c r="AH253" s="36">
        <v>0</v>
      </c>
      <c r="AI253" s="5">
        <v>0</v>
      </c>
      <c r="AJ253" s="37">
        <f t="shared" si="54"/>
        <v>0</v>
      </c>
      <c r="AK253" s="38">
        <v>0</v>
      </c>
      <c r="AL253" s="37">
        <f t="shared" si="55"/>
        <v>0</v>
      </c>
      <c r="AM253" s="35"/>
      <c r="AN253" s="35"/>
      <c r="AO253" s="5">
        <v>167</v>
      </c>
      <c r="AP253" s="5">
        <v>0</v>
      </c>
      <c r="AQ253" s="35"/>
      <c r="AR253" s="35"/>
      <c r="AS253" s="122"/>
      <c r="AT253" s="35">
        <v>213</v>
      </c>
      <c r="AU253" s="35" t="s">
        <v>1017</v>
      </c>
    </row>
    <row r="254" spans="1:47" x14ac:dyDescent="0.15">
      <c r="A254" s="14" t="s">
        <v>498</v>
      </c>
      <c r="B254" s="5" t="s">
        <v>499</v>
      </c>
      <c r="C254" s="36">
        <v>0</v>
      </c>
      <c r="D254" s="36">
        <v>0</v>
      </c>
      <c r="E254" s="5">
        <v>0</v>
      </c>
      <c r="F254" s="37">
        <f t="shared" si="42"/>
        <v>0</v>
      </c>
      <c r="G254" s="38">
        <v>0</v>
      </c>
      <c r="H254" s="37">
        <f t="shared" si="43"/>
        <v>0</v>
      </c>
      <c r="I254" s="36">
        <v>0</v>
      </c>
      <c r="J254" s="5">
        <v>0</v>
      </c>
      <c r="K254" s="37">
        <f t="shared" si="44"/>
        <v>0</v>
      </c>
      <c r="L254" s="38">
        <v>0</v>
      </c>
      <c r="M254" s="37">
        <f t="shared" si="45"/>
        <v>0</v>
      </c>
      <c r="N254" s="36">
        <v>0</v>
      </c>
      <c r="O254" s="5">
        <v>0</v>
      </c>
      <c r="P254" s="37">
        <f t="shared" si="46"/>
        <v>0</v>
      </c>
      <c r="Q254" s="38">
        <v>0</v>
      </c>
      <c r="R254" s="37">
        <f t="shared" si="47"/>
        <v>0</v>
      </c>
      <c r="S254" s="36">
        <v>0</v>
      </c>
      <c r="T254" s="5">
        <v>0</v>
      </c>
      <c r="U254" s="37">
        <f t="shared" si="48"/>
        <v>0</v>
      </c>
      <c r="V254" s="38">
        <v>0</v>
      </c>
      <c r="W254" s="37">
        <f t="shared" si="49"/>
        <v>0</v>
      </c>
      <c r="X254" s="36">
        <v>0</v>
      </c>
      <c r="Y254" s="5">
        <v>0</v>
      </c>
      <c r="Z254" s="37">
        <f t="shared" si="50"/>
        <v>0</v>
      </c>
      <c r="AA254" s="38">
        <v>0</v>
      </c>
      <c r="AB254" s="37">
        <f t="shared" si="51"/>
        <v>0</v>
      </c>
      <c r="AC254" s="36">
        <v>0</v>
      </c>
      <c r="AD254" s="5">
        <v>0</v>
      </c>
      <c r="AE254" s="37">
        <f t="shared" si="52"/>
        <v>0</v>
      </c>
      <c r="AF254" s="38">
        <v>0</v>
      </c>
      <c r="AG254" s="37">
        <f t="shared" si="53"/>
        <v>0</v>
      </c>
      <c r="AH254" s="36">
        <v>0</v>
      </c>
      <c r="AI254" s="5">
        <v>0</v>
      </c>
      <c r="AJ254" s="37">
        <f t="shared" si="54"/>
        <v>0</v>
      </c>
      <c r="AK254" s="38">
        <v>0</v>
      </c>
      <c r="AL254" s="37">
        <f t="shared" si="55"/>
        <v>0</v>
      </c>
      <c r="AM254" s="35"/>
      <c r="AN254" s="35"/>
      <c r="AO254" s="5">
        <v>262</v>
      </c>
      <c r="AP254" s="5">
        <v>0</v>
      </c>
      <c r="AQ254" s="35"/>
      <c r="AR254" s="35"/>
      <c r="AS254" s="122"/>
      <c r="AT254" s="35">
        <v>213</v>
      </c>
      <c r="AU254" s="35" t="s">
        <v>1017</v>
      </c>
    </row>
    <row r="255" spans="1:47" x14ac:dyDescent="0.15">
      <c r="A255" s="14" t="s">
        <v>686</v>
      </c>
      <c r="B255" s="5" t="s">
        <v>687</v>
      </c>
      <c r="C255" s="36">
        <v>0</v>
      </c>
      <c r="D255" s="36">
        <v>0</v>
      </c>
      <c r="E255" s="5">
        <v>0</v>
      </c>
      <c r="F255" s="37">
        <f t="shared" si="42"/>
        <v>0</v>
      </c>
      <c r="G255" s="38">
        <v>0</v>
      </c>
      <c r="H255" s="37">
        <f t="shared" si="43"/>
        <v>0</v>
      </c>
      <c r="I255" s="36">
        <v>0</v>
      </c>
      <c r="J255" s="5">
        <v>0</v>
      </c>
      <c r="K255" s="37">
        <f t="shared" si="44"/>
        <v>0</v>
      </c>
      <c r="L255" s="38">
        <v>0</v>
      </c>
      <c r="M255" s="37">
        <f t="shared" si="45"/>
        <v>0</v>
      </c>
      <c r="N255" s="36">
        <v>0</v>
      </c>
      <c r="O255" s="5">
        <v>0</v>
      </c>
      <c r="P255" s="37">
        <f t="shared" si="46"/>
        <v>0</v>
      </c>
      <c r="Q255" s="38">
        <v>0</v>
      </c>
      <c r="R255" s="37">
        <f t="shared" si="47"/>
        <v>0</v>
      </c>
      <c r="S255" s="36">
        <v>2</v>
      </c>
      <c r="T255" s="5">
        <v>1</v>
      </c>
      <c r="U255" s="37">
        <f t="shared" si="48"/>
        <v>1</v>
      </c>
      <c r="V255" s="38">
        <v>0</v>
      </c>
      <c r="W255" s="37">
        <f t="shared" si="49"/>
        <v>1</v>
      </c>
      <c r="X255" s="36">
        <v>0</v>
      </c>
      <c r="Y255" s="5">
        <v>0</v>
      </c>
      <c r="Z255" s="37">
        <f t="shared" si="50"/>
        <v>1</v>
      </c>
      <c r="AA255" s="38">
        <v>0</v>
      </c>
      <c r="AB255" s="37">
        <f t="shared" si="51"/>
        <v>1</v>
      </c>
      <c r="AC255" s="36">
        <v>0</v>
      </c>
      <c r="AD255" s="5">
        <v>0</v>
      </c>
      <c r="AE255" s="37">
        <f t="shared" si="52"/>
        <v>1</v>
      </c>
      <c r="AF255" s="38">
        <v>0</v>
      </c>
      <c r="AG255" s="37">
        <f t="shared" si="53"/>
        <v>1</v>
      </c>
      <c r="AH255" s="36">
        <v>0</v>
      </c>
      <c r="AI255" s="5">
        <v>0</v>
      </c>
      <c r="AJ255" s="37">
        <f t="shared" si="54"/>
        <v>1</v>
      </c>
      <c r="AK255" s="38">
        <v>0</v>
      </c>
      <c r="AL255" s="37">
        <f t="shared" si="55"/>
        <v>1</v>
      </c>
      <c r="AM255" s="35"/>
      <c r="AN255" s="35"/>
      <c r="AO255" s="163">
        <v>1500</v>
      </c>
      <c r="AP255" s="163">
        <v>1500</v>
      </c>
      <c r="AQ255" s="35"/>
      <c r="AR255" s="35"/>
      <c r="AS255" s="122"/>
      <c r="AT255" s="35"/>
      <c r="AU255" s="35"/>
    </row>
    <row r="256" spans="1:47" x14ac:dyDescent="0.15">
      <c r="A256" s="14" t="s">
        <v>688</v>
      </c>
      <c r="B256" s="5" t="s">
        <v>689</v>
      </c>
      <c r="C256" s="36">
        <v>0</v>
      </c>
      <c r="D256" s="36">
        <v>0</v>
      </c>
      <c r="E256" s="5">
        <v>0</v>
      </c>
      <c r="F256" s="37">
        <f t="shared" si="42"/>
        <v>0</v>
      </c>
      <c r="G256" s="38">
        <v>0</v>
      </c>
      <c r="H256" s="37">
        <f t="shared" si="43"/>
        <v>0</v>
      </c>
      <c r="I256" s="36">
        <v>0</v>
      </c>
      <c r="J256" s="5">
        <v>0</v>
      </c>
      <c r="K256" s="37">
        <f t="shared" si="44"/>
        <v>0</v>
      </c>
      <c r="L256" s="38">
        <v>0</v>
      </c>
      <c r="M256" s="37">
        <f t="shared" si="45"/>
        <v>0</v>
      </c>
      <c r="N256" s="36">
        <v>0</v>
      </c>
      <c r="O256" s="5">
        <v>0</v>
      </c>
      <c r="P256" s="37">
        <f t="shared" si="46"/>
        <v>0</v>
      </c>
      <c r="Q256" s="38">
        <v>0</v>
      </c>
      <c r="R256" s="37">
        <f t="shared" si="47"/>
        <v>0</v>
      </c>
      <c r="S256" s="36">
        <v>1</v>
      </c>
      <c r="T256" s="5">
        <v>1</v>
      </c>
      <c r="U256" s="37">
        <f t="shared" si="48"/>
        <v>0</v>
      </c>
      <c r="V256" s="38">
        <v>0</v>
      </c>
      <c r="W256" s="37">
        <f t="shared" si="49"/>
        <v>0</v>
      </c>
      <c r="X256" s="36">
        <v>0</v>
      </c>
      <c r="Y256" s="5">
        <v>0</v>
      </c>
      <c r="Z256" s="37">
        <f t="shared" si="50"/>
        <v>0</v>
      </c>
      <c r="AA256" s="38">
        <v>0</v>
      </c>
      <c r="AB256" s="37">
        <f t="shared" si="51"/>
        <v>0</v>
      </c>
      <c r="AC256" s="36">
        <v>1</v>
      </c>
      <c r="AD256" s="5">
        <v>1</v>
      </c>
      <c r="AE256" s="37">
        <f t="shared" si="52"/>
        <v>0</v>
      </c>
      <c r="AF256" s="38">
        <v>0</v>
      </c>
      <c r="AG256" s="37">
        <f t="shared" si="53"/>
        <v>0</v>
      </c>
      <c r="AH256" s="36">
        <v>0</v>
      </c>
      <c r="AI256" s="5">
        <v>0</v>
      </c>
      <c r="AJ256" s="37">
        <f t="shared" si="54"/>
        <v>0</v>
      </c>
      <c r="AK256" s="38">
        <v>0</v>
      </c>
      <c r="AL256" s="37">
        <f t="shared" si="55"/>
        <v>0</v>
      </c>
      <c r="AM256" s="35"/>
      <c r="AN256" s="35"/>
      <c r="AO256" s="163">
        <v>2000</v>
      </c>
      <c r="AP256" s="163">
        <v>2000</v>
      </c>
      <c r="AQ256" s="35"/>
      <c r="AR256" s="35"/>
      <c r="AS256" s="122"/>
      <c r="AT256" s="35"/>
      <c r="AU256" s="35"/>
    </row>
    <row r="257" spans="1:47" x14ac:dyDescent="0.15">
      <c r="A257" s="14" t="s">
        <v>534</v>
      </c>
      <c r="B257" s="5" t="s">
        <v>535</v>
      </c>
      <c r="C257" s="36">
        <v>0</v>
      </c>
      <c r="D257" s="36">
        <v>0</v>
      </c>
      <c r="E257" s="5">
        <v>0</v>
      </c>
      <c r="F257" s="37">
        <f t="shared" si="42"/>
        <v>0</v>
      </c>
      <c r="G257" s="38">
        <v>0</v>
      </c>
      <c r="H257" s="37">
        <f t="shared" si="43"/>
        <v>0</v>
      </c>
      <c r="I257" s="36">
        <v>7</v>
      </c>
      <c r="J257" s="5">
        <v>7</v>
      </c>
      <c r="K257" s="37">
        <f t="shared" si="44"/>
        <v>0</v>
      </c>
      <c r="L257" s="38">
        <v>0</v>
      </c>
      <c r="M257" s="37">
        <f t="shared" si="45"/>
        <v>0</v>
      </c>
      <c r="N257" s="36">
        <v>0</v>
      </c>
      <c r="O257" s="5">
        <v>0</v>
      </c>
      <c r="P257" s="37">
        <f t="shared" si="46"/>
        <v>0</v>
      </c>
      <c r="Q257" s="38">
        <v>0</v>
      </c>
      <c r="R257" s="37">
        <f t="shared" si="47"/>
        <v>0</v>
      </c>
      <c r="S257" s="36">
        <v>2</v>
      </c>
      <c r="T257" s="5">
        <v>2</v>
      </c>
      <c r="U257" s="37">
        <f t="shared" si="48"/>
        <v>0</v>
      </c>
      <c r="V257" s="38">
        <v>0</v>
      </c>
      <c r="W257" s="37">
        <f t="shared" si="49"/>
        <v>0</v>
      </c>
      <c r="X257" s="36">
        <v>4</v>
      </c>
      <c r="Y257" s="5">
        <v>4</v>
      </c>
      <c r="Z257" s="37">
        <f t="shared" si="50"/>
        <v>0</v>
      </c>
      <c r="AA257" s="38">
        <v>0</v>
      </c>
      <c r="AB257" s="37">
        <f t="shared" si="51"/>
        <v>0</v>
      </c>
      <c r="AC257" s="36">
        <v>2</v>
      </c>
      <c r="AD257" s="5">
        <v>2</v>
      </c>
      <c r="AE257" s="37">
        <f t="shared" si="52"/>
        <v>0</v>
      </c>
      <c r="AF257" s="38">
        <v>0</v>
      </c>
      <c r="AG257" s="37">
        <f t="shared" si="53"/>
        <v>0</v>
      </c>
      <c r="AH257" s="36">
        <v>0</v>
      </c>
      <c r="AI257" s="5">
        <v>0</v>
      </c>
      <c r="AJ257" s="37">
        <f t="shared" si="54"/>
        <v>0</v>
      </c>
      <c r="AK257" s="38">
        <v>0</v>
      </c>
      <c r="AL257" s="37">
        <f t="shared" si="55"/>
        <v>0</v>
      </c>
      <c r="AM257" s="35"/>
      <c r="AN257" s="35"/>
      <c r="AO257" s="5">
        <v>0</v>
      </c>
      <c r="AP257" s="5">
        <v>0</v>
      </c>
      <c r="AQ257" s="35"/>
      <c r="AR257" s="35"/>
      <c r="AS257" s="122"/>
      <c r="AT257" s="35"/>
      <c r="AU257" s="35"/>
    </row>
    <row r="258" spans="1:47" x14ac:dyDescent="0.15">
      <c r="A258" s="14" t="s">
        <v>698</v>
      </c>
      <c r="B258" s="5" t="s">
        <v>699</v>
      </c>
      <c r="C258" s="36">
        <v>0</v>
      </c>
      <c r="D258" s="36">
        <v>0</v>
      </c>
      <c r="E258" s="5">
        <v>0</v>
      </c>
      <c r="F258" s="37">
        <f t="shared" si="42"/>
        <v>0</v>
      </c>
      <c r="G258" s="38">
        <v>0</v>
      </c>
      <c r="H258" s="37">
        <f t="shared" si="43"/>
        <v>0</v>
      </c>
      <c r="I258" s="36">
        <v>0</v>
      </c>
      <c r="J258" s="5">
        <v>0</v>
      </c>
      <c r="K258" s="37">
        <f t="shared" si="44"/>
        <v>0</v>
      </c>
      <c r="L258" s="38">
        <v>0</v>
      </c>
      <c r="M258" s="37">
        <f t="shared" si="45"/>
        <v>0</v>
      </c>
      <c r="N258" s="36">
        <v>0</v>
      </c>
      <c r="O258" s="5">
        <v>0</v>
      </c>
      <c r="P258" s="37">
        <f t="shared" si="46"/>
        <v>0</v>
      </c>
      <c r="Q258" s="38">
        <v>0</v>
      </c>
      <c r="R258" s="37">
        <f t="shared" si="47"/>
        <v>0</v>
      </c>
      <c r="S258" s="36">
        <v>0</v>
      </c>
      <c r="T258" s="5">
        <v>0</v>
      </c>
      <c r="U258" s="37">
        <f t="shared" si="48"/>
        <v>0</v>
      </c>
      <c r="V258" s="38">
        <v>0</v>
      </c>
      <c r="W258" s="37">
        <f t="shared" si="49"/>
        <v>0</v>
      </c>
      <c r="X258" s="36">
        <v>10</v>
      </c>
      <c r="Y258" s="5">
        <v>10</v>
      </c>
      <c r="Z258" s="37">
        <f t="shared" si="50"/>
        <v>0</v>
      </c>
      <c r="AA258" s="38">
        <v>0</v>
      </c>
      <c r="AB258" s="37">
        <f t="shared" si="51"/>
        <v>0</v>
      </c>
      <c r="AC258" s="36">
        <v>0</v>
      </c>
      <c r="AD258" s="5">
        <v>0</v>
      </c>
      <c r="AE258" s="37">
        <f t="shared" si="52"/>
        <v>0</v>
      </c>
      <c r="AF258" s="38">
        <v>0</v>
      </c>
      <c r="AG258" s="37">
        <f t="shared" si="53"/>
        <v>0</v>
      </c>
      <c r="AH258" s="36">
        <v>15</v>
      </c>
      <c r="AI258" s="5">
        <v>15</v>
      </c>
      <c r="AJ258" s="37">
        <f t="shared" si="54"/>
        <v>0</v>
      </c>
      <c r="AK258" s="38">
        <v>0</v>
      </c>
      <c r="AL258" s="37">
        <f t="shared" si="55"/>
        <v>0</v>
      </c>
      <c r="AM258" s="35" t="s">
        <v>949</v>
      </c>
      <c r="AN258" s="35" t="s">
        <v>68</v>
      </c>
      <c r="AO258" s="5">
        <v>180</v>
      </c>
      <c r="AP258" s="5">
        <v>0</v>
      </c>
      <c r="AQ258" s="35"/>
      <c r="AR258" s="35"/>
      <c r="AS258" s="122"/>
      <c r="AT258" s="35">
        <v>230</v>
      </c>
      <c r="AU258" s="35" t="s">
        <v>990</v>
      </c>
    </row>
    <row r="259" spans="1:47" x14ac:dyDescent="0.15">
      <c r="A259" s="14" t="s">
        <v>700</v>
      </c>
      <c r="B259" s="5" t="s">
        <v>701</v>
      </c>
      <c r="C259" s="36">
        <v>0</v>
      </c>
      <c r="D259" s="36">
        <v>0</v>
      </c>
      <c r="E259" s="5">
        <v>0</v>
      </c>
      <c r="F259" s="37">
        <f t="shared" si="42"/>
        <v>0</v>
      </c>
      <c r="G259" s="38">
        <v>0</v>
      </c>
      <c r="H259" s="37">
        <f t="shared" si="43"/>
        <v>0</v>
      </c>
      <c r="I259" s="36">
        <v>0</v>
      </c>
      <c r="J259" s="5">
        <v>0</v>
      </c>
      <c r="K259" s="37">
        <f t="shared" si="44"/>
        <v>0</v>
      </c>
      <c r="L259" s="38">
        <v>0</v>
      </c>
      <c r="M259" s="37">
        <f t="shared" si="45"/>
        <v>0</v>
      </c>
      <c r="N259" s="36">
        <v>0</v>
      </c>
      <c r="O259" s="5">
        <v>0</v>
      </c>
      <c r="P259" s="37">
        <f t="shared" si="46"/>
        <v>0</v>
      </c>
      <c r="Q259" s="38">
        <v>0</v>
      </c>
      <c r="R259" s="37">
        <f t="shared" si="47"/>
        <v>0</v>
      </c>
      <c r="S259" s="36">
        <v>0</v>
      </c>
      <c r="T259" s="5">
        <v>0</v>
      </c>
      <c r="U259" s="37">
        <f t="shared" si="48"/>
        <v>0</v>
      </c>
      <c r="V259" s="38">
        <v>0</v>
      </c>
      <c r="W259" s="37">
        <f t="shared" si="49"/>
        <v>0</v>
      </c>
      <c r="X259" s="36">
        <v>10</v>
      </c>
      <c r="Y259" s="5">
        <v>10</v>
      </c>
      <c r="Z259" s="37">
        <f t="shared" si="50"/>
        <v>0</v>
      </c>
      <c r="AA259" s="38">
        <v>0</v>
      </c>
      <c r="AB259" s="37">
        <f t="shared" si="51"/>
        <v>0</v>
      </c>
      <c r="AC259" s="36">
        <v>0</v>
      </c>
      <c r="AD259" s="5">
        <v>0</v>
      </c>
      <c r="AE259" s="37">
        <f t="shared" si="52"/>
        <v>0</v>
      </c>
      <c r="AF259" s="38">
        <v>0</v>
      </c>
      <c r="AG259" s="37">
        <f t="shared" si="53"/>
        <v>0</v>
      </c>
      <c r="AH259" s="36">
        <v>15</v>
      </c>
      <c r="AI259" s="5">
        <v>15</v>
      </c>
      <c r="AJ259" s="37">
        <f t="shared" si="54"/>
        <v>0</v>
      </c>
      <c r="AK259" s="38">
        <v>0</v>
      </c>
      <c r="AL259" s="37">
        <f t="shared" si="55"/>
        <v>0</v>
      </c>
      <c r="AM259" s="35" t="s">
        <v>949</v>
      </c>
      <c r="AN259" s="35" t="s">
        <v>68</v>
      </c>
      <c r="AO259" s="5">
        <v>180</v>
      </c>
      <c r="AP259" s="5">
        <v>0</v>
      </c>
      <c r="AQ259" s="35"/>
      <c r="AR259" s="35"/>
      <c r="AS259" s="122"/>
      <c r="AT259" s="35">
        <v>230</v>
      </c>
      <c r="AU259" s="35" t="s">
        <v>990</v>
      </c>
    </row>
    <row r="260" spans="1:47" x14ac:dyDescent="0.15">
      <c r="A260" s="14" t="s">
        <v>825</v>
      </c>
      <c r="B260" s="5" t="s">
        <v>826</v>
      </c>
      <c r="C260" s="36">
        <v>24</v>
      </c>
      <c r="D260" s="36">
        <v>0</v>
      </c>
      <c r="E260" s="5">
        <v>0</v>
      </c>
      <c r="F260" s="37">
        <f t="shared" si="42"/>
        <v>24</v>
      </c>
      <c r="G260" s="38">
        <v>0</v>
      </c>
      <c r="H260" s="37">
        <f t="shared" si="43"/>
        <v>24</v>
      </c>
      <c r="I260" s="36">
        <v>0</v>
      </c>
      <c r="J260" s="5">
        <v>14</v>
      </c>
      <c r="K260" s="37">
        <f t="shared" si="44"/>
        <v>10</v>
      </c>
      <c r="L260" s="38">
        <v>0</v>
      </c>
      <c r="M260" s="37">
        <f t="shared" si="45"/>
        <v>10</v>
      </c>
      <c r="N260" s="36">
        <v>0</v>
      </c>
      <c r="O260" s="5">
        <v>0</v>
      </c>
      <c r="P260" s="37">
        <f t="shared" si="46"/>
        <v>10</v>
      </c>
      <c r="Q260" s="38">
        <v>0</v>
      </c>
      <c r="R260" s="37">
        <f t="shared" si="47"/>
        <v>10</v>
      </c>
      <c r="S260" s="36">
        <v>0</v>
      </c>
      <c r="T260" s="5">
        <v>0</v>
      </c>
      <c r="U260" s="37">
        <f t="shared" si="48"/>
        <v>10</v>
      </c>
      <c r="V260" s="38">
        <v>0</v>
      </c>
      <c r="W260" s="37">
        <f t="shared" si="49"/>
        <v>10</v>
      </c>
      <c r="X260" s="36">
        <v>0</v>
      </c>
      <c r="Y260" s="5">
        <v>0</v>
      </c>
      <c r="Z260" s="37">
        <f t="shared" si="50"/>
        <v>10</v>
      </c>
      <c r="AA260" s="38">
        <v>0</v>
      </c>
      <c r="AB260" s="37">
        <f t="shared" si="51"/>
        <v>10</v>
      </c>
      <c r="AC260" s="36">
        <v>0</v>
      </c>
      <c r="AD260" s="5">
        <v>8</v>
      </c>
      <c r="AE260" s="37">
        <f t="shared" si="52"/>
        <v>2</v>
      </c>
      <c r="AF260" s="38">
        <v>0</v>
      </c>
      <c r="AG260" s="37">
        <f t="shared" si="53"/>
        <v>2</v>
      </c>
      <c r="AH260" s="36">
        <v>0</v>
      </c>
      <c r="AI260" s="5">
        <v>0</v>
      </c>
      <c r="AJ260" s="37">
        <f t="shared" si="54"/>
        <v>2</v>
      </c>
      <c r="AK260" s="38">
        <v>0</v>
      </c>
      <c r="AL260" s="37">
        <f t="shared" si="55"/>
        <v>2</v>
      </c>
      <c r="AM260" s="35"/>
      <c r="AN260" s="35" t="s">
        <v>68</v>
      </c>
      <c r="AO260" s="5">
        <v>410</v>
      </c>
      <c r="AP260" s="5">
        <v>0</v>
      </c>
      <c r="AQ260" s="35" t="s">
        <v>67</v>
      </c>
      <c r="AR260" s="35"/>
      <c r="AS260" s="122"/>
      <c r="AT260" s="35">
        <v>183</v>
      </c>
      <c r="AU260" s="35" t="s">
        <v>991</v>
      </c>
    </row>
    <row r="261" spans="1:47" x14ac:dyDescent="0.15">
      <c r="A261" s="14" t="s">
        <v>537</v>
      </c>
      <c r="B261" s="5" t="s">
        <v>538</v>
      </c>
      <c r="C261" s="36">
        <v>28</v>
      </c>
      <c r="D261" s="36">
        <v>0</v>
      </c>
      <c r="E261" s="5">
        <v>0</v>
      </c>
      <c r="F261" s="37">
        <f t="shared" si="42"/>
        <v>28</v>
      </c>
      <c r="G261" s="38">
        <v>0</v>
      </c>
      <c r="H261" s="37">
        <f t="shared" si="43"/>
        <v>28</v>
      </c>
      <c r="I261" s="36">
        <v>0</v>
      </c>
      <c r="J261" s="5">
        <v>0</v>
      </c>
      <c r="K261" s="37">
        <f t="shared" si="44"/>
        <v>28</v>
      </c>
      <c r="L261" s="38">
        <v>0</v>
      </c>
      <c r="M261" s="37">
        <f t="shared" si="45"/>
        <v>28</v>
      </c>
      <c r="N261" s="36">
        <v>0</v>
      </c>
      <c r="O261" s="5">
        <v>0</v>
      </c>
      <c r="P261" s="37">
        <f t="shared" si="46"/>
        <v>28</v>
      </c>
      <c r="Q261" s="38">
        <v>0</v>
      </c>
      <c r="R261" s="37">
        <f t="shared" si="47"/>
        <v>28</v>
      </c>
      <c r="S261" s="36">
        <v>0</v>
      </c>
      <c r="T261" s="5">
        <v>0</v>
      </c>
      <c r="U261" s="37">
        <f t="shared" si="48"/>
        <v>28</v>
      </c>
      <c r="V261" s="38">
        <v>0</v>
      </c>
      <c r="W261" s="37">
        <f t="shared" si="49"/>
        <v>28</v>
      </c>
      <c r="X261" s="36">
        <v>0</v>
      </c>
      <c r="Y261" s="5">
        <v>0</v>
      </c>
      <c r="Z261" s="37">
        <f t="shared" si="50"/>
        <v>28</v>
      </c>
      <c r="AA261" s="38">
        <v>0</v>
      </c>
      <c r="AB261" s="37">
        <f t="shared" si="51"/>
        <v>28</v>
      </c>
      <c r="AC261" s="36">
        <v>0</v>
      </c>
      <c r="AD261" s="5">
        <v>0</v>
      </c>
      <c r="AE261" s="37">
        <f t="shared" si="52"/>
        <v>28</v>
      </c>
      <c r="AF261" s="38">
        <v>0</v>
      </c>
      <c r="AG261" s="37">
        <f t="shared" si="53"/>
        <v>28</v>
      </c>
      <c r="AH261" s="36">
        <v>0</v>
      </c>
      <c r="AI261" s="5">
        <v>0</v>
      </c>
      <c r="AJ261" s="37">
        <f t="shared" si="54"/>
        <v>28</v>
      </c>
      <c r="AK261" s="38">
        <v>0</v>
      </c>
      <c r="AL261" s="37">
        <f t="shared" si="55"/>
        <v>28</v>
      </c>
      <c r="AM261" s="35" t="s">
        <v>934</v>
      </c>
      <c r="AN261" s="35" t="s">
        <v>69</v>
      </c>
      <c r="AO261" s="5">
        <v>0</v>
      </c>
      <c r="AP261" s="5">
        <v>0</v>
      </c>
      <c r="AQ261" s="35" t="s">
        <v>67</v>
      </c>
      <c r="AR261" s="35"/>
      <c r="AS261" s="122"/>
      <c r="AT261" s="35"/>
      <c r="AU261" s="35"/>
    </row>
    <row r="262" spans="1:47" x14ac:dyDescent="0.15">
      <c r="A262" s="14" t="s">
        <v>453</v>
      </c>
      <c r="B262" s="5" t="s">
        <v>454</v>
      </c>
      <c r="C262" s="36">
        <v>0</v>
      </c>
      <c r="D262" s="36">
        <v>0</v>
      </c>
      <c r="E262" s="5">
        <v>0</v>
      </c>
      <c r="F262" s="37">
        <f t="shared" si="42"/>
        <v>0</v>
      </c>
      <c r="G262" s="38">
        <v>0</v>
      </c>
      <c r="H262" s="37">
        <f t="shared" si="43"/>
        <v>0</v>
      </c>
      <c r="I262" s="36">
        <v>0</v>
      </c>
      <c r="J262" s="5">
        <v>0</v>
      </c>
      <c r="K262" s="37">
        <f t="shared" si="44"/>
        <v>0</v>
      </c>
      <c r="L262" s="38">
        <v>0</v>
      </c>
      <c r="M262" s="37">
        <f t="shared" si="45"/>
        <v>0</v>
      </c>
      <c r="N262" s="36">
        <v>0</v>
      </c>
      <c r="O262" s="5">
        <v>0</v>
      </c>
      <c r="P262" s="37">
        <f t="shared" si="46"/>
        <v>0</v>
      </c>
      <c r="Q262" s="38">
        <v>0</v>
      </c>
      <c r="R262" s="37">
        <f t="shared" si="47"/>
        <v>0</v>
      </c>
      <c r="S262" s="36">
        <v>0</v>
      </c>
      <c r="T262" s="5">
        <v>0</v>
      </c>
      <c r="U262" s="37">
        <f t="shared" si="48"/>
        <v>0</v>
      </c>
      <c r="V262" s="38">
        <v>0</v>
      </c>
      <c r="W262" s="37">
        <f t="shared" si="49"/>
        <v>0</v>
      </c>
      <c r="X262" s="36">
        <v>0</v>
      </c>
      <c r="Y262" s="5">
        <v>0</v>
      </c>
      <c r="Z262" s="37">
        <f t="shared" si="50"/>
        <v>0</v>
      </c>
      <c r="AA262" s="38">
        <v>0</v>
      </c>
      <c r="AB262" s="37">
        <f t="shared" si="51"/>
        <v>0</v>
      </c>
      <c r="AC262" s="36">
        <v>0</v>
      </c>
      <c r="AD262" s="5">
        <v>2</v>
      </c>
      <c r="AE262" s="37">
        <f t="shared" si="52"/>
        <v>-2</v>
      </c>
      <c r="AF262" s="38">
        <v>0</v>
      </c>
      <c r="AG262" s="37">
        <f t="shared" si="53"/>
        <v>-2</v>
      </c>
      <c r="AH262" s="36">
        <v>0</v>
      </c>
      <c r="AI262" s="5">
        <v>0</v>
      </c>
      <c r="AJ262" s="37">
        <f t="shared" si="54"/>
        <v>-2</v>
      </c>
      <c r="AK262" s="38">
        <v>0</v>
      </c>
      <c r="AL262" s="37">
        <f t="shared" si="55"/>
        <v>-2</v>
      </c>
      <c r="AM262" s="35"/>
      <c r="AN262" s="35" t="s">
        <v>68</v>
      </c>
      <c r="AO262" s="163">
        <v>1440</v>
      </c>
      <c r="AP262" s="5">
        <v>0</v>
      </c>
      <c r="AQ262" s="35"/>
      <c r="AR262" s="35"/>
      <c r="AS262" s="122"/>
      <c r="AT262" s="35"/>
      <c r="AU262" s="35"/>
    </row>
    <row r="263" spans="1:47" x14ac:dyDescent="0.15">
      <c r="A263" s="14" t="s">
        <v>195</v>
      </c>
      <c r="B263" s="5" t="s">
        <v>196</v>
      </c>
      <c r="C263" s="36">
        <v>0</v>
      </c>
      <c r="D263" s="36">
        <v>0</v>
      </c>
      <c r="E263" s="5">
        <v>0</v>
      </c>
      <c r="F263" s="37">
        <f t="shared" si="42"/>
        <v>0</v>
      </c>
      <c r="G263" s="38">
        <v>0</v>
      </c>
      <c r="H263" s="37">
        <f t="shared" si="43"/>
        <v>0</v>
      </c>
      <c r="I263" s="36">
        <v>0</v>
      </c>
      <c r="J263" s="5">
        <v>0</v>
      </c>
      <c r="K263" s="37">
        <f t="shared" si="44"/>
        <v>0</v>
      </c>
      <c r="L263" s="38">
        <v>0</v>
      </c>
      <c r="M263" s="37">
        <f t="shared" si="45"/>
        <v>0</v>
      </c>
      <c r="N263" s="36">
        <v>0</v>
      </c>
      <c r="O263" s="5">
        <v>0</v>
      </c>
      <c r="P263" s="37">
        <f t="shared" si="46"/>
        <v>0</v>
      </c>
      <c r="Q263" s="38">
        <v>0</v>
      </c>
      <c r="R263" s="37">
        <f t="shared" si="47"/>
        <v>0</v>
      </c>
      <c r="S263" s="36">
        <v>0</v>
      </c>
      <c r="T263" s="5">
        <v>0</v>
      </c>
      <c r="U263" s="37">
        <f t="shared" si="48"/>
        <v>0</v>
      </c>
      <c r="V263" s="38">
        <v>0</v>
      </c>
      <c r="W263" s="37">
        <f t="shared" si="49"/>
        <v>0</v>
      </c>
      <c r="X263" s="36">
        <v>0</v>
      </c>
      <c r="Y263" s="5">
        <v>0</v>
      </c>
      <c r="Z263" s="37">
        <f t="shared" si="50"/>
        <v>0</v>
      </c>
      <c r="AA263" s="38">
        <v>0</v>
      </c>
      <c r="AB263" s="37">
        <f t="shared" si="51"/>
        <v>0</v>
      </c>
      <c r="AC263" s="36">
        <v>0</v>
      </c>
      <c r="AD263" s="5">
        <v>150</v>
      </c>
      <c r="AE263" s="37">
        <f t="shared" si="52"/>
        <v>-150</v>
      </c>
      <c r="AF263" s="38">
        <v>0</v>
      </c>
      <c r="AG263" s="37">
        <f t="shared" si="53"/>
        <v>-150</v>
      </c>
      <c r="AH263" s="36">
        <v>0</v>
      </c>
      <c r="AI263" s="5">
        <v>0</v>
      </c>
      <c r="AJ263" s="37">
        <f t="shared" si="54"/>
        <v>-150</v>
      </c>
      <c r="AK263" s="38">
        <v>0</v>
      </c>
      <c r="AL263" s="37">
        <f t="shared" si="55"/>
        <v>-150</v>
      </c>
      <c r="AM263" s="35"/>
      <c r="AN263" s="35" t="s">
        <v>68</v>
      </c>
      <c r="AO263" s="5">
        <v>140</v>
      </c>
      <c r="AP263" s="5">
        <v>0</v>
      </c>
      <c r="AQ263" s="35"/>
      <c r="AR263" s="35"/>
      <c r="AS263" s="122"/>
      <c r="AT263" s="35"/>
      <c r="AU263" s="35"/>
    </row>
  </sheetData>
  <sheetProtection sheet="1" objects="1" scenarios="1"/>
  <phoneticPr fontId="2"/>
  <printOptions gridLines="1"/>
  <pageMargins left="0" right="0" top="0" bottom="0" header="0.51181102362204722" footer="0.51181102362204722"/>
  <pageSetup paperSize="12" scale="2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ShtStockSum.StockSumADDNEW_Click">
                <anchor moveWithCells="1">
                  <from>
                    <xdr:col>1</xdr:col>
                    <xdr:colOff>0</xdr:colOff>
                    <xdr:row>3</xdr:row>
                    <xdr:rowOff>0</xdr:rowOff>
                  </from>
                  <to>
                    <xdr:col>1</xdr:col>
                    <xdr:colOff>771525</xdr:colOff>
                    <xdr:row>4</xdr:row>
                    <xdr:rowOff>0</xdr:rowOff>
                  </to>
                </anchor>
              </controlPr>
            </control>
          </mc:Choice>
        </mc:AlternateContent>
        <mc:AlternateContent xmlns:mc="http://schemas.openxmlformats.org/markup-compatibility/2006">
          <mc:Choice Requires="x14">
            <control shapeId="7174" r:id="rId5" name="Button 6">
              <controlPr defaultSize="0" print="0" autoFill="0" autoPict="0" macro="[0]!ShtStockSum.StockSumREFRESH_Click">
                <anchor moveWithCells="1">
                  <from>
                    <xdr:col>1</xdr:col>
                    <xdr:colOff>771525</xdr:colOff>
                    <xdr:row>3</xdr:row>
                    <xdr:rowOff>0</xdr:rowOff>
                  </from>
                  <to>
                    <xdr:col>2</xdr:col>
                    <xdr:colOff>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6761E-F237-4518-98D9-DF891C03CF0D}">
  <sheetPr codeName="Sheet2"/>
  <dimension ref="A1:I23"/>
  <sheetViews>
    <sheetView workbookViewId="0">
      <selection activeCell="H21" sqref="F3:H21"/>
    </sheetView>
  </sheetViews>
  <sheetFormatPr defaultRowHeight="13.5" x14ac:dyDescent="0.15"/>
  <cols>
    <col min="1" max="1" width="16.375" bestFit="1" customWidth="1"/>
    <col min="2" max="2" width="15" bestFit="1" customWidth="1"/>
    <col min="3" max="3" width="9.125" bestFit="1" customWidth="1"/>
    <col min="4" max="4" width="11.75" bestFit="1" customWidth="1"/>
    <col min="5" max="5" width="14.125" bestFit="1" customWidth="1"/>
    <col min="6" max="6" width="12.75" bestFit="1" customWidth="1"/>
    <col min="7" max="7" width="35.75" bestFit="1" customWidth="1"/>
    <col min="8" max="8" width="9.125" bestFit="1" customWidth="1"/>
    <col min="9" max="9" width="11.625" bestFit="1" customWidth="1"/>
  </cols>
  <sheetData>
    <row r="1" spans="1:9" x14ac:dyDescent="0.15">
      <c r="A1" s="165" t="s">
        <v>1047</v>
      </c>
    </row>
    <row r="3" spans="1:9" x14ac:dyDescent="0.15">
      <c r="A3" t="s">
        <v>348</v>
      </c>
      <c r="B3" t="s">
        <v>70</v>
      </c>
      <c r="C3" t="s">
        <v>71</v>
      </c>
      <c r="D3" t="s">
        <v>72</v>
      </c>
      <c r="E3" t="s">
        <v>1037</v>
      </c>
      <c r="F3" t="s">
        <v>16</v>
      </c>
      <c r="G3" t="s">
        <v>17</v>
      </c>
      <c r="H3" t="s">
        <v>349</v>
      </c>
      <c r="I3" t="s">
        <v>59</v>
      </c>
    </row>
    <row r="4" spans="1:9" x14ac:dyDescent="0.15">
      <c r="A4">
        <v>210</v>
      </c>
      <c r="B4" t="s">
        <v>350</v>
      </c>
      <c r="C4" t="s">
        <v>351</v>
      </c>
      <c r="D4" t="s">
        <v>352</v>
      </c>
      <c r="E4">
        <v>12119</v>
      </c>
      <c r="F4" t="s">
        <v>940</v>
      </c>
      <c r="G4" t="s">
        <v>941</v>
      </c>
      <c r="H4">
        <v>15</v>
      </c>
      <c r="I4" t="s">
        <v>68</v>
      </c>
    </row>
    <row r="5" spans="1:9" x14ac:dyDescent="0.15">
      <c r="A5">
        <v>210</v>
      </c>
      <c r="B5" t="s">
        <v>350</v>
      </c>
      <c r="C5" t="s">
        <v>351</v>
      </c>
      <c r="D5" t="s">
        <v>352</v>
      </c>
      <c r="E5">
        <v>15579</v>
      </c>
      <c r="F5" t="s">
        <v>552</v>
      </c>
      <c r="G5" t="s">
        <v>553</v>
      </c>
      <c r="H5">
        <v>15</v>
      </c>
      <c r="I5" t="s">
        <v>68</v>
      </c>
    </row>
    <row r="6" spans="1:9" x14ac:dyDescent="0.15">
      <c r="A6">
        <v>210</v>
      </c>
      <c r="B6" t="s">
        <v>350</v>
      </c>
      <c r="C6" t="s">
        <v>351</v>
      </c>
      <c r="D6" t="s">
        <v>352</v>
      </c>
      <c r="E6">
        <v>15668</v>
      </c>
      <c r="F6" t="s">
        <v>850</v>
      </c>
      <c r="G6" t="s">
        <v>851</v>
      </c>
      <c r="H6">
        <v>10</v>
      </c>
      <c r="I6" t="s">
        <v>68</v>
      </c>
    </row>
    <row r="7" spans="1:9" x14ac:dyDescent="0.15">
      <c r="A7">
        <v>210</v>
      </c>
      <c r="B7" t="s">
        <v>350</v>
      </c>
      <c r="C7" t="s">
        <v>351</v>
      </c>
      <c r="D7" t="s">
        <v>352</v>
      </c>
      <c r="E7">
        <v>8503</v>
      </c>
      <c r="F7" t="s">
        <v>482</v>
      </c>
      <c r="G7" t="s">
        <v>483</v>
      </c>
      <c r="H7">
        <v>10</v>
      </c>
      <c r="I7" t="s">
        <v>68</v>
      </c>
    </row>
    <row r="8" spans="1:9" x14ac:dyDescent="0.15">
      <c r="A8">
        <v>210</v>
      </c>
      <c r="B8" t="s">
        <v>350</v>
      </c>
      <c r="C8" t="s">
        <v>351</v>
      </c>
      <c r="D8" t="s">
        <v>352</v>
      </c>
      <c r="E8">
        <v>15576</v>
      </c>
      <c r="F8" t="s">
        <v>548</v>
      </c>
      <c r="G8" t="s">
        <v>549</v>
      </c>
      <c r="H8">
        <v>10</v>
      </c>
      <c r="I8" t="s">
        <v>68</v>
      </c>
    </row>
    <row r="9" spans="1:9" x14ac:dyDescent="0.15">
      <c r="A9">
        <v>210</v>
      </c>
      <c r="B9" t="s">
        <v>350</v>
      </c>
      <c r="C9" t="s">
        <v>351</v>
      </c>
      <c r="D9" t="s">
        <v>352</v>
      </c>
      <c r="E9">
        <v>1760</v>
      </c>
      <c r="F9" t="s">
        <v>480</v>
      </c>
      <c r="G9" t="s">
        <v>481</v>
      </c>
      <c r="H9">
        <v>10</v>
      </c>
      <c r="I9" t="s">
        <v>68</v>
      </c>
    </row>
    <row r="10" spans="1:9" x14ac:dyDescent="0.15">
      <c r="A10">
        <v>210</v>
      </c>
      <c r="B10" t="s">
        <v>350</v>
      </c>
      <c r="C10" t="s">
        <v>351</v>
      </c>
      <c r="D10" t="s">
        <v>352</v>
      </c>
      <c r="E10">
        <v>5462</v>
      </c>
      <c r="F10" t="s">
        <v>799</v>
      </c>
      <c r="G10" t="s">
        <v>800</v>
      </c>
      <c r="H10">
        <v>10</v>
      </c>
      <c r="I10" t="s">
        <v>68</v>
      </c>
    </row>
    <row r="11" spans="1:9" x14ac:dyDescent="0.15">
      <c r="A11">
        <v>210</v>
      </c>
      <c r="B11" t="s">
        <v>350</v>
      </c>
      <c r="C11" t="s">
        <v>351</v>
      </c>
      <c r="D11" t="s">
        <v>352</v>
      </c>
      <c r="E11">
        <v>15642</v>
      </c>
      <c r="F11" t="s">
        <v>758</v>
      </c>
      <c r="G11" t="s">
        <v>759</v>
      </c>
      <c r="H11">
        <v>10</v>
      </c>
      <c r="I11" t="s">
        <v>68</v>
      </c>
    </row>
    <row r="12" spans="1:9" x14ac:dyDescent="0.15">
      <c r="A12">
        <v>210</v>
      </c>
      <c r="B12" t="s">
        <v>350</v>
      </c>
      <c r="C12" t="s">
        <v>351</v>
      </c>
      <c r="D12" t="s">
        <v>352</v>
      </c>
      <c r="E12">
        <v>14841</v>
      </c>
      <c r="F12" t="s">
        <v>189</v>
      </c>
      <c r="G12" t="s">
        <v>190</v>
      </c>
      <c r="H12">
        <v>10</v>
      </c>
      <c r="I12" t="s">
        <v>68</v>
      </c>
    </row>
    <row r="13" spans="1:9" x14ac:dyDescent="0.15">
      <c r="A13">
        <v>210</v>
      </c>
      <c r="B13" t="s">
        <v>350</v>
      </c>
      <c r="C13" t="s">
        <v>351</v>
      </c>
      <c r="D13" t="s">
        <v>352</v>
      </c>
      <c r="E13">
        <v>12746</v>
      </c>
      <c r="F13" t="s">
        <v>848</v>
      </c>
      <c r="G13" t="s">
        <v>849</v>
      </c>
      <c r="H13">
        <v>10</v>
      </c>
      <c r="I13" t="s">
        <v>68</v>
      </c>
    </row>
    <row r="14" spans="1:9" x14ac:dyDescent="0.15">
      <c r="A14">
        <v>210</v>
      </c>
      <c r="B14" t="s">
        <v>350</v>
      </c>
      <c r="C14" t="s">
        <v>351</v>
      </c>
      <c r="D14" t="s">
        <v>352</v>
      </c>
      <c r="E14">
        <v>15664</v>
      </c>
      <c r="F14" t="s">
        <v>818</v>
      </c>
      <c r="G14" t="s">
        <v>819</v>
      </c>
      <c r="H14">
        <v>8</v>
      </c>
      <c r="I14" t="s">
        <v>68</v>
      </c>
    </row>
    <row r="15" spans="1:9" x14ac:dyDescent="0.15">
      <c r="A15">
        <v>210</v>
      </c>
      <c r="B15" t="s">
        <v>350</v>
      </c>
      <c r="C15" t="s">
        <v>351</v>
      </c>
      <c r="D15" t="s">
        <v>352</v>
      </c>
      <c r="E15">
        <v>14890</v>
      </c>
      <c r="F15" t="s">
        <v>662</v>
      </c>
      <c r="G15" t="s">
        <v>663</v>
      </c>
      <c r="H15">
        <v>8</v>
      </c>
      <c r="I15" t="s">
        <v>68</v>
      </c>
    </row>
    <row r="16" spans="1:9" x14ac:dyDescent="0.15">
      <c r="A16">
        <v>210</v>
      </c>
      <c r="B16" t="s">
        <v>350</v>
      </c>
      <c r="C16" t="s">
        <v>351</v>
      </c>
      <c r="D16" t="s">
        <v>352</v>
      </c>
      <c r="E16">
        <v>8585</v>
      </c>
      <c r="F16" t="s">
        <v>582</v>
      </c>
      <c r="G16" t="s">
        <v>583</v>
      </c>
      <c r="H16">
        <v>7</v>
      </c>
      <c r="I16" t="s">
        <v>68</v>
      </c>
    </row>
    <row r="17" spans="1:9" x14ac:dyDescent="0.15">
      <c r="A17">
        <v>210</v>
      </c>
      <c r="B17" t="s">
        <v>350</v>
      </c>
      <c r="C17" t="s">
        <v>351</v>
      </c>
      <c r="D17" t="s">
        <v>352</v>
      </c>
      <c r="E17">
        <v>15637</v>
      </c>
      <c r="F17" t="s">
        <v>717</v>
      </c>
      <c r="G17" t="s">
        <v>718</v>
      </c>
      <c r="H17">
        <v>6</v>
      </c>
      <c r="I17" t="s">
        <v>68</v>
      </c>
    </row>
    <row r="18" spans="1:9" x14ac:dyDescent="0.15">
      <c r="A18">
        <v>210</v>
      </c>
      <c r="B18" t="s">
        <v>350</v>
      </c>
      <c r="C18" t="s">
        <v>351</v>
      </c>
      <c r="D18" t="s">
        <v>352</v>
      </c>
      <c r="E18">
        <v>10498</v>
      </c>
      <c r="F18" t="s">
        <v>596</v>
      </c>
      <c r="G18" t="s">
        <v>597</v>
      </c>
      <c r="H18">
        <v>5</v>
      </c>
      <c r="I18" t="s">
        <v>68</v>
      </c>
    </row>
    <row r="19" spans="1:9" x14ac:dyDescent="0.15">
      <c r="A19">
        <v>210</v>
      </c>
      <c r="B19" t="s">
        <v>350</v>
      </c>
      <c r="C19" t="s">
        <v>351</v>
      </c>
      <c r="D19" t="s">
        <v>352</v>
      </c>
      <c r="E19">
        <v>12248</v>
      </c>
      <c r="F19" t="s">
        <v>505</v>
      </c>
      <c r="G19" t="s">
        <v>506</v>
      </c>
      <c r="H19">
        <v>5</v>
      </c>
      <c r="I19" t="s">
        <v>68</v>
      </c>
    </row>
    <row r="20" spans="1:9" x14ac:dyDescent="0.15">
      <c r="A20">
        <v>210</v>
      </c>
      <c r="B20" t="s">
        <v>350</v>
      </c>
      <c r="C20" t="s">
        <v>351</v>
      </c>
      <c r="D20" t="s">
        <v>352</v>
      </c>
      <c r="E20">
        <v>14856</v>
      </c>
      <c r="F20" t="s">
        <v>1021</v>
      </c>
      <c r="G20" t="s">
        <v>1022</v>
      </c>
      <c r="H20">
        <v>5</v>
      </c>
      <c r="I20" t="s">
        <v>68</v>
      </c>
    </row>
    <row r="21" spans="1:9" x14ac:dyDescent="0.15">
      <c r="A21">
        <v>210</v>
      </c>
      <c r="B21" t="s">
        <v>350</v>
      </c>
      <c r="C21" t="s">
        <v>351</v>
      </c>
      <c r="D21" t="s">
        <v>352</v>
      </c>
      <c r="E21">
        <v>8656</v>
      </c>
      <c r="F21" t="s">
        <v>1023</v>
      </c>
      <c r="G21" t="s">
        <v>1024</v>
      </c>
      <c r="H21">
        <v>5</v>
      </c>
      <c r="I21" t="s">
        <v>68</v>
      </c>
    </row>
    <row r="22" spans="1:9" x14ac:dyDescent="0.15">
      <c r="A22">
        <v>210</v>
      </c>
      <c r="B22" t="s">
        <v>350</v>
      </c>
      <c r="C22" t="s">
        <v>351</v>
      </c>
      <c r="D22" t="s">
        <v>352</v>
      </c>
      <c r="E22">
        <v>15651</v>
      </c>
      <c r="F22" t="s">
        <v>760</v>
      </c>
      <c r="G22" t="s">
        <v>761</v>
      </c>
      <c r="H22">
        <v>0</v>
      </c>
      <c r="I22" t="s">
        <v>68</v>
      </c>
    </row>
    <row r="23" spans="1:9" x14ac:dyDescent="0.15">
      <c r="A23">
        <v>210</v>
      </c>
      <c r="B23" t="s">
        <v>350</v>
      </c>
      <c r="C23" t="s">
        <v>351</v>
      </c>
      <c r="D23" t="s">
        <v>352</v>
      </c>
      <c r="E23">
        <v>15620</v>
      </c>
      <c r="F23" t="s">
        <v>652</v>
      </c>
      <c r="G23" t="s">
        <v>653</v>
      </c>
      <c r="H23">
        <v>0</v>
      </c>
      <c r="I23" t="s">
        <v>68</v>
      </c>
    </row>
  </sheetData>
  <phoneticPr fontId="2"/>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A2756-9508-46AA-93B5-7D4456EEF821}">
  <sheetPr codeName="Sheet3">
    <pageSetUpPr fitToPage="1"/>
  </sheetPr>
  <dimension ref="A1:J49"/>
  <sheetViews>
    <sheetView workbookViewId="0">
      <selection activeCell="L5" sqref="L5"/>
    </sheetView>
  </sheetViews>
  <sheetFormatPr defaultRowHeight="13.5" x14ac:dyDescent="0.15"/>
  <cols>
    <col min="1" max="1" width="16.375" bestFit="1" customWidth="1"/>
    <col min="2" max="2" width="15" bestFit="1" customWidth="1"/>
    <col min="3" max="3" width="9.125" bestFit="1" customWidth="1"/>
    <col min="4" max="4" width="11.75" bestFit="1" customWidth="1"/>
    <col min="5" max="5" width="12.75" bestFit="1" customWidth="1"/>
    <col min="6" max="6" width="38.5" bestFit="1" customWidth="1"/>
    <col min="7" max="7" width="6.125" customWidth="1"/>
    <col min="8" max="8" width="8.375" customWidth="1"/>
    <col min="10" max="10" width="6" customWidth="1"/>
  </cols>
  <sheetData>
    <row r="1" spans="1:10" x14ac:dyDescent="0.15">
      <c r="A1" s="165" t="s">
        <v>1049</v>
      </c>
    </row>
    <row r="2" spans="1:10" x14ac:dyDescent="0.15">
      <c r="F2" t="s">
        <v>1050</v>
      </c>
    </row>
    <row r="3" spans="1:10" s="62" customFormat="1" x14ac:dyDescent="0.15">
      <c r="A3" s="62" t="s">
        <v>348</v>
      </c>
      <c r="B3" s="62" t="s">
        <v>70</v>
      </c>
      <c r="C3" s="62" t="s">
        <v>71</v>
      </c>
      <c r="D3" s="103" t="s">
        <v>72</v>
      </c>
      <c r="E3" s="103" t="s">
        <v>16</v>
      </c>
      <c r="F3" s="103" t="s">
        <v>17</v>
      </c>
      <c r="G3" s="103" t="s">
        <v>349</v>
      </c>
      <c r="H3" s="103" t="s">
        <v>353</v>
      </c>
      <c r="I3" s="62" t="s">
        <v>1051</v>
      </c>
      <c r="J3" s="62" t="s">
        <v>1052</v>
      </c>
    </row>
    <row r="4" spans="1:10" x14ac:dyDescent="0.15">
      <c r="A4">
        <v>2556</v>
      </c>
      <c r="B4" t="s">
        <v>296</v>
      </c>
      <c r="C4" t="s">
        <v>297</v>
      </c>
      <c r="D4" s="169" t="s">
        <v>299</v>
      </c>
      <c r="E4" s="168" t="s">
        <v>730</v>
      </c>
      <c r="F4" s="170" t="s">
        <v>731</v>
      </c>
      <c r="G4" s="168">
        <v>1</v>
      </c>
      <c r="H4" s="168" t="s">
        <v>1061</v>
      </c>
      <c r="I4" s="173">
        <v>0</v>
      </c>
      <c r="J4" s="170" t="s">
        <v>1061</v>
      </c>
    </row>
    <row r="5" spans="1:10" x14ac:dyDescent="0.15">
      <c r="A5">
        <v>2556</v>
      </c>
      <c r="B5" t="s">
        <v>296</v>
      </c>
      <c r="C5" t="s">
        <v>297</v>
      </c>
      <c r="D5" s="169" t="s">
        <v>299</v>
      </c>
      <c r="E5" s="168" t="s">
        <v>770</v>
      </c>
      <c r="F5" s="168" t="s">
        <v>771</v>
      </c>
      <c r="G5" s="168">
        <v>1</v>
      </c>
      <c r="H5" s="168" t="s">
        <v>1061</v>
      </c>
      <c r="I5" s="103">
        <v>0</v>
      </c>
      <c r="J5" s="168" t="s">
        <v>1061</v>
      </c>
    </row>
    <row r="6" spans="1:10" x14ac:dyDescent="0.15">
      <c r="A6">
        <v>2556</v>
      </c>
      <c r="B6" t="s">
        <v>296</v>
      </c>
      <c r="C6" t="s">
        <v>297</v>
      </c>
      <c r="D6" s="169" t="s">
        <v>299</v>
      </c>
      <c r="E6" s="168" t="s">
        <v>550</v>
      </c>
      <c r="F6" s="168" t="s">
        <v>551</v>
      </c>
      <c r="G6" s="168">
        <v>1</v>
      </c>
      <c r="H6" s="168" t="s">
        <v>1061</v>
      </c>
      <c r="I6" s="103">
        <v>0</v>
      </c>
      <c r="J6" s="168" t="s">
        <v>1061</v>
      </c>
    </row>
    <row r="7" spans="1:10" x14ac:dyDescent="0.15">
      <c r="A7">
        <v>2556</v>
      </c>
      <c r="B7" t="s">
        <v>296</v>
      </c>
      <c r="C7" t="s">
        <v>297</v>
      </c>
      <c r="D7" s="169" t="s">
        <v>299</v>
      </c>
      <c r="E7" s="168" t="s">
        <v>369</v>
      </c>
      <c r="F7" s="168" t="s">
        <v>370</v>
      </c>
      <c r="G7" s="168">
        <v>3</v>
      </c>
      <c r="H7" s="168">
        <v>298</v>
      </c>
      <c r="I7" s="103">
        <v>0</v>
      </c>
      <c r="J7" s="168" t="s">
        <v>1061</v>
      </c>
    </row>
    <row r="8" spans="1:10" x14ac:dyDescent="0.15">
      <c r="A8">
        <v>2556</v>
      </c>
      <c r="B8" t="s">
        <v>296</v>
      </c>
      <c r="C8" t="s">
        <v>297</v>
      </c>
      <c r="D8" s="169" t="s">
        <v>299</v>
      </c>
      <c r="E8" s="168" t="s">
        <v>338</v>
      </c>
      <c r="F8" s="168" t="s">
        <v>339</v>
      </c>
      <c r="G8" s="168">
        <v>4</v>
      </c>
      <c r="H8" s="168">
        <v>268</v>
      </c>
      <c r="I8" s="103">
        <v>0</v>
      </c>
      <c r="J8" s="168" t="s">
        <v>1061</v>
      </c>
    </row>
    <row r="9" spans="1:10" x14ac:dyDescent="0.15">
      <c r="A9">
        <v>2556</v>
      </c>
      <c r="B9" t="s">
        <v>296</v>
      </c>
      <c r="C9" t="s">
        <v>297</v>
      </c>
      <c r="D9" s="169" t="s">
        <v>299</v>
      </c>
      <c r="E9" s="168" t="s">
        <v>181</v>
      </c>
      <c r="F9" s="168" t="s">
        <v>182</v>
      </c>
      <c r="G9" s="168">
        <v>2</v>
      </c>
      <c r="H9" s="168">
        <v>258</v>
      </c>
      <c r="I9" s="103">
        <v>0</v>
      </c>
      <c r="J9" s="168" t="s">
        <v>1061</v>
      </c>
    </row>
    <row r="10" spans="1:10" x14ac:dyDescent="0.15">
      <c r="A10">
        <v>2556</v>
      </c>
      <c r="B10" t="s">
        <v>296</v>
      </c>
      <c r="C10" t="s">
        <v>297</v>
      </c>
      <c r="D10" s="169" t="s">
        <v>299</v>
      </c>
      <c r="E10" s="168" t="s">
        <v>226</v>
      </c>
      <c r="F10" s="168" t="s">
        <v>227</v>
      </c>
      <c r="G10" s="168">
        <v>2</v>
      </c>
      <c r="H10" s="168">
        <v>258</v>
      </c>
      <c r="I10" s="103">
        <v>0</v>
      </c>
      <c r="J10" s="168" t="s">
        <v>1061</v>
      </c>
    </row>
    <row r="11" spans="1:10" x14ac:dyDescent="0.15">
      <c r="A11">
        <v>2556</v>
      </c>
      <c r="B11" t="s">
        <v>296</v>
      </c>
      <c r="C11" t="s">
        <v>297</v>
      </c>
      <c r="D11" s="169" t="s">
        <v>299</v>
      </c>
      <c r="E11" s="168" t="s">
        <v>503</v>
      </c>
      <c r="F11" s="168" t="s">
        <v>504</v>
      </c>
      <c r="G11" s="168">
        <v>3</v>
      </c>
      <c r="H11" s="168">
        <v>228</v>
      </c>
      <c r="I11" s="103">
        <v>0</v>
      </c>
      <c r="J11" s="168" t="s">
        <v>1061</v>
      </c>
    </row>
    <row r="12" spans="1:10" x14ac:dyDescent="0.15">
      <c r="A12">
        <v>2556</v>
      </c>
      <c r="B12" t="s">
        <v>296</v>
      </c>
      <c r="C12" t="s">
        <v>297</v>
      </c>
      <c r="D12" s="169" t="s">
        <v>299</v>
      </c>
      <c r="E12" s="168" t="s">
        <v>399</v>
      </c>
      <c r="F12" s="168" t="s">
        <v>400</v>
      </c>
      <c r="G12" s="168">
        <v>3</v>
      </c>
      <c r="H12" s="168">
        <v>228</v>
      </c>
      <c r="I12" s="103">
        <v>0</v>
      </c>
      <c r="J12" s="168" t="s">
        <v>1061</v>
      </c>
    </row>
    <row r="13" spans="1:10" x14ac:dyDescent="0.15">
      <c r="A13">
        <v>2556</v>
      </c>
      <c r="B13" t="s">
        <v>296</v>
      </c>
      <c r="C13" t="s">
        <v>297</v>
      </c>
      <c r="D13" s="169" t="s">
        <v>299</v>
      </c>
      <c r="E13" s="168" t="s">
        <v>283</v>
      </c>
      <c r="F13" s="168" t="s">
        <v>284</v>
      </c>
      <c r="G13" s="168">
        <v>3</v>
      </c>
      <c r="H13" s="168">
        <v>180</v>
      </c>
      <c r="I13" s="103">
        <v>0</v>
      </c>
      <c r="J13" s="168" t="s">
        <v>1061</v>
      </c>
    </row>
    <row r="14" spans="1:10" x14ac:dyDescent="0.15">
      <c r="A14">
        <v>2556</v>
      </c>
      <c r="B14" t="s">
        <v>296</v>
      </c>
      <c r="C14" t="s">
        <v>297</v>
      </c>
      <c r="D14" s="169" t="s">
        <v>299</v>
      </c>
      <c r="E14" s="168" t="s">
        <v>815</v>
      </c>
      <c r="F14" s="168" t="s">
        <v>858</v>
      </c>
      <c r="G14" s="168">
        <v>3</v>
      </c>
      <c r="H14" s="168">
        <v>158</v>
      </c>
      <c r="I14" s="103">
        <v>0</v>
      </c>
      <c r="J14" s="168" t="s">
        <v>1061</v>
      </c>
    </row>
    <row r="15" spans="1:10" s="178" customFormat="1" x14ac:dyDescent="0.15">
      <c r="D15" s="179"/>
      <c r="E15" s="179"/>
      <c r="F15" s="179"/>
      <c r="G15" s="179"/>
      <c r="H15" s="179"/>
      <c r="I15" s="180"/>
      <c r="J15" s="179"/>
    </row>
    <row r="16" spans="1:10" ht="27" x14ac:dyDescent="0.15">
      <c r="A16">
        <v>2556</v>
      </c>
      <c r="B16" t="s">
        <v>296</v>
      </c>
      <c r="C16" t="s">
        <v>297</v>
      </c>
      <c r="D16" s="169" t="s">
        <v>299</v>
      </c>
      <c r="E16" s="168" t="s">
        <v>710</v>
      </c>
      <c r="F16" s="172" t="s">
        <v>1055</v>
      </c>
      <c r="G16" s="181">
        <v>2</v>
      </c>
      <c r="H16" s="168" t="s">
        <v>1062</v>
      </c>
      <c r="I16" s="103">
        <v>0</v>
      </c>
      <c r="J16" s="168" t="s">
        <v>1057</v>
      </c>
    </row>
    <row r="17" spans="1:10" ht="40.5" x14ac:dyDescent="0.15">
      <c r="A17">
        <v>2556</v>
      </c>
      <c r="B17" t="s">
        <v>296</v>
      </c>
      <c r="C17" t="s">
        <v>297</v>
      </c>
      <c r="D17" s="169" t="s">
        <v>299</v>
      </c>
      <c r="E17" s="168" t="s">
        <v>494</v>
      </c>
      <c r="F17" s="172" t="s">
        <v>1054</v>
      </c>
      <c r="G17" s="168">
        <v>1</v>
      </c>
      <c r="H17" s="168" t="s">
        <v>1058</v>
      </c>
      <c r="I17" s="103">
        <v>0</v>
      </c>
      <c r="J17" s="168" t="s">
        <v>1057</v>
      </c>
    </row>
    <row r="18" spans="1:10" ht="40.5" x14ac:dyDescent="0.15">
      <c r="A18">
        <v>2556</v>
      </c>
      <c r="B18" t="s">
        <v>296</v>
      </c>
      <c r="C18" t="s">
        <v>297</v>
      </c>
      <c r="D18" s="169" t="s">
        <v>299</v>
      </c>
      <c r="E18" s="168" t="s">
        <v>797</v>
      </c>
      <c r="F18" s="177" t="s">
        <v>1053</v>
      </c>
      <c r="G18" s="168">
        <v>1</v>
      </c>
      <c r="H18" s="168" t="s">
        <v>1056</v>
      </c>
      <c r="I18" s="103">
        <v>0</v>
      </c>
      <c r="J18" s="168" t="s">
        <v>1057</v>
      </c>
    </row>
    <row r="19" spans="1:10" x14ac:dyDescent="0.15">
      <c r="A19">
        <v>2556</v>
      </c>
      <c r="B19" t="s">
        <v>296</v>
      </c>
      <c r="C19" t="s">
        <v>297</v>
      </c>
      <c r="D19" s="169" t="s">
        <v>299</v>
      </c>
      <c r="E19" s="168" t="s">
        <v>799</v>
      </c>
      <c r="F19" s="168" t="s">
        <v>800</v>
      </c>
      <c r="G19" s="168">
        <v>0</v>
      </c>
      <c r="H19" s="168">
        <v>498</v>
      </c>
      <c r="I19" s="103">
        <v>0</v>
      </c>
      <c r="J19" s="168" t="s">
        <v>1057</v>
      </c>
    </row>
    <row r="20" spans="1:10" x14ac:dyDescent="0.15">
      <c r="A20">
        <v>2556</v>
      </c>
      <c r="B20" t="s">
        <v>296</v>
      </c>
      <c r="C20" t="s">
        <v>297</v>
      </c>
      <c r="D20" s="169" t="s">
        <v>299</v>
      </c>
      <c r="E20" s="168" t="s">
        <v>811</v>
      </c>
      <c r="F20" s="168" t="s">
        <v>812</v>
      </c>
      <c r="G20" s="168">
        <v>2</v>
      </c>
      <c r="H20" s="168">
        <v>450</v>
      </c>
      <c r="I20" s="176" t="s">
        <v>1060</v>
      </c>
      <c r="J20" s="168" t="s">
        <v>1057</v>
      </c>
    </row>
    <row r="21" spans="1:10" x14ac:dyDescent="0.15">
      <c r="A21">
        <v>2556</v>
      </c>
      <c r="B21" t="s">
        <v>296</v>
      </c>
      <c r="C21" t="s">
        <v>297</v>
      </c>
      <c r="D21" s="169" t="s">
        <v>299</v>
      </c>
      <c r="E21" s="168" t="s">
        <v>960</v>
      </c>
      <c r="F21" s="168" t="s">
        <v>961</v>
      </c>
      <c r="G21" s="168">
        <v>10</v>
      </c>
      <c r="H21" s="168">
        <v>428</v>
      </c>
      <c r="I21" s="175" t="s">
        <v>1059</v>
      </c>
      <c r="J21" s="168" t="s">
        <v>1057</v>
      </c>
    </row>
    <row r="22" spans="1:10" x14ac:dyDescent="0.15">
      <c r="A22">
        <v>2556</v>
      </c>
      <c r="B22" t="s">
        <v>296</v>
      </c>
      <c r="C22" t="s">
        <v>297</v>
      </c>
      <c r="D22" s="169" t="s">
        <v>299</v>
      </c>
      <c r="E22" s="168" t="s">
        <v>596</v>
      </c>
      <c r="F22" s="168" t="s">
        <v>597</v>
      </c>
      <c r="G22" s="168">
        <v>3</v>
      </c>
      <c r="H22" s="168">
        <v>380</v>
      </c>
      <c r="I22" s="175" t="s">
        <v>1059</v>
      </c>
      <c r="J22" s="168" t="s">
        <v>1057</v>
      </c>
    </row>
    <row r="23" spans="1:10" x14ac:dyDescent="0.15">
      <c r="A23">
        <v>2556</v>
      </c>
      <c r="B23" t="s">
        <v>296</v>
      </c>
      <c r="C23" t="s">
        <v>297</v>
      </c>
      <c r="D23" s="169" t="s">
        <v>299</v>
      </c>
      <c r="E23" s="168" t="s">
        <v>793</v>
      </c>
      <c r="F23" s="168" t="s">
        <v>794</v>
      </c>
      <c r="G23" s="168">
        <v>10</v>
      </c>
      <c r="H23" s="168">
        <v>380</v>
      </c>
      <c r="I23" s="103">
        <v>0</v>
      </c>
      <c r="J23" s="168" t="s">
        <v>1057</v>
      </c>
    </row>
    <row r="24" spans="1:10" x14ac:dyDescent="0.15">
      <c r="A24">
        <v>2556</v>
      </c>
      <c r="B24" t="s">
        <v>296</v>
      </c>
      <c r="C24" t="s">
        <v>297</v>
      </c>
      <c r="D24" s="169" t="s">
        <v>299</v>
      </c>
      <c r="E24" s="168" t="s">
        <v>791</v>
      </c>
      <c r="F24" s="168" t="s">
        <v>792</v>
      </c>
      <c r="G24" s="168">
        <v>10</v>
      </c>
      <c r="H24" s="168">
        <v>360</v>
      </c>
      <c r="I24" s="103">
        <v>0</v>
      </c>
      <c r="J24" s="168" t="s">
        <v>1057</v>
      </c>
    </row>
    <row r="25" spans="1:10" x14ac:dyDescent="0.15">
      <c r="A25">
        <v>2556</v>
      </c>
      <c r="B25" t="s">
        <v>296</v>
      </c>
      <c r="C25" t="s">
        <v>297</v>
      </c>
      <c r="D25" s="169" t="s">
        <v>299</v>
      </c>
      <c r="E25" s="168" t="s">
        <v>758</v>
      </c>
      <c r="F25" s="168" t="s">
        <v>759</v>
      </c>
      <c r="G25" s="168">
        <v>6</v>
      </c>
      <c r="H25" s="168">
        <v>358</v>
      </c>
      <c r="I25" s="175" t="s">
        <v>1059</v>
      </c>
      <c r="J25" s="168" t="s">
        <v>1057</v>
      </c>
    </row>
    <row r="26" spans="1:10" x14ac:dyDescent="0.15">
      <c r="A26">
        <v>2556</v>
      </c>
      <c r="B26" t="s">
        <v>296</v>
      </c>
      <c r="C26" t="s">
        <v>297</v>
      </c>
      <c r="D26" s="169" t="s">
        <v>299</v>
      </c>
      <c r="E26" s="181" t="s">
        <v>850</v>
      </c>
      <c r="F26" s="181" t="s">
        <v>851</v>
      </c>
      <c r="G26" s="168">
        <v>5</v>
      </c>
      <c r="H26" s="168">
        <v>298</v>
      </c>
      <c r="I26" s="103">
        <v>0</v>
      </c>
      <c r="J26" s="168" t="s">
        <v>1057</v>
      </c>
    </row>
    <row r="27" spans="1:10" x14ac:dyDescent="0.15">
      <c r="A27">
        <v>2556</v>
      </c>
      <c r="B27" t="s">
        <v>296</v>
      </c>
      <c r="C27" t="s">
        <v>297</v>
      </c>
      <c r="D27" s="169" t="s">
        <v>299</v>
      </c>
      <c r="E27" s="168" t="s">
        <v>877</v>
      </c>
      <c r="F27" s="168" t="s">
        <v>878</v>
      </c>
      <c r="G27" s="168">
        <v>5</v>
      </c>
      <c r="H27" s="168">
        <v>298</v>
      </c>
      <c r="I27" s="176" t="s">
        <v>1060</v>
      </c>
      <c r="J27" s="168" t="s">
        <v>1057</v>
      </c>
    </row>
    <row r="28" spans="1:10" x14ac:dyDescent="0.15">
      <c r="A28">
        <v>2556</v>
      </c>
      <c r="B28" t="s">
        <v>296</v>
      </c>
      <c r="C28" t="s">
        <v>297</v>
      </c>
      <c r="D28" s="169" t="s">
        <v>299</v>
      </c>
      <c r="E28" s="168" t="s">
        <v>712</v>
      </c>
      <c r="F28" s="168" t="s">
        <v>782</v>
      </c>
      <c r="G28" s="168">
        <v>6</v>
      </c>
      <c r="H28" s="168">
        <v>298</v>
      </c>
      <c r="I28" s="103">
        <v>0</v>
      </c>
      <c r="J28" s="168" t="s">
        <v>1057</v>
      </c>
    </row>
    <row r="29" spans="1:10" x14ac:dyDescent="0.15">
      <c r="A29">
        <v>2556</v>
      </c>
      <c r="B29" t="s">
        <v>296</v>
      </c>
      <c r="C29" t="s">
        <v>297</v>
      </c>
      <c r="D29" s="169" t="s">
        <v>299</v>
      </c>
      <c r="E29" s="168" t="s">
        <v>480</v>
      </c>
      <c r="F29" s="168" t="s">
        <v>481</v>
      </c>
      <c r="G29" s="168">
        <v>10</v>
      </c>
      <c r="H29" s="168">
        <v>298</v>
      </c>
      <c r="I29" s="175" t="s">
        <v>1059</v>
      </c>
      <c r="J29" s="168" t="s">
        <v>1057</v>
      </c>
    </row>
    <row r="30" spans="1:10" x14ac:dyDescent="0.15">
      <c r="A30">
        <v>2556</v>
      </c>
      <c r="B30" t="s">
        <v>296</v>
      </c>
      <c r="C30" t="s">
        <v>297</v>
      </c>
      <c r="D30" s="169" t="s">
        <v>299</v>
      </c>
      <c r="E30" s="168" t="s">
        <v>556</v>
      </c>
      <c r="F30" s="168" t="s">
        <v>557</v>
      </c>
      <c r="G30" s="168">
        <v>2</v>
      </c>
      <c r="H30" s="168">
        <v>298</v>
      </c>
      <c r="I30" s="103">
        <v>0</v>
      </c>
      <c r="J30" s="168" t="s">
        <v>1057</v>
      </c>
    </row>
    <row r="31" spans="1:10" x14ac:dyDescent="0.15">
      <c r="A31">
        <v>2556</v>
      </c>
      <c r="B31" t="s">
        <v>296</v>
      </c>
      <c r="C31" t="s">
        <v>297</v>
      </c>
      <c r="D31" s="169" t="s">
        <v>299</v>
      </c>
      <c r="E31" s="181" t="s">
        <v>921</v>
      </c>
      <c r="F31" s="181" t="s">
        <v>922</v>
      </c>
      <c r="G31" s="168">
        <v>7</v>
      </c>
      <c r="H31" s="168">
        <v>298</v>
      </c>
      <c r="I31" s="103">
        <v>0</v>
      </c>
      <c r="J31" s="168" t="s">
        <v>1057</v>
      </c>
    </row>
    <row r="32" spans="1:10" x14ac:dyDescent="0.15">
      <c r="A32">
        <v>2556</v>
      </c>
      <c r="B32" t="s">
        <v>296</v>
      </c>
      <c r="C32" t="s">
        <v>297</v>
      </c>
      <c r="D32" s="169" t="s">
        <v>299</v>
      </c>
      <c r="E32" s="168" t="s">
        <v>652</v>
      </c>
      <c r="F32" s="168" t="s">
        <v>653</v>
      </c>
      <c r="G32" s="168">
        <v>10</v>
      </c>
      <c r="H32" s="168">
        <v>280</v>
      </c>
      <c r="I32" s="176" t="s">
        <v>1060</v>
      </c>
      <c r="J32" s="168" t="s">
        <v>1057</v>
      </c>
    </row>
    <row r="33" spans="1:10" x14ac:dyDescent="0.15">
      <c r="A33">
        <v>2556</v>
      </c>
      <c r="B33" t="s">
        <v>296</v>
      </c>
      <c r="C33" t="s">
        <v>297</v>
      </c>
      <c r="D33" s="169" t="s">
        <v>299</v>
      </c>
      <c r="E33" s="168" t="s">
        <v>830</v>
      </c>
      <c r="F33" s="168" t="s">
        <v>855</v>
      </c>
      <c r="G33" s="168">
        <v>5</v>
      </c>
      <c r="H33" s="168">
        <v>258</v>
      </c>
      <c r="I33" s="176" t="s">
        <v>1060</v>
      </c>
      <c r="J33" s="168" t="s">
        <v>1057</v>
      </c>
    </row>
    <row r="34" spans="1:10" x14ac:dyDescent="0.15">
      <c r="A34">
        <v>2556</v>
      </c>
      <c r="B34" t="s">
        <v>296</v>
      </c>
      <c r="C34" t="s">
        <v>297</v>
      </c>
      <c r="D34" s="169" t="s">
        <v>299</v>
      </c>
      <c r="E34" s="168" t="s">
        <v>756</v>
      </c>
      <c r="F34" s="168" t="s">
        <v>757</v>
      </c>
      <c r="G34" s="168">
        <v>3</v>
      </c>
      <c r="H34" s="168">
        <v>258</v>
      </c>
      <c r="I34" s="103">
        <v>0</v>
      </c>
      <c r="J34" s="168" t="s">
        <v>1057</v>
      </c>
    </row>
    <row r="35" spans="1:10" x14ac:dyDescent="0.15">
      <c r="A35">
        <v>2556</v>
      </c>
      <c r="B35" t="s">
        <v>296</v>
      </c>
      <c r="C35" t="s">
        <v>297</v>
      </c>
      <c r="D35" s="169" t="s">
        <v>299</v>
      </c>
      <c r="E35" s="168" t="s">
        <v>189</v>
      </c>
      <c r="F35" s="168" t="s">
        <v>190</v>
      </c>
      <c r="G35" s="168">
        <v>5</v>
      </c>
      <c r="H35" s="168">
        <v>258</v>
      </c>
      <c r="I35" s="103">
        <v>0</v>
      </c>
      <c r="J35" s="168" t="s">
        <v>1057</v>
      </c>
    </row>
    <row r="36" spans="1:10" x14ac:dyDescent="0.15">
      <c r="A36">
        <v>2556</v>
      </c>
      <c r="B36" t="s">
        <v>296</v>
      </c>
      <c r="C36" t="s">
        <v>297</v>
      </c>
      <c r="D36" s="169" t="s">
        <v>299</v>
      </c>
      <c r="E36" s="168" t="s">
        <v>485</v>
      </c>
      <c r="F36" s="168" t="s">
        <v>859</v>
      </c>
      <c r="G36" s="168">
        <v>5</v>
      </c>
      <c r="H36" s="168">
        <v>258</v>
      </c>
      <c r="I36" s="176" t="s">
        <v>1060</v>
      </c>
      <c r="J36" s="168" t="s">
        <v>1057</v>
      </c>
    </row>
    <row r="37" spans="1:10" x14ac:dyDescent="0.15">
      <c r="A37">
        <v>2556</v>
      </c>
      <c r="B37" t="s">
        <v>296</v>
      </c>
      <c r="C37" t="s">
        <v>297</v>
      </c>
      <c r="D37" s="169" t="s">
        <v>299</v>
      </c>
      <c r="E37" s="168" t="s">
        <v>624</v>
      </c>
      <c r="F37" s="168" t="s">
        <v>625</v>
      </c>
      <c r="G37" s="168">
        <v>3</v>
      </c>
      <c r="H37" s="168">
        <v>248</v>
      </c>
      <c r="I37" s="103">
        <v>0</v>
      </c>
      <c r="J37" s="168" t="s">
        <v>1057</v>
      </c>
    </row>
    <row r="38" spans="1:10" x14ac:dyDescent="0.15">
      <c r="A38">
        <v>2556</v>
      </c>
      <c r="B38" t="s">
        <v>296</v>
      </c>
      <c r="C38" t="s">
        <v>297</v>
      </c>
      <c r="D38" s="169" t="s">
        <v>299</v>
      </c>
      <c r="E38" s="168" t="s">
        <v>744</v>
      </c>
      <c r="F38" s="168" t="s">
        <v>745</v>
      </c>
      <c r="G38" s="168">
        <v>3</v>
      </c>
      <c r="H38" s="168">
        <v>248</v>
      </c>
      <c r="I38" s="103">
        <v>0</v>
      </c>
      <c r="J38" s="168" t="s">
        <v>1057</v>
      </c>
    </row>
    <row r="39" spans="1:10" x14ac:dyDescent="0.15">
      <c r="A39">
        <v>2556</v>
      </c>
      <c r="B39" t="s">
        <v>296</v>
      </c>
      <c r="C39" t="s">
        <v>297</v>
      </c>
      <c r="D39" s="169" t="s">
        <v>299</v>
      </c>
      <c r="E39" s="168" t="s">
        <v>262</v>
      </c>
      <c r="F39" s="168" t="s">
        <v>263</v>
      </c>
      <c r="G39" s="168">
        <v>10</v>
      </c>
      <c r="H39" s="168">
        <v>248</v>
      </c>
      <c r="I39" s="175" t="s">
        <v>1059</v>
      </c>
      <c r="J39" s="168" t="s">
        <v>1057</v>
      </c>
    </row>
    <row r="40" spans="1:10" x14ac:dyDescent="0.15">
      <c r="A40">
        <v>2556</v>
      </c>
      <c r="B40" t="s">
        <v>296</v>
      </c>
      <c r="C40" t="s">
        <v>297</v>
      </c>
      <c r="D40" s="169" t="s">
        <v>299</v>
      </c>
      <c r="E40" s="168" t="s">
        <v>660</v>
      </c>
      <c r="F40" s="168" t="s">
        <v>661</v>
      </c>
      <c r="G40" s="168">
        <v>8</v>
      </c>
      <c r="H40" s="168">
        <v>228</v>
      </c>
      <c r="I40" s="176" t="s">
        <v>1060</v>
      </c>
      <c r="J40" s="168" t="s">
        <v>1057</v>
      </c>
    </row>
    <row r="41" spans="1:10" x14ac:dyDescent="0.15">
      <c r="A41">
        <v>2556</v>
      </c>
      <c r="B41" t="s">
        <v>296</v>
      </c>
      <c r="C41" t="s">
        <v>297</v>
      </c>
      <c r="D41" s="169" t="s">
        <v>299</v>
      </c>
      <c r="E41" s="168" t="s">
        <v>833</v>
      </c>
      <c r="F41" s="168" t="s">
        <v>834</v>
      </c>
      <c r="G41" s="168">
        <v>3</v>
      </c>
      <c r="H41" s="168">
        <v>228</v>
      </c>
      <c r="I41" s="176" t="s">
        <v>1060</v>
      </c>
      <c r="J41" s="168" t="s">
        <v>1057</v>
      </c>
    </row>
    <row r="42" spans="1:10" x14ac:dyDescent="0.15">
      <c r="A42">
        <v>2556</v>
      </c>
      <c r="B42" t="s">
        <v>296</v>
      </c>
      <c r="C42" t="s">
        <v>297</v>
      </c>
      <c r="D42" s="169" t="s">
        <v>299</v>
      </c>
      <c r="E42" s="168" t="s">
        <v>665</v>
      </c>
      <c r="F42" s="168" t="s">
        <v>666</v>
      </c>
      <c r="G42" s="168">
        <v>3</v>
      </c>
      <c r="H42" s="168">
        <v>228</v>
      </c>
      <c r="I42" s="103">
        <v>0</v>
      </c>
      <c r="J42" s="168" t="s">
        <v>1057</v>
      </c>
    </row>
    <row r="43" spans="1:10" x14ac:dyDescent="0.15">
      <c r="A43">
        <v>2556</v>
      </c>
      <c r="B43" t="s">
        <v>296</v>
      </c>
      <c r="C43" t="s">
        <v>297</v>
      </c>
      <c r="D43" s="169" t="s">
        <v>299</v>
      </c>
      <c r="E43" s="168" t="s">
        <v>667</v>
      </c>
      <c r="F43" s="168" t="s">
        <v>668</v>
      </c>
      <c r="G43" s="168">
        <v>10</v>
      </c>
      <c r="H43" s="168">
        <v>198</v>
      </c>
      <c r="I43" s="176" t="s">
        <v>1060</v>
      </c>
      <c r="J43" s="168" t="s">
        <v>1057</v>
      </c>
    </row>
    <row r="44" spans="1:10" x14ac:dyDescent="0.15">
      <c r="A44">
        <v>2556</v>
      </c>
      <c r="B44" t="s">
        <v>296</v>
      </c>
      <c r="C44" t="s">
        <v>297</v>
      </c>
      <c r="D44" s="169" t="s">
        <v>299</v>
      </c>
      <c r="E44" s="168" t="s">
        <v>575</v>
      </c>
      <c r="F44" s="168" t="s">
        <v>576</v>
      </c>
      <c r="G44" s="168">
        <v>8</v>
      </c>
      <c r="H44" s="168">
        <v>198</v>
      </c>
      <c r="I44" s="176" t="s">
        <v>1060</v>
      </c>
      <c r="J44" s="168" t="s">
        <v>1057</v>
      </c>
    </row>
    <row r="45" spans="1:10" x14ac:dyDescent="0.15">
      <c r="A45">
        <v>2556</v>
      </c>
      <c r="B45" t="s">
        <v>296</v>
      </c>
      <c r="C45" t="s">
        <v>297</v>
      </c>
      <c r="D45" s="169" t="s">
        <v>299</v>
      </c>
      <c r="E45" s="168" t="s">
        <v>647</v>
      </c>
      <c r="F45" s="168" t="s">
        <v>648</v>
      </c>
      <c r="G45" s="168">
        <v>10</v>
      </c>
      <c r="H45" s="168">
        <v>198</v>
      </c>
      <c r="I45" s="175" t="s">
        <v>1059</v>
      </c>
      <c r="J45" s="168" t="s">
        <v>1057</v>
      </c>
    </row>
    <row r="46" spans="1:10" x14ac:dyDescent="0.15">
      <c r="A46">
        <v>2556</v>
      </c>
      <c r="B46" t="s">
        <v>296</v>
      </c>
      <c r="C46" t="s">
        <v>297</v>
      </c>
      <c r="D46" s="169" t="s">
        <v>299</v>
      </c>
      <c r="E46" s="168" t="s">
        <v>582</v>
      </c>
      <c r="F46" s="168" t="s">
        <v>583</v>
      </c>
      <c r="G46" s="168">
        <v>3</v>
      </c>
      <c r="H46" s="168">
        <v>198</v>
      </c>
      <c r="I46" s="176" t="s">
        <v>1060</v>
      </c>
      <c r="J46" s="168" t="s">
        <v>1057</v>
      </c>
    </row>
    <row r="47" spans="1:10" x14ac:dyDescent="0.15">
      <c r="A47">
        <v>2556</v>
      </c>
      <c r="B47" t="s">
        <v>296</v>
      </c>
      <c r="C47" t="s">
        <v>297</v>
      </c>
      <c r="D47" s="169" t="s">
        <v>299</v>
      </c>
      <c r="E47" s="181" t="s">
        <v>940</v>
      </c>
      <c r="F47" s="182" t="s">
        <v>941</v>
      </c>
      <c r="G47" s="168">
        <v>7</v>
      </c>
      <c r="H47" s="168">
        <v>180</v>
      </c>
      <c r="I47" s="103">
        <v>0</v>
      </c>
      <c r="J47" s="168" t="s">
        <v>1057</v>
      </c>
    </row>
    <row r="48" spans="1:10" x14ac:dyDescent="0.15">
      <c r="A48">
        <v>2556</v>
      </c>
      <c r="B48" t="s">
        <v>296</v>
      </c>
      <c r="C48" t="s">
        <v>297</v>
      </c>
      <c r="D48" s="169" t="s">
        <v>299</v>
      </c>
      <c r="E48" s="168" t="s">
        <v>373</v>
      </c>
      <c r="F48" s="168" t="s">
        <v>374</v>
      </c>
      <c r="G48" s="168">
        <v>15</v>
      </c>
      <c r="H48" s="168">
        <v>158</v>
      </c>
      <c r="I48" s="175" t="s">
        <v>1059</v>
      </c>
      <c r="J48" s="168" t="s">
        <v>1057</v>
      </c>
    </row>
    <row r="49" spans="1:10" x14ac:dyDescent="0.15">
      <c r="A49">
        <v>2556</v>
      </c>
      <c r="B49" t="s">
        <v>296</v>
      </c>
      <c r="C49" t="s">
        <v>297</v>
      </c>
      <c r="D49" s="169" t="s">
        <v>299</v>
      </c>
      <c r="E49" s="168" t="s">
        <v>816</v>
      </c>
      <c r="F49" s="168" t="s">
        <v>817</v>
      </c>
      <c r="G49" s="168">
        <v>4</v>
      </c>
      <c r="H49" s="168">
        <v>148</v>
      </c>
      <c r="I49" s="174">
        <v>0</v>
      </c>
      <c r="J49" s="171" t="s">
        <v>1057</v>
      </c>
    </row>
  </sheetData>
  <phoneticPr fontId="2"/>
  <pageMargins left="0.70866141732283472" right="0.70866141732283472" top="0.74803149606299213" bottom="0.74803149606299213" header="0.31496062992125984" footer="0.31496062992125984"/>
  <pageSetup paperSize="9" scale="96"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OrderSum">
    <tabColor rgb="FFFF0000"/>
    <pageSetUpPr fitToPage="1"/>
  </sheetPr>
  <dimension ref="A1:CF516"/>
  <sheetViews>
    <sheetView zoomScaleNormal="100" workbookViewId="0">
      <pane xSplit="3" ySplit="8" topLeftCell="BZ169" activePane="bottomRight" state="frozen"/>
      <selection pane="topRight" activeCell="D1" sqref="D1"/>
      <selection pane="bottomLeft" activeCell="A9" sqref="A9"/>
      <selection pane="bottomRight" activeCell="CE178" sqref="CE178"/>
    </sheetView>
  </sheetViews>
  <sheetFormatPr defaultColWidth="8.625" defaultRowHeight="24" x14ac:dyDescent="0.25"/>
  <cols>
    <col min="1" max="1" width="10.625" style="43" customWidth="1"/>
    <col min="2" max="2" width="30.625" style="43" customWidth="1"/>
    <col min="3" max="3" width="7.625" style="22" customWidth="1"/>
    <col min="4" max="4" width="8.625" style="40" customWidth="1"/>
    <col min="5" max="268" width="8.625" style="22" customWidth="1"/>
    <col min="269" max="16384" width="8.625" style="22"/>
  </cols>
  <sheetData>
    <row r="1" spans="1:84" s="21" customFormat="1" ht="13.5" customHeight="1" x14ac:dyDescent="0.25">
      <c r="A1" s="41"/>
      <c r="B1" s="41"/>
      <c r="D1" s="39"/>
      <c r="W1" s="21" t="s">
        <v>29</v>
      </c>
      <c r="X1" s="21" t="s">
        <v>30</v>
      </c>
      <c r="AO1" s="21" t="s">
        <v>30</v>
      </c>
    </row>
    <row r="2" spans="1:84" s="21" customFormat="1" ht="13.5" customHeight="1" x14ac:dyDescent="0.25">
      <c r="A2" s="42" t="s">
        <v>5</v>
      </c>
      <c r="B2" s="44">
        <v>45817</v>
      </c>
      <c r="D2" s="39"/>
    </row>
    <row r="3" spans="1:84" s="21" customFormat="1" ht="13.5" customHeight="1" x14ac:dyDescent="0.25">
      <c r="A3" s="42"/>
      <c r="B3" s="45"/>
      <c r="D3" s="39"/>
    </row>
    <row r="4" spans="1:84" s="21" customFormat="1" ht="13.5" customHeight="1" x14ac:dyDescent="0.25">
      <c r="A4" s="41"/>
      <c r="B4" s="41"/>
      <c r="D4" s="39"/>
    </row>
    <row r="5" spans="1:84" ht="13.5" x14ac:dyDescent="0.15">
      <c r="A5" s="142" t="s">
        <v>73</v>
      </c>
      <c r="B5" s="146"/>
      <c r="C5" s="135"/>
      <c r="D5" s="134" t="s">
        <v>70</v>
      </c>
      <c r="E5" s="136" t="s">
        <v>71</v>
      </c>
      <c r="F5" s="136" t="s">
        <v>72</v>
      </c>
      <c r="G5" s="135"/>
      <c r="H5" s="135"/>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7"/>
    </row>
    <row r="6" spans="1:84" ht="13.5" x14ac:dyDescent="0.15">
      <c r="A6" s="143"/>
      <c r="B6" s="46"/>
      <c r="C6" s="129"/>
      <c r="D6" s="138" t="s">
        <v>1030</v>
      </c>
      <c r="E6" s="138" t="s">
        <v>285</v>
      </c>
      <c r="F6" s="138" t="s">
        <v>1031</v>
      </c>
      <c r="G6" s="138" t="s">
        <v>1018</v>
      </c>
      <c r="H6" s="138" t="s">
        <v>1038</v>
      </c>
      <c r="I6" s="138" t="s">
        <v>999</v>
      </c>
      <c r="J6" s="138" t="s">
        <v>1032</v>
      </c>
      <c r="K6" s="138" t="s">
        <v>264</v>
      </c>
      <c r="L6" s="138" t="s">
        <v>466</v>
      </c>
      <c r="M6" s="138" t="s">
        <v>1000</v>
      </c>
      <c r="N6" s="138" t="s">
        <v>502</v>
      </c>
      <c r="O6" s="138" t="s">
        <v>286</v>
      </c>
      <c r="P6" s="138" t="s">
        <v>457</v>
      </c>
      <c r="Q6" s="138" t="s">
        <v>515</v>
      </c>
      <c r="R6" s="138" t="s">
        <v>458</v>
      </c>
      <c r="S6" s="138" t="s">
        <v>465</v>
      </c>
      <c r="T6" s="138" t="s">
        <v>461</v>
      </c>
      <c r="U6" s="138" t="s">
        <v>459</v>
      </c>
      <c r="V6" s="138" t="s">
        <v>484</v>
      </c>
      <c r="W6" s="138" t="s">
        <v>287</v>
      </c>
      <c r="X6" s="138" t="s">
        <v>1019</v>
      </c>
      <c r="Y6" s="138" t="s">
        <v>417</v>
      </c>
      <c r="Z6" s="138" t="s">
        <v>606</v>
      </c>
      <c r="AA6" s="138" t="s">
        <v>470</v>
      </c>
      <c r="AB6" s="138" t="s">
        <v>1001</v>
      </c>
      <c r="AC6" s="138" t="s">
        <v>493</v>
      </c>
      <c r="AD6" s="138" t="s">
        <v>288</v>
      </c>
      <c r="AE6" s="138" t="s">
        <v>452</v>
      </c>
      <c r="AF6" s="138" t="s">
        <v>467</v>
      </c>
      <c r="AG6" s="138" t="s">
        <v>289</v>
      </c>
      <c r="AH6" s="138" t="s">
        <v>479</v>
      </c>
      <c r="AI6" s="138" t="s">
        <v>468</v>
      </c>
      <c r="AJ6" s="138" t="s">
        <v>709</v>
      </c>
      <c r="AK6" s="138" t="s">
        <v>265</v>
      </c>
      <c r="AL6" s="138" t="s">
        <v>460</v>
      </c>
      <c r="AM6" s="138" t="s">
        <v>266</v>
      </c>
      <c r="AN6" s="138" t="s">
        <v>781</v>
      </c>
      <c r="AO6" s="138" t="s">
        <v>1033</v>
      </c>
      <c r="AP6" s="138" t="s">
        <v>290</v>
      </c>
      <c r="AQ6" s="138" t="s">
        <v>554</v>
      </c>
      <c r="AR6" s="138" t="s">
        <v>411</v>
      </c>
      <c r="AS6" s="138" t="s">
        <v>462</v>
      </c>
      <c r="AT6" s="138" t="s">
        <v>395</v>
      </c>
      <c r="AU6" s="138" t="s">
        <v>658</v>
      </c>
      <c r="AV6" s="138" t="s">
        <v>267</v>
      </c>
      <c r="AW6" s="138" t="s">
        <v>268</v>
      </c>
      <c r="AX6" s="138" t="s">
        <v>269</v>
      </c>
      <c r="AY6" s="138" t="s">
        <v>412</v>
      </c>
      <c r="AZ6" s="138" t="s">
        <v>1034</v>
      </c>
      <c r="BA6" s="138" t="s">
        <v>1039</v>
      </c>
      <c r="BB6" s="138" t="s">
        <v>881</v>
      </c>
      <c r="BC6" s="138" t="s">
        <v>882</v>
      </c>
      <c r="BD6" s="138" t="s">
        <v>654</v>
      </c>
      <c r="BE6" s="138" t="s">
        <v>270</v>
      </c>
      <c r="BF6" s="138" t="s">
        <v>536</v>
      </c>
      <c r="BG6" s="138" t="s">
        <v>271</v>
      </c>
      <c r="BH6" s="138" t="s">
        <v>291</v>
      </c>
      <c r="BI6" s="138" t="s">
        <v>805</v>
      </c>
      <c r="BJ6" s="138" t="s">
        <v>292</v>
      </c>
      <c r="BK6" s="138" t="s">
        <v>293</v>
      </c>
      <c r="BL6" s="138" t="s">
        <v>303</v>
      </c>
      <c r="BM6" s="138" t="s">
        <v>1035</v>
      </c>
      <c r="BN6" s="138" t="s">
        <v>1020</v>
      </c>
      <c r="BO6" s="138" t="s">
        <v>302</v>
      </c>
      <c r="BP6" s="138" t="s">
        <v>861</v>
      </c>
      <c r="BQ6" s="138" t="s">
        <v>607</v>
      </c>
      <c r="BR6" s="138" t="s">
        <v>1040</v>
      </c>
      <c r="BS6" s="138" t="s">
        <v>1041</v>
      </c>
      <c r="BT6" s="138" t="s">
        <v>1042</v>
      </c>
      <c r="BU6" s="138" t="s">
        <v>1043</v>
      </c>
      <c r="BV6" s="138" t="s">
        <v>1002</v>
      </c>
      <c r="BW6" s="138" t="s">
        <v>1003</v>
      </c>
      <c r="BX6" s="138" t="s">
        <v>1004</v>
      </c>
      <c r="BY6" s="138" t="s">
        <v>473</v>
      </c>
      <c r="BZ6" s="138" t="s">
        <v>1044</v>
      </c>
      <c r="CA6" s="138" t="s">
        <v>350</v>
      </c>
      <c r="CB6" s="138" t="s">
        <v>294</v>
      </c>
      <c r="CC6" s="138" t="s">
        <v>295</v>
      </c>
      <c r="CD6" s="138" t="s">
        <v>1045</v>
      </c>
      <c r="CE6" s="138" t="s">
        <v>296</v>
      </c>
      <c r="CF6" s="139" t="s">
        <v>74</v>
      </c>
    </row>
    <row r="7" spans="1:84" ht="13.5" x14ac:dyDescent="0.15">
      <c r="A7" s="143"/>
      <c r="B7" s="46"/>
      <c r="C7" s="129"/>
      <c r="D7" s="138" t="s">
        <v>171</v>
      </c>
      <c r="E7" s="138" t="s">
        <v>88</v>
      </c>
      <c r="F7" s="138" t="s">
        <v>171</v>
      </c>
      <c r="G7" s="138" t="s">
        <v>171</v>
      </c>
      <c r="H7" s="138" t="s">
        <v>171</v>
      </c>
      <c r="I7" s="138" t="s">
        <v>171</v>
      </c>
      <c r="J7" s="138" t="s">
        <v>171</v>
      </c>
      <c r="K7" s="138" t="s">
        <v>272</v>
      </c>
      <c r="L7" s="138" t="s">
        <v>272</v>
      </c>
      <c r="M7" s="138" t="s">
        <v>272</v>
      </c>
      <c r="N7" s="138" t="s">
        <v>272</v>
      </c>
      <c r="O7" s="138" t="s">
        <v>272</v>
      </c>
      <c r="P7" s="138" t="s">
        <v>272</v>
      </c>
      <c r="Q7" s="138" t="s">
        <v>272</v>
      </c>
      <c r="R7" s="138" t="s">
        <v>272</v>
      </c>
      <c r="S7" s="138" t="s">
        <v>272</v>
      </c>
      <c r="T7" s="138" t="s">
        <v>272</v>
      </c>
      <c r="U7" s="138" t="s">
        <v>272</v>
      </c>
      <c r="V7" s="138" t="s">
        <v>272</v>
      </c>
      <c r="W7" s="138" t="s">
        <v>272</v>
      </c>
      <c r="X7" s="138" t="s">
        <v>272</v>
      </c>
      <c r="Y7" s="138" t="s">
        <v>272</v>
      </c>
      <c r="Z7" s="138" t="s">
        <v>272</v>
      </c>
      <c r="AA7" s="138" t="s">
        <v>272</v>
      </c>
      <c r="AB7" s="138" t="s">
        <v>272</v>
      </c>
      <c r="AC7" s="138" t="s">
        <v>272</v>
      </c>
      <c r="AD7" s="138" t="s">
        <v>272</v>
      </c>
      <c r="AE7" s="138" t="s">
        <v>272</v>
      </c>
      <c r="AF7" s="138" t="s">
        <v>272</v>
      </c>
      <c r="AG7" s="138" t="s">
        <v>272</v>
      </c>
      <c r="AH7" s="138" t="s">
        <v>272</v>
      </c>
      <c r="AI7" s="138" t="s">
        <v>272</v>
      </c>
      <c r="AJ7" s="138" t="s">
        <v>272</v>
      </c>
      <c r="AK7" s="138" t="s">
        <v>272</v>
      </c>
      <c r="AL7" s="138" t="s">
        <v>272</v>
      </c>
      <c r="AM7" s="138" t="s">
        <v>272</v>
      </c>
      <c r="AN7" s="138" t="s">
        <v>272</v>
      </c>
      <c r="AO7" s="138" t="s">
        <v>171</v>
      </c>
      <c r="AP7" s="138" t="s">
        <v>272</v>
      </c>
      <c r="AQ7" s="138" t="s">
        <v>272</v>
      </c>
      <c r="AR7" s="138" t="s">
        <v>272</v>
      </c>
      <c r="AS7" s="138" t="s">
        <v>272</v>
      </c>
      <c r="AT7" s="138" t="s">
        <v>272</v>
      </c>
      <c r="AU7" s="138" t="s">
        <v>272</v>
      </c>
      <c r="AV7" s="138" t="s">
        <v>272</v>
      </c>
      <c r="AW7" s="138" t="s">
        <v>272</v>
      </c>
      <c r="AX7" s="138" t="s">
        <v>272</v>
      </c>
      <c r="AY7" s="138" t="s">
        <v>272</v>
      </c>
      <c r="AZ7" s="138" t="s">
        <v>171</v>
      </c>
      <c r="BA7" s="138" t="s">
        <v>272</v>
      </c>
      <c r="BB7" s="138" t="s">
        <v>272</v>
      </c>
      <c r="BC7" s="138" t="s">
        <v>164</v>
      </c>
      <c r="BD7" s="138" t="s">
        <v>272</v>
      </c>
      <c r="BE7" s="138" t="s">
        <v>272</v>
      </c>
      <c r="BF7" s="138" t="s">
        <v>272</v>
      </c>
      <c r="BG7" s="138" t="s">
        <v>272</v>
      </c>
      <c r="BH7" s="138" t="s">
        <v>165</v>
      </c>
      <c r="BI7" s="138" t="s">
        <v>88</v>
      </c>
      <c r="BJ7" s="138" t="s">
        <v>164</v>
      </c>
      <c r="BK7" s="138" t="s">
        <v>165</v>
      </c>
      <c r="BL7" s="138" t="s">
        <v>164</v>
      </c>
      <c r="BM7" s="138" t="s">
        <v>165</v>
      </c>
      <c r="BN7" s="138" t="s">
        <v>88</v>
      </c>
      <c r="BO7" s="138" t="s">
        <v>164</v>
      </c>
      <c r="BP7" s="138" t="s">
        <v>164</v>
      </c>
      <c r="BQ7" s="138" t="s">
        <v>164</v>
      </c>
      <c r="BR7" s="138" t="s">
        <v>165</v>
      </c>
      <c r="BS7" s="138" t="s">
        <v>165</v>
      </c>
      <c r="BT7" s="138" t="s">
        <v>88</v>
      </c>
      <c r="BU7" s="138" t="s">
        <v>164</v>
      </c>
      <c r="BV7" s="138" t="s">
        <v>171</v>
      </c>
      <c r="BW7" s="138" t="s">
        <v>171</v>
      </c>
      <c r="BX7" s="138" t="s">
        <v>171</v>
      </c>
      <c r="BY7" s="138" t="s">
        <v>272</v>
      </c>
      <c r="BZ7" s="138" t="s">
        <v>359</v>
      </c>
      <c r="CA7" s="138" t="s">
        <v>351</v>
      </c>
      <c r="CB7" s="138" t="s">
        <v>165</v>
      </c>
      <c r="CC7" s="138" t="s">
        <v>297</v>
      </c>
      <c r="CD7" s="138" t="s">
        <v>420</v>
      </c>
      <c r="CE7" s="138" t="s">
        <v>297</v>
      </c>
      <c r="CF7" s="140"/>
    </row>
    <row r="8" spans="1:84" ht="13.5" x14ac:dyDescent="0.15">
      <c r="A8" s="134" t="s">
        <v>16</v>
      </c>
      <c r="B8" s="134" t="s">
        <v>17</v>
      </c>
      <c r="C8" s="134" t="s">
        <v>59</v>
      </c>
      <c r="D8" s="138" t="s">
        <v>1036</v>
      </c>
      <c r="E8" s="138" t="s">
        <v>106</v>
      </c>
      <c r="F8" s="138" t="s">
        <v>361</v>
      </c>
      <c r="G8" s="138" t="s">
        <v>362</v>
      </c>
      <c r="H8" s="138" t="s">
        <v>363</v>
      </c>
      <c r="I8" s="138" t="s">
        <v>364</v>
      </c>
      <c r="J8" s="138" t="s">
        <v>426</v>
      </c>
      <c r="K8" s="138" t="s">
        <v>99</v>
      </c>
      <c r="L8" s="138" t="s">
        <v>230</v>
      </c>
      <c r="M8" s="138" t="s">
        <v>166</v>
      </c>
      <c r="N8" s="138" t="s">
        <v>320</v>
      </c>
      <c r="O8" s="138" t="s">
        <v>148</v>
      </c>
      <c r="P8" s="138" t="s">
        <v>192</v>
      </c>
      <c r="Q8" s="138" t="s">
        <v>167</v>
      </c>
      <c r="R8" s="138" t="s">
        <v>193</v>
      </c>
      <c r="S8" s="138" t="s">
        <v>199</v>
      </c>
      <c r="T8" s="138" t="s">
        <v>138</v>
      </c>
      <c r="U8" s="138" t="s">
        <v>126</v>
      </c>
      <c r="V8" s="138" t="s">
        <v>321</v>
      </c>
      <c r="W8" s="138" t="s">
        <v>136</v>
      </c>
      <c r="X8" s="138" t="s">
        <v>172</v>
      </c>
      <c r="Y8" s="138" t="s">
        <v>170</v>
      </c>
      <c r="Z8" s="138" t="s">
        <v>174</v>
      </c>
      <c r="AA8" s="138" t="s">
        <v>185</v>
      </c>
      <c r="AB8" s="138" t="s">
        <v>1005</v>
      </c>
      <c r="AC8" s="138" t="s">
        <v>129</v>
      </c>
      <c r="AD8" s="138" t="s">
        <v>149</v>
      </c>
      <c r="AE8" s="138" t="s">
        <v>159</v>
      </c>
      <c r="AF8" s="138" t="s">
        <v>109</v>
      </c>
      <c r="AG8" s="138" t="s">
        <v>173</v>
      </c>
      <c r="AH8" s="138" t="s">
        <v>155</v>
      </c>
      <c r="AI8" s="138" t="s">
        <v>121</v>
      </c>
      <c r="AJ8" s="138" t="s">
        <v>137</v>
      </c>
      <c r="AK8" s="138" t="s">
        <v>86</v>
      </c>
      <c r="AL8" s="138" t="s">
        <v>122</v>
      </c>
      <c r="AM8" s="138" t="s">
        <v>168</v>
      </c>
      <c r="AN8" s="138" t="s">
        <v>111</v>
      </c>
      <c r="AO8" s="138" t="s">
        <v>365</v>
      </c>
      <c r="AP8" s="138" t="s">
        <v>87</v>
      </c>
      <c r="AQ8" s="138" t="s">
        <v>555</v>
      </c>
      <c r="AR8" s="138" t="s">
        <v>179</v>
      </c>
      <c r="AS8" s="138" t="s">
        <v>194</v>
      </c>
      <c r="AT8" s="138" t="s">
        <v>123</v>
      </c>
      <c r="AU8" s="138" t="s">
        <v>659</v>
      </c>
      <c r="AV8" s="138" t="s">
        <v>110</v>
      </c>
      <c r="AW8" s="138" t="s">
        <v>139</v>
      </c>
      <c r="AX8" s="138" t="s">
        <v>112</v>
      </c>
      <c r="AY8" s="138" t="s">
        <v>169</v>
      </c>
      <c r="AZ8" s="138" t="s">
        <v>366</v>
      </c>
      <c r="BA8" s="138" t="s">
        <v>158</v>
      </c>
      <c r="BB8" s="138" t="s">
        <v>186</v>
      </c>
      <c r="BC8" s="138" t="s">
        <v>423</v>
      </c>
      <c r="BD8" s="138" t="s">
        <v>198</v>
      </c>
      <c r="BE8" s="138" t="s">
        <v>142</v>
      </c>
      <c r="BF8" s="138" t="s">
        <v>154</v>
      </c>
      <c r="BG8" s="138" t="s">
        <v>115</v>
      </c>
      <c r="BH8" s="138" t="s">
        <v>135</v>
      </c>
      <c r="BI8" s="138" t="s">
        <v>206</v>
      </c>
      <c r="BJ8" s="138" t="s">
        <v>180</v>
      </c>
      <c r="BK8" s="138" t="s">
        <v>275</v>
      </c>
      <c r="BL8" s="138" t="s">
        <v>232</v>
      </c>
      <c r="BM8" s="138" t="s">
        <v>276</v>
      </c>
      <c r="BN8" s="138" t="s">
        <v>277</v>
      </c>
      <c r="BO8" s="138" t="s">
        <v>346</v>
      </c>
      <c r="BP8" s="138" t="s">
        <v>862</v>
      </c>
      <c r="BQ8" s="138" t="s">
        <v>608</v>
      </c>
      <c r="BR8" s="138" t="s">
        <v>424</v>
      </c>
      <c r="BS8" s="138" t="s">
        <v>1046</v>
      </c>
      <c r="BT8" s="138" t="s">
        <v>427</v>
      </c>
      <c r="BU8" s="138" t="s">
        <v>447</v>
      </c>
      <c r="BV8" s="138" t="s">
        <v>367</v>
      </c>
      <c r="BW8" s="138" t="s">
        <v>425</v>
      </c>
      <c r="BX8" s="138" t="s">
        <v>233</v>
      </c>
      <c r="BY8" s="138" t="s">
        <v>231</v>
      </c>
      <c r="BZ8" s="138" t="s">
        <v>368</v>
      </c>
      <c r="CA8" s="138" t="s">
        <v>352</v>
      </c>
      <c r="CB8" s="138" t="s">
        <v>469</v>
      </c>
      <c r="CC8" s="138" t="s">
        <v>298</v>
      </c>
      <c r="CD8" s="138" t="s">
        <v>448</v>
      </c>
      <c r="CE8" s="138" t="s">
        <v>299</v>
      </c>
      <c r="CF8" s="140"/>
    </row>
    <row r="9" spans="1:84" ht="13.5" x14ac:dyDescent="0.15">
      <c r="A9" s="144" t="s">
        <v>791</v>
      </c>
      <c r="B9" s="144" t="s">
        <v>792</v>
      </c>
      <c r="C9" s="138" t="s">
        <v>68</v>
      </c>
      <c r="D9" s="138"/>
      <c r="E9" s="138"/>
      <c r="F9" s="138"/>
      <c r="G9" s="138"/>
      <c r="H9" s="138"/>
      <c r="I9" s="138"/>
      <c r="J9" s="138"/>
      <c r="K9" s="138"/>
      <c r="L9" s="138"/>
      <c r="M9" s="138"/>
      <c r="N9" s="138"/>
      <c r="O9" s="138"/>
      <c r="P9" s="138"/>
      <c r="Q9" s="138"/>
      <c r="R9" s="138"/>
      <c r="S9" s="138"/>
      <c r="T9" s="138"/>
      <c r="U9" s="138"/>
      <c r="V9" s="138"/>
      <c r="W9" s="138"/>
      <c r="X9" s="138"/>
      <c r="Y9" s="138"/>
      <c r="Z9" s="138"/>
      <c r="AA9" s="138">
        <v>2</v>
      </c>
      <c r="AB9" s="138"/>
      <c r="AC9" s="138"/>
      <c r="AD9" s="138"/>
      <c r="AE9" s="138"/>
      <c r="AF9" s="138"/>
      <c r="AG9" s="138"/>
      <c r="AH9" s="138"/>
      <c r="AI9" s="138"/>
      <c r="AJ9" s="138"/>
      <c r="AK9" s="138"/>
      <c r="AL9" s="138"/>
      <c r="AM9" s="138"/>
      <c r="AN9" s="138"/>
      <c r="AO9" s="138"/>
      <c r="AP9" s="138"/>
      <c r="AQ9" s="138"/>
      <c r="AR9" s="138"/>
      <c r="AS9" s="138"/>
      <c r="AT9" s="138"/>
      <c r="AU9" s="138"/>
      <c r="AV9" s="138"/>
      <c r="AW9" s="138"/>
      <c r="AX9" s="138">
        <v>3</v>
      </c>
      <c r="AY9" s="138"/>
      <c r="AZ9" s="138"/>
      <c r="BA9" s="138"/>
      <c r="BB9" s="138"/>
      <c r="BC9" s="138"/>
      <c r="BD9" s="138"/>
      <c r="BE9" s="138"/>
      <c r="BF9" s="138"/>
      <c r="BG9" s="138"/>
      <c r="BH9" s="138"/>
      <c r="BI9" s="138"/>
      <c r="BJ9" s="138"/>
      <c r="BK9" s="138"/>
      <c r="BL9" s="138"/>
      <c r="BM9" s="138"/>
      <c r="BN9" s="138"/>
      <c r="BO9" s="138"/>
      <c r="BP9" s="138"/>
      <c r="BQ9" s="138"/>
      <c r="BR9" s="138"/>
      <c r="BS9" s="138"/>
      <c r="BT9" s="138"/>
      <c r="BU9" s="138"/>
      <c r="BV9" s="138"/>
      <c r="BW9" s="138"/>
      <c r="BX9" s="138"/>
      <c r="BY9" s="138"/>
      <c r="BZ9" s="138"/>
      <c r="CA9" s="138"/>
      <c r="CB9" s="138"/>
      <c r="CC9" s="138">
        <v>10</v>
      </c>
      <c r="CD9" s="138">
        <v>6</v>
      </c>
      <c r="CE9" s="138">
        <v>10</v>
      </c>
      <c r="CF9" s="139">
        <v>31</v>
      </c>
    </row>
    <row r="10" spans="1:84" ht="13.5" x14ac:dyDescent="0.15">
      <c r="A10" s="144" t="s">
        <v>560</v>
      </c>
      <c r="B10" s="144" t="s">
        <v>561</v>
      </c>
      <c r="C10" s="138" t="s">
        <v>69</v>
      </c>
      <c r="D10" s="138"/>
      <c r="E10" s="138"/>
      <c r="F10" s="138"/>
      <c r="G10" s="138"/>
      <c r="H10" s="138">
        <v>1</v>
      </c>
      <c r="I10" s="138"/>
      <c r="J10" s="138"/>
      <c r="K10" s="138"/>
      <c r="L10" s="138"/>
      <c r="M10" s="138"/>
      <c r="N10" s="138"/>
      <c r="O10" s="138"/>
      <c r="P10" s="138"/>
      <c r="Q10" s="138"/>
      <c r="R10" s="138"/>
      <c r="S10" s="138"/>
      <c r="T10" s="138"/>
      <c r="U10" s="138"/>
      <c r="V10" s="138"/>
      <c r="W10" s="138"/>
      <c r="X10" s="138"/>
      <c r="Y10" s="138"/>
      <c r="Z10" s="138"/>
      <c r="AA10" s="138"/>
      <c r="AB10" s="138"/>
      <c r="AC10" s="138"/>
      <c r="AD10" s="138"/>
      <c r="AE10" s="138"/>
      <c r="AF10" s="138"/>
      <c r="AG10" s="138"/>
      <c r="AH10" s="138"/>
      <c r="AI10" s="138"/>
      <c r="AJ10" s="138"/>
      <c r="AK10" s="138">
        <v>1</v>
      </c>
      <c r="AL10" s="138"/>
      <c r="AM10" s="138"/>
      <c r="AN10" s="138"/>
      <c r="AO10" s="138"/>
      <c r="AP10" s="138"/>
      <c r="AQ10" s="138"/>
      <c r="AR10" s="138"/>
      <c r="AS10" s="138"/>
      <c r="AT10" s="138"/>
      <c r="AU10" s="138"/>
      <c r="AV10" s="138"/>
      <c r="AW10" s="138"/>
      <c r="AX10" s="138"/>
      <c r="AY10" s="138"/>
      <c r="AZ10" s="138"/>
      <c r="BA10" s="138"/>
      <c r="BB10" s="138"/>
      <c r="BC10" s="138"/>
      <c r="BD10" s="138"/>
      <c r="BE10" s="138"/>
      <c r="BF10" s="138"/>
      <c r="BG10" s="138"/>
      <c r="BH10" s="138"/>
      <c r="BI10" s="138"/>
      <c r="BJ10" s="138">
        <v>1</v>
      </c>
      <c r="BK10" s="138"/>
      <c r="BL10" s="138"/>
      <c r="BM10" s="138"/>
      <c r="BN10" s="138"/>
      <c r="BO10" s="138"/>
      <c r="BP10" s="138"/>
      <c r="BQ10" s="138"/>
      <c r="BR10" s="138"/>
      <c r="BS10" s="138"/>
      <c r="BT10" s="138"/>
      <c r="BU10" s="138"/>
      <c r="BV10" s="138"/>
      <c r="BW10" s="138"/>
      <c r="BX10" s="138"/>
      <c r="BY10" s="138"/>
      <c r="BZ10" s="138"/>
      <c r="CA10" s="138"/>
      <c r="CB10" s="138"/>
      <c r="CC10" s="138"/>
      <c r="CD10" s="138"/>
      <c r="CE10" s="138"/>
      <c r="CF10" s="139">
        <v>3</v>
      </c>
    </row>
    <row r="11" spans="1:84" ht="13.5" x14ac:dyDescent="0.15">
      <c r="A11" s="144" t="s">
        <v>734</v>
      </c>
      <c r="B11" s="144" t="s">
        <v>735</v>
      </c>
      <c r="C11" s="138" t="s">
        <v>68</v>
      </c>
      <c r="D11" s="138">
        <v>1</v>
      </c>
      <c r="E11" s="138"/>
      <c r="F11" s="138"/>
      <c r="G11" s="138">
        <v>2</v>
      </c>
      <c r="H11" s="138">
        <v>1</v>
      </c>
      <c r="I11" s="138"/>
      <c r="J11" s="138"/>
      <c r="K11" s="138"/>
      <c r="L11" s="138"/>
      <c r="M11" s="138"/>
      <c r="N11" s="138"/>
      <c r="O11" s="138"/>
      <c r="P11" s="138"/>
      <c r="Q11" s="138"/>
      <c r="R11" s="138"/>
      <c r="S11" s="138"/>
      <c r="T11" s="138"/>
      <c r="U11" s="138"/>
      <c r="V11" s="138"/>
      <c r="W11" s="138"/>
      <c r="X11" s="138"/>
      <c r="Y11" s="138"/>
      <c r="Z11" s="138"/>
      <c r="AA11" s="138"/>
      <c r="AB11" s="138"/>
      <c r="AC11" s="138"/>
      <c r="AD11" s="138"/>
      <c r="AE11" s="138"/>
      <c r="AF11" s="138"/>
      <c r="AG11" s="138"/>
      <c r="AH11" s="138"/>
      <c r="AI11" s="138"/>
      <c r="AJ11" s="138"/>
      <c r="AK11" s="138"/>
      <c r="AL11" s="138"/>
      <c r="AM11" s="138"/>
      <c r="AN11" s="138"/>
      <c r="AO11" s="138">
        <v>1</v>
      </c>
      <c r="AP11" s="138"/>
      <c r="AQ11" s="138"/>
      <c r="AR11" s="138"/>
      <c r="AS11" s="138"/>
      <c r="AT11" s="138"/>
      <c r="AU11" s="138"/>
      <c r="AV11" s="138"/>
      <c r="AW11" s="138"/>
      <c r="AX11" s="138"/>
      <c r="AY11" s="138"/>
      <c r="AZ11" s="138">
        <v>1</v>
      </c>
      <c r="BA11" s="138"/>
      <c r="BB11" s="138"/>
      <c r="BC11" s="138"/>
      <c r="BD11" s="138"/>
      <c r="BE11" s="138"/>
      <c r="BF11" s="138"/>
      <c r="BG11" s="138"/>
      <c r="BH11" s="138"/>
      <c r="BI11" s="138"/>
      <c r="BJ11" s="138"/>
      <c r="BK11" s="138"/>
      <c r="BL11" s="138"/>
      <c r="BM11" s="138"/>
      <c r="BN11" s="138"/>
      <c r="BO11" s="138"/>
      <c r="BP11" s="138"/>
      <c r="BQ11" s="138">
        <v>3</v>
      </c>
      <c r="BR11" s="138"/>
      <c r="BS11" s="138"/>
      <c r="BT11" s="138"/>
      <c r="BU11" s="138"/>
      <c r="BV11" s="138"/>
      <c r="BW11" s="138"/>
      <c r="BX11" s="138"/>
      <c r="BY11" s="138"/>
      <c r="BZ11" s="138"/>
      <c r="CA11" s="138"/>
      <c r="CB11" s="138"/>
      <c r="CC11" s="138"/>
      <c r="CD11" s="138"/>
      <c r="CE11" s="138"/>
      <c r="CF11" s="139">
        <v>9</v>
      </c>
    </row>
    <row r="12" spans="1:84" ht="13.5" x14ac:dyDescent="0.15">
      <c r="A12" s="144" t="s">
        <v>894</v>
      </c>
      <c r="B12" s="144" t="s">
        <v>895</v>
      </c>
      <c r="C12" s="138" t="s">
        <v>69</v>
      </c>
      <c r="D12" s="138"/>
      <c r="E12" s="138"/>
      <c r="F12" s="138"/>
      <c r="G12" s="138"/>
      <c r="H12" s="138"/>
      <c r="I12" s="138"/>
      <c r="J12" s="138"/>
      <c r="K12" s="138">
        <v>1</v>
      </c>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138"/>
      <c r="BD12" s="138"/>
      <c r="BE12" s="138"/>
      <c r="BF12" s="138"/>
      <c r="BG12" s="138"/>
      <c r="BH12" s="138"/>
      <c r="BI12" s="138"/>
      <c r="BJ12" s="138"/>
      <c r="BK12" s="138"/>
      <c r="BL12" s="138"/>
      <c r="BM12" s="138"/>
      <c r="BN12" s="138"/>
      <c r="BO12" s="138"/>
      <c r="BP12" s="138"/>
      <c r="BQ12" s="138"/>
      <c r="BR12" s="138"/>
      <c r="BS12" s="138"/>
      <c r="BT12" s="138"/>
      <c r="BU12" s="138"/>
      <c r="BV12" s="138"/>
      <c r="BW12" s="138"/>
      <c r="BX12" s="138"/>
      <c r="BY12" s="138"/>
      <c r="BZ12" s="138"/>
      <c r="CA12" s="138"/>
      <c r="CB12" s="138"/>
      <c r="CC12" s="138"/>
      <c r="CD12" s="138"/>
      <c r="CE12" s="138"/>
      <c r="CF12" s="139">
        <v>1</v>
      </c>
    </row>
    <row r="13" spans="1:84" ht="13.5" x14ac:dyDescent="0.15">
      <c r="A13" s="144" t="s">
        <v>816</v>
      </c>
      <c r="B13" s="144" t="s">
        <v>817</v>
      </c>
      <c r="C13" s="138" t="s">
        <v>68</v>
      </c>
      <c r="D13" s="138"/>
      <c r="E13" s="138"/>
      <c r="F13" s="138"/>
      <c r="G13" s="138"/>
      <c r="H13" s="138"/>
      <c r="I13" s="138"/>
      <c r="J13" s="138"/>
      <c r="K13" s="138"/>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AU13" s="138"/>
      <c r="AV13" s="138"/>
      <c r="AW13" s="138"/>
      <c r="AX13" s="138"/>
      <c r="AY13" s="138"/>
      <c r="AZ13" s="138"/>
      <c r="BA13" s="138"/>
      <c r="BB13" s="138"/>
      <c r="BC13" s="138"/>
      <c r="BD13" s="138"/>
      <c r="BE13" s="138"/>
      <c r="BF13" s="138"/>
      <c r="BG13" s="138"/>
      <c r="BH13" s="138"/>
      <c r="BI13" s="138"/>
      <c r="BJ13" s="138"/>
      <c r="BK13" s="138"/>
      <c r="BL13" s="138"/>
      <c r="BM13" s="138"/>
      <c r="BN13" s="138"/>
      <c r="BO13" s="138"/>
      <c r="BP13" s="138"/>
      <c r="BQ13" s="138"/>
      <c r="BR13" s="138"/>
      <c r="BS13" s="138"/>
      <c r="BT13" s="138"/>
      <c r="BU13" s="138"/>
      <c r="BV13" s="138"/>
      <c r="BW13" s="138"/>
      <c r="BX13" s="138"/>
      <c r="BY13" s="138"/>
      <c r="BZ13" s="138"/>
      <c r="CA13" s="138"/>
      <c r="CB13" s="138"/>
      <c r="CC13" s="138"/>
      <c r="CD13" s="138"/>
      <c r="CE13" s="138">
        <v>4</v>
      </c>
      <c r="CF13" s="139">
        <v>4</v>
      </c>
    </row>
    <row r="14" spans="1:84" ht="13.5" x14ac:dyDescent="0.15">
      <c r="A14" s="144" t="s">
        <v>519</v>
      </c>
      <c r="B14" s="144" t="s">
        <v>520</v>
      </c>
      <c r="C14" s="138" t="s">
        <v>69</v>
      </c>
      <c r="D14" s="138"/>
      <c r="E14" s="138">
        <v>1</v>
      </c>
      <c r="F14" s="138">
        <v>1</v>
      </c>
      <c r="G14" s="138"/>
      <c r="H14" s="138"/>
      <c r="I14" s="138"/>
      <c r="J14" s="138"/>
      <c r="K14" s="138"/>
      <c r="L14" s="138"/>
      <c r="M14" s="138"/>
      <c r="N14" s="138"/>
      <c r="O14" s="138"/>
      <c r="P14" s="138"/>
      <c r="Q14" s="138"/>
      <c r="R14" s="138"/>
      <c r="S14" s="138"/>
      <c r="T14" s="138"/>
      <c r="U14" s="138"/>
      <c r="V14" s="138"/>
      <c r="W14" s="138"/>
      <c r="X14" s="138"/>
      <c r="Y14" s="138">
        <v>1</v>
      </c>
      <c r="Z14" s="138"/>
      <c r="AA14" s="138"/>
      <c r="AB14" s="138"/>
      <c r="AC14" s="138"/>
      <c r="AD14" s="138"/>
      <c r="AE14" s="138"/>
      <c r="AF14" s="138"/>
      <c r="AG14" s="138"/>
      <c r="AH14" s="138"/>
      <c r="AI14" s="138"/>
      <c r="AJ14" s="138"/>
      <c r="AK14" s="138">
        <v>1</v>
      </c>
      <c r="AL14" s="138">
        <v>1</v>
      </c>
      <c r="AM14" s="138"/>
      <c r="AN14" s="138"/>
      <c r="AO14" s="138"/>
      <c r="AP14" s="138"/>
      <c r="AQ14" s="138"/>
      <c r="AR14" s="138"/>
      <c r="AS14" s="138"/>
      <c r="AT14" s="138"/>
      <c r="AU14" s="138"/>
      <c r="AV14" s="138"/>
      <c r="AW14" s="138"/>
      <c r="AX14" s="138"/>
      <c r="AY14" s="138"/>
      <c r="AZ14" s="138"/>
      <c r="BA14" s="138"/>
      <c r="BB14" s="138"/>
      <c r="BC14" s="138"/>
      <c r="BD14" s="138"/>
      <c r="BE14" s="138"/>
      <c r="BF14" s="138"/>
      <c r="BG14" s="138"/>
      <c r="BH14" s="138"/>
      <c r="BI14" s="138"/>
      <c r="BJ14" s="138"/>
      <c r="BK14" s="138"/>
      <c r="BL14" s="138"/>
      <c r="BM14" s="138"/>
      <c r="BN14" s="138"/>
      <c r="BO14" s="138"/>
      <c r="BP14" s="138"/>
      <c r="BQ14" s="138"/>
      <c r="BR14" s="138"/>
      <c r="BS14" s="138"/>
      <c r="BT14" s="138"/>
      <c r="BU14" s="138"/>
      <c r="BV14" s="138">
        <v>1</v>
      </c>
      <c r="BW14" s="138"/>
      <c r="BX14" s="138"/>
      <c r="BY14" s="138"/>
      <c r="BZ14" s="138"/>
      <c r="CA14" s="138"/>
      <c r="CB14" s="138"/>
      <c r="CC14" s="138"/>
      <c r="CD14" s="138"/>
      <c r="CE14" s="138"/>
      <c r="CF14" s="139">
        <v>6</v>
      </c>
    </row>
    <row r="15" spans="1:84" ht="13.5" x14ac:dyDescent="0.15">
      <c r="A15" s="144" t="s">
        <v>793</v>
      </c>
      <c r="B15" s="144" t="s">
        <v>794</v>
      </c>
      <c r="C15" s="138" t="s">
        <v>68</v>
      </c>
      <c r="D15" s="138"/>
      <c r="E15" s="138"/>
      <c r="F15" s="138"/>
      <c r="G15" s="138"/>
      <c r="H15" s="138"/>
      <c r="I15" s="138"/>
      <c r="J15" s="138"/>
      <c r="K15" s="138"/>
      <c r="L15" s="138"/>
      <c r="M15" s="138"/>
      <c r="N15" s="138"/>
      <c r="O15" s="138"/>
      <c r="P15" s="138"/>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8"/>
      <c r="AU15" s="138"/>
      <c r="AV15" s="138"/>
      <c r="AW15" s="138"/>
      <c r="AX15" s="138"/>
      <c r="AY15" s="138"/>
      <c r="AZ15" s="138"/>
      <c r="BA15" s="138"/>
      <c r="BB15" s="138"/>
      <c r="BC15" s="138"/>
      <c r="BD15" s="138"/>
      <c r="BE15" s="138"/>
      <c r="BF15" s="138"/>
      <c r="BG15" s="138"/>
      <c r="BH15" s="138"/>
      <c r="BI15" s="138"/>
      <c r="BJ15" s="138"/>
      <c r="BK15" s="138"/>
      <c r="BL15" s="138"/>
      <c r="BM15" s="138"/>
      <c r="BN15" s="138"/>
      <c r="BO15" s="138"/>
      <c r="BP15" s="138"/>
      <c r="BQ15" s="138"/>
      <c r="BR15" s="138"/>
      <c r="BS15" s="138"/>
      <c r="BT15" s="138"/>
      <c r="BU15" s="138"/>
      <c r="BV15" s="138"/>
      <c r="BW15" s="138"/>
      <c r="BX15" s="138"/>
      <c r="BY15" s="138"/>
      <c r="BZ15" s="138"/>
      <c r="CA15" s="138"/>
      <c r="CB15" s="138"/>
      <c r="CC15" s="138">
        <v>10</v>
      </c>
      <c r="CD15" s="138"/>
      <c r="CE15" s="138">
        <v>10</v>
      </c>
      <c r="CF15" s="139">
        <v>20</v>
      </c>
    </row>
    <row r="16" spans="1:84" ht="13.5" x14ac:dyDescent="0.15">
      <c r="A16" s="144" t="s">
        <v>494</v>
      </c>
      <c r="B16" s="144" t="s">
        <v>495</v>
      </c>
      <c r="C16" s="138" t="s">
        <v>68</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c r="AO16" s="138"/>
      <c r="AP16" s="138"/>
      <c r="AQ16" s="138"/>
      <c r="AR16" s="138"/>
      <c r="AS16" s="138"/>
      <c r="AT16" s="138"/>
      <c r="AU16" s="138"/>
      <c r="AV16" s="138"/>
      <c r="AW16" s="138"/>
      <c r="AX16" s="138"/>
      <c r="AY16" s="138"/>
      <c r="AZ16" s="138"/>
      <c r="BA16" s="138"/>
      <c r="BB16" s="138"/>
      <c r="BC16" s="138"/>
      <c r="BD16" s="138"/>
      <c r="BE16" s="138"/>
      <c r="BF16" s="138"/>
      <c r="BG16" s="138"/>
      <c r="BH16" s="138"/>
      <c r="BI16" s="138"/>
      <c r="BJ16" s="138"/>
      <c r="BK16" s="138"/>
      <c r="BL16" s="138"/>
      <c r="BM16" s="138"/>
      <c r="BN16" s="138"/>
      <c r="BO16" s="138"/>
      <c r="BP16" s="138"/>
      <c r="BQ16" s="138"/>
      <c r="BR16" s="138"/>
      <c r="BS16" s="138"/>
      <c r="BT16" s="138"/>
      <c r="BU16" s="138"/>
      <c r="BV16" s="138"/>
      <c r="BW16" s="138"/>
      <c r="BX16" s="138"/>
      <c r="BY16" s="138"/>
      <c r="BZ16" s="138"/>
      <c r="CA16" s="138"/>
      <c r="CB16" s="138"/>
      <c r="CC16" s="138"/>
      <c r="CD16" s="138"/>
      <c r="CE16" s="138">
        <v>1</v>
      </c>
      <c r="CF16" s="139">
        <v>1</v>
      </c>
    </row>
    <row r="17" spans="1:84" ht="13.5" x14ac:dyDescent="0.15">
      <c r="A17" s="144" t="s">
        <v>655</v>
      </c>
      <c r="B17" s="144" t="s">
        <v>656</v>
      </c>
      <c r="C17" s="138" t="s">
        <v>69</v>
      </c>
      <c r="D17" s="138"/>
      <c r="E17" s="138"/>
      <c r="F17" s="138">
        <v>1</v>
      </c>
      <c r="G17" s="138"/>
      <c r="H17" s="138"/>
      <c r="I17" s="138"/>
      <c r="J17" s="138"/>
      <c r="K17" s="138">
        <v>1</v>
      </c>
      <c r="L17" s="138"/>
      <c r="M17" s="138"/>
      <c r="N17" s="138"/>
      <c r="O17" s="138"/>
      <c r="P17" s="138"/>
      <c r="Q17" s="138"/>
      <c r="R17" s="138"/>
      <c r="S17" s="138"/>
      <c r="T17" s="138"/>
      <c r="U17" s="138"/>
      <c r="V17" s="138"/>
      <c r="W17" s="138"/>
      <c r="X17" s="138"/>
      <c r="Y17" s="138"/>
      <c r="Z17" s="138"/>
      <c r="AA17" s="138"/>
      <c r="AB17" s="138"/>
      <c r="AC17" s="138"/>
      <c r="AD17" s="138"/>
      <c r="AE17" s="138"/>
      <c r="AF17" s="138"/>
      <c r="AG17" s="138"/>
      <c r="AH17" s="138"/>
      <c r="AI17" s="138"/>
      <c r="AJ17" s="138"/>
      <c r="AK17" s="138">
        <v>1</v>
      </c>
      <c r="AL17" s="138"/>
      <c r="AM17" s="138"/>
      <c r="AN17" s="138"/>
      <c r="AO17" s="138"/>
      <c r="AP17" s="138"/>
      <c r="AQ17" s="138"/>
      <c r="AR17" s="138"/>
      <c r="AS17" s="138"/>
      <c r="AT17" s="138"/>
      <c r="AU17" s="138"/>
      <c r="AV17" s="138"/>
      <c r="AW17" s="138"/>
      <c r="AX17" s="138"/>
      <c r="AY17" s="138"/>
      <c r="AZ17" s="138"/>
      <c r="BA17" s="138"/>
      <c r="BB17" s="138"/>
      <c r="BC17" s="138"/>
      <c r="BD17" s="138"/>
      <c r="BE17" s="138"/>
      <c r="BF17" s="138"/>
      <c r="BG17" s="138"/>
      <c r="BH17" s="138"/>
      <c r="BI17" s="138"/>
      <c r="BJ17" s="138"/>
      <c r="BK17" s="138"/>
      <c r="BL17" s="138"/>
      <c r="BM17" s="138"/>
      <c r="BN17" s="138"/>
      <c r="BO17" s="138"/>
      <c r="BP17" s="138"/>
      <c r="BQ17" s="138"/>
      <c r="BR17" s="138"/>
      <c r="BS17" s="138"/>
      <c r="BT17" s="138"/>
      <c r="BU17" s="138"/>
      <c r="BV17" s="138"/>
      <c r="BW17" s="138"/>
      <c r="BX17" s="138"/>
      <c r="BY17" s="138"/>
      <c r="BZ17" s="138"/>
      <c r="CA17" s="138"/>
      <c r="CB17" s="138"/>
      <c r="CC17" s="138"/>
      <c r="CD17" s="138"/>
      <c r="CE17" s="138"/>
      <c r="CF17" s="139">
        <v>3</v>
      </c>
    </row>
    <row r="18" spans="1:84" ht="13.5" x14ac:dyDescent="0.15">
      <c r="A18" s="144" t="s">
        <v>710</v>
      </c>
      <c r="B18" s="144" t="s">
        <v>711</v>
      </c>
      <c r="C18" s="138" t="s">
        <v>69</v>
      </c>
      <c r="D18" s="138"/>
      <c r="E18" s="138"/>
      <c r="F18" s="138"/>
      <c r="G18" s="138"/>
      <c r="H18" s="138"/>
      <c r="I18" s="138"/>
      <c r="J18" s="138"/>
      <c r="K18" s="138"/>
      <c r="L18" s="138"/>
      <c r="M18" s="138"/>
      <c r="N18" s="138"/>
      <c r="O18" s="138"/>
      <c r="P18" s="138"/>
      <c r="Q18" s="138"/>
      <c r="R18" s="138"/>
      <c r="S18" s="138"/>
      <c r="T18" s="138"/>
      <c r="U18" s="138"/>
      <c r="V18" s="138"/>
      <c r="W18" s="138"/>
      <c r="X18" s="138"/>
      <c r="Y18" s="138"/>
      <c r="Z18" s="138"/>
      <c r="AA18" s="138"/>
      <c r="AB18" s="138"/>
      <c r="AC18" s="138"/>
      <c r="AD18" s="138"/>
      <c r="AE18" s="138"/>
      <c r="AF18" s="138"/>
      <c r="AG18" s="138"/>
      <c r="AH18" s="138"/>
      <c r="AI18" s="138"/>
      <c r="AJ18" s="138"/>
      <c r="AK18" s="138"/>
      <c r="AL18" s="138"/>
      <c r="AM18" s="138"/>
      <c r="AN18" s="138"/>
      <c r="AO18" s="138"/>
      <c r="AP18" s="138"/>
      <c r="AQ18" s="138"/>
      <c r="AR18" s="138"/>
      <c r="AS18" s="138"/>
      <c r="AT18" s="138"/>
      <c r="AU18" s="138"/>
      <c r="AV18" s="138"/>
      <c r="AW18" s="138"/>
      <c r="AX18" s="138"/>
      <c r="AY18" s="138"/>
      <c r="AZ18" s="138"/>
      <c r="BA18" s="138"/>
      <c r="BB18" s="138"/>
      <c r="BC18" s="138"/>
      <c r="BD18" s="138"/>
      <c r="BE18" s="138"/>
      <c r="BF18" s="138"/>
      <c r="BG18" s="138"/>
      <c r="BH18" s="138"/>
      <c r="BI18" s="138"/>
      <c r="BJ18" s="138"/>
      <c r="BK18" s="138"/>
      <c r="BL18" s="138"/>
      <c r="BM18" s="138"/>
      <c r="BN18" s="138"/>
      <c r="BO18" s="138"/>
      <c r="BP18" s="138"/>
      <c r="BQ18" s="138"/>
      <c r="BR18" s="138"/>
      <c r="BS18" s="138"/>
      <c r="BT18" s="138"/>
      <c r="BU18" s="138"/>
      <c r="BV18" s="138"/>
      <c r="BW18" s="138"/>
      <c r="BX18" s="138"/>
      <c r="BY18" s="138"/>
      <c r="BZ18" s="138"/>
      <c r="CA18" s="138"/>
      <c r="CB18" s="138"/>
      <c r="CC18" s="138"/>
      <c r="CD18" s="138"/>
      <c r="CE18" s="138">
        <v>2</v>
      </c>
      <c r="CF18" s="139">
        <v>2</v>
      </c>
    </row>
    <row r="19" spans="1:84" ht="13.5" x14ac:dyDescent="0.15">
      <c r="A19" s="144" t="s">
        <v>827</v>
      </c>
      <c r="B19" s="144" t="s">
        <v>828</v>
      </c>
      <c r="C19" s="138" t="s">
        <v>68</v>
      </c>
      <c r="D19" s="138"/>
      <c r="E19" s="138"/>
      <c r="F19" s="138"/>
      <c r="G19" s="138"/>
      <c r="H19" s="138"/>
      <c r="I19" s="138"/>
      <c r="J19" s="138">
        <v>1</v>
      </c>
      <c r="K19" s="138"/>
      <c r="L19" s="138"/>
      <c r="M19" s="138"/>
      <c r="N19" s="138"/>
      <c r="O19" s="138"/>
      <c r="P19" s="138"/>
      <c r="Q19" s="138"/>
      <c r="R19" s="138"/>
      <c r="S19" s="138"/>
      <c r="T19" s="138"/>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8"/>
      <c r="AW19" s="138"/>
      <c r="AX19" s="138"/>
      <c r="AY19" s="138"/>
      <c r="AZ19" s="138"/>
      <c r="BA19" s="138"/>
      <c r="BB19" s="138"/>
      <c r="BC19" s="138"/>
      <c r="BD19" s="138"/>
      <c r="BE19" s="138"/>
      <c r="BF19" s="138"/>
      <c r="BG19" s="138"/>
      <c r="BH19" s="138"/>
      <c r="BI19" s="138"/>
      <c r="BJ19" s="138"/>
      <c r="BK19" s="138"/>
      <c r="BL19" s="138"/>
      <c r="BM19" s="138"/>
      <c r="BN19" s="138"/>
      <c r="BO19" s="138"/>
      <c r="BP19" s="138"/>
      <c r="BQ19" s="138"/>
      <c r="BR19" s="138"/>
      <c r="BS19" s="138"/>
      <c r="BT19" s="138"/>
      <c r="BU19" s="138"/>
      <c r="BV19" s="138"/>
      <c r="BW19" s="138">
        <v>1</v>
      </c>
      <c r="BX19" s="138"/>
      <c r="BY19" s="138"/>
      <c r="BZ19" s="138"/>
      <c r="CA19" s="138"/>
      <c r="CB19" s="138"/>
      <c r="CC19" s="138"/>
      <c r="CD19" s="138"/>
      <c r="CE19" s="138"/>
      <c r="CF19" s="139">
        <v>2</v>
      </c>
    </row>
    <row r="20" spans="1:84" ht="13.5" x14ac:dyDescent="0.15">
      <c r="A20" s="144" t="s">
        <v>797</v>
      </c>
      <c r="B20" s="144" t="s">
        <v>798</v>
      </c>
      <c r="C20" s="138" t="s">
        <v>68</v>
      </c>
      <c r="D20" s="138"/>
      <c r="E20" s="138">
        <v>1</v>
      </c>
      <c r="F20" s="138">
        <v>1</v>
      </c>
      <c r="G20" s="138"/>
      <c r="H20" s="138"/>
      <c r="I20" s="138"/>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8">
        <v>1</v>
      </c>
      <c r="AL20" s="138"/>
      <c r="AM20" s="138"/>
      <c r="AN20" s="138"/>
      <c r="AO20" s="138"/>
      <c r="AP20" s="138"/>
      <c r="AQ20" s="138"/>
      <c r="AR20" s="138"/>
      <c r="AS20" s="138"/>
      <c r="AT20" s="138"/>
      <c r="AU20" s="138"/>
      <c r="AV20" s="138"/>
      <c r="AW20" s="138"/>
      <c r="AX20" s="138"/>
      <c r="AY20" s="138"/>
      <c r="AZ20" s="138"/>
      <c r="BA20" s="138"/>
      <c r="BB20" s="138"/>
      <c r="BC20" s="138"/>
      <c r="BD20" s="138"/>
      <c r="BE20" s="138"/>
      <c r="BF20" s="138"/>
      <c r="BG20" s="138"/>
      <c r="BH20" s="138"/>
      <c r="BI20" s="138"/>
      <c r="BJ20" s="138"/>
      <c r="BK20" s="138"/>
      <c r="BL20" s="138"/>
      <c r="BM20" s="138"/>
      <c r="BN20" s="138"/>
      <c r="BO20" s="138"/>
      <c r="BP20" s="138"/>
      <c r="BQ20" s="138"/>
      <c r="BR20" s="138"/>
      <c r="BS20" s="138"/>
      <c r="BT20" s="138"/>
      <c r="BU20" s="138"/>
      <c r="BV20" s="138">
        <v>1</v>
      </c>
      <c r="BW20" s="138"/>
      <c r="BX20" s="138">
        <v>1</v>
      </c>
      <c r="BY20" s="138"/>
      <c r="BZ20" s="138"/>
      <c r="CA20" s="138"/>
      <c r="CB20" s="138"/>
      <c r="CC20" s="138"/>
      <c r="CD20" s="138"/>
      <c r="CE20" s="138">
        <v>1</v>
      </c>
      <c r="CF20" s="139">
        <v>6</v>
      </c>
    </row>
    <row r="21" spans="1:84" ht="13.5" x14ac:dyDescent="0.15">
      <c r="A21" s="144" t="s">
        <v>562</v>
      </c>
      <c r="B21" s="144" t="s">
        <v>563</v>
      </c>
      <c r="C21" s="138" t="s">
        <v>68</v>
      </c>
      <c r="D21" s="138"/>
      <c r="E21" s="138"/>
      <c r="F21" s="138"/>
      <c r="G21" s="138"/>
      <c r="H21" s="138"/>
      <c r="I21" s="138">
        <v>3</v>
      </c>
      <c r="J21" s="138"/>
      <c r="K21" s="138"/>
      <c r="L21" s="138"/>
      <c r="M21" s="138"/>
      <c r="N21" s="138"/>
      <c r="O21" s="138"/>
      <c r="P21" s="138"/>
      <c r="Q21" s="138"/>
      <c r="R21" s="138"/>
      <c r="S21" s="138"/>
      <c r="T21" s="138"/>
      <c r="U21" s="138"/>
      <c r="V21" s="138"/>
      <c r="W21" s="138"/>
      <c r="X21" s="138"/>
      <c r="Y21" s="138"/>
      <c r="Z21" s="138"/>
      <c r="AA21" s="138"/>
      <c r="AB21" s="138"/>
      <c r="AC21" s="138"/>
      <c r="AD21" s="138"/>
      <c r="AE21" s="138"/>
      <c r="AF21" s="138"/>
      <c r="AG21" s="138"/>
      <c r="AH21" s="138"/>
      <c r="AI21" s="138"/>
      <c r="AJ21" s="138"/>
      <c r="AK21" s="138">
        <v>4</v>
      </c>
      <c r="AL21" s="138"/>
      <c r="AM21" s="138"/>
      <c r="AN21" s="138"/>
      <c r="AO21" s="138"/>
      <c r="AP21" s="138"/>
      <c r="AQ21" s="138"/>
      <c r="AR21" s="138"/>
      <c r="AS21" s="138"/>
      <c r="AT21" s="138"/>
      <c r="AU21" s="138"/>
      <c r="AV21" s="138"/>
      <c r="AW21" s="138"/>
      <c r="AX21" s="138"/>
      <c r="AY21" s="138"/>
      <c r="AZ21" s="138"/>
      <c r="BA21" s="138"/>
      <c r="BB21" s="138"/>
      <c r="BC21" s="138"/>
      <c r="BD21" s="138"/>
      <c r="BE21" s="138"/>
      <c r="BF21" s="138"/>
      <c r="BG21" s="138"/>
      <c r="BH21" s="138"/>
      <c r="BI21" s="138"/>
      <c r="BJ21" s="138"/>
      <c r="BK21" s="138"/>
      <c r="BL21" s="138"/>
      <c r="BM21" s="138"/>
      <c r="BN21" s="138"/>
      <c r="BO21" s="138"/>
      <c r="BP21" s="138"/>
      <c r="BQ21" s="138"/>
      <c r="BR21" s="138"/>
      <c r="BS21" s="138"/>
      <c r="BT21" s="138"/>
      <c r="BU21" s="138"/>
      <c r="BV21" s="138">
        <v>6</v>
      </c>
      <c r="BW21" s="138"/>
      <c r="BX21" s="138"/>
      <c r="BY21" s="138"/>
      <c r="BZ21" s="138"/>
      <c r="CA21" s="138"/>
      <c r="CB21" s="138"/>
      <c r="CC21" s="138">
        <v>3</v>
      </c>
      <c r="CD21" s="138"/>
      <c r="CE21" s="138"/>
      <c r="CF21" s="139">
        <v>16</v>
      </c>
    </row>
    <row r="22" spans="1:84" ht="13.5" x14ac:dyDescent="0.15">
      <c r="A22" s="144" t="s">
        <v>550</v>
      </c>
      <c r="B22" s="144" t="s">
        <v>551</v>
      </c>
      <c r="C22" s="138" t="s">
        <v>69</v>
      </c>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138"/>
      <c r="AO22" s="138"/>
      <c r="AP22" s="138"/>
      <c r="AQ22" s="138"/>
      <c r="AR22" s="138"/>
      <c r="AS22" s="138"/>
      <c r="AT22" s="138"/>
      <c r="AU22" s="138"/>
      <c r="AV22" s="138"/>
      <c r="AW22" s="138"/>
      <c r="AX22" s="138"/>
      <c r="AY22" s="138"/>
      <c r="AZ22" s="138"/>
      <c r="BA22" s="138"/>
      <c r="BB22" s="138"/>
      <c r="BC22" s="138"/>
      <c r="BD22" s="138"/>
      <c r="BE22" s="138"/>
      <c r="BF22" s="138"/>
      <c r="BG22" s="138"/>
      <c r="BH22" s="138"/>
      <c r="BI22" s="138"/>
      <c r="BJ22" s="138"/>
      <c r="BK22" s="138"/>
      <c r="BL22" s="138"/>
      <c r="BM22" s="138"/>
      <c r="BN22" s="138"/>
      <c r="BO22" s="138"/>
      <c r="BP22" s="138"/>
      <c r="BQ22" s="138"/>
      <c r="BR22" s="138"/>
      <c r="BS22" s="138"/>
      <c r="BT22" s="138"/>
      <c r="BU22" s="138"/>
      <c r="BV22" s="138"/>
      <c r="BW22" s="138"/>
      <c r="BX22" s="138"/>
      <c r="BY22" s="138"/>
      <c r="BZ22" s="138"/>
      <c r="CA22" s="138"/>
      <c r="CB22" s="138"/>
      <c r="CC22" s="138"/>
      <c r="CD22" s="138"/>
      <c r="CE22" s="138">
        <v>1</v>
      </c>
      <c r="CF22" s="139">
        <v>1</v>
      </c>
    </row>
    <row r="23" spans="1:84" ht="13.5" x14ac:dyDescent="0.15">
      <c r="A23" s="144" t="s">
        <v>770</v>
      </c>
      <c r="B23" s="144" t="s">
        <v>771</v>
      </c>
      <c r="C23" s="138" t="s">
        <v>69</v>
      </c>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138"/>
      <c r="AB23" s="138"/>
      <c r="AC23" s="138"/>
      <c r="AD23" s="138"/>
      <c r="AE23" s="138"/>
      <c r="AF23" s="138"/>
      <c r="AG23" s="138"/>
      <c r="AH23" s="138"/>
      <c r="AI23" s="138"/>
      <c r="AJ23" s="138"/>
      <c r="AK23" s="138"/>
      <c r="AL23" s="138"/>
      <c r="AM23" s="138"/>
      <c r="AN23" s="138"/>
      <c r="AO23" s="138"/>
      <c r="AP23" s="138"/>
      <c r="AQ23" s="138"/>
      <c r="AR23" s="138"/>
      <c r="AS23" s="138"/>
      <c r="AT23" s="138"/>
      <c r="AU23" s="138"/>
      <c r="AV23" s="138"/>
      <c r="AW23" s="138"/>
      <c r="AX23" s="138"/>
      <c r="AY23" s="138"/>
      <c r="AZ23" s="138"/>
      <c r="BA23" s="138"/>
      <c r="BB23" s="138"/>
      <c r="BC23" s="138"/>
      <c r="BD23" s="138"/>
      <c r="BE23" s="138"/>
      <c r="BF23" s="138"/>
      <c r="BG23" s="138"/>
      <c r="BH23" s="138"/>
      <c r="BI23" s="138"/>
      <c r="BJ23" s="138"/>
      <c r="BK23" s="138"/>
      <c r="BL23" s="138"/>
      <c r="BM23" s="138"/>
      <c r="BN23" s="138"/>
      <c r="BO23" s="138"/>
      <c r="BP23" s="138"/>
      <c r="BQ23" s="138"/>
      <c r="BR23" s="138"/>
      <c r="BS23" s="138"/>
      <c r="BT23" s="138"/>
      <c r="BU23" s="138"/>
      <c r="BV23" s="138"/>
      <c r="BW23" s="138"/>
      <c r="BX23" s="138"/>
      <c r="BY23" s="138"/>
      <c r="BZ23" s="138"/>
      <c r="CA23" s="138"/>
      <c r="CB23" s="138"/>
      <c r="CC23" s="138"/>
      <c r="CD23" s="138"/>
      <c r="CE23" s="138">
        <v>1</v>
      </c>
      <c r="CF23" s="139">
        <v>1</v>
      </c>
    </row>
    <row r="24" spans="1:84" ht="13.5" x14ac:dyDescent="0.15">
      <c r="A24" s="144" t="s">
        <v>736</v>
      </c>
      <c r="B24" s="144" t="s">
        <v>737</v>
      </c>
      <c r="C24" s="138" t="s">
        <v>68</v>
      </c>
      <c r="D24" s="138">
        <v>3</v>
      </c>
      <c r="E24" s="138"/>
      <c r="F24" s="138"/>
      <c r="G24" s="138"/>
      <c r="H24" s="138"/>
      <c r="I24" s="138">
        <v>3</v>
      </c>
      <c r="J24" s="138"/>
      <c r="K24" s="138"/>
      <c r="L24" s="138"/>
      <c r="M24" s="138"/>
      <c r="N24" s="138"/>
      <c r="O24" s="138"/>
      <c r="P24" s="138"/>
      <c r="Q24" s="138"/>
      <c r="R24" s="138"/>
      <c r="S24" s="138"/>
      <c r="T24" s="138"/>
      <c r="U24" s="138"/>
      <c r="V24" s="138"/>
      <c r="W24" s="138"/>
      <c r="X24" s="138"/>
      <c r="Y24" s="138"/>
      <c r="Z24" s="138"/>
      <c r="AA24" s="138"/>
      <c r="AB24" s="138"/>
      <c r="AC24" s="138"/>
      <c r="AD24" s="138"/>
      <c r="AE24" s="138"/>
      <c r="AF24" s="138"/>
      <c r="AG24" s="138"/>
      <c r="AH24" s="138"/>
      <c r="AI24" s="138"/>
      <c r="AJ24" s="138"/>
      <c r="AK24" s="138"/>
      <c r="AL24" s="138"/>
      <c r="AM24" s="138"/>
      <c r="AN24" s="138"/>
      <c r="AO24" s="138">
        <v>1</v>
      </c>
      <c r="AP24" s="138"/>
      <c r="AQ24" s="138"/>
      <c r="AR24" s="138"/>
      <c r="AS24" s="138"/>
      <c r="AT24" s="138"/>
      <c r="AU24" s="138"/>
      <c r="AV24" s="138"/>
      <c r="AW24" s="138"/>
      <c r="AX24" s="138"/>
      <c r="AY24" s="138"/>
      <c r="AZ24" s="138">
        <v>2</v>
      </c>
      <c r="BA24" s="138"/>
      <c r="BB24" s="138"/>
      <c r="BC24" s="138"/>
      <c r="BD24" s="138"/>
      <c r="BE24" s="138"/>
      <c r="BF24" s="138"/>
      <c r="BG24" s="138"/>
      <c r="BH24" s="138"/>
      <c r="BI24" s="138"/>
      <c r="BJ24" s="138"/>
      <c r="BK24" s="138"/>
      <c r="BL24" s="138"/>
      <c r="BM24" s="138"/>
      <c r="BN24" s="138"/>
      <c r="BO24" s="138"/>
      <c r="BP24" s="138"/>
      <c r="BQ24" s="138"/>
      <c r="BR24" s="138"/>
      <c r="BS24" s="138"/>
      <c r="BT24" s="138"/>
      <c r="BU24" s="138"/>
      <c r="BV24" s="138"/>
      <c r="BW24" s="138"/>
      <c r="BX24" s="138">
        <v>4</v>
      </c>
      <c r="BY24" s="138"/>
      <c r="BZ24" s="138"/>
      <c r="CA24" s="138"/>
      <c r="CB24" s="138"/>
      <c r="CC24" s="138"/>
      <c r="CD24" s="138"/>
      <c r="CE24" s="138"/>
      <c r="CF24" s="139">
        <v>13</v>
      </c>
    </row>
    <row r="25" spans="1:84" ht="13.5" x14ac:dyDescent="0.15">
      <c r="A25" s="144" t="s">
        <v>1014</v>
      </c>
      <c r="B25" s="144" t="s">
        <v>1015</v>
      </c>
      <c r="C25" s="138" t="s">
        <v>68</v>
      </c>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8"/>
      <c r="AR25" s="138"/>
      <c r="AS25" s="138"/>
      <c r="AT25" s="138"/>
      <c r="AU25" s="138"/>
      <c r="AV25" s="138"/>
      <c r="AW25" s="138"/>
      <c r="AX25" s="138"/>
      <c r="AY25" s="138"/>
      <c r="AZ25" s="138"/>
      <c r="BA25" s="138"/>
      <c r="BB25" s="138"/>
      <c r="BC25" s="138"/>
      <c r="BD25" s="138"/>
      <c r="BE25" s="138"/>
      <c r="BF25" s="138"/>
      <c r="BG25" s="138"/>
      <c r="BH25" s="138"/>
      <c r="BI25" s="138"/>
      <c r="BJ25" s="138"/>
      <c r="BK25" s="138"/>
      <c r="BL25" s="138"/>
      <c r="BM25" s="138"/>
      <c r="BN25" s="138"/>
      <c r="BO25" s="138"/>
      <c r="BP25" s="138"/>
      <c r="BQ25" s="138"/>
      <c r="BR25" s="138"/>
      <c r="BS25" s="138"/>
      <c r="BT25" s="138"/>
      <c r="BU25" s="138"/>
      <c r="BV25" s="138"/>
      <c r="BW25" s="138"/>
      <c r="BX25" s="138"/>
      <c r="BY25" s="138"/>
      <c r="BZ25" s="138"/>
      <c r="CA25" s="138"/>
      <c r="CB25" s="138"/>
      <c r="CC25" s="138">
        <v>28</v>
      </c>
      <c r="CD25" s="138"/>
      <c r="CE25" s="138"/>
      <c r="CF25" s="139">
        <v>28</v>
      </c>
    </row>
    <row r="26" spans="1:84" ht="13.5" x14ac:dyDescent="0.15">
      <c r="A26" s="144" t="s">
        <v>730</v>
      </c>
      <c r="B26" s="144" t="s">
        <v>731</v>
      </c>
      <c r="C26" s="138" t="s">
        <v>69</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8"/>
      <c r="AB26" s="138"/>
      <c r="AC26" s="138"/>
      <c r="AD26" s="138"/>
      <c r="AE26" s="138"/>
      <c r="AF26" s="138"/>
      <c r="AG26" s="138"/>
      <c r="AH26" s="138"/>
      <c r="AI26" s="138"/>
      <c r="AJ26" s="138"/>
      <c r="AK26" s="138"/>
      <c r="AL26" s="138"/>
      <c r="AM26" s="138"/>
      <c r="AN26" s="138"/>
      <c r="AO26" s="138"/>
      <c r="AP26" s="138"/>
      <c r="AQ26" s="138"/>
      <c r="AR26" s="138"/>
      <c r="AS26" s="138"/>
      <c r="AT26" s="138"/>
      <c r="AU26" s="138"/>
      <c r="AV26" s="138"/>
      <c r="AW26" s="138"/>
      <c r="AX26" s="138"/>
      <c r="AY26" s="138"/>
      <c r="AZ26" s="138"/>
      <c r="BA26" s="138"/>
      <c r="BB26" s="138"/>
      <c r="BC26" s="138"/>
      <c r="BD26" s="138"/>
      <c r="BE26" s="138"/>
      <c r="BF26" s="138"/>
      <c r="BG26" s="138"/>
      <c r="BH26" s="138"/>
      <c r="BI26" s="138"/>
      <c r="BJ26" s="138"/>
      <c r="BK26" s="138"/>
      <c r="BL26" s="138"/>
      <c r="BM26" s="138"/>
      <c r="BN26" s="138"/>
      <c r="BO26" s="138"/>
      <c r="BP26" s="138"/>
      <c r="BQ26" s="138"/>
      <c r="BR26" s="138"/>
      <c r="BS26" s="138"/>
      <c r="BT26" s="138"/>
      <c r="BU26" s="138"/>
      <c r="BV26" s="138"/>
      <c r="BW26" s="138"/>
      <c r="BX26" s="138"/>
      <c r="BY26" s="138"/>
      <c r="BZ26" s="138"/>
      <c r="CA26" s="138"/>
      <c r="CB26" s="138"/>
      <c r="CC26" s="138"/>
      <c r="CD26" s="138"/>
      <c r="CE26" s="138">
        <v>1</v>
      </c>
      <c r="CF26" s="139">
        <v>1</v>
      </c>
    </row>
    <row r="27" spans="1:84" ht="13.5" x14ac:dyDescent="0.15">
      <c r="A27" s="144" t="s">
        <v>875</v>
      </c>
      <c r="B27" s="144" t="s">
        <v>876</v>
      </c>
      <c r="C27" s="138" t="s">
        <v>69</v>
      </c>
      <c r="D27" s="138"/>
      <c r="E27" s="138"/>
      <c r="F27" s="138"/>
      <c r="G27" s="138"/>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138"/>
      <c r="AO27" s="138"/>
      <c r="AP27" s="138"/>
      <c r="AQ27" s="138"/>
      <c r="AR27" s="138"/>
      <c r="AS27" s="138"/>
      <c r="AT27" s="138"/>
      <c r="AU27" s="138"/>
      <c r="AV27" s="138"/>
      <c r="AW27" s="138"/>
      <c r="AX27" s="138"/>
      <c r="AY27" s="138"/>
      <c r="AZ27" s="138"/>
      <c r="BA27" s="138"/>
      <c r="BB27" s="138"/>
      <c r="BC27" s="138"/>
      <c r="BD27" s="138"/>
      <c r="BE27" s="138"/>
      <c r="BF27" s="138"/>
      <c r="BG27" s="138"/>
      <c r="BH27" s="138"/>
      <c r="BI27" s="138"/>
      <c r="BJ27" s="138"/>
      <c r="BK27" s="138"/>
      <c r="BL27" s="138"/>
      <c r="BM27" s="138"/>
      <c r="BN27" s="138"/>
      <c r="BO27" s="138"/>
      <c r="BP27" s="138"/>
      <c r="BQ27" s="138"/>
      <c r="BR27" s="138"/>
      <c r="BS27" s="138"/>
      <c r="BT27" s="138"/>
      <c r="BU27" s="138"/>
      <c r="BV27" s="138"/>
      <c r="BW27" s="138"/>
      <c r="BX27" s="138"/>
      <c r="BY27" s="138"/>
      <c r="BZ27" s="138"/>
      <c r="CA27" s="138"/>
      <c r="CB27" s="138"/>
      <c r="CC27" s="138">
        <v>1</v>
      </c>
      <c r="CD27" s="138"/>
      <c r="CE27" s="138"/>
      <c r="CF27" s="139">
        <v>1</v>
      </c>
    </row>
    <row r="28" spans="1:84" ht="13.5" x14ac:dyDescent="0.15">
      <c r="A28" s="144" t="s">
        <v>829</v>
      </c>
      <c r="B28" s="144" t="s">
        <v>854</v>
      </c>
      <c r="C28" s="138" t="s">
        <v>69</v>
      </c>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38"/>
      <c r="AB28" s="138"/>
      <c r="AC28" s="138"/>
      <c r="AD28" s="138"/>
      <c r="AE28" s="138"/>
      <c r="AF28" s="138"/>
      <c r="AG28" s="138"/>
      <c r="AH28" s="138"/>
      <c r="AI28" s="138"/>
      <c r="AJ28" s="138"/>
      <c r="AK28" s="138">
        <v>1</v>
      </c>
      <c r="AL28" s="138"/>
      <c r="AM28" s="138"/>
      <c r="AN28" s="138"/>
      <c r="AO28" s="138"/>
      <c r="AP28" s="138"/>
      <c r="AQ28" s="138"/>
      <c r="AR28" s="138"/>
      <c r="AS28" s="138"/>
      <c r="AT28" s="138"/>
      <c r="AU28" s="138"/>
      <c r="AV28" s="138"/>
      <c r="AW28" s="138"/>
      <c r="AX28" s="138"/>
      <c r="AY28" s="138"/>
      <c r="AZ28" s="138"/>
      <c r="BA28" s="138"/>
      <c r="BB28" s="138"/>
      <c r="BC28" s="138"/>
      <c r="BD28" s="138"/>
      <c r="BE28" s="138"/>
      <c r="BF28" s="138"/>
      <c r="BG28" s="138"/>
      <c r="BH28" s="138"/>
      <c r="BI28" s="138"/>
      <c r="BJ28" s="138"/>
      <c r="BK28" s="138"/>
      <c r="BL28" s="138"/>
      <c r="BM28" s="138"/>
      <c r="BN28" s="138"/>
      <c r="BO28" s="138"/>
      <c r="BP28" s="138"/>
      <c r="BQ28" s="138"/>
      <c r="BR28" s="138"/>
      <c r="BS28" s="138"/>
      <c r="BT28" s="138"/>
      <c r="BU28" s="138"/>
      <c r="BV28" s="138"/>
      <c r="BW28" s="138"/>
      <c r="BX28" s="138"/>
      <c r="BY28" s="138"/>
      <c r="BZ28" s="138"/>
      <c r="CA28" s="138"/>
      <c r="CB28" s="138"/>
      <c r="CC28" s="138"/>
      <c r="CD28" s="138">
        <v>2</v>
      </c>
      <c r="CE28" s="138"/>
      <c r="CF28" s="139">
        <v>3</v>
      </c>
    </row>
    <row r="29" spans="1:84" ht="13.5" x14ac:dyDescent="0.15">
      <c r="A29" s="144" t="s">
        <v>830</v>
      </c>
      <c r="B29" s="144" t="s">
        <v>855</v>
      </c>
      <c r="C29" s="138" t="s">
        <v>68</v>
      </c>
      <c r="D29" s="138"/>
      <c r="E29" s="138"/>
      <c r="F29" s="138"/>
      <c r="G29" s="138"/>
      <c r="H29" s="138"/>
      <c r="I29" s="138"/>
      <c r="J29" s="138"/>
      <c r="K29" s="138"/>
      <c r="L29" s="138"/>
      <c r="M29" s="138"/>
      <c r="N29" s="138"/>
      <c r="O29" s="138"/>
      <c r="P29" s="138"/>
      <c r="Q29" s="138"/>
      <c r="R29" s="138"/>
      <c r="S29" s="138"/>
      <c r="T29" s="138"/>
      <c r="U29" s="138"/>
      <c r="V29" s="138"/>
      <c r="W29" s="138"/>
      <c r="X29" s="138"/>
      <c r="Y29" s="138"/>
      <c r="Z29" s="138">
        <v>4</v>
      </c>
      <c r="AA29" s="138"/>
      <c r="AB29" s="138"/>
      <c r="AC29" s="138"/>
      <c r="AD29" s="138"/>
      <c r="AE29" s="138"/>
      <c r="AF29" s="138"/>
      <c r="AG29" s="138"/>
      <c r="AH29" s="138"/>
      <c r="AI29" s="138"/>
      <c r="AJ29" s="138"/>
      <c r="AK29" s="138"/>
      <c r="AL29" s="138"/>
      <c r="AM29" s="138"/>
      <c r="AN29" s="138"/>
      <c r="AO29" s="138"/>
      <c r="AP29" s="138"/>
      <c r="AQ29" s="138"/>
      <c r="AR29" s="138"/>
      <c r="AS29" s="138"/>
      <c r="AT29" s="138"/>
      <c r="AU29" s="138"/>
      <c r="AV29" s="138"/>
      <c r="AW29" s="138"/>
      <c r="AX29" s="138">
        <v>4</v>
      </c>
      <c r="AY29" s="138"/>
      <c r="AZ29" s="138"/>
      <c r="BA29" s="138"/>
      <c r="BB29" s="138"/>
      <c r="BC29" s="138"/>
      <c r="BD29" s="138"/>
      <c r="BE29" s="138"/>
      <c r="BF29" s="138"/>
      <c r="BG29" s="138"/>
      <c r="BH29" s="138"/>
      <c r="BI29" s="138"/>
      <c r="BJ29" s="138"/>
      <c r="BK29" s="138"/>
      <c r="BL29" s="138"/>
      <c r="BM29" s="138"/>
      <c r="BN29" s="138"/>
      <c r="BO29" s="138"/>
      <c r="BP29" s="138"/>
      <c r="BQ29" s="138"/>
      <c r="BR29" s="138"/>
      <c r="BS29" s="138"/>
      <c r="BT29" s="138"/>
      <c r="BU29" s="138"/>
      <c r="BV29" s="138"/>
      <c r="BW29" s="138"/>
      <c r="BX29" s="138"/>
      <c r="BY29" s="138"/>
      <c r="BZ29" s="138"/>
      <c r="CA29" s="138"/>
      <c r="CB29" s="138"/>
      <c r="CC29" s="138"/>
      <c r="CD29" s="138"/>
      <c r="CE29" s="138">
        <v>5</v>
      </c>
      <c r="CF29" s="139">
        <v>13</v>
      </c>
    </row>
    <row r="30" spans="1:84" ht="13.5" x14ac:dyDescent="0.15">
      <c r="A30" s="144" t="s">
        <v>879</v>
      </c>
      <c r="B30" s="144" t="s">
        <v>1048</v>
      </c>
      <c r="C30" s="138" t="s">
        <v>69</v>
      </c>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c r="AN30" s="138"/>
      <c r="AO30" s="138"/>
      <c r="AP30" s="138"/>
      <c r="AQ30" s="138"/>
      <c r="AR30" s="138"/>
      <c r="AS30" s="138"/>
      <c r="AT30" s="138"/>
      <c r="AU30" s="138"/>
      <c r="AV30" s="138"/>
      <c r="AW30" s="138"/>
      <c r="AX30" s="138"/>
      <c r="AY30" s="138"/>
      <c r="AZ30" s="138"/>
      <c r="BA30" s="138"/>
      <c r="BB30" s="138"/>
      <c r="BC30" s="138"/>
      <c r="BD30" s="138"/>
      <c r="BE30" s="138"/>
      <c r="BF30" s="138"/>
      <c r="BG30" s="138"/>
      <c r="BH30" s="138"/>
      <c r="BI30" s="138"/>
      <c r="BJ30" s="138"/>
      <c r="BK30" s="138"/>
      <c r="BL30" s="138"/>
      <c r="BM30" s="138"/>
      <c r="BN30" s="138"/>
      <c r="BO30" s="138"/>
      <c r="BP30" s="138"/>
      <c r="BQ30" s="138"/>
      <c r="BR30" s="138"/>
      <c r="BS30" s="138"/>
      <c r="BT30" s="138"/>
      <c r="BU30" s="138"/>
      <c r="BV30" s="138"/>
      <c r="BW30" s="138"/>
      <c r="BX30" s="138"/>
      <c r="BY30" s="138"/>
      <c r="BZ30" s="138"/>
      <c r="CA30" s="138"/>
      <c r="CB30" s="138">
        <v>1</v>
      </c>
      <c r="CC30" s="138"/>
      <c r="CD30" s="138"/>
      <c r="CE30" s="138"/>
      <c r="CF30" s="139">
        <v>1</v>
      </c>
    </row>
    <row r="31" spans="1:84" ht="13.5" x14ac:dyDescent="0.15">
      <c r="A31" s="144" t="s">
        <v>474</v>
      </c>
      <c r="B31" s="144" t="s">
        <v>869</v>
      </c>
      <c r="C31" s="138" t="s">
        <v>69</v>
      </c>
      <c r="D31" s="138"/>
      <c r="E31" s="138"/>
      <c r="F31" s="138"/>
      <c r="G31" s="138"/>
      <c r="H31" s="138"/>
      <c r="I31" s="138"/>
      <c r="J31" s="138"/>
      <c r="K31" s="138"/>
      <c r="L31" s="138"/>
      <c r="M31" s="138"/>
      <c r="N31" s="138"/>
      <c r="O31" s="138"/>
      <c r="P31" s="138">
        <v>1</v>
      </c>
      <c r="Q31" s="138"/>
      <c r="R31" s="138">
        <v>1</v>
      </c>
      <c r="S31" s="138">
        <v>1</v>
      </c>
      <c r="T31" s="138"/>
      <c r="U31" s="138">
        <v>1</v>
      </c>
      <c r="V31" s="138"/>
      <c r="W31" s="138"/>
      <c r="X31" s="138"/>
      <c r="Y31" s="138"/>
      <c r="Z31" s="138"/>
      <c r="AA31" s="138"/>
      <c r="AB31" s="138"/>
      <c r="AC31" s="138"/>
      <c r="AD31" s="138"/>
      <c r="AE31" s="138"/>
      <c r="AF31" s="138"/>
      <c r="AG31" s="138"/>
      <c r="AH31" s="138"/>
      <c r="AI31" s="138"/>
      <c r="AJ31" s="138"/>
      <c r="AK31" s="138"/>
      <c r="AL31" s="138"/>
      <c r="AM31" s="138"/>
      <c r="AN31" s="138"/>
      <c r="AO31" s="138"/>
      <c r="AP31" s="138">
        <v>1</v>
      </c>
      <c r="AQ31" s="138"/>
      <c r="AR31" s="138"/>
      <c r="AS31" s="138"/>
      <c r="AT31" s="138"/>
      <c r="AU31" s="138"/>
      <c r="AV31" s="138"/>
      <c r="AW31" s="138">
        <v>1</v>
      </c>
      <c r="AX31" s="138"/>
      <c r="AY31" s="138"/>
      <c r="AZ31" s="138"/>
      <c r="BA31" s="138"/>
      <c r="BB31" s="138"/>
      <c r="BC31" s="138"/>
      <c r="BD31" s="138"/>
      <c r="BE31" s="138"/>
      <c r="BF31" s="138"/>
      <c r="BG31" s="138"/>
      <c r="BH31" s="138"/>
      <c r="BI31" s="138"/>
      <c r="BJ31" s="138"/>
      <c r="BK31" s="138"/>
      <c r="BL31" s="138"/>
      <c r="BM31" s="138"/>
      <c r="BN31" s="138"/>
      <c r="BO31" s="138"/>
      <c r="BP31" s="138"/>
      <c r="BQ31" s="138"/>
      <c r="BR31" s="138"/>
      <c r="BS31" s="138"/>
      <c r="BT31" s="138"/>
      <c r="BU31" s="138"/>
      <c r="BV31" s="138"/>
      <c r="BW31" s="138"/>
      <c r="BX31" s="138">
        <v>1</v>
      </c>
      <c r="BY31" s="138"/>
      <c r="BZ31" s="138"/>
      <c r="CA31" s="138"/>
      <c r="CB31" s="138"/>
      <c r="CC31" s="138"/>
      <c r="CD31" s="138">
        <v>2</v>
      </c>
      <c r="CE31" s="138"/>
      <c r="CF31" s="139">
        <v>9</v>
      </c>
    </row>
    <row r="32" spans="1:84" ht="13.5" x14ac:dyDescent="0.15">
      <c r="A32" s="144" t="s">
        <v>492</v>
      </c>
      <c r="B32" s="144" t="s">
        <v>870</v>
      </c>
      <c r="C32" s="138" t="s">
        <v>69</v>
      </c>
      <c r="D32" s="138"/>
      <c r="E32" s="138"/>
      <c r="F32" s="138"/>
      <c r="G32" s="138"/>
      <c r="H32" s="138"/>
      <c r="I32" s="138"/>
      <c r="J32" s="138">
        <v>1</v>
      </c>
      <c r="K32" s="138"/>
      <c r="L32" s="138"/>
      <c r="M32" s="138"/>
      <c r="N32" s="138"/>
      <c r="O32" s="138"/>
      <c r="P32" s="138"/>
      <c r="Q32" s="138"/>
      <c r="R32" s="138"/>
      <c r="S32" s="138"/>
      <c r="T32" s="138"/>
      <c r="U32" s="138"/>
      <c r="V32" s="138"/>
      <c r="W32" s="138"/>
      <c r="X32" s="138"/>
      <c r="Y32" s="138"/>
      <c r="Z32" s="138"/>
      <c r="AA32" s="138"/>
      <c r="AB32" s="138"/>
      <c r="AC32" s="138"/>
      <c r="AD32" s="138"/>
      <c r="AE32" s="138"/>
      <c r="AF32" s="138"/>
      <c r="AG32" s="138"/>
      <c r="AH32" s="138"/>
      <c r="AI32" s="138"/>
      <c r="AJ32" s="138"/>
      <c r="AK32" s="138"/>
      <c r="AL32" s="138"/>
      <c r="AM32" s="138">
        <v>1</v>
      </c>
      <c r="AN32" s="138"/>
      <c r="AO32" s="138"/>
      <c r="AP32" s="138"/>
      <c r="AQ32" s="138"/>
      <c r="AR32" s="138"/>
      <c r="AS32" s="138"/>
      <c r="AT32" s="138"/>
      <c r="AU32" s="138"/>
      <c r="AV32" s="138"/>
      <c r="AW32" s="138"/>
      <c r="AX32" s="138"/>
      <c r="AY32" s="138"/>
      <c r="AZ32" s="138"/>
      <c r="BA32" s="138"/>
      <c r="BB32" s="138"/>
      <c r="BC32" s="138"/>
      <c r="BD32" s="138"/>
      <c r="BE32" s="138"/>
      <c r="BF32" s="138"/>
      <c r="BG32" s="138"/>
      <c r="BH32" s="138"/>
      <c r="BI32" s="138"/>
      <c r="BJ32" s="138"/>
      <c r="BK32" s="138"/>
      <c r="BL32" s="138"/>
      <c r="BM32" s="138"/>
      <c r="BN32" s="138"/>
      <c r="BO32" s="138"/>
      <c r="BP32" s="138"/>
      <c r="BQ32" s="138"/>
      <c r="BR32" s="138"/>
      <c r="BS32" s="138"/>
      <c r="BT32" s="138"/>
      <c r="BU32" s="138"/>
      <c r="BV32" s="138"/>
      <c r="BW32" s="138"/>
      <c r="BX32" s="138"/>
      <c r="BY32" s="138"/>
      <c r="BZ32" s="138"/>
      <c r="CA32" s="138"/>
      <c r="CB32" s="138"/>
      <c r="CC32" s="138"/>
      <c r="CD32" s="138"/>
      <c r="CE32" s="138"/>
      <c r="CF32" s="139">
        <v>2</v>
      </c>
    </row>
    <row r="33" spans="1:84" ht="13.5" x14ac:dyDescent="0.15">
      <c r="A33" s="144" t="s">
        <v>485</v>
      </c>
      <c r="B33" s="144" t="s">
        <v>859</v>
      </c>
      <c r="C33" s="138" t="s">
        <v>68</v>
      </c>
      <c r="D33" s="138">
        <v>3</v>
      </c>
      <c r="E33" s="138"/>
      <c r="F33" s="138"/>
      <c r="G33" s="138"/>
      <c r="H33" s="138"/>
      <c r="I33" s="138"/>
      <c r="J33" s="138"/>
      <c r="K33" s="138"/>
      <c r="L33" s="138"/>
      <c r="M33" s="138"/>
      <c r="N33" s="138"/>
      <c r="O33" s="138"/>
      <c r="P33" s="138"/>
      <c r="Q33" s="138"/>
      <c r="R33" s="138"/>
      <c r="S33" s="138"/>
      <c r="T33" s="138"/>
      <c r="U33" s="138"/>
      <c r="V33" s="138"/>
      <c r="W33" s="138"/>
      <c r="X33" s="138"/>
      <c r="Y33" s="138"/>
      <c r="Z33" s="138"/>
      <c r="AA33" s="138"/>
      <c r="AB33" s="138"/>
      <c r="AC33" s="138"/>
      <c r="AD33" s="138"/>
      <c r="AE33" s="138"/>
      <c r="AF33" s="138"/>
      <c r="AG33" s="138"/>
      <c r="AH33" s="138"/>
      <c r="AI33" s="138"/>
      <c r="AJ33" s="138"/>
      <c r="AK33" s="138">
        <v>15</v>
      </c>
      <c r="AL33" s="138"/>
      <c r="AM33" s="138"/>
      <c r="AN33" s="138"/>
      <c r="AO33" s="138">
        <v>3</v>
      </c>
      <c r="AP33" s="138"/>
      <c r="AQ33" s="138"/>
      <c r="AR33" s="138">
        <v>5</v>
      </c>
      <c r="AS33" s="138"/>
      <c r="AT33" s="138"/>
      <c r="AU33" s="138"/>
      <c r="AV33" s="138"/>
      <c r="AW33" s="138"/>
      <c r="AX33" s="138">
        <v>10</v>
      </c>
      <c r="AY33" s="138"/>
      <c r="AZ33" s="138">
        <v>2</v>
      </c>
      <c r="BA33" s="138"/>
      <c r="BB33" s="138"/>
      <c r="BC33" s="138"/>
      <c r="BD33" s="138"/>
      <c r="BE33" s="138"/>
      <c r="BF33" s="138"/>
      <c r="BG33" s="138"/>
      <c r="BH33" s="138"/>
      <c r="BI33" s="138"/>
      <c r="BJ33" s="138"/>
      <c r="BK33" s="138"/>
      <c r="BL33" s="138"/>
      <c r="BM33" s="138"/>
      <c r="BN33" s="138"/>
      <c r="BO33" s="138"/>
      <c r="BP33" s="138"/>
      <c r="BQ33" s="138"/>
      <c r="BR33" s="138"/>
      <c r="BS33" s="138"/>
      <c r="BT33" s="138"/>
      <c r="BU33" s="138"/>
      <c r="BV33" s="138"/>
      <c r="BW33" s="138"/>
      <c r="BX33" s="138"/>
      <c r="BY33" s="138"/>
      <c r="BZ33" s="138"/>
      <c r="CA33" s="138"/>
      <c r="CB33" s="138"/>
      <c r="CC33" s="138">
        <v>20</v>
      </c>
      <c r="CD33" s="138"/>
      <c r="CE33" s="138">
        <v>5</v>
      </c>
      <c r="CF33" s="139">
        <v>63</v>
      </c>
    </row>
    <row r="34" spans="1:84" ht="13.5" x14ac:dyDescent="0.15">
      <c r="A34" s="144" t="s">
        <v>672</v>
      </c>
      <c r="B34" s="144" t="s">
        <v>795</v>
      </c>
      <c r="C34" s="138" t="s">
        <v>68</v>
      </c>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c r="AH34" s="138"/>
      <c r="AI34" s="138"/>
      <c r="AJ34" s="138"/>
      <c r="AK34" s="138"/>
      <c r="AL34" s="138"/>
      <c r="AM34" s="138"/>
      <c r="AN34" s="138"/>
      <c r="AO34" s="138"/>
      <c r="AP34" s="138"/>
      <c r="AQ34" s="138"/>
      <c r="AR34" s="138"/>
      <c r="AS34" s="138"/>
      <c r="AT34" s="138"/>
      <c r="AU34" s="138"/>
      <c r="AV34" s="138"/>
      <c r="AW34" s="138"/>
      <c r="AX34" s="138"/>
      <c r="AY34" s="138"/>
      <c r="AZ34" s="138"/>
      <c r="BA34" s="138"/>
      <c r="BB34" s="138"/>
      <c r="BC34" s="138">
        <v>11</v>
      </c>
      <c r="BD34" s="138"/>
      <c r="BE34" s="138"/>
      <c r="BF34" s="138"/>
      <c r="BG34" s="138"/>
      <c r="BH34" s="138"/>
      <c r="BI34" s="138"/>
      <c r="BJ34" s="138"/>
      <c r="BK34" s="138"/>
      <c r="BL34" s="138"/>
      <c r="BM34" s="138"/>
      <c r="BN34" s="138"/>
      <c r="BO34" s="138"/>
      <c r="BP34" s="138"/>
      <c r="BQ34" s="138"/>
      <c r="BR34" s="138"/>
      <c r="BS34" s="138"/>
      <c r="BT34" s="138"/>
      <c r="BU34" s="138"/>
      <c r="BV34" s="138"/>
      <c r="BW34" s="138"/>
      <c r="BX34" s="138"/>
      <c r="BY34" s="138"/>
      <c r="BZ34" s="138"/>
      <c r="CA34" s="138"/>
      <c r="CB34" s="138"/>
      <c r="CC34" s="138"/>
      <c r="CD34" s="138"/>
      <c r="CE34" s="138"/>
      <c r="CF34" s="139">
        <v>11</v>
      </c>
    </row>
    <row r="35" spans="1:84" ht="13.5" x14ac:dyDescent="0.15">
      <c r="A35" s="144" t="s">
        <v>877</v>
      </c>
      <c r="B35" s="144" t="s">
        <v>878</v>
      </c>
      <c r="C35" s="138" t="s">
        <v>68</v>
      </c>
      <c r="D35" s="138">
        <v>3</v>
      </c>
      <c r="E35" s="138"/>
      <c r="F35" s="138">
        <v>5</v>
      </c>
      <c r="G35" s="138"/>
      <c r="H35" s="138"/>
      <c r="I35" s="138"/>
      <c r="J35" s="138"/>
      <c r="K35" s="138"/>
      <c r="L35" s="138"/>
      <c r="M35" s="138"/>
      <c r="N35" s="138"/>
      <c r="O35" s="138"/>
      <c r="P35" s="138"/>
      <c r="Q35" s="138"/>
      <c r="R35" s="138"/>
      <c r="S35" s="138"/>
      <c r="T35" s="138"/>
      <c r="U35" s="138"/>
      <c r="V35" s="138"/>
      <c r="W35" s="138"/>
      <c r="X35" s="138"/>
      <c r="Y35" s="138"/>
      <c r="Z35" s="138">
        <v>4</v>
      </c>
      <c r="AA35" s="138"/>
      <c r="AB35" s="138"/>
      <c r="AC35" s="138"/>
      <c r="AD35" s="138"/>
      <c r="AE35" s="138"/>
      <c r="AF35" s="138"/>
      <c r="AG35" s="138"/>
      <c r="AH35" s="138"/>
      <c r="AI35" s="138"/>
      <c r="AJ35" s="138"/>
      <c r="AK35" s="138"/>
      <c r="AL35" s="138"/>
      <c r="AM35" s="138"/>
      <c r="AN35" s="138"/>
      <c r="AO35" s="138">
        <v>3</v>
      </c>
      <c r="AP35" s="138"/>
      <c r="AQ35" s="138"/>
      <c r="AR35" s="138"/>
      <c r="AS35" s="138"/>
      <c r="AT35" s="138"/>
      <c r="AU35" s="138"/>
      <c r="AV35" s="138"/>
      <c r="AW35" s="138"/>
      <c r="AX35" s="138"/>
      <c r="AY35" s="138"/>
      <c r="AZ35" s="138">
        <v>2</v>
      </c>
      <c r="BA35" s="138"/>
      <c r="BB35" s="138"/>
      <c r="BC35" s="138"/>
      <c r="BD35" s="138"/>
      <c r="BE35" s="138"/>
      <c r="BF35" s="138"/>
      <c r="BG35" s="138"/>
      <c r="BH35" s="138"/>
      <c r="BI35" s="138"/>
      <c r="BJ35" s="138"/>
      <c r="BK35" s="138"/>
      <c r="BL35" s="138"/>
      <c r="BM35" s="138"/>
      <c r="BN35" s="138"/>
      <c r="BO35" s="138"/>
      <c r="BP35" s="138"/>
      <c r="BQ35" s="138"/>
      <c r="BR35" s="138"/>
      <c r="BS35" s="138"/>
      <c r="BT35" s="138"/>
      <c r="BU35" s="138"/>
      <c r="BV35" s="138"/>
      <c r="BW35" s="138"/>
      <c r="BX35" s="138"/>
      <c r="BY35" s="138"/>
      <c r="BZ35" s="138"/>
      <c r="CA35" s="138"/>
      <c r="CB35" s="138"/>
      <c r="CC35" s="138">
        <v>20</v>
      </c>
      <c r="CD35" s="138"/>
      <c r="CE35" s="138">
        <v>5</v>
      </c>
      <c r="CF35" s="139">
        <v>42</v>
      </c>
    </row>
    <row r="36" spans="1:84" ht="13.5" x14ac:dyDescent="0.15">
      <c r="A36" s="144" t="s">
        <v>640</v>
      </c>
      <c r="B36" s="144" t="s">
        <v>641</v>
      </c>
      <c r="C36" s="138" t="s">
        <v>69</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c r="AB36" s="138"/>
      <c r="AC36" s="138"/>
      <c r="AD36" s="138"/>
      <c r="AE36" s="138"/>
      <c r="AF36" s="138"/>
      <c r="AG36" s="138"/>
      <c r="AH36" s="138"/>
      <c r="AI36" s="138"/>
      <c r="AJ36" s="138"/>
      <c r="AK36" s="138">
        <v>1</v>
      </c>
      <c r="AL36" s="138"/>
      <c r="AM36" s="138"/>
      <c r="AN36" s="138"/>
      <c r="AO36" s="138"/>
      <c r="AP36" s="138">
        <v>1</v>
      </c>
      <c r="AQ36" s="138"/>
      <c r="AR36" s="138"/>
      <c r="AS36" s="138"/>
      <c r="AT36" s="138"/>
      <c r="AU36" s="138"/>
      <c r="AV36" s="138"/>
      <c r="AW36" s="138"/>
      <c r="AX36" s="138"/>
      <c r="AY36" s="138"/>
      <c r="AZ36" s="138"/>
      <c r="BA36" s="138"/>
      <c r="BB36" s="138"/>
      <c r="BC36" s="138"/>
      <c r="BD36" s="138"/>
      <c r="BE36" s="138"/>
      <c r="BF36" s="138"/>
      <c r="BG36" s="138"/>
      <c r="BH36" s="138"/>
      <c r="BI36" s="138"/>
      <c r="BJ36" s="138"/>
      <c r="BK36" s="138"/>
      <c r="BL36" s="138"/>
      <c r="BM36" s="138"/>
      <c r="BN36" s="138"/>
      <c r="BO36" s="138"/>
      <c r="BP36" s="138"/>
      <c r="BQ36" s="138"/>
      <c r="BR36" s="138"/>
      <c r="BS36" s="138"/>
      <c r="BT36" s="138"/>
      <c r="BU36" s="138"/>
      <c r="BV36" s="138"/>
      <c r="BW36" s="138"/>
      <c r="BX36" s="138">
        <v>1</v>
      </c>
      <c r="BY36" s="138"/>
      <c r="BZ36" s="138"/>
      <c r="CA36" s="138"/>
      <c r="CB36" s="138"/>
      <c r="CC36" s="138"/>
      <c r="CD36" s="138"/>
      <c r="CE36" s="138"/>
      <c r="CF36" s="139">
        <v>3</v>
      </c>
    </row>
    <row r="37" spans="1:84" ht="13.5" x14ac:dyDescent="0.15">
      <c r="A37" s="144" t="s">
        <v>838</v>
      </c>
      <c r="B37" s="144" t="s">
        <v>839</v>
      </c>
      <c r="C37" s="138" t="s">
        <v>68</v>
      </c>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c r="AB37" s="138"/>
      <c r="AC37" s="138"/>
      <c r="AD37" s="138"/>
      <c r="AE37" s="138"/>
      <c r="AF37" s="138"/>
      <c r="AG37" s="138"/>
      <c r="AH37" s="138"/>
      <c r="AI37" s="138"/>
      <c r="AJ37" s="138"/>
      <c r="AK37" s="138"/>
      <c r="AL37" s="138"/>
      <c r="AM37" s="138"/>
      <c r="AN37" s="138"/>
      <c r="AO37" s="138"/>
      <c r="AP37" s="138"/>
      <c r="AQ37" s="138"/>
      <c r="AR37" s="138"/>
      <c r="AS37" s="138"/>
      <c r="AT37" s="138"/>
      <c r="AU37" s="138"/>
      <c r="AV37" s="138"/>
      <c r="AW37" s="138"/>
      <c r="AX37" s="138"/>
      <c r="AY37" s="138"/>
      <c r="AZ37" s="138"/>
      <c r="BA37" s="138"/>
      <c r="BB37" s="138"/>
      <c r="BC37" s="138">
        <v>0</v>
      </c>
      <c r="BD37" s="138"/>
      <c r="BE37" s="138"/>
      <c r="BF37" s="138"/>
      <c r="BG37" s="138"/>
      <c r="BH37" s="138"/>
      <c r="BI37" s="138"/>
      <c r="BJ37" s="138"/>
      <c r="BK37" s="138"/>
      <c r="BL37" s="138"/>
      <c r="BM37" s="138"/>
      <c r="BN37" s="138"/>
      <c r="BO37" s="138"/>
      <c r="BP37" s="138"/>
      <c r="BQ37" s="138"/>
      <c r="BR37" s="138"/>
      <c r="BS37" s="138"/>
      <c r="BT37" s="138"/>
      <c r="BU37" s="138"/>
      <c r="BV37" s="138"/>
      <c r="BW37" s="138"/>
      <c r="BX37" s="138"/>
      <c r="BY37" s="138"/>
      <c r="BZ37" s="138"/>
      <c r="CA37" s="138"/>
      <c r="CB37" s="138"/>
      <c r="CC37" s="138"/>
      <c r="CD37" s="138"/>
      <c r="CE37" s="138"/>
      <c r="CF37" s="139">
        <v>0</v>
      </c>
    </row>
    <row r="38" spans="1:84" ht="13.5" x14ac:dyDescent="0.15">
      <c r="A38" s="144" t="s">
        <v>544</v>
      </c>
      <c r="B38" s="144" t="s">
        <v>545</v>
      </c>
      <c r="C38" s="138" t="s">
        <v>68</v>
      </c>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c r="AB38" s="138"/>
      <c r="AC38" s="138"/>
      <c r="AD38" s="138"/>
      <c r="AE38" s="138"/>
      <c r="AF38" s="138"/>
      <c r="AG38" s="138"/>
      <c r="AH38" s="138"/>
      <c r="AI38" s="138"/>
      <c r="AJ38" s="138"/>
      <c r="AK38" s="138"/>
      <c r="AL38" s="138"/>
      <c r="AM38" s="138"/>
      <c r="AN38" s="138"/>
      <c r="AO38" s="138"/>
      <c r="AP38" s="138"/>
      <c r="AQ38" s="138"/>
      <c r="AR38" s="138"/>
      <c r="AS38" s="138"/>
      <c r="AT38" s="138"/>
      <c r="AU38" s="138"/>
      <c r="AV38" s="138"/>
      <c r="AW38" s="138"/>
      <c r="AX38" s="138"/>
      <c r="AY38" s="138"/>
      <c r="AZ38" s="138"/>
      <c r="BA38" s="138"/>
      <c r="BB38" s="138"/>
      <c r="BC38" s="138"/>
      <c r="BD38" s="138"/>
      <c r="BE38" s="138"/>
      <c r="BF38" s="138"/>
      <c r="BG38" s="138"/>
      <c r="BH38" s="138">
        <v>50</v>
      </c>
      <c r="BI38" s="138"/>
      <c r="BJ38" s="138"/>
      <c r="BK38" s="138"/>
      <c r="BL38" s="138"/>
      <c r="BM38" s="138"/>
      <c r="BN38" s="138"/>
      <c r="BO38" s="138"/>
      <c r="BP38" s="138"/>
      <c r="BQ38" s="138"/>
      <c r="BR38" s="138"/>
      <c r="BS38" s="138"/>
      <c r="BT38" s="138"/>
      <c r="BU38" s="138"/>
      <c r="BV38" s="138"/>
      <c r="BW38" s="138"/>
      <c r="BX38" s="138"/>
      <c r="BY38" s="138"/>
      <c r="BZ38" s="138"/>
      <c r="CA38" s="138"/>
      <c r="CB38" s="138"/>
      <c r="CC38" s="138"/>
      <c r="CD38" s="138"/>
      <c r="CE38" s="138"/>
      <c r="CF38" s="139">
        <v>50</v>
      </c>
    </row>
    <row r="39" spans="1:84" ht="13.5" x14ac:dyDescent="0.15">
      <c r="A39" s="144" t="s">
        <v>918</v>
      </c>
      <c r="B39" s="144" t="s">
        <v>919</v>
      </c>
      <c r="C39" s="138" t="s">
        <v>69</v>
      </c>
      <c r="D39" s="138"/>
      <c r="E39" s="138"/>
      <c r="F39" s="138"/>
      <c r="G39" s="138">
        <v>1</v>
      </c>
      <c r="H39" s="138"/>
      <c r="I39" s="138">
        <v>2</v>
      </c>
      <c r="J39" s="138">
        <v>1</v>
      </c>
      <c r="K39" s="138"/>
      <c r="L39" s="138"/>
      <c r="M39" s="138"/>
      <c r="N39" s="138"/>
      <c r="O39" s="138"/>
      <c r="P39" s="138"/>
      <c r="Q39" s="138"/>
      <c r="R39" s="138"/>
      <c r="S39" s="138"/>
      <c r="T39" s="138"/>
      <c r="U39" s="138"/>
      <c r="V39" s="138"/>
      <c r="W39" s="138"/>
      <c r="X39" s="138"/>
      <c r="Y39" s="138"/>
      <c r="Z39" s="138"/>
      <c r="AA39" s="138"/>
      <c r="AB39" s="138"/>
      <c r="AC39" s="138"/>
      <c r="AD39" s="138">
        <v>1</v>
      </c>
      <c r="AE39" s="138"/>
      <c r="AF39" s="138"/>
      <c r="AG39" s="138"/>
      <c r="AH39" s="138"/>
      <c r="AI39" s="138"/>
      <c r="AJ39" s="138"/>
      <c r="AK39" s="138">
        <v>1</v>
      </c>
      <c r="AL39" s="138"/>
      <c r="AM39" s="138"/>
      <c r="AN39" s="138">
        <v>1</v>
      </c>
      <c r="AO39" s="138"/>
      <c r="AP39" s="138">
        <v>1</v>
      </c>
      <c r="AQ39" s="138">
        <v>1</v>
      </c>
      <c r="AR39" s="138"/>
      <c r="AS39" s="138"/>
      <c r="AT39" s="138"/>
      <c r="AU39" s="138"/>
      <c r="AV39" s="138"/>
      <c r="AW39" s="138"/>
      <c r="AX39" s="138"/>
      <c r="AY39" s="138"/>
      <c r="AZ39" s="138"/>
      <c r="BA39" s="138"/>
      <c r="BB39" s="138">
        <v>1</v>
      </c>
      <c r="BC39" s="138"/>
      <c r="BD39" s="138">
        <v>1</v>
      </c>
      <c r="BE39" s="138"/>
      <c r="BF39" s="138">
        <v>1</v>
      </c>
      <c r="BG39" s="138"/>
      <c r="BH39" s="138"/>
      <c r="BI39" s="138"/>
      <c r="BJ39" s="138"/>
      <c r="BK39" s="138"/>
      <c r="BL39" s="138"/>
      <c r="BM39" s="138"/>
      <c r="BN39" s="138"/>
      <c r="BO39" s="138"/>
      <c r="BP39" s="138"/>
      <c r="BQ39" s="138"/>
      <c r="BR39" s="138"/>
      <c r="BS39" s="138"/>
      <c r="BT39" s="138"/>
      <c r="BU39" s="138"/>
      <c r="BV39" s="138"/>
      <c r="BW39" s="138"/>
      <c r="BX39" s="138">
        <v>1</v>
      </c>
      <c r="BY39" s="138">
        <v>1</v>
      </c>
      <c r="BZ39" s="138"/>
      <c r="CA39" s="138"/>
      <c r="CB39" s="138"/>
      <c r="CC39" s="138"/>
      <c r="CD39" s="138"/>
      <c r="CE39" s="138"/>
      <c r="CF39" s="139">
        <v>14</v>
      </c>
    </row>
    <row r="40" spans="1:84" ht="13.5" x14ac:dyDescent="0.15">
      <c r="A40" s="144" t="s">
        <v>921</v>
      </c>
      <c r="B40" s="144" t="s">
        <v>922</v>
      </c>
      <c r="C40" s="138" t="s">
        <v>68</v>
      </c>
      <c r="D40" s="138">
        <v>5</v>
      </c>
      <c r="E40" s="138"/>
      <c r="F40" s="138">
        <v>5</v>
      </c>
      <c r="G40" s="138"/>
      <c r="H40" s="138"/>
      <c r="I40" s="138"/>
      <c r="J40" s="138"/>
      <c r="K40" s="138"/>
      <c r="L40" s="138"/>
      <c r="M40" s="138"/>
      <c r="N40" s="138"/>
      <c r="O40" s="138"/>
      <c r="P40" s="138"/>
      <c r="Q40" s="138"/>
      <c r="R40" s="138"/>
      <c r="S40" s="138">
        <v>5</v>
      </c>
      <c r="T40" s="138"/>
      <c r="U40" s="138">
        <v>5</v>
      </c>
      <c r="V40" s="138"/>
      <c r="W40" s="138"/>
      <c r="X40" s="138"/>
      <c r="Y40" s="138"/>
      <c r="Z40" s="138"/>
      <c r="AA40" s="138"/>
      <c r="AB40" s="138"/>
      <c r="AC40" s="138"/>
      <c r="AD40" s="138"/>
      <c r="AE40" s="138"/>
      <c r="AF40" s="138"/>
      <c r="AG40" s="138"/>
      <c r="AH40" s="138"/>
      <c r="AI40" s="138"/>
      <c r="AJ40" s="138"/>
      <c r="AK40" s="138"/>
      <c r="AL40" s="138"/>
      <c r="AM40" s="138"/>
      <c r="AN40" s="138"/>
      <c r="AO40" s="138">
        <v>5</v>
      </c>
      <c r="AP40" s="138"/>
      <c r="AQ40" s="138"/>
      <c r="AR40" s="138"/>
      <c r="AS40" s="138"/>
      <c r="AT40" s="138"/>
      <c r="AU40" s="138"/>
      <c r="AV40" s="138"/>
      <c r="AW40" s="138"/>
      <c r="AX40" s="138">
        <v>5</v>
      </c>
      <c r="AY40" s="138"/>
      <c r="AZ40" s="138">
        <v>4</v>
      </c>
      <c r="BA40" s="138"/>
      <c r="BB40" s="138"/>
      <c r="BC40" s="138"/>
      <c r="BD40" s="138"/>
      <c r="BE40" s="138">
        <v>3</v>
      </c>
      <c r="BF40" s="138"/>
      <c r="BG40" s="138"/>
      <c r="BH40" s="138"/>
      <c r="BI40" s="138">
        <v>50</v>
      </c>
      <c r="BJ40" s="138"/>
      <c r="BK40" s="138"/>
      <c r="BL40" s="138"/>
      <c r="BM40" s="138"/>
      <c r="BN40" s="138"/>
      <c r="BO40" s="138"/>
      <c r="BP40" s="138">
        <v>2</v>
      </c>
      <c r="BQ40" s="138"/>
      <c r="BR40" s="138"/>
      <c r="BS40" s="138"/>
      <c r="BT40" s="138"/>
      <c r="BU40" s="138"/>
      <c r="BV40" s="138"/>
      <c r="BW40" s="138">
        <v>5</v>
      </c>
      <c r="BX40" s="138"/>
      <c r="BY40" s="138"/>
      <c r="BZ40" s="138"/>
      <c r="CA40" s="138"/>
      <c r="CB40" s="138"/>
      <c r="CC40" s="138">
        <v>15</v>
      </c>
      <c r="CD40" s="138"/>
      <c r="CE40" s="138">
        <v>7</v>
      </c>
      <c r="CF40" s="139">
        <v>116</v>
      </c>
    </row>
    <row r="41" spans="1:84" ht="13.5" x14ac:dyDescent="0.15">
      <c r="A41" s="144" t="s">
        <v>848</v>
      </c>
      <c r="B41" s="144" t="s">
        <v>849</v>
      </c>
      <c r="C41" s="138" t="s">
        <v>68</v>
      </c>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c r="AV41" s="138"/>
      <c r="AW41" s="138"/>
      <c r="AX41" s="138"/>
      <c r="AY41" s="138"/>
      <c r="AZ41" s="138"/>
      <c r="BA41" s="138"/>
      <c r="BB41" s="138"/>
      <c r="BC41" s="138"/>
      <c r="BD41" s="138"/>
      <c r="BE41" s="138"/>
      <c r="BF41" s="138"/>
      <c r="BG41" s="138"/>
      <c r="BH41" s="138"/>
      <c r="BI41" s="138"/>
      <c r="BJ41" s="138"/>
      <c r="BK41" s="138"/>
      <c r="BL41" s="138"/>
      <c r="BM41" s="138"/>
      <c r="BN41" s="138"/>
      <c r="BO41" s="138"/>
      <c r="BP41" s="138"/>
      <c r="BQ41" s="138"/>
      <c r="BR41" s="138"/>
      <c r="BS41" s="138"/>
      <c r="BT41" s="138"/>
      <c r="BU41" s="138"/>
      <c r="BV41" s="138"/>
      <c r="BW41" s="138"/>
      <c r="BX41" s="138"/>
      <c r="BY41" s="138"/>
      <c r="BZ41" s="138"/>
      <c r="CA41" s="138">
        <v>10</v>
      </c>
      <c r="CB41" s="138"/>
      <c r="CC41" s="138"/>
      <c r="CD41" s="138"/>
      <c r="CE41" s="138"/>
      <c r="CF41" s="139">
        <v>10</v>
      </c>
    </row>
    <row r="42" spans="1:84" ht="13.5" x14ac:dyDescent="0.15">
      <c r="A42" s="144" t="s">
        <v>1006</v>
      </c>
      <c r="B42" s="144" t="s">
        <v>1007</v>
      </c>
      <c r="C42" s="138" t="s">
        <v>68</v>
      </c>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138"/>
      <c r="AB42" s="138"/>
      <c r="AC42" s="138"/>
      <c r="AD42" s="138"/>
      <c r="AE42" s="138"/>
      <c r="AF42" s="138"/>
      <c r="AG42" s="138"/>
      <c r="AH42" s="138"/>
      <c r="AI42" s="138"/>
      <c r="AJ42" s="138"/>
      <c r="AK42" s="138"/>
      <c r="AL42" s="138"/>
      <c r="AM42" s="138"/>
      <c r="AN42" s="138"/>
      <c r="AO42" s="138"/>
      <c r="AP42" s="138"/>
      <c r="AQ42" s="138"/>
      <c r="AR42" s="138"/>
      <c r="AS42" s="138"/>
      <c r="AT42" s="138"/>
      <c r="AU42" s="138"/>
      <c r="AV42" s="138"/>
      <c r="AW42" s="138"/>
      <c r="AX42" s="138"/>
      <c r="AY42" s="138"/>
      <c r="AZ42" s="138"/>
      <c r="BA42" s="138"/>
      <c r="BB42" s="138"/>
      <c r="BC42" s="138"/>
      <c r="BD42" s="138"/>
      <c r="BE42" s="138"/>
      <c r="BF42" s="138"/>
      <c r="BG42" s="138"/>
      <c r="BH42" s="138"/>
      <c r="BI42" s="138"/>
      <c r="BJ42" s="138"/>
      <c r="BK42" s="138"/>
      <c r="BL42" s="138"/>
      <c r="BM42" s="138"/>
      <c r="BN42" s="138"/>
      <c r="BO42" s="138"/>
      <c r="BP42" s="138"/>
      <c r="BQ42" s="138"/>
      <c r="BR42" s="138"/>
      <c r="BS42" s="138"/>
      <c r="BT42" s="138"/>
      <c r="BU42" s="138"/>
      <c r="BV42" s="138"/>
      <c r="BW42" s="138"/>
      <c r="BX42" s="138"/>
      <c r="BY42" s="138"/>
      <c r="BZ42" s="138"/>
      <c r="CA42" s="138"/>
      <c r="CB42" s="138"/>
      <c r="CC42" s="138">
        <v>5</v>
      </c>
      <c r="CD42" s="138"/>
      <c r="CE42" s="138"/>
      <c r="CF42" s="139">
        <v>5</v>
      </c>
    </row>
    <row r="43" spans="1:84" ht="13.5" x14ac:dyDescent="0.15">
      <c r="A43" s="144" t="s">
        <v>616</v>
      </c>
      <c r="B43" s="144" t="s">
        <v>617</v>
      </c>
      <c r="C43" s="138" t="s">
        <v>68</v>
      </c>
      <c r="D43" s="138"/>
      <c r="E43" s="138"/>
      <c r="F43" s="138"/>
      <c r="G43" s="138"/>
      <c r="H43" s="138"/>
      <c r="I43" s="138"/>
      <c r="J43" s="138"/>
      <c r="K43" s="138"/>
      <c r="L43" s="138"/>
      <c r="M43" s="138"/>
      <c r="N43" s="138"/>
      <c r="O43" s="138"/>
      <c r="P43" s="138"/>
      <c r="Q43" s="138"/>
      <c r="R43" s="138"/>
      <c r="S43" s="138"/>
      <c r="T43" s="138"/>
      <c r="U43" s="138"/>
      <c r="V43" s="138"/>
      <c r="W43" s="138"/>
      <c r="X43" s="138"/>
      <c r="Y43" s="138"/>
      <c r="Z43" s="138"/>
      <c r="AA43" s="138"/>
      <c r="AB43" s="138"/>
      <c r="AC43" s="138"/>
      <c r="AD43" s="138"/>
      <c r="AE43" s="138"/>
      <c r="AF43" s="138"/>
      <c r="AG43" s="138"/>
      <c r="AH43" s="138"/>
      <c r="AI43" s="138"/>
      <c r="AJ43" s="138"/>
      <c r="AK43" s="138"/>
      <c r="AL43" s="138"/>
      <c r="AM43" s="138"/>
      <c r="AN43" s="138"/>
      <c r="AO43" s="138"/>
      <c r="AP43" s="138"/>
      <c r="AQ43" s="138"/>
      <c r="AR43" s="138"/>
      <c r="AS43" s="138"/>
      <c r="AT43" s="138"/>
      <c r="AU43" s="138"/>
      <c r="AV43" s="138"/>
      <c r="AW43" s="138"/>
      <c r="AX43" s="138"/>
      <c r="AY43" s="138"/>
      <c r="AZ43" s="138"/>
      <c r="BA43" s="138"/>
      <c r="BB43" s="138"/>
      <c r="BC43" s="138">
        <v>0</v>
      </c>
      <c r="BD43" s="138"/>
      <c r="BE43" s="138"/>
      <c r="BF43" s="138"/>
      <c r="BG43" s="138"/>
      <c r="BH43" s="138"/>
      <c r="BI43" s="138"/>
      <c r="BJ43" s="138"/>
      <c r="BK43" s="138"/>
      <c r="BL43" s="138"/>
      <c r="BM43" s="138"/>
      <c r="BN43" s="138"/>
      <c r="BO43" s="138"/>
      <c r="BP43" s="138"/>
      <c r="BQ43" s="138"/>
      <c r="BR43" s="138"/>
      <c r="BS43" s="138"/>
      <c r="BT43" s="138"/>
      <c r="BU43" s="138"/>
      <c r="BV43" s="138"/>
      <c r="BW43" s="138"/>
      <c r="BX43" s="138"/>
      <c r="BY43" s="138"/>
      <c r="BZ43" s="138"/>
      <c r="CA43" s="138"/>
      <c r="CB43" s="138"/>
      <c r="CC43" s="138"/>
      <c r="CD43" s="138"/>
      <c r="CE43" s="138"/>
      <c r="CF43" s="139">
        <v>0</v>
      </c>
    </row>
    <row r="44" spans="1:84" ht="13.5" x14ac:dyDescent="0.15">
      <c r="A44" s="144" t="s">
        <v>740</v>
      </c>
      <c r="B44" s="144" t="s">
        <v>741</v>
      </c>
      <c r="C44" s="138" t="s">
        <v>68</v>
      </c>
      <c r="D44" s="138"/>
      <c r="E44" s="138"/>
      <c r="F44" s="138"/>
      <c r="G44" s="138"/>
      <c r="H44" s="138"/>
      <c r="I44" s="138">
        <v>3</v>
      </c>
      <c r="J44" s="138"/>
      <c r="K44" s="138"/>
      <c r="L44" s="138"/>
      <c r="M44" s="138"/>
      <c r="N44" s="138"/>
      <c r="O44" s="138">
        <v>3</v>
      </c>
      <c r="P44" s="138"/>
      <c r="Q44" s="138"/>
      <c r="R44" s="138">
        <v>3</v>
      </c>
      <c r="S44" s="138">
        <v>3</v>
      </c>
      <c r="T44" s="138"/>
      <c r="U44" s="138"/>
      <c r="V44" s="138">
        <v>3</v>
      </c>
      <c r="W44" s="138"/>
      <c r="X44" s="138">
        <v>3</v>
      </c>
      <c r="Y44" s="138"/>
      <c r="Z44" s="138"/>
      <c r="AA44" s="138">
        <v>3</v>
      </c>
      <c r="AB44" s="138">
        <v>2</v>
      </c>
      <c r="AC44" s="138"/>
      <c r="AD44" s="138"/>
      <c r="AE44" s="138"/>
      <c r="AF44" s="138"/>
      <c r="AG44" s="138">
        <v>3</v>
      </c>
      <c r="AH44" s="138"/>
      <c r="AI44" s="138"/>
      <c r="AJ44" s="138"/>
      <c r="AK44" s="138"/>
      <c r="AL44" s="138"/>
      <c r="AM44" s="138"/>
      <c r="AN44" s="138"/>
      <c r="AO44" s="138"/>
      <c r="AP44" s="138">
        <v>3</v>
      </c>
      <c r="AQ44" s="138"/>
      <c r="AR44" s="138"/>
      <c r="AS44" s="138"/>
      <c r="AT44" s="138"/>
      <c r="AU44" s="138"/>
      <c r="AV44" s="138"/>
      <c r="AW44" s="138">
        <v>3</v>
      </c>
      <c r="AX44" s="138">
        <v>4</v>
      </c>
      <c r="AY44" s="138"/>
      <c r="AZ44" s="138"/>
      <c r="BA44" s="138">
        <v>3</v>
      </c>
      <c r="BB44" s="138">
        <v>3</v>
      </c>
      <c r="BC44" s="138"/>
      <c r="BD44" s="138"/>
      <c r="BE44" s="138"/>
      <c r="BF44" s="138">
        <v>3</v>
      </c>
      <c r="BG44" s="138"/>
      <c r="BH44" s="138"/>
      <c r="BI44" s="138"/>
      <c r="BJ44" s="138"/>
      <c r="BK44" s="138"/>
      <c r="BL44" s="138"/>
      <c r="BM44" s="138"/>
      <c r="BN44" s="138"/>
      <c r="BO44" s="138"/>
      <c r="BP44" s="138"/>
      <c r="BQ44" s="138"/>
      <c r="BR44" s="138"/>
      <c r="BS44" s="138"/>
      <c r="BT44" s="138"/>
      <c r="BU44" s="138"/>
      <c r="BV44" s="138"/>
      <c r="BW44" s="138"/>
      <c r="BX44" s="138"/>
      <c r="BY44" s="138"/>
      <c r="BZ44" s="138"/>
      <c r="CA44" s="138"/>
      <c r="CB44" s="138"/>
      <c r="CC44" s="138"/>
      <c r="CD44" s="138"/>
      <c r="CE44" s="138"/>
      <c r="CF44" s="139">
        <v>45</v>
      </c>
    </row>
    <row r="45" spans="1:84" ht="13.5" x14ac:dyDescent="0.15">
      <c r="A45" s="144" t="s">
        <v>523</v>
      </c>
      <c r="B45" s="144" t="s">
        <v>524</v>
      </c>
      <c r="C45" s="138" t="s">
        <v>68</v>
      </c>
      <c r="D45" s="138">
        <v>2</v>
      </c>
      <c r="E45" s="138"/>
      <c r="F45" s="138"/>
      <c r="G45" s="138"/>
      <c r="H45" s="138"/>
      <c r="I45" s="138"/>
      <c r="J45" s="138"/>
      <c r="K45" s="138"/>
      <c r="L45" s="138"/>
      <c r="M45" s="138"/>
      <c r="N45" s="138">
        <v>3</v>
      </c>
      <c r="O45" s="138"/>
      <c r="P45" s="138"/>
      <c r="Q45" s="138"/>
      <c r="R45" s="138">
        <v>4</v>
      </c>
      <c r="S45" s="138"/>
      <c r="T45" s="138"/>
      <c r="U45" s="138"/>
      <c r="V45" s="138"/>
      <c r="W45" s="138"/>
      <c r="X45" s="138">
        <v>6</v>
      </c>
      <c r="Y45" s="138"/>
      <c r="Z45" s="138"/>
      <c r="AA45" s="138"/>
      <c r="AB45" s="138"/>
      <c r="AC45" s="138"/>
      <c r="AD45" s="138"/>
      <c r="AE45" s="138"/>
      <c r="AF45" s="138"/>
      <c r="AG45" s="138"/>
      <c r="AH45" s="138"/>
      <c r="AI45" s="138"/>
      <c r="AJ45" s="138"/>
      <c r="AK45" s="138">
        <v>5</v>
      </c>
      <c r="AL45" s="138">
        <v>8</v>
      </c>
      <c r="AM45" s="138"/>
      <c r="AN45" s="138"/>
      <c r="AO45" s="138">
        <v>2</v>
      </c>
      <c r="AP45" s="138"/>
      <c r="AQ45" s="138"/>
      <c r="AR45" s="138"/>
      <c r="AS45" s="138"/>
      <c r="AT45" s="138"/>
      <c r="AU45" s="138"/>
      <c r="AV45" s="138"/>
      <c r="AW45" s="138"/>
      <c r="AX45" s="138"/>
      <c r="AY45" s="138"/>
      <c r="AZ45" s="138">
        <v>2</v>
      </c>
      <c r="BA45" s="138">
        <v>3</v>
      </c>
      <c r="BB45" s="138"/>
      <c r="BC45" s="138"/>
      <c r="BD45" s="138"/>
      <c r="BE45" s="138"/>
      <c r="BF45" s="138">
        <v>5</v>
      </c>
      <c r="BG45" s="138"/>
      <c r="BH45" s="138">
        <v>10</v>
      </c>
      <c r="BI45" s="138"/>
      <c r="BJ45" s="138"/>
      <c r="BK45" s="138"/>
      <c r="BL45" s="138"/>
      <c r="BM45" s="138"/>
      <c r="BN45" s="138"/>
      <c r="BO45" s="138"/>
      <c r="BP45" s="138"/>
      <c r="BQ45" s="138"/>
      <c r="BR45" s="138"/>
      <c r="BS45" s="138"/>
      <c r="BT45" s="138"/>
      <c r="BU45" s="138"/>
      <c r="BV45" s="138"/>
      <c r="BW45" s="138"/>
      <c r="BX45" s="138"/>
      <c r="BY45" s="138"/>
      <c r="BZ45" s="138"/>
      <c r="CA45" s="138"/>
      <c r="CB45" s="138"/>
      <c r="CC45" s="138"/>
      <c r="CD45" s="138">
        <v>6</v>
      </c>
      <c r="CE45" s="138"/>
      <c r="CF45" s="139">
        <v>56</v>
      </c>
    </row>
    <row r="46" spans="1:84" ht="13.5" x14ac:dyDescent="0.15">
      <c r="A46" s="144" t="s">
        <v>584</v>
      </c>
      <c r="B46" s="144" t="s">
        <v>585</v>
      </c>
      <c r="C46" s="138" t="s">
        <v>68</v>
      </c>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138"/>
      <c r="AB46" s="138"/>
      <c r="AC46" s="138"/>
      <c r="AD46" s="138"/>
      <c r="AE46" s="138"/>
      <c r="AF46" s="138"/>
      <c r="AG46" s="138"/>
      <c r="AH46" s="138"/>
      <c r="AI46" s="138"/>
      <c r="AJ46" s="138"/>
      <c r="AK46" s="138"/>
      <c r="AL46" s="138"/>
      <c r="AM46" s="138"/>
      <c r="AN46" s="138"/>
      <c r="AO46" s="138"/>
      <c r="AP46" s="138"/>
      <c r="AQ46" s="138"/>
      <c r="AR46" s="138"/>
      <c r="AS46" s="138"/>
      <c r="AT46" s="138"/>
      <c r="AU46" s="138"/>
      <c r="AV46" s="138"/>
      <c r="AW46" s="138"/>
      <c r="AX46" s="138"/>
      <c r="AY46" s="138"/>
      <c r="AZ46" s="138"/>
      <c r="BA46" s="138"/>
      <c r="BB46" s="138"/>
      <c r="BC46" s="138">
        <v>2</v>
      </c>
      <c r="BD46" s="138"/>
      <c r="BE46" s="138"/>
      <c r="BF46" s="138"/>
      <c r="BG46" s="138"/>
      <c r="BH46" s="138"/>
      <c r="BI46" s="138"/>
      <c r="BJ46" s="138"/>
      <c r="BK46" s="138"/>
      <c r="BL46" s="138"/>
      <c r="BM46" s="138"/>
      <c r="BN46" s="138"/>
      <c r="BO46" s="138"/>
      <c r="BP46" s="138"/>
      <c r="BQ46" s="138"/>
      <c r="BR46" s="138"/>
      <c r="BS46" s="138"/>
      <c r="BT46" s="138"/>
      <c r="BU46" s="138"/>
      <c r="BV46" s="138"/>
      <c r="BW46" s="138"/>
      <c r="BX46" s="138"/>
      <c r="BY46" s="138"/>
      <c r="BZ46" s="138"/>
      <c r="CA46" s="138"/>
      <c r="CB46" s="138"/>
      <c r="CC46" s="138"/>
      <c r="CD46" s="138"/>
      <c r="CE46" s="138"/>
      <c r="CF46" s="139">
        <v>2</v>
      </c>
    </row>
    <row r="47" spans="1:84" ht="13.5" x14ac:dyDescent="0.15">
      <c r="A47" s="144" t="s">
        <v>509</v>
      </c>
      <c r="B47" s="144" t="s">
        <v>510</v>
      </c>
      <c r="C47" s="138" t="s">
        <v>68</v>
      </c>
      <c r="D47" s="138"/>
      <c r="E47" s="138"/>
      <c r="F47" s="138"/>
      <c r="G47" s="138">
        <v>2</v>
      </c>
      <c r="H47" s="138"/>
      <c r="I47" s="138"/>
      <c r="J47" s="138"/>
      <c r="K47" s="138"/>
      <c r="L47" s="138">
        <v>10</v>
      </c>
      <c r="M47" s="138"/>
      <c r="N47" s="138"/>
      <c r="O47" s="138"/>
      <c r="P47" s="138"/>
      <c r="Q47" s="138"/>
      <c r="R47" s="138"/>
      <c r="S47" s="138"/>
      <c r="T47" s="138"/>
      <c r="U47" s="138">
        <v>4</v>
      </c>
      <c r="V47" s="138"/>
      <c r="W47" s="138"/>
      <c r="X47" s="138"/>
      <c r="Y47" s="138">
        <v>3</v>
      </c>
      <c r="Z47" s="138"/>
      <c r="AA47" s="138"/>
      <c r="AB47" s="138"/>
      <c r="AC47" s="138"/>
      <c r="AD47" s="138"/>
      <c r="AE47" s="138"/>
      <c r="AF47" s="138"/>
      <c r="AG47" s="138"/>
      <c r="AH47" s="138">
        <v>10</v>
      </c>
      <c r="AI47" s="138"/>
      <c r="AJ47" s="138"/>
      <c r="AK47" s="138"/>
      <c r="AL47" s="138"/>
      <c r="AM47" s="138"/>
      <c r="AN47" s="138"/>
      <c r="AO47" s="138"/>
      <c r="AP47" s="138"/>
      <c r="AQ47" s="138"/>
      <c r="AR47" s="138">
        <v>3</v>
      </c>
      <c r="AS47" s="138"/>
      <c r="AT47" s="138"/>
      <c r="AU47" s="138"/>
      <c r="AV47" s="138"/>
      <c r="AW47" s="138"/>
      <c r="AX47" s="138">
        <v>15</v>
      </c>
      <c r="AY47" s="138"/>
      <c r="AZ47" s="138"/>
      <c r="BA47" s="138"/>
      <c r="BB47" s="138"/>
      <c r="BC47" s="138"/>
      <c r="BD47" s="138">
        <v>4</v>
      </c>
      <c r="BE47" s="138"/>
      <c r="BF47" s="138"/>
      <c r="BG47" s="138"/>
      <c r="BH47" s="138"/>
      <c r="BI47" s="138"/>
      <c r="BJ47" s="138"/>
      <c r="BK47" s="138"/>
      <c r="BL47" s="138"/>
      <c r="BM47" s="138"/>
      <c r="BN47" s="138"/>
      <c r="BO47" s="138"/>
      <c r="BP47" s="138"/>
      <c r="BQ47" s="138"/>
      <c r="BR47" s="138"/>
      <c r="BS47" s="138"/>
      <c r="BT47" s="138"/>
      <c r="BU47" s="138"/>
      <c r="BV47" s="138"/>
      <c r="BW47" s="138"/>
      <c r="BX47" s="138"/>
      <c r="BY47" s="138"/>
      <c r="BZ47" s="138"/>
      <c r="CA47" s="138"/>
      <c r="CB47" s="138"/>
      <c r="CC47" s="138"/>
      <c r="CD47" s="138"/>
      <c r="CE47" s="138"/>
      <c r="CF47" s="139">
        <v>51</v>
      </c>
    </row>
    <row r="48" spans="1:84" ht="13.5" x14ac:dyDescent="0.15">
      <c r="A48" s="144" t="s">
        <v>706</v>
      </c>
      <c r="B48" s="144" t="s">
        <v>707</v>
      </c>
      <c r="C48" s="138" t="s">
        <v>69</v>
      </c>
      <c r="D48" s="138"/>
      <c r="E48" s="138"/>
      <c r="F48" s="138"/>
      <c r="G48" s="138"/>
      <c r="H48" s="138"/>
      <c r="I48" s="138"/>
      <c r="J48" s="138"/>
      <c r="K48" s="138">
        <v>1</v>
      </c>
      <c r="L48" s="138"/>
      <c r="M48" s="138"/>
      <c r="N48" s="138"/>
      <c r="O48" s="138"/>
      <c r="P48" s="138">
        <v>1</v>
      </c>
      <c r="Q48" s="138"/>
      <c r="R48" s="138"/>
      <c r="S48" s="138"/>
      <c r="T48" s="138"/>
      <c r="U48" s="138"/>
      <c r="V48" s="138"/>
      <c r="W48" s="138"/>
      <c r="X48" s="138"/>
      <c r="Y48" s="138"/>
      <c r="Z48" s="138"/>
      <c r="AA48" s="138"/>
      <c r="AB48" s="138"/>
      <c r="AC48" s="138"/>
      <c r="AD48" s="138">
        <v>1</v>
      </c>
      <c r="AE48" s="138"/>
      <c r="AF48" s="138"/>
      <c r="AG48" s="138"/>
      <c r="AH48" s="138"/>
      <c r="AI48" s="138">
        <v>1</v>
      </c>
      <c r="AJ48" s="138"/>
      <c r="AK48" s="138"/>
      <c r="AL48" s="138">
        <v>1</v>
      </c>
      <c r="AM48" s="138"/>
      <c r="AN48" s="138"/>
      <c r="AO48" s="138"/>
      <c r="AP48" s="138"/>
      <c r="AQ48" s="138"/>
      <c r="AR48" s="138"/>
      <c r="AS48" s="138"/>
      <c r="AT48" s="138"/>
      <c r="AU48" s="138">
        <v>1</v>
      </c>
      <c r="AV48" s="138"/>
      <c r="AW48" s="138"/>
      <c r="AX48" s="138"/>
      <c r="AY48" s="138"/>
      <c r="AZ48" s="138"/>
      <c r="BA48" s="138">
        <v>1</v>
      </c>
      <c r="BB48" s="138">
        <v>1</v>
      </c>
      <c r="BC48" s="138"/>
      <c r="BD48" s="138"/>
      <c r="BE48" s="138"/>
      <c r="BF48" s="138"/>
      <c r="BG48" s="138"/>
      <c r="BH48" s="138"/>
      <c r="BI48" s="138"/>
      <c r="BJ48" s="138"/>
      <c r="BK48" s="138"/>
      <c r="BL48" s="138"/>
      <c r="BM48" s="138"/>
      <c r="BN48" s="138"/>
      <c r="BO48" s="138"/>
      <c r="BP48" s="138"/>
      <c r="BQ48" s="138"/>
      <c r="BR48" s="138"/>
      <c r="BS48" s="138"/>
      <c r="BT48" s="138"/>
      <c r="BU48" s="138"/>
      <c r="BV48" s="138"/>
      <c r="BW48" s="138"/>
      <c r="BX48" s="138"/>
      <c r="BY48" s="138"/>
      <c r="BZ48" s="138"/>
      <c r="CA48" s="138"/>
      <c r="CB48" s="138"/>
      <c r="CC48" s="138"/>
      <c r="CD48" s="138"/>
      <c r="CE48" s="138"/>
      <c r="CF48" s="139">
        <v>8</v>
      </c>
    </row>
    <row r="49" spans="1:84" ht="13.5" x14ac:dyDescent="0.15">
      <c r="A49" s="144" t="s">
        <v>725</v>
      </c>
      <c r="B49" s="144" t="s">
        <v>726</v>
      </c>
      <c r="C49" s="138" t="s">
        <v>68</v>
      </c>
      <c r="D49" s="138">
        <v>2</v>
      </c>
      <c r="E49" s="138">
        <v>5</v>
      </c>
      <c r="F49" s="138"/>
      <c r="G49" s="138"/>
      <c r="H49" s="138"/>
      <c r="I49" s="138"/>
      <c r="J49" s="138"/>
      <c r="K49" s="138"/>
      <c r="L49" s="138"/>
      <c r="M49" s="138"/>
      <c r="N49" s="138">
        <v>2</v>
      </c>
      <c r="O49" s="138"/>
      <c r="P49" s="138"/>
      <c r="Q49" s="138"/>
      <c r="R49" s="138"/>
      <c r="S49" s="138"/>
      <c r="T49" s="138"/>
      <c r="U49" s="138"/>
      <c r="V49" s="138"/>
      <c r="W49" s="138"/>
      <c r="X49" s="138"/>
      <c r="Y49" s="138"/>
      <c r="Z49" s="138"/>
      <c r="AA49" s="138">
        <v>3</v>
      </c>
      <c r="AB49" s="138"/>
      <c r="AC49" s="138"/>
      <c r="AD49" s="138"/>
      <c r="AE49" s="138"/>
      <c r="AF49" s="138"/>
      <c r="AG49" s="138"/>
      <c r="AH49" s="138"/>
      <c r="AI49" s="138"/>
      <c r="AJ49" s="138"/>
      <c r="AK49" s="138"/>
      <c r="AL49" s="138"/>
      <c r="AM49" s="138"/>
      <c r="AN49" s="138"/>
      <c r="AO49" s="138">
        <v>2</v>
      </c>
      <c r="AP49" s="138"/>
      <c r="AQ49" s="138"/>
      <c r="AR49" s="138"/>
      <c r="AS49" s="138"/>
      <c r="AT49" s="138"/>
      <c r="AU49" s="138"/>
      <c r="AV49" s="138"/>
      <c r="AW49" s="138"/>
      <c r="AX49" s="138"/>
      <c r="AY49" s="138"/>
      <c r="AZ49" s="138">
        <v>2</v>
      </c>
      <c r="BA49" s="138"/>
      <c r="BB49" s="138"/>
      <c r="BC49" s="138"/>
      <c r="BD49" s="138"/>
      <c r="BE49" s="138">
        <v>2</v>
      </c>
      <c r="BF49" s="138"/>
      <c r="BG49" s="138"/>
      <c r="BH49" s="138"/>
      <c r="BI49" s="138"/>
      <c r="BJ49" s="138"/>
      <c r="BK49" s="138"/>
      <c r="BL49" s="138"/>
      <c r="BM49" s="138"/>
      <c r="BN49" s="138"/>
      <c r="BO49" s="138"/>
      <c r="BP49" s="138"/>
      <c r="BQ49" s="138"/>
      <c r="BR49" s="138"/>
      <c r="BS49" s="138"/>
      <c r="BT49" s="138"/>
      <c r="BU49" s="138"/>
      <c r="BV49" s="138"/>
      <c r="BW49" s="138"/>
      <c r="BX49" s="138">
        <v>10</v>
      </c>
      <c r="BY49" s="138"/>
      <c r="BZ49" s="138"/>
      <c r="CA49" s="138"/>
      <c r="CB49" s="138"/>
      <c r="CC49" s="138"/>
      <c r="CD49" s="138"/>
      <c r="CE49" s="138"/>
      <c r="CF49" s="139">
        <v>28</v>
      </c>
    </row>
    <row r="50" spans="1:84" ht="13.5" x14ac:dyDescent="0.15">
      <c r="A50" s="144" t="s">
        <v>831</v>
      </c>
      <c r="B50" s="144" t="s">
        <v>832</v>
      </c>
      <c r="C50" s="138" t="s">
        <v>68</v>
      </c>
      <c r="D50" s="138"/>
      <c r="E50" s="138"/>
      <c r="F50" s="138"/>
      <c r="G50" s="138"/>
      <c r="H50" s="138"/>
      <c r="I50" s="138"/>
      <c r="J50" s="138"/>
      <c r="K50" s="138"/>
      <c r="L50" s="138"/>
      <c r="M50" s="138"/>
      <c r="N50" s="138">
        <v>1</v>
      </c>
      <c r="O50" s="138"/>
      <c r="P50" s="138"/>
      <c r="Q50" s="138"/>
      <c r="R50" s="138"/>
      <c r="S50" s="138"/>
      <c r="T50" s="138"/>
      <c r="U50" s="138"/>
      <c r="V50" s="138"/>
      <c r="W50" s="138"/>
      <c r="X50" s="138"/>
      <c r="Y50" s="138"/>
      <c r="Z50" s="138"/>
      <c r="AA50" s="138"/>
      <c r="AB50" s="138"/>
      <c r="AC50" s="138"/>
      <c r="AD50" s="138"/>
      <c r="AE50" s="138"/>
      <c r="AF50" s="138">
        <v>3</v>
      </c>
      <c r="AG50" s="138"/>
      <c r="AH50" s="138"/>
      <c r="AI50" s="138"/>
      <c r="AJ50" s="138"/>
      <c r="AK50" s="138"/>
      <c r="AL50" s="138"/>
      <c r="AM50" s="138"/>
      <c r="AN50" s="138"/>
      <c r="AO50" s="138"/>
      <c r="AP50" s="138"/>
      <c r="AQ50" s="138"/>
      <c r="AR50" s="138"/>
      <c r="AS50" s="138"/>
      <c r="AT50" s="138"/>
      <c r="AU50" s="138"/>
      <c r="AV50" s="138"/>
      <c r="AW50" s="138"/>
      <c r="AX50" s="138">
        <v>3</v>
      </c>
      <c r="AY50" s="138"/>
      <c r="AZ50" s="138"/>
      <c r="BA50" s="138"/>
      <c r="BB50" s="138"/>
      <c r="BC50" s="138"/>
      <c r="BD50" s="138"/>
      <c r="BE50" s="138"/>
      <c r="BF50" s="138"/>
      <c r="BG50" s="138"/>
      <c r="BH50" s="138"/>
      <c r="BI50" s="138"/>
      <c r="BJ50" s="138"/>
      <c r="BK50" s="138"/>
      <c r="BL50" s="138"/>
      <c r="BM50" s="138"/>
      <c r="BN50" s="138"/>
      <c r="BO50" s="138"/>
      <c r="BP50" s="138"/>
      <c r="BQ50" s="138"/>
      <c r="BR50" s="138"/>
      <c r="BS50" s="138"/>
      <c r="BT50" s="138"/>
      <c r="BU50" s="138"/>
      <c r="BV50" s="138"/>
      <c r="BW50" s="138"/>
      <c r="BX50" s="138"/>
      <c r="BY50" s="138"/>
      <c r="BZ50" s="138"/>
      <c r="CA50" s="138"/>
      <c r="CB50" s="138"/>
      <c r="CC50" s="138"/>
      <c r="CD50" s="138"/>
      <c r="CE50" s="138"/>
      <c r="CF50" s="139">
        <v>7</v>
      </c>
    </row>
    <row r="51" spans="1:84" ht="13.5" x14ac:dyDescent="0.15">
      <c r="A51" s="144" t="s">
        <v>665</v>
      </c>
      <c r="B51" s="144" t="s">
        <v>666</v>
      </c>
      <c r="C51" s="138" t="s">
        <v>68</v>
      </c>
      <c r="D51" s="138"/>
      <c r="E51" s="138"/>
      <c r="F51" s="138"/>
      <c r="G51" s="138"/>
      <c r="H51" s="138"/>
      <c r="I51" s="138"/>
      <c r="J51" s="138">
        <v>8</v>
      </c>
      <c r="K51" s="138"/>
      <c r="L51" s="138"/>
      <c r="M51" s="138"/>
      <c r="N51" s="138"/>
      <c r="O51" s="138"/>
      <c r="P51" s="138"/>
      <c r="Q51" s="138"/>
      <c r="R51" s="138">
        <v>3</v>
      </c>
      <c r="S51" s="138"/>
      <c r="T51" s="138"/>
      <c r="U51" s="138">
        <v>2</v>
      </c>
      <c r="V51" s="138"/>
      <c r="W51" s="138"/>
      <c r="X51" s="138"/>
      <c r="Y51" s="138"/>
      <c r="Z51" s="138"/>
      <c r="AA51" s="138"/>
      <c r="AB51" s="138"/>
      <c r="AC51" s="138"/>
      <c r="AD51" s="138">
        <v>2</v>
      </c>
      <c r="AE51" s="138"/>
      <c r="AF51" s="138">
        <v>4</v>
      </c>
      <c r="AG51" s="138"/>
      <c r="AH51" s="138"/>
      <c r="AI51" s="138"/>
      <c r="AJ51" s="138"/>
      <c r="AK51" s="138">
        <v>10</v>
      </c>
      <c r="AL51" s="138"/>
      <c r="AM51" s="138"/>
      <c r="AN51" s="138">
        <v>6</v>
      </c>
      <c r="AO51" s="138"/>
      <c r="AP51" s="138"/>
      <c r="AQ51" s="138"/>
      <c r="AR51" s="138"/>
      <c r="AS51" s="138"/>
      <c r="AT51" s="138"/>
      <c r="AU51" s="138"/>
      <c r="AV51" s="138"/>
      <c r="AW51" s="138"/>
      <c r="AX51" s="138"/>
      <c r="AY51" s="138"/>
      <c r="AZ51" s="138"/>
      <c r="BA51" s="138"/>
      <c r="BB51" s="138"/>
      <c r="BC51" s="138"/>
      <c r="BD51" s="138"/>
      <c r="BE51" s="138"/>
      <c r="BF51" s="138">
        <v>3</v>
      </c>
      <c r="BG51" s="138">
        <v>2</v>
      </c>
      <c r="BH51" s="138"/>
      <c r="BI51" s="138"/>
      <c r="BJ51" s="138"/>
      <c r="BK51" s="138"/>
      <c r="BL51" s="138"/>
      <c r="BM51" s="138"/>
      <c r="BN51" s="138"/>
      <c r="BO51" s="138"/>
      <c r="BP51" s="138"/>
      <c r="BQ51" s="138"/>
      <c r="BR51" s="138"/>
      <c r="BS51" s="138"/>
      <c r="BT51" s="138"/>
      <c r="BU51" s="138"/>
      <c r="BV51" s="138">
        <v>10</v>
      </c>
      <c r="BW51" s="138"/>
      <c r="BX51" s="138"/>
      <c r="BY51" s="138"/>
      <c r="BZ51" s="138"/>
      <c r="CA51" s="138"/>
      <c r="CB51" s="138"/>
      <c r="CC51" s="138">
        <v>8</v>
      </c>
      <c r="CD51" s="138"/>
      <c r="CE51" s="138">
        <v>3</v>
      </c>
      <c r="CF51" s="139">
        <v>61</v>
      </c>
    </row>
    <row r="52" spans="1:84" ht="13.5" x14ac:dyDescent="0.15">
      <c r="A52" s="144" t="s">
        <v>220</v>
      </c>
      <c r="B52" s="144" t="s">
        <v>300</v>
      </c>
      <c r="C52" s="138" t="s">
        <v>68</v>
      </c>
      <c r="D52" s="138"/>
      <c r="E52" s="138"/>
      <c r="F52" s="138"/>
      <c r="G52" s="138">
        <v>4</v>
      </c>
      <c r="H52" s="138">
        <v>2</v>
      </c>
      <c r="I52" s="138"/>
      <c r="J52" s="138"/>
      <c r="K52" s="138"/>
      <c r="L52" s="138"/>
      <c r="M52" s="138"/>
      <c r="N52" s="138"/>
      <c r="O52" s="138"/>
      <c r="P52" s="138"/>
      <c r="Q52" s="138"/>
      <c r="R52" s="138"/>
      <c r="S52" s="138"/>
      <c r="T52" s="138"/>
      <c r="U52" s="138"/>
      <c r="V52" s="138"/>
      <c r="W52" s="138"/>
      <c r="X52" s="138"/>
      <c r="Y52" s="138"/>
      <c r="Z52" s="138"/>
      <c r="AA52" s="138"/>
      <c r="AB52" s="138"/>
      <c r="AC52" s="138"/>
      <c r="AD52" s="138"/>
      <c r="AE52" s="138"/>
      <c r="AF52" s="138"/>
      <c r="AG52" s="138"/>
      <c r="AH52" s="138"/>
      <c r="AI52" s="138"/>
      <c r="AJ52" s="138"/>
      <c r="AK52" s="138"/>
      <c r="AL52" s="138"/>
      <c r="AM52" s="138"/>
      <c r="AN52" s="138"/>
      <c r="AO52" s="138"/>
      <c r="AP52" s="138"/>
      <c r="AQ52" s="138"/>
      <c r="AR52" s="138"/>
      <c r="AS52" s="138"/>
      <c r="AT52" s="138"/>
      <c r="AU52" s="138"/>
      <c r="AV52" s="138"/>
      <c r="AW52" s="138"/>
      <c r="AX52" s="138"/>
      <c r="AY52" s="138"/>
      <c r="AZ52" s="138"/>
      <c r="BA52" s="138"/>
      <c r="BB52" s="138"/>
      <c r="BC52" s="138"/>
      <c r="BD52" s="138"/>
      <c r="BE52" s="138"/>
      <c r="BF52" s="138"/>
      <c r="BG52" s="138"/>
      <c r="BH52" s="138"/>
      <c r="BI52" s="138"/>
      <c r="BJ52" s="138"/>
      <c r="BK52" s="138"/>
      <c r="BL52" s="138"/>
      <c r="BM52" s="138"/>
      <c r="BN52" s="138"/>
      <c r="BO52" s="138"/>
      <c r="BP52" s="138"/>
      <c r="BQ52" s="138"/>
      <c r="BR52" s="138"/>
      <c r="BS52" s="138"/>
      <c r="BT52" s="138"/>
      <c r="BU52" s="138"/>
      <c r="BV52" s="138"/>
      <c r="BW52" s="138"/>
      <c r="BX52" s="138"/>
      <c r="BY52" s="138"/>
      <c r="BZ52" s="138"/>
      <c r="CA52" s="138"/>
      <c r="CB52" s="138"/>
      <c r="CC52" s="138">
        <v>5</v>
      </c>
      <c r="CD52" s="138"/>
      <c r="CE52" s="138"/>
      <c r="CF52" s="139">
        <v>11</v>
      </c>
    </row>
    <row r="53" spans="1:84" ht="13.5" x14ac:dyDescent="0.15">
      <c r="A53" s="144" t="s">
        <v>221</v>
      </c>
      <c r="B53" s="144" t="s">
        <v>301</v>
      </c>
      <c r="C53" s="138" t="s">
        <v>69</v>
      </c>
      <c r="D53" s="138"/>
      <c r="E53" s="138"/>
      <c r="F53" s="138">
        <v>1</v>
      </c>
      <c r="G53" s="138"/>
      <c r="H53" s="138"/>
      <c r="I53" s="138"/>
      <c r="J53" s="138"/>
      <c r="K53" s="138"/>
      <c r="L53" s="138"/>
      <c r="M53" s="138"/>
      <c r="N53" s="138"/>
      <c r="O53" s="138"/>
      <c r="P53" s="138"/>
      <c r="Q53" s="138"/>
      <c r="R53" s="138"/>
      <c r="S53" s="138"/>
      <c r="T53" s="138"/>
      <c r="U53" s="138"/>
      <c r="V53" s="138"/>
      <c r="W53" s="138"/>
      <c r="X53" s="138"/>
      <c r="Y53" s="138"/>
      <c r="Z53" s="138"/>
      <c r="AA53" s="138"/>
      <c r="AB53" s="138"/>
      <c r="AC53" s="138"/>
      <c r="AD53" s="138"/>
      <c r="AE53" s="138"/>
      <c r="AF53" s="138"/>
      <c r="AG53" s="138"/>
      <c r="AH53" s="138"/>
      <c r="AI53" s="138"/>
      <c r="AJ53" s="138"/>
      <c r="AK53" s="138"/>
      <c r="AL53" s="138"/>
      <c r="AM53" s="138"/>
      <c r="AN53" s="138"/>
      <c r="AO53" s="138"/>
      <c r="AP53" s="138"/>
      <c r="AQ53" s="138"/>
      <c r="AR53" s="138"/>
      <c r="AS53" s="138"/>
      <c r="AT53" s="138"/>
      <c r="AU53" s="138"/>
      <c r="AV53" s="138"/>
      <c r="AW53" s="138"/>
      <c r="AX53" s="138"/>
      <c r="AY53" s="138"/>
      <c r="AZ53" s="138"/>
      <c r="BA53" s="138"/>
      <c r="BB53" s="138"/>
      <c r="BC53" s="138"/>
      <c r="BD53" s="138"/>
      <c r="BE53" s="138"/>
      <c r="BF53" s="138"/>
      <c r="BG53" s="138"/>
      <c r="BH53" s="138">
        <v>2</v>
      </c>
      <c r="BI53" s="138"/>
      <c r="BJ53" s="138"/>
      <c r="BK53" s="138"/>
      <c r="BL53" s="138"/>
      <c r="BM53" s="138"/>
      <c r="BN53" s="138"/>
      <c r="BO53" s="138"/>
      <c r="BP53" s="138"/>
      <c r="BQ53" s="138"/>
      <c r="BR53" s="138"/>
      <c r="BS53" s="138"/>
      <c r="BT53" s="138"/>
      <c r="BU53" s="138"/>
      <c r="BV53" s="138"/>
      <c r="BW53" s="138"/>
      <c r="BX53" s="138"/>
      <c r="BY53" s="138"/>
      <c r="BZ53" s="138"/>
      <c r="CA53" s="138"/>
      <c r="CB53" s="138"/>
      <c r="CC53" s="138"/>
      <c r="CD53" s="138"/>
      <c r="CE53" s="138"/>
      <c r="CF53" s="139">
        <v>3</v>
      </c>
    </row>
    <row r="54" spans="1:84" ht="13.5" x14ac:dyDescent="0.15">
      <c r="A54" s="144" t="s">
        <v>717</v>
      </c>
      <c r="B54" s="144" t="s">
        <v>718</v>
      </c>
      <c r="C54" s="138" t="s">
        <v>68</v>
      </c>
      <c r="D54" s="138"/>
      <c r="E54" s="138"/>
      <c r="F54" s="138"/>
      <c r="G54" s="138"/>
      <c r="H54" s="138"/>
      <c r="I54" s="138"/>
      <c r="J54" s="138"/>
      <c r="K54" s="138"/>
      <c r="L54" s="138"/>
      <c r="M54" s="138"/>
      <c r="N54" s="138"/>
      <c r="O54" s="138"/>
      <c r="P54" s="138"/>
      <c r="Q54" s="138"/>
      <c r="R54" s="138"/>
      <c r="S54" s="138"/>
      <c r="T54" s="138"/>
      <c r="U54" s="138"/>
      <c r="V54" s="138"/>
      <c r="W54" s="138"/>
      <c r="X54" s="138"/>
      <c r="Y54" s="138"/>
      <c r="Z54" s="138"/>
      <c r="AA54" s="138"/>
      <c r="AB54" s="138"/>
      <c r="AC54" s="138"/>
      <c r="AD54" s="138"/>
      <c r="AE54" s="138"/>
      <c r="AF54" s="138"/>
      <c r="AG54" s="138"/>
      <c r="AH54" s="138"/>
      <c r="AI54" s="138"/>
      <c r="AJ54" s="138"/>
      <c r="AK54" s="138"/>
      <c r="AL54" s="138"/>
      <c r="AM54" s="138"/>
      <c r="AN54" s="138"/>
      <c r="AO54" s="138"/>
      <c r="AP54" s="138"/>
      <c r="AQ54" s="138"/>
      <c r="AR54" s="138"/>
      <c r="AS54" s="138"/>
      <c r="AT54" s="138"/>
      <c r="AU54" s="138"/>
      <c r="AV54" s="138"/>
      <c r="AW54" s="138"/>
      <c r="AX54" s="138"/>
      <c r="AY54" s="138"/>
      <c r="AZ54" s="138"/>
      <c r="BA54" s="138"/>
      <c r="BB54" s="138"/>
      <c r="BC54" s="138"/>
      <c r="BD54" s="138"/>
      <c r="BE54" s="138"/>
      <c r="BF54" s="138"/>
      <c r="BG54" s="138"/>
      <c r="BH54" s="138"/>
      <c r="BI54" s="138"/>
      <c r="BJ54" s="138"/>
      <c r="BK54" s="138"/>
      <c r="BL54" s="138"/>
      <c r="BM54" s="138"/>
      <c r="BN54" s="138"/>
      <c r="BO54" s="138"/>
      <c r="BP54" s="138"/>
      <c r="BQ54" s="138"/>
      <c r="BR54" s="138"/>
      <c r="BS54" s="138"/>
      <c r="BT54" s="138"/>
      <c r="BU54" s="138"/>
      <c r="BV54" s="138"/>
      <c r="BW54" s="138"/>
      <c r="BX54" s="138"/>
      <c r="BY54" s="138"/>
      <c r="BZ54" s="138"/>
      <c r="CA54" s="138">
        <v>6</v>
      </c>
      <c r="CB54" s="138"/>
      <c r="CC54" s="138"/>
      <c r="CD54" s="138"/>
      <c r="CE54" s="138"/>
      <c r="CF54" s="139">
        <v>6</v>
      </c>
    </row>
    <row r="55" spans="1:84" ht="13.5" x14ac:dyDescent="0.15">
      <c r="A55" s="144" t="s">
        <v>505</v>
      </c>
      <c r="B55" s="144" t="s">
        <v>506</v>
      </c>
      <c r="C55" s="138" t="s">
        <v>68</v>
      </c>
      <c r="D55" s="138">
        <v>2</v>
      </c>
      <c r="E55" s="138"/>
      <c r="F55" s="138">
        <v>10</v>
      </c>
      <c r="G55" s="138"/>
      <c r="H55" s="138"/>
      <c r="I55" s="138">
        <v>4</v>
      </c>
      <c r="J55" s="138"/>
      <c r="K55" s="138"/>
      <c r="L55" s="138"/>
      <c r="M55" s="138"/>
      <c r="N55" s="138"/>
      <c r="O55" s="138"/>
      <c r="P55" s="138"/>
      <c r="Q55" s="138"/>
      <c r="R55" s="138"/>
      <c r="S55" s="138"/>
      <c r="T55" s="138"/>
      <c r="U55" s="138"/>
      <c r="V55" s="138"/>
      <c r="W55" s="138"/>
      <c r="X55" s="138"/>
      <c r="Y55" s="138"/>
      <c r="Z55" s="138"/>
      <c r="AA55" s="138"/>
      <c r="AB55" s="138"/>
      <c r="AC55" s="138"/>
      <c r="AD55" s="138"/>
      <c r="AE55" s="138"/>
      <c r="AF55" s="138"/>
      <c r="AG55" s="138"/>
      <c r="AH55" s="138"/>
      <c r="AI55" s="138"/>
      <c r="AJ55" s="138"/>
      <c r="AK55" s="138">
        <v>5</v>
      </c>
      <c r="AL55" s="138"/>
      <c r="AM55" s="138"/>
      <c r="AN55" s="138"/>
      <c r="AO55" s="138">
        <v>2</v>
      </c>
      <c r="AP55" s="138"/>
      <c r="AQ55" s="138"/>
      <c r="AR55" s="138"/>
      <c r="AS55" s="138"/>
      <c r="AT55" s="138"/>
      <c r="AU55" s="138"/>
      <c r="AV55" s="138"/>
      <c r="AW55" s="138"/>
      <c r="AX55" s="138"/>
      <c r="AY55" s="138"/>
      <c r="AZ55" s="138">
        <v>2</v>
      </c>
      <c r="BA55" s="138"/>
      <c r="BB55" s="138"/>
      <c r="BC55" s="138"/>
      <c r="BD55" s="138"/>
      <c r="BE55" s="138"/>
      <c r="BF55" s="138"/>
      <c r="BG55" s="138"/>
      <c r="BH55" s="138"/>
      <c r="BI55" s="138"/>
      <c r="BJ55" s="138"/>
      <c r="BK55" s="138"/>
      <c r="BL55" s="138"/>
      <c r="BM55" s="138"/>
      <c r="BN55" s="138"/>
      <c r="BO55" s="138"/>
      <c r="BP55" s="138"/>
      <c r="BQ55" s="138"/>
      <c r="BR55" s="138"/>
      <c r="BS55" s="138"/>
      <c r="BT55" s="138"/>
      <c r="BU55" s="138"/>
      <c r="BV55" s="138"/>
      <c r="BW55" s="138"/>
      <c r="BX55" s="138"/>
      <c r="BY55" s="138"/>
      <c r="BZ55" s="138"/>
      <c r="CA55" s="138">
        <v>5</v>
      </c>
      <c r="CB55" s="138"/>
      <c r="CC55" s="138"/>
      <c r="CD55" s="138">
        <v>5</v>
      </c>
      <c r="CE55" s="138"/>
      <c r="CF55" s="139">
        <v>35</v>
      </c>
    </row>
    <row r="56" spans="1:84" ht="13.5" x14ac:dyDescent="0.15">
      <c r="A56" s="144" t="s">
        <v>568</v>
      </c>
      <c r="B56" s="144" t="s">
        <v>569</v>
      </c>
      <c r="C56" s="138" t="s">
        <v>68</v>
      </c>
      <c r="D56" s="138"/>
      <c r="E56" s="138"/>
      <c r="F56" s="138"/>
      <c r="G56" s="138">
        <v>1</v>
      </c>
      <c r="H56" s="138"/>
      <c r="I56" s="138">
        <v>2</v>
      </c>
      <c r="J56" s="138">
        <v>2</v>
      </c>
      <c r="K56" s="138"/>
      <c r="L56" s="138"/>
      <c r="M56" s="138"/>
      <c r="N56" s="138"/>
      <c r="O56" s="138"/>
      <c r="P56" s="138"/>
      <c r="Q56" s="138"/>
      <c r="R56" s="138">
        <v>2</v>
      </c>
      <c r="S56" s="138"/>
      <c r="T56" s="138"/>
      <c r="U56" s="138"/>
      <c r="V56" s="138"/>
      <c r="W56" s="138"/>
      <c r="X56" s="138">
        <v>3</v>
      </c>
      <c r="Y56" s="138"/>
      <c r="Z56" s="138"/>
      <c r="AA56" s="138"/>
      <c r="AB56" s="138"/>
      <c r="AC56" s="138"/>
      <c r="AD56" s="138"/>
      <c r="AE56" s="138"/>
      <c r="AF56" s="138"/>
      <c r="AG56" s="138"/>
      <c r="AH56" s="138"/>
      <c r="AI56" s="138"/>
      <c r="AJ56" s="138"/>
      <c r="AK56" s="138"/>
      <c r="AL56" s="138">
        <v>3</v>
      </c>
      <c r="AM56" s="138"/>
      <c r="AN56" s="138"/>
      <c r="AO56" s="138"/>
      <c r="AP56" s="138"/>
      <c r="AQ56" s="138"/>
      <c r="AR56" s="138"/>
      <c r="AS56" s="138">
        <v>2</v>
      </c>
      <c r="AT56" s="138"/>
      <c r="AU56" s="138"/>
      <c r="AV56" s="138"/>
      <c r="AW56" s="138"/>
      <c r="AX56" s="138"/>
      <c r="AY56" s="138"/>
      <c r="AZ56" s="138"/>
      <c r="BA56" s="138"/>
      <c r="BB56" s="138"/>
      <c r="BC56" s="138"/>
      <c r="BD56" s="138"/>
      <c r="BE56" s="138"/>
      <c r="BF56" s="138"/>
      <c r="BG56" s="138"/>
      <c r="BH56" s="138"/>
      <c r="BI56" s="138">
        <v>5</v>
      </c>
      <c r="BJ56" s="138"/>
      <c r="BK56" s="138"/>
      <c r="BL56" s="138"/>
      <c r="BM56" s="138"/>
      <c r="BN56" s="138"/>
      <c r="BO56" s="138"/>
      <c r="BP56" s="138"/>
      <c r="BQ56" s="138"/>
      <c r="BR56" s="138"/>
      <c r="BS56" s="138"/>
      <c r="BT56" s="138"/>
      <c r="BU56" s="138"/>
      <c r="BV56" s="138">
        <v>4</v>
      </c>
      <c r="BW56" s="138"/>
      <c r="BX56" s="138">
        <v>6</v>
      </c>
      <c r="BY56" s="138"/>
      <c r="BZ56" s="138"/>
      <c r="CA56" s="138"/>
      <c r="CB56" s="138"/>
      <c r="CC56" s="138">
        <v>4</v>
      </c>
      <c r="CD56" s="138"/>
      <c r="CE56" s="138"/>
      <c r="CF56" s="139">
        <v>34</v>
      </c>
    </row>
    <row r="57" spans="1:84" ht="13.5" x14ac:dyDescent="0.15">
      <c r="A57" s="144" t="s">
        <v>477</v>
      </c>
      <c r="B57" s="144" t="s">
        <v>478</v>
      </c>
      <c r="C57" s="138" t="s">
        <v>68</v>
      </c>
      <c r="D57" s="138">
        <v>2</v>
      </c>
      <c r="E57" s="138"/>
      <c r="F57" s="138"/>
      <c r="G57" s="138"/>
      <c r="H57" s="138"/>
      <c r="I57" s="138"/>
      <c r="J57" s="138"/>
      <c r="K57" s="138"/>
      <c r="L57" s="138"/>
      <c r="M57" s="138"/>
      <c r="N57" s="138"/>
      <c r="O57" s="138"/>
      <c r="P57" s="138"/>
      <c r="Q57" s="138"/>
      <c r="R57" s="138"/>
      <c r="S57" s="138"/>
      <c r="T57" s="138"/>
      <c r="U57" s="138"/>
      <c r="V57" s="138"/>
      <c r="W57" s="138"/>
      <c r="X57" s="138"/>
      <c r="Y57" s="138"/>
      <c r="Z57" s="138"/>
      <c r="AA57" s="138"/>
      <c r="AB57" s="138"/>
      <c r="AC57" s="138"/>
      <c r="AD57" s="138"/>
      <c r="AE57" s="138"/>
      <c r="AF57" s="138"/>
      <c r="AG57" s="138"/>
      <c r="AH57" s="138"/>
      <c r="AI57" s="138"/>
      <c r="AJ57" s="138"/>
      <c r="AK57" s="138"/>
      <c r="AL57" s="138"/>
      <c r="AM57" s="138"/>
      <c r="AN57" s="138"/>
      <c r="AO57" s="138">
        <v>2</v>
      </c>
      <c r="AP57" s="138"/>
      <c r="AQ57" s="138"/>
      <c r="AR57" s="138"/>
      <c r="AS57" s="138"/>
      <c r="AT57" s="138"/>
      <c r="AU57" s="138"/>
      <c r="AV57" s="138"/>
      <c r="AW57" s="138"/>
      <c r="AX57" s="138"/>
      <c r="AY57" s="138"/>
      <c r="AZ57" s="138">
        <v>2</v>
      </c>
      <c r="BA57" s="138"/>
      <c r="BB57" s="138"/>
      <c r="BC57" s="138"/>
      <c r="BD57" s="138"/>
      <c r="BE57" s="138"/>
      <c r="BF57" s="138"/>
      <c r="BG57" s="138"/>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c r="CF57" s="139">
        <v>6</v>
      </c>
    </row>
    <row r="58" spans="1:84" ht="13.5" x14ac:dyDescent="0.15">
      <c r="A58" s="144" t="s">
        <v>796</v>
      </c>
      <c r="B58" s="144" t="s">
        <v>840</v>
      </c>
      <c r="C58" s="138" t="s">
        <v>69</v>
      </c>
      <c r="D58" s="138"/>
      <c r="E58" s="138">
        <v>1</v>
      </c>
      <c r="F58" s="138"/>
      <c r="G58" s="138"/>
      <c r="H58" s="138"/>
      <c r="I58" s="138"/>
      <c r="J58" s="138"/>
      <c r="K58" s="138"/>
      <c r="L58" s="138"/>
      <c r="M58" s="138"/>
      <c r="N58" s="138"/>
      <c r="O58" s="138"/>
      <c r="P58" s="138"/>
      <c r="Q58" s="138"/>
      <c r="R58" s="138"/>
      <c r="S58" s="138"/>
      <c r="T58" s="138"/>
      <c r="U58" s="138"/>
      <c r="V58" s="138"/>
      <c r="W58" s="138"/>
      <c r="X58" s="138"/>
      <c r="Y58" s="138"/>
      <c r="Z58" s="138"/>
      <c r="AA58" s="138"/>
      <c r="AB58" s="138"/>
      <c r="AC58" s="138"/>
      <c r="AD58" s="138"/>
      <c r="AE58" s="138"/>
      <c r="AF58" s="138"/>
      <c r="AG58" s="138"/>
      <c r="AH58" s="138"/>
      <c r="AI58" s="138"/>
      <c r="AJ58" s="138"/>
      <c r="AK58" s="138"/>
      <c r="AL58" s="138"/>
      <c r="AM58" s="138"/>
      <c r="AN58" s="138"/>
      <c r="AO58" s="138"/>
      <c r="AP58" s="138"/>
      <c r="AQ58" s="138"/>
      <c r="AR58" s="138"/>
      <c r="AS58" s="138"/>
      <c r="AT58" s="138"/>
      <c r="AU58" s="138"/>
      <c r="AV58" s="138"/>
      <c r="AW58" s="138"/>
      <c r="AX58" s="138"/>
      <c r="AY58" s="138"/>
      <c r="AZ58" s="138"/>
      <c r="BA58" s="138"/>
      <c r="BB58" s="138"/>
      <c r="BC58" s="138"/>
      <c r="BD58" s="138"/>
      <c r="BE58" s="138"/>
      <c r="BF58" s="138"/>
      <c r="BG58" s="138"/>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c r="CF58" s="139">
        <v>1</v>
      </c>
    </row>
    <row r="59" spans="1:84" ht="13.5" x14ac:dyDescent="0.15">
      <c r="A59" s="144" t="s">
        <v>811</v>
      </c>
      <c r="B59" s="144" t="s">
        <v>812</v>
      </c>
      <c r="C59" s="138" t="s">
        <v>68</v>
      </c>
      <c r="D59" s="138"/>
      <c r="E59" s="138"/>
      <c r="F59" s="138"/>
      <c r="G59" s="138">
        <v>1</v>
      </c>
      <c r="H59" s="138"/>
      <c r="I59" s="138"/>
      <c r="J59" s="138"/>
      <c r="K59" s="138"/>
      <c r="L59" s="138"/>
      <c r="M59" s="138"/>
      <c r="N59" s="138"/>
      <c r="O59" s="138"/>
      <c r="P59" s="138"/>
      <c r="Q59" s="138"/>
      <c r="R59" s="138"/>
      <c r="S59" s="138"/>
      <c r="T59" s="138"/>
      <c r="U59" s="138"/>
      <c r="V59" s="138"/>
      <c r="W59" s="138"/>
      <c r="X59" s="138"/>
      <c r="Y59" s="138"/>
      <c r="Z59" s="138"/>
      <c r="AA59" s="138"/>
      <c r="AB59" s="138"/>
      <c r="AC59" s="138"/>
      <c r="AD59" s="138"/>
      <c r="AE59" s="138"/>
      <c r="AF59" s="138"/>
      <c r="AG59" s="138"/>
      <c r="AH59" s="138"/>
      <c r="AI59" s="138"/>
      <c r="AJ59" s="138"/>
      <c r="AK59" s="138"/>
      <c r="AL59" s="138"/>
      <c r="AM59" s="138"/>
      <c r="AN59" s="138"/>
      <c r="AO59" s="138"/>
      <c r="AP59" s="138"/>
      <c r="AQ59" s="138"/>
      <c r="AR59" s="138"/>
      <c r="AS59" s="138"/>
      <c r="AT59" s="138"/>
      <c r="AU59" s="138"/>
      <c r="AV59" s="138"/>
      <c r="AW59" s="138"/>
      <c r="AX59" s="138"/>
      <c r="AY59" s="138"/>
      <c r="AZ59" s="138"/>
      <c r="BA59" s="138"/>
      <c r="BB59" s="138"/>
      <c r="BC59" s="138"/>
      <c r="BD59" s="138"/>
      <c r="BE59" s="138"/>
      <c r="BF59" s="138"/>
      <c r="BG59" s="138"/>
      <c r="BH59" s="138"/>
      <c r="BI59" s="138"/>
      <c r="BJ59" s="138">
        <v>2</v>
      </c>
      <c r="BK59" s="138"/>
      <c r="BL59" s="138"/>
      <c r="BM59" s="138"/>
      <c r="BN59" s="138"/>
      <c r="BO59" s="138"/>
      <c r="BP59" s="138"/>
      <c r="BQ59" s="138"/>
      <c r="BR59" s="138"/>
      <c r="BS59" s="138"/>
      <c r="BT59" s="138"/>
      <c r="BU59" s="138"/>
      <c r="BV59" s="138">
        <v>6</v>
      </c>
      <c r="BW59" s="138"/>
      <c r="BX59" s="138">
        <v>8</v>
      </c>
      <c r="BY59" s="138"/>
      <c r="BZ59" s="138"/>
      <c r="CA59" s="138"/>
      <c r="CB59" s="138"/>
      <c r="CC59" s="138">
        <v>3</v>
      </c>
      <c r="CD59" s="138"/>
      <c r="CE59" s="138">
        <v>2</v>
      </c>
      <c r="CF59" s="139">
        <v>22</v>
      </c>
    </row>
    <row r="60" spans="1:84" ht="13.5" x14ac:dyDescent="0.15">
      <c r="A60" s="144" t="s">
        <v>500</v>
      </c>
      <c r="B60" s="144" t="s">
        <v>501</v>
      </c>
      <c r="C60" s="138" t="s">
        <v>68</v>
      </c>
      <c r="D60" s="138"/>
      <c r="E60" s="138"/>
      <c r="F60" s="138"/>
      <c r="G60" s="138"/>
      <c r="H60" s="138"/>
      <c r="I60" s="138"/>
      <c r="J60" s="138"/>
      <c r="K60" s="138"/>
      <c r="L60" s="138"/>
      <c r="M60" s="138"/>
      <c r="N60" s="138"/>
      <c r="O60" s="138"/>
      <c r="P60" s="138"/>
      <c r="Q60" s="138"/>
      <c r="R60" s="138"/>
      <c r="S60" s="138"/>
      <c r="T60" s="138"/>
      <c r="U60" s="138"/>
      <c r="V60" s="138"/>
      <c r="W60" s="138"/>
      <c r="X60" s="138"/>
      <c r="Y60" s="138"/>
      <c r="Z60" s="138"/>
      <c r="AA60" s="138"/>
      <c r="AB60" s="138"/>
      <c r="AC60" s="138"/>
      <c r="AD60" s="138"/>
      <c r="AE60" s="138"/>
      <c r="AF60" s="138"/>
      <c r="AG60" s="138"/>
      <c r="AH60" s="138"/>
      <c r="AI60" s="138"/>
      <c r="AJ60" s="138"/>
      <c r="AK60" s="138"/>
      <c r="AL60" s="138"/>
      <c r="AM60" s="138"/>
      <c r="AN60" s="138"/>
      <c r="AO60" s="138"/>
      <c r="AP60" s="138"/>
      <c r="AQ60" s="138"/>
      <c r="AR60" s="138"/>
      <c r="AS60" s="138"/>
      <c r="AT60" s="138"/>
      <c r="AU60" s="138"/>
      <c r="AV60" s="138"/>
      <c r="AW60" s="138"/>
      <c r="AX60" s="138"/>
      <c r="AY60" s="138"/>
      <c r="AZ60" s="138"/>
      <c r="BA60" s="138"/>
      <c r="BB60" s="138"/>
      <c r="BC60" s="138">
        <v>1</v>
      </c>
      <c r="BD60" s="138"/>
      <c r="BE60" s="138"/>
      <c r="BF60" s="138"/>
      <c r="BG60" s="138"/>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9">
        <v>1</v>
      </c>
    </row>
    <row r="61" spans="1:84" ht="13.5" x14ac:dyDescent="0.15">
      <c r="A61" s="144" t="s">
        <v>187</v>
      </c>
      <c r="B61" s="144" t="s">
        <v>216</v>
      </c>
      <c r="C61" s="138" t="s">
        <v>68</v>
      </c>
      <c r="D61" s="138"/>
      <c r="E61" s="138"/>
      <c r="F61" s="138">
        <v>5</v>
      </c>
      <c r="G61" s="138"/>
      <c r="H61" s="138"/>
      <c r="I61" s="138"/>
      <c r="J61" s="138"/>
      <c r="K61" s="138"/>
      <c r="L61" s="138"/>
      <c r="M61" s="138"/>
      <c r="N61" s="138"/>
      <c r="O61" s="138"/>
      <c r="P61" s="138"/>
      <c r="Q61" s="138"/>
      <c r="R61" s="138"/>
      <c r="S61" s="138"/>
      <c r="T61" s="138"/>
      <c r="U61" s="138"/>
      <c r="V61" s="138"/>
      <c r="W61" s="138"/>
      <c r="X61" s="138">
        <v>4</v>
      </c>
      <c r="Y61" s="138"/>
      <c r="Z61" s="138"/>
      <c r="AA61" s="138"/>
      <c r="AB61" s="138"/>
      <c r="AC61" s="138"/>
      <c r="AD61" s="138"/>
      <c r="AE61" s="138"/>
      <c r="AF61" s="138"/>
      <c r="AG61" s="138"/>
      <c r="AH61" s="138"/>
      <c r="AI61" s="138"/>
      <c r="AJ61" s="138"/>
      <c r="AK61" s="138">
        <v>5</v>
      </c>
      <c r="AL61" s="138"/>
      <c r="AM61" s="138"/>
      <c r="AN61" s="138"/>
      <c r="AO61" s="138"/>
      <c r="AP61" s="138">
        <v>5</v>
      </c>
      <c r="AQ61" s="138"/>
      <c r="AR61" s="138">
        <v>3</v>
      </c>
      <c r="AS61" s="138"/>
      <c r="AT61" s="138"/>
      <c r="AU61" s="138"/>
      <c r="AV61" s="138"/>
      <c r="AW61" s="138"/>
      <c r="AX61" s="138"/>
      <c r="AY61" s="138"/>
      <c r="AZ61" s="138"/>
      <c r="BA61" s="138"/>
      <c r="BB61" s="138"/>
      <c r="BC61" s="138"/>
      <c r="BD61" s="138"/>
      <c r="BE61" s="138"/>
      <c r="BF61" s="138"/>
      <c r="BG61" s="138">
        <v>2</v>
      </c>
      <c r="BH61" s="138"/>
      <c r="BI61" s="138"/>
      <c r="BJ61" s="138">
        <v>2</v>
      </c>
      <c r="BK61" s="138"/>
      <c r="BL61" s="138"/>
      <c r="BM61" s="138"/>
      <c r="BN61" s="138"/>
      <c r="BO61" s="138"/>
      <c r="BP61" s="138"/>
      <c r="BQ61" s="138"/>
      <c r="BR61" s="138"/>
      <c r="BS61" s="138"/>
      <c r="BT61" s="138"/>
      <c r="BU61" s="138"/>
      <c r="BV61" s="138"/>
      <c r="BW61" s="138"/>
      <c r="BX61" s="138">
        <v>6</v>
      </c>
      <c r="BY61" s="138"/>
      <c r="BZ61" s="138"/>
      <c r="CA61" s="138"/>
      <c r="CB61" s="138"/>
      <c r="CC61" s="138">
        <v>5</v>
      </c>
      <c r="CD61" s="138"/>
      <c r="CE61" s="138"/>
      <c r="CF61" s="139">
        <v>37</v>
      </c>
    </row>
    <row r="62" spans="1:84" ht="13.5" x14ac:dyDescent="0.15">
      <c r="A62" s="144" t="s">
        <v>833</v>
      </c>
      <c r="B62" s="144" t="s">
        <v>834</v>
      </c>
      <c r="C62" s="138" t="s">
        <v>68</v>
      </c>
      <c r="D62" s="138"/>
      <c r="E62" s="138"/>
      <c r="F62" s="138"/>
      <c r="G62" s="138"/>
      <c r="H62" s="138"/>
      <c r="I62" s="138"/>
      <c r="J62" s="138"/>
      <c r="K62" s="138"/>
      <c r="L62" s="138"/>
      <c r="M62" s="138"/>
      <c r="N62" s="138"/>
      <c r="O62" s="138"/>
      <c r="P62" s="138"/>
      <c r="Q62" s="138"/>
      <c r="R62" s="138"/>
      <c r="S62" s="138"/>
      <c r="T62" s="138"/>
      <c r="U62" s="138"/>
      <c r="V62" s="138"/>
      <c r="W62" s="138"/>
      <c r="X62" s="138"/>
      <c r="Y62" s="138"/>
      <c r="Z62" s="138"/>
      <c r="AA62" s="138"/>
      <c r="AB62" s="138"/>
      <c r="AC62" s="138"/>
      <c r="AD62" s="138"/>
      <c r="AE62" s="138"/>
      <c r="AF62" s="138"/>
      <c r="AG62" s="138"/>
      <c r="AH62" s="138"/>
      <c r="AI62" s="138"/>
      <c r="AJ62" s="138"/>
      <c r="AK62" s="138">
        <v>4</v>
      </c>
      <c r="AL62" s="138"/>
      <c r="AM62" s="138"/>
      <c r="AN62" s="138"/>
      <c r="AO62" s="138"/>
      <c r="AP62" s="138"/>
      <c r="AQ62" s="138"/>
      <c r="AR62" s="138"/>
      <c r="AS62" s="138"/>
      <c r="AT62" s="138"/>
      <c r="AU62" s="138"/>
      <c r="AV62" s="138"/>
      <c r="AW62" s="138"/>
      <c r="AX62" s="138"/>
      <c r="AY62" s="138"/>
      <c r="AZ62" s="138"/>
      <c r="BA62" s="138"/>
      <c r="BB62" s="138"/>
      <c r="BC62" s="138"/>
      <c r="BD62" s="138"/>
      <c r="BE62" s="138"/>
      <c r="BF62" s="138"/>
      <c r="BG62" s="138"/>
      <c r="BH62" s="138"/>
      <c r="BI62" s="138"/>
      <c r="BJ62" s="138"/>
      <c r="BK62" s="138"/>
      <c r="BL62" s="138"/>
      <c r="BM62" s="138"/>
      <c r="BN62" s="138"/>
      <c r="BO62" s="138"/>
      <c r="BP62" s="138"/>
      <c r="BQ62" s="138"/>
      <c r="BR62" s="138"/>
      <c r="BS62" s="138"/>
      <c r="BT62" s="138"/>
      <c r="BU62" s="138"/>
      <c r="BV62" s="138">
        <v>6</v>
      </c>
      <c r="BW62" s="138"/>
      <c r="BX62" s="138"/>
      <c r="BY62" s="138"/>
      <c r="BZ62" s="138"/>
      <c r="CA62" s="138"/>
      <c r="CB62" s="138"/>
      <c r="CC62" s="138"/>
      <c r="CD62" s="138"/>
      <c r="CE62" s="138">
        <v>3</v>
      </c>
      <c r="CF62" s="139">
        <v>13</v>
      </c>
    </row>
    <row r="63" spans="1:84" ht="13.5" x14ac:dyDescent="0.15">
      <c r="A63" s="144" t="s">
        <v>937</v>
      </c>
      <c r="B63" s="144" t="s">
        <v>938</v>
      </c>
      <c r="C63" s="138" t="s">
        <v>68</v>
      </c>
      <c r="D63" s="138"/>
      <c r="E63" s="138"/>
      <c r="F63" s="138"/>
      <c r="G63" s="138"/>
      <c r="H63" s="138"/>
      <c r="I63" s="138">
        <v>2</v>
      </c>
      <c r="J63" s="138">
        <v>2</v>
      </c>
      <c r="K63" s="138"/>
      <c r="L63" s="138"/>
      <c r="M63" s="138"/>
      <c r="N63" s="138"/>
      <c r="O63" s="138"/>
      <c r="P63" s="138"/>
      <c r="Q63" s="138"/>
      <c r="R63" s="138"/>
      <c r="S63" s="138"/>
      <c r="T63" s="138"/>
      <c r="U63" s="138"/>
      <c r="V63" s="138"/>
      <c r="W63" s="138"/>
      <c r="X63" s="138"/>
      <c r="Y63" s="138"/>
      <c r="Z63" s="138"/>
      <c r="AA63" s="138"/>
      <c r="AB63" s="138"/>
      <c r="AC63" s="138"/>
      <c r="AD63" s="138"/>
      <c r="AE63" s="138"/>
      <c r="AF63" s="138"/>
      <c r="AG63" s="138"/>
      <c r="AH63" s="138"/>
      <c r="AI63" s="138"/>
      <c r="AJ63" s="138"/>
      <c r="AK63" s="138"/>
      <c r="AL63" s="138">
        <v>4</v>
      </c>
      <c r="AM63" s="138"/>
      <c r="AN63" s="138"/>
      <c r="AO63" s="138"/>
      <c r="AP63" s="138"/>
      <c r="AQ63" s="138"/>
      <c r="AR63" s="138"/>
      <c r="AS63" s="138">
        <v>2</v>
      </c>
      <c r="AT63" s="138"/>
      <c r="AU63" s="138"/>
      <c r="AV63" s="138"/>
      <c r="AW63" s="138"/>
      <c r="AX63" s="138"/>
      <c r="AY63" s="138"/>
      <c r="AZ63" s="138"/>
      <c r="BA63" s="138"/>
      <c r="BB63" s="138"/>
      <c r="BC63" s="138"/>
      <c r="BD63" s="138"/>
      <c r="BE63" s="138"/>
      <c r="BF63" s="138"/>
      <c r="BG63" s="138"/>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9">
        <v>10</v>
      </c>
    </row>
    <row r="64" spans="1:84" ht="13.5" x14ac:dyDescent="0.15">
      <c r="A64" s="144" t="s">
        <v>630</v>
      </c>
      <c r="B64" s="144" t="s">
        <v>631</v>
      </c>
      <c r="C64" s="138" t="s">
        <v>68</v>
      </c>
      <c r="D64" s="138"/>
      <c r="E64" s="138"/>
      <c r="F64" s="138"/>
      <c r="G64" s="138"/>
      <c r="H64" s="138"/>
      <c r="I64" s="138"/>
      <c r="J64" s="138"/>
      <c r="K64" s="138">
        <v>1</v>
      </c>
      <c r="L64" s="138"/>
      <c r="M64" s="138"/>
      <c r="N64" s="138"/>
      <c r="O64" s="138">
        <v>1</v>
      </c>
      <c r="P64" s="138"/>
      <c r="Q64" s="138"/>
      <c r="R64" s="138"/>
      <c r="S64" s="138"/>
      <c r="T64" s="138"/>
      <c r="U64" s="138"/>
      <c r="V64" s="138"/>
      <c r="W64" s="138"/>
      <c r="X64" s="138"/>
      <c r="Y64" s="138"/>
      <c r="Z64" s="138"/>
      <c r="AA64" s="138"/>
      <c r="AB64" s="138"/>
      <c r="AC64" s="138"/>
      <c r="AD64" s="138"/>
      <c r="AE64" s="138"/>
      <c r="AF64" s="138"/>
      <c r="AG64" s="138"/>
      <c r="AH64" s="138"/>
      <c r="AI64" s="138"/>
      <c r="AJ64" s="138"/>
      <c r="AK64" s="138">
        <v>1</v>
      </c>
      <c r="AL64" s="138"/>
      <c r="AM64" s="138">
        <v>1</v>
      </c>
      <c r="AN64" s="138"/>
      <c r="AO64" s="138"/>
      <c r="AP64" s="138"/>
      <c r="AQ64" s="138"/>
      <c r="AR64" s="138"/>
      <c r="AS64" s="138"/>
      <c r="AT64" s="138"/>
      <c r="AU64" s="138"/>
      <c r="AV64" s="138"/>
      <c r="AW64" s="138"/>
      <c r="AX64" s="138"/>
      <c r="AY64" s="138"/>
      <c r="AZ64" s="138"/>
      <c r="BA64" s="138"/>
      <c r="BB64" s="138"/>
      <c r="BC64" s="138"/>
      <c r="BD64" s="138"/>
      <c r="BE64" s="138"/>
      <c r="BF64" s="138"/>
      <c r="BG64" s="138"/>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v>1</v>
      </c>
      <c r="CD64" s="138"/>
      <c r="CE64" s="138"/>
      <c r="CF64" s="139">
        <v>5</v>
      </c>
    </row>
    <row r="65" spans="1:84" ht="13.5" x14ac:dyDescent="0.15">
      <c r="A65" s="144" t="s">
        <v>116</v>
      </c>
      <c r="B65" s="144" t="s">
        <v>130</v>
      </c>
      <c r="C65" s="138" t="s">
        <v>68</v>
      </c>
      <c r="D65" s="138"/>
      <c r="E65" s="138"/>
      <c r="F65" s="138"/>
      <c r="G65" s="138"/>
      <c r="H65" s="138"/>
      <c r="I65" s="138"/>
      <c r="J65" s="138"/>
      <c r="K65" s="138"/>
      <c r="L65" s="138"/>
      <c r="M65" s="138"/>
      <c r="N65" s="138"/>
      <c r="O65" s="138"/>
      <c r="P65" s="138"/>
      <c r="Q65" s="138"/>
      <c r="R65" s="138"/>
      <c r="S65" s="138"/>
      <c r="T65" s="138"/>
      <c r="U65" s="138"/>
      <c r="V65" s="138"/>
      <c r="W65" s="138"/>
      <c r="X65" s="138"/>
      <c r="Y65" s="138"/>
      <c r="Z65" s="138"/>
      <c r="AA65" s="138"/>
      <c r="AB65" s="138"/>
      <c r="AC65" s="138"/>
      <c r="AD65" s="138"/>
      <c r="AE65" s="138"/>
      <c r="AF65" s="138"/>
      <c r="AG65" s="138"/>
      <c r="AH65" s="138"/>
      <c r="AI65" s="138"/>
      <c r="AJ65" s="138"/>
      <c r="AK65" s="138">
        <v>1</v>
      </c>
      <c r="AL65" s="138"/>
      <c r="AM65" s="138"/>
      <c r="AN65" s="138"/>
      <c r="AO65" s="138"/>
      <c r="AP65" s="138"/>
      <c r="AQ65" s="138"/>
      <c r="AR65" s="138"/>
      <c r="AS65" s="138"/>
      <c r="AT65" s="138"/>
      <c r="AU65" s="138"/>
      <c r="AV65" s="138"/>
      <c r="AW65" s="138"/>
      <c r="AX65" s="138"/>
      <c r="AY65" s="138"/>
      <c r="AZ65" s="138"/>
      <c r="BA65" s="138"/>
      <c r="BB65" s="138"/>
      <c r="BC65" s="138"/>
      <c r="BD65" s="138"/>
      <c r="BE65" s="138"/>
      <c r="BF65" s="138"/>
      <c r="BG65" s="138"/>
      <c r="BH65" s="138"/>
      <c r="BI65" s="138">
        <v>1</v>
      </c>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9">
        <v>2</v>
      </c>
    </row>
    <row r="66" spans="1:84" ht="13.5" x14ac:dyDescent="0.15">
      <c r="A66" s="144" t="s">
        <v>940</v>
      </c>
      <c r="B66" s="144" t="s">
        <v>941</v>
      </c>
      <c r="C66" s="138" t="s">
        <v>68</v>
      </c>
      <c r="D66" s="138"/>
      <c r="E66" s="138">
        <v>5</v>
      </c>
      <c r="F66" s="138"/>
      <c r="G66" s="138"/>
      <c r="H66" s="138"/>
      <c r="I66" s="138"/>
      <c r="J66" s="138">
        <v>12</v>
      </c>
      <c r="K66" s="138"/>
      <c r="L66" s="138"/>
      <c r="M66" s="138">
        <v>10</v>
      </c>
      <c r="N66" s="138">
        <v>5</v>
      </c>
      <c r="O66" s="138"/>
      <c r="P66" s="138"/>
      <c r="Q66" s="138"/>
      <c r="R66" s="138"/>
      <c r="S66" s="138">
        <v>6</v>
      </c>
      <c r="T66" s="138"/>
      <c r="U66" s="138"/>
      <c r="V66" s="138"/>
      <c r="W66" s="138"/>
      <c r="X66" s="138"/>
      <c r="Y66" s="138"/>
      <c r="Z66" s="138"/>
      <c r="AA66" s="138">
        <v>5</v>
      </c>
      <c r="AB66" s="138"/>
      <c r="AC66" s="138"/>
      <c r="AD66" s="138"/>
      <c r="AE66" s="138">
        <v>5</v>
      </c>
      <c r="AF66" s="138">
        <v>8</v>
      </c>
      <c r="AG66" s="138"/>
      <c r="AH66" s="138"/>
      <c r="AI66" s="138"/>
      <c r="AJ66" s="138"/>
      <c r="AK66" s="138"/>
      <c r="AL66" s="138">
        <v>8</v>
      </c>
      <c r="AM66" s="138"/>
      <c r="AN66" s="138"/>
      <c r="AO66" s="138"/>
      <c r="AP66" s="138"/>
      <c r="AQ66" s="138"/>
      <c r="AR66" s="138"/>
      <c r="AS66" s="138"/>
      <c r="AT66" s="138"/>
      <c r="AU66" s="138"/>
      <c r="AV66" s="138">
        <v>6</v>
      </c>
      <c r="AW66" s="138">
        <v>6</v>
      </c>
      <c r="AX66" s="138"/>
      <c r="AY66" s="138"/>
      <c r="AZ66" s="138"/>
      <c r="BA66" s="138"/>
      <c r="BB66" s="138"/>
      <c r="BC66" s="138"/>
      <c r="BD66" s="138"/>
      <c r="BE66" s="138"/>
      <c r="BF66" s="138"/>
      <c r="BG66" s="138"/>
      <c r="BH66" s="138"/>
      <c r="BI66" s="138"/>
      <c r="BJ66" s="138"/>
      <c r="BK66" s="138"/>
      <c r="BL66" s="138"/>
      <c r="BM66" s="138"/>
      <c r="BN66" s="138"/>
      <c r="BO66" s="138"/>
      <c r="BP66" s="138"/>
      <c r="BQ66" s="138"/>
      <c r="BR66" s="138"/>
      <c r="BS66" s="138"/>
      <c r="BT66" s="138"/>
      <c r="BU66" s="138"/>
      <c r="BV66" s="138">
        <v>8</v>
      </c>
      <c r="BW66" s="138">
        <v>2</v>
      </c>
      <c r="BX66" s="138"/>
      <c r="BY66" s="138"/>
      <c r="BZ66" s="138"/>
      <c r="CA66" s="138">
        <v>20</v>
      </c>
      <c r="CB66" s="138"/>
      <c r="CC66" s="138">
        <v>40</v>
      </c>
      <c r="CD66" s="138"/>
      <c r="CE66" s="138">
        <v>7</v>
      </c>
      <c r="CF66" s="139">
        <v>153</v>
      </c>
    </row>
    <row r="67" spans="1:84" ht="13.5" x14ac:dyDescent="0.15">
      <c r="A67" s="144" t="s">
        <v>883</v>
      </c>
      <c r="B67" s="144" t="s">
        <v>884</v>
      </c>
      <c r="C67" s="138" t="s">
        <v>69</v>
      </c>
      <c r="D67" s="138"/>
      <c r="E67" s="138"/>
      <c r="F67" s="138"/>
      <c r="G67" s="138"/>
      <c r="H67" s="138"/>
      <c r="I67" s="138"/>
      <c r="J67" s="138"/>
      <c r="K67" s="138"/>
      <c r="L67" s="138"/>
      <c r="M67" s="138"/>
      <c r="N67" s="138"/>
      <c r="O67" s="138"/>
      <c r="P67" s="138"/>
      <c r="Q67" s="138"/>
      <c r="R67" s="138"/>
      <c r="S67" s="138"/>
      <c r="T67" s="138"/>
      <c r="U67" s="138"/>
      <c r="V67" s="138"/>
      <c r="W67" s="138"/>
      <c r="X67" s="138"/>
      <c r="Y67" s="138"/>
      <c r="Z67" s="138"/>
      <c r="AA67" s="138"/>
      <c r="AB67" s="138"/>
      <c r="AC67" s="138"/>
      <c r="AD67" s="138"/>
      <c r="AE67" s="138"/>
      <c r="AF67" s="138"/>
      <c r="AG67" s="138"/>
      <c r="AH67" s="138"/>
      <c r="AI67" s="138"/>
      <c r="AJ67" s="138"/>
      <c r="AK67" s="138"/>
      <c r="AL67" s="138"/>
      <c r="AM67" s="138"/>
      <c r="AN67" s="138"/>
      <c r="AO67" s="138"/>
      <c r="AP67" s="138"/>
      <c r="AQ67" s="138"/>
      <c r="AR67" s="138"/>
      <c r="AS67" s="138"/>
      <c r="AT67" s="138"/>
      <c r="AU67" s="138"/>
      <c r="AV67" s="138"/>
      <c r="AW67" s="138"/>
      <c r="AX67" s="138"/>
      <c r="AY67" s="138"/>
      <c r="AZ67" s="138"/>
      <c r="BA67" s="138"/>
      <c r="BB67" s="138"/>
      <c r="BC67" s="138"/>
      <c r="BD67" s="138"/>
      <c r="BE67" s="138"/>
      <c r="BF67" s="138"/>
      <c r="BG67" s="138"/>
      <c r="BH67" s="138"/>
      <c r="BI67" s="138"/>
      <c r="BJ67" s="138"/>
      <c r="BK67" s="138"/>
      <c r="BL67" s="138">
        <v>1</v>
      </c>
      <c r="BM67" s="138"/>
      <c r="BN67" s="138"/>
      <c r="BO67" s="138">
        <v>1</v>
      </c>
      <c r="BP67" s="138"/>
      <c r="BQ67" s="138"/>
      <c r="BR67" s="138"/>
      <c r="BS67" s="138"/>
      <c r="BT67" s="138"/>
      <c r="BU67" s="138"/>
      <c r="BV67" s="138"/>
      <c r="BW67" s="138"/>
      <c r="BX67" s="138"/>
      <c r="BY67" s="138"/>
      <c r="BZ67" s="138"/>
      <c r="CA67" s="138"/>
      <c r="CB67" s="138"/>
      <c r="CC67" s="138"/>
      <c r="CD67" s="138"/>
      <c r="CE67" s="138"/>
      <c r="CF67" s="139">
        <v>2</v>
      </c>
    </row>
    <row r="68" spans="1:84" ht="13.5" x14ac:dyDescent="0.15">
      <c r="A68" s="144" t="s">
        <v>226</v>
      </c>
      <c r="B68" s="144" t="s">
        <v>227</v>
      </c>
      <c r="C68" s="138" t="s">
        <v>68</v>
      </c>
      <c r="D68" s="138"/>
      <c r="E68" s="138"/>
      <c r="F68" s="138"/>
      <c r="G68" s="138"/>
      <c r="H68" s="138"/>
      <c r="I68" s="138"/>
      <c r="J68" s="138">
        <v>2</v>
      </c>
      <c r="K68" s="138"/>
      <c r="L68" s="138"/>
      <c r="M68" s="138"/>
      <c r="N68" s="138"/>
      <c r="O68" s="138"/>
      <c r="P68" s="138"/>
      <c r="Q68" s="138"/>
      <c r="R68" s="138"/>
      <c r="S68" s="138">
        <v>3</v>
      </c>
      <c r="T68" s="138"/>
      <c r="U68" s="138"/>
      <c r="V68" s="138"/>
      <c r="W68" s="138"/>
      <c r="X68" s="138"/>
      <c r="Y68" s="138"/>
      <c r="Z68" s="138"/>
      <c r="AA68" s="138">
        <v>3</v>
      </c>
      <c r="AB68" s="138"/>
      <c r="AC68" s="138"/>
      <c r="AD68" s="138"/>
      <c r="AE68" s="138"/>
      <c r="AF68" s="138"/>
      <c r="AG68" s="138"/>
      <c r="AH68" s="138"/>
      <c r="AI68" s="138"/>
      <c r="AJ68" s="138"/>
      <c r="AK68" s="138"/>
      <c r="AL68" s="138"/>
      <c r="AM68" s="138"/>
      <c r="AN68" s="138"/>
      <c r="AO68" s="138"/>
      <c r="AP68" s="138"/>
      <c r="AQ68" s="138"/>
      <c r="AR68" s="138"/>
      <c r="AS68" s="138"/>
      <c r="AT68" s="138"/>
      <c r="AU68" s="138"/>
      <c r="AV68" s="138"/>
      <c r="AW68" s="138">
        <v>3</v>
      </c>
      <c r="AX68" s="138"/>
      <c r="AY68" s="138"/>
      <c r="AZ68" s="138"/>
      <c r="BA68" s="138"/>
      <c r="BB68" s="138">
        <v>2</v>
      </c>
      <c r="BC68" s="138"/>
      <c r="BD68" s="138"/>
      <c r="BE68" s="138"/>
      <c r="BF68" s="138"/>
      <c r="BG68" s="138"/>
      <c r="BH68" s="138"/>
      <c r="BI68" s="138"/>
      <c r="BJ68" s="138">
        <v>2</v>
      </c>
      <c r="BK68" s="138"/>
      <c r="BL68" s="138"/>
      <c r="BM68" s="138"/>
      <c r="BN68" s="138"/>
      <c r="BO68" s="138"/>
      <c r="BP68" s="138"/>
      <c r="BQ68" s="138"/>
      <c r="BR68" s="138"/>
      <c r="BS68" s="138"/>
      <c r="BT68" s="138"/>
      <c r="BU68" s="138"/>
      <c r="BV68" s="138"/>
      <c r="BW68" s="138"/>
      <c r="BX68" s="138">
        <v>6</v>
      </c>
      <c r="BY68" s="138"/>
      <c r="BZ68" s="138"/>
      <c r="CA68" s="138"/>
      <c r="CB68" s="138"/>
      <c r="CC68" s="138">
        <v>2</v>
      </c>
      <c r="CD68" s="138"/>
      <c r="CE68" s="138">
        <v>2</v>
      </c>
      <c r="CF68" s="139">
        <v>25</v>
      </c>
    </row>
    <row r="69" spans="1:84" ht="13.5" x14ac:dyDescent="0.15">
      <c r="A69" s="144" t="s">
        <v>674</v>
      </c>
      <c r="B69" s="144" t="s">
        <v>675</v>
      </c>
      <c r="C69" s="138" t="s">
        <v>68</v>
      </c>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38"/>
      <c r="AB69" s="138"/>
      <c r="AC69" s="138"/>
      <c r="AD69" s="138"/>
      <c r="AE69" s="138"/>
      <c r="AF69" s="138"/>
      <c r="AG69" s="138"/>
      <c r="AH69" s="138"/>
      <c r="AI69" s="138"/>
      <c r="AJ69" s="138"/>
      <c r="AK69" s="138"/>
      <c r="AL69" s="138"/>
      <c r="AM69" s="138"/>
      <c r="AN69" s="138"/>
      <c r="AO69" s="138"/>
      <c r="AP69" s="138"/>
      <c r="AQ69" s="138"/>
      <c r="AR69" s="138"/>
      <c r="AS69" s="138"/>
      <c r="AT69" s="138"/>
      <c r="AU69" s="138"/>
      <c r="AV69" s="138"/>
      <c r="AW69" s="138"/>
      <c r="AX69" s="138"/>
      <c r="AY69" s="138"/>
      <c r="AZ69" s="138"/>
      <c r="BA69" s="138"/>
      <c r="BB69" s="138"/>
      <c r="BC69" s="138">
        <v>3</v>
      </c>
      <c r="BD69" s="138"/>
      <c r="BE69" s="138"/>
      <c r="BF69" s="138"/>
      <c r="BG69" s="138"/>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9">
        <v>3</v>
      </c>
    </row>
    <row r="70" spans="1:84" ht="13.5" x14ac:dyDescent="0.15">
      <c r="A70" s="144" t="s">
        <v>393</v>
      </c>
      <c r="B70" s="144" t="s">
        <v>394</v>
      </c>
      <c r="C70" s="138" t="s">
        <v>68</v>
      </c>
      <c r="D70" s="138">
        <v>3</v>
      </c>
      <c r="E70" s="138"/>
      <c r="F70" s="138"/>
      <c r="G70" s="138"/>
      <c r="H70" s="138"/>
      <c r="I70" s="138"/>
      <c r="J70" s="138"/>
      <c r="K70" s="138"/>
      <c r="L70" s="138"/>
      <c r="M70" s="138"/>
      <c r="N70" s="138"/>
      <c r="O70" s="138"/>
      <c r="P70" s="138"/>
      <c r="Q70" s="138"/>
      <c r="R70" s="138">
        <v>5</v>
      </c>
      <c r="S70" s="138"/>
      <c r="T70" s="138"/>
      <c r="U70" s="138"/>
      <c r="V70" s="138"/>
      <c r="W70" s="138"/>
      <c r="X70" s="138"/>
      <c r="Y70" s="138"/>
      <c r="Z70" s="138"/>
      <c r="AA70" s="138"/>
      <c r="AB70" s="138"/>
      <c r="AC70" s="138">
        <v>4</v>
      </c>
      <c r="AD70" s="138"/>
      <c r="AE70" s="138"/>
      <c r="AF70" s="138"/>
      <c r="AG70" s="138"/>
      <c r="AH70" s="138"/>
      <c r="AI70" s="138"/>
      <c r="AJ70" s="138"/>
      <c r="AK70" s="138"/>
      <c r="AL70" s="138"/>
      <c r="AM70" s="138"/>
      <c r="AN70" s="138"/>
      <c r="AO70" s="138">
        <v>3</v>
      </c>
      <c r="AP70" s="138"/>
      <c r="AQ70" s="138"/>
      <c r="AR70" s="138"/>
      <c r="AS70" s="138"/>
      <c r="AT70" s="138"/>
      <c r="AU70" s="138"/>
      <c r="AV70" s="138"/>
      <c r="AW70" s="138"/>
      <c r="AX70" s="138"/>
      <c r="AY70" s="138"/>
      <c r="AZ70" s="138">
        <v>2</v>
      </c>
      <c r="BA70" s="138"/>
      <c r="BB70" s="138"/>
      <c r="BC70" s="138"/>
      <c r="BD70" s="138"/>
      <c r="BE70" s="138">
        <v>2</v>
      </c>
      <c r="BF70" s="138">
        <v>8</v>
      </c>
      <c r="BG70" s="138"/>
      <c r="BH70" s="138"/>
      <c r="BI70" s="138"/>
      <c r="BJ70" s="138"/>
      <c r="BK70" s="138"/>
      <c r="BL70" s="138"/>
      <c r="BM70" s="138"/>
      <c r="BN70" s="138"/>
      <c r="BO70" s="138"/>
      <c r="BP70" s="138"/>
      <c r="BQ70" s="138"/>
      <c r="BR70" s="138"/>
      <c r="BS70" s="138"/>
      <c r="BT70" s="138"/>
      <c r="BU70" s="138"/>
      <c r="BV70" s="138"/>
      <c r="BW70" s="138"/>
      <c r="BX70" s="138">
        <v>8</v>
      </c>
      <c r="BY70" s="138"/>
      <c r="BZ70" s="138"/>
      <c r="CA70" s="138"/>
      <c r="CB70" s="138"/>
      <c r="CC70" s="138"/>
      <c r="CD70" s="138">
        <v>8</v>
      </c>
      <c r="CE70" s="138"/>
      <c r="CF70" s="139">
        <v>43</v>
      </c>
    </row>
    <row r="71" spans="1:84" ht="13.5" x14ac:dyDescent="0.15">
      <c r="A71" s="144" t="s">
        <v>397</v>
      </c>
      <c r="B71" s="144" t="s">
        <v>398</v>
      </c>
      <c r="C71" s="138" t="s">
        <v>69</v>
      </c>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138"/>
      <c r="AB71" s="138"/>
      <c r="AC71" s="138"/>
      <c r="AD71" s="138"/>
      <c r="AE71" s="138"/>
      <c r="AF71" s="138"/>
      <c r="AG71" s="138"/>
      <c r="AH71" s="138"/>
      <c r="AI71" s="138"/>
      <c r="AJ71" s="138"/>
      <c r="AK71" s="138"/>
      <c r="AL71" s="138"/>
      <c r="AM71" s="138"/>
      <c r="AN71" s="138"/>
      <c r="AO71" s="138"/>
      <c r="AP71" s="138"/>
      <c r="AQ71" s="138"/>
      <c r="AR71" s="138"/>
      <c r="AS71" s="138"/>
      <c r="AT71" s="138"/>
      <c r="AU71" s="138"/>
      <c r="AV71" s="138"/>
      <c r="AW71" s="138"/>
      <c r="AX71" s="138"/>
      <c r="AY71" s="138"/>
      <c r="AZ71" s="138"/>
      <c r="BA71" s="138"/>
      <c r="BB71" s="138"/>
      <c r="BC71" s="138"/>
      <c r="BD71" s="138"/>
      <c r="BE71" s="138"/>
      <c r="BF71" s="138"/>
      <c r="BG71" s="138"/>
      <c r="BH71" s="138"/>
      <c r="BI71" s="138"/>
      <c r="BJ71" s="138"/>
      <c r="BK71" s="138"/>
      <c r="BL71" s="138"/>
      <c r="BM71" s="138"/>
      <c r="BN71" s="138"/>
      <c r="BO71" s="138"/>
      <c r="BP71" s="138"/>
      <c r="BQ71" s="138"/>
      <c r="BR71" s="138"/>
      <c r="BS71" s="138"/>
      <c r="BT71" s="138"/>
      <c r="BU71" s="138"/>
      <c r="BV71" s="138"/>
      <c r="BW71" s="138"/>
      <c r="BX71" s="138"/>
      <c r="BY71" s="138"/>
      <c r="BZ71" s="138">
        <v>2</v>
      </c>
      <c r="CA71" s="138"/>
      <c r="CB71" s="138"/>
      <c r="CC71" s="138"/>
      <c r="CD71" s="138"/>
      <c r="CE71" s="138"/>
      <c r="CF71" s="139">
        <v>2</v>
      </c>
    </row>
    <row r="72" spans="1:84" ht="13.5" x14ac:dyDescent="0.15">
      <c r="A72" s="144" t="s">
        <v>310</v>
      </c>
      <c r="B72" s="144" t="s">
        <v>311</v>
      </c>
      <c r="C72" s="138" t="s">
        <v>68</v>
      </c>
      <c r="D72" s="138"/>
      <c r="E72" s="138"/>
      <c r="F72" s="138"/>
      <c r="G72" s="138"/>
      <c r="H72" s="138"/>
      <c r="I72" s="138"/>
      <c r="J72" s="138"/>
      <c r="K72" s="138"/>
      <c r="L72" s="138"/>
      <c r="M72" s="138"/>
      <c r="N72" s="138"/>
      <c r="O72" s="138"/>
      <c r="P72" s="138"/>
      <c r="Q72" s="138"/>
      <c r="R72" s="138"/>
      <c r="S72" s="138"/>
      <c r="T72" s="138"/>
      <c r="U72" s="138"/>
      <c r="V72" s="138"/>
      <c r="W72" s="138">
        <v>5</v>
      </c>
      <c r="X72" s="138"/>
      <c r="Y72" s="138"/>
      <c r="Z72" s="138">
        <v>4</v>
      </c>
      <c r="AA72" s="138"/>
      <c r="AB72" s="138"/>
      <c r="AC72" s="138"/>
      <c r="AD72" s="138"/>
      <c r="AE72" s="138"/>
      <c r="AF72" s="138"/>
      <c r="AG72" s="138"/>
      <c r="AH72" s="138"/>
      <c r="AI72" s="138">
        <v>3</v>
      </c>
      <c r="AJ72" s="138"/>
      <c r="AK72" s="138"/>
      <c r="AL72" s="138"/>
      <c r="AM72" s="138"/>
      <c r="AN72" s="138"/>
      <c r="AO72" s="138"/>
      <c r="AP72" s="138"/>
      <c r="AQ72" s="138"/>
      <c r="AR72" s="138"/>
      <c r="AS72" s="138">
        <v>6</v>
      </c>
      <c r="AT72" s="138"/>
      <c r="AU72" s="138"/>
      <c r="AV72" s="138"/>
      <c r="AW72" s="138"/>
      <c r="AX72" s="138"/>
      <c r="AY72" s="138"/>
      <c r="AZ72" s="138"/>
      <c r="BA72" s="138"/>
      <c r="BB72" s="138">
        <v>5</v>
      </c>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9">
        <v>23</v>
      </c>
    </row>
    <row r="73" spans="1:84" ht="13.5" x14ac:dyDescent="0.15">
      <c r="A73" s="144" t="s">
        <v>399</v>
      </c>
      <c r="B73" s="144" t="s">
        <v>400</v>
      </c>
      <c r="C73" s="138" t="s">
        <v>68</v>
      </c>
      <c r="D73" s="138">
        <v>3</v>
      </c>
      <c r="E73" s="138"/>
      <c r="F73" s="138"/>
      <c r="G73" s="138"/>
      <c r="H73" s="138"/>
      <c r="I73" s="138"/>
      <c r="J73" s="138"/>
      <c r="K73" s="138"/>
      <c r="L73" s="138"/>
      <c r="M73" s="138"/>
      <c r="N73" s="138">
        <v>5</v>
      </c>
      <c r="O73" s="138"/>
      <c r="P73" s="138"/>
      <c r="Q73" s="138"/>
      <c r="R73" s="138">
        <v>7</v>
      </c>
      <c r="S73" s="138"/>
      <c r="T73" s="138"/>
      <c r="U73" s="138"/>
      <c r="V73" s="138"/>
      <c r="W73" s="138">
        <v>5</v>
      </c>
      <c r="X73" s="138"/>
      <c r="Y73" s="138"/>
      <c r="Z73" s="138">
        <v>4</v>
      </c>
      <c r="AA73" s="138"/>
      <c r="AB73" s="138"/>
      <c r="AC73" s="138">
        <v>5</v>
      </c>
      <c r="AD73" s="138"/>
      <c r="AE73" s="138"/>
      <c r="AF73" s="138"/>
      <c r="AG73" s="138"/>
      <c r="AH73" s="138"/>
      <c r="AI73" s="138"/>
      <c r="AJ73" s="138"/>
      <c r="AK73" s="138"/>
      <c r="AL73" s="138">
        <v>10</v>
      </c>
      <c r="AM73" s="138"/>
      <c r="AN73" s="138"/>
      <c r="AO73" s="138">
        <v>3</v>
      </c>
      <c r="AP73" s="138"/>
      <c r="AQ73" s="138"/>
      <c r="AR73" s="138">
        <v>5</v>
      </c>
      <c r="AS73" s="138"/>
      <c r="AT73" s="138"/>
      <c r="AU73" s="138"/>
      <c r="AV73" s="138"/>
      <c r="AW73" s="138"/>
      <c r="AX73" s="138"/>
      <c r="AY73" s="138"/>
      <c r="AZ73" s="138">
        <v>2</v>
      </c>
      <c r="BA73" s="138"/>
      <c r="BB73" s="138"/>
      <c r="BC73" s="138"/>
      <c r="BD73" s="138"/>
      <c r="BE73" s="138">
        <v>2</v>
      </c>
      <c r="BF73" s="138">
        <v>5</v>
      </c>
      <c r="BG73" s="138">
        <v>4</v>
      </c>
      <c r="BH73" s="138">
        <v>15</v>
      </c>
      <c r="BI73" s="138"/>
      <c r="BJ73" s="138"/>
      <c r="BK73" s="138"/>
      <c r="BL73" s="138"/>
      <c r="BM73" s="138"/>
      <c r="BN73" s="138"/>
      <c r="BO73" s="138"/>
      <c r="BP73" s="138"/>
      <c r="BQ73" s="138">
        <v>4</v>
      </c>
      <c r="BR73" s="138">
        <v>4</v>
      </c>
      <c r="BS73" s="138"/>
      <c r="BT73" s="138"/>
      <c r="BU73" s="138"/>
      <c r="BV73" s="138">
        <v>4</v>
      </c>
      <c r="BW73" s="138">
        <v>4</v>
      </c>
      <c r="BX73" s="138">
        <v>8</v>
      </c>
      <c r="BY73" s="138">
        <v>2</v>
      </c>
      <c r="BZ73" s="138"/>
      <c r="CA73" s="138"/>
      <c r="CB73" s="138"/>
      <c r="CC73" s="138"/>
      <c r="CD73" s="138">
        <v>8</v>
      </c>
      <c r="CE73" s="138">
        <v>3</v>
      </c>
      <c r="CF73" s="139">
        <v>112</v>
      </c>
    </row>
    <row r="74" spans="1:84" ht="13.5" x14ac:dyDescent="0.15">
      <c r="A74" s="144" t="s">
        <v>488</v>
      </c>
      <c r="B74" s="144" t="s">
        <v>489</v>
      </c>
      <c r="C74" s="138" t="s">
        <v>68</v>
      </c>
      <c r="D74" s="138"/>
      <c r="E74" s="138"/>
      <c r="F74" s="138"/>
      <c r="G74" s="138"/>
      <c r="H74" s="138"/>
      <c r="I74" s="138"/>
      <c r="J74" s="138"/>
      <c r="K74" s="138"/>
      <c r="L74" s="138"/>
      <c r="M74" s="138"/>
      <c r="N74" s="138"/>
      <c r="O74" s="138"/>
      <c r="P74" s="138"/>
      <c r="Q74" s="138"/>
      <c r="R74" s="138"/>
      <c r="S74" s="138"/>
      <c r="T74" s="138"/>
      <c r="U74" s="138"/>
      <c r="V74" s="138"/>
      <c r="W74" s="138"/>
      <c r="X74" s="138"/>
      <c r="Y74" s="138"/>
      <c r="Z74" s="138"/>
      <c r="AA74" s="138"/>
      <c r="AB74" s="138"/>
      <c r="AC74" s="138"/>
      <c r="AD74" s="138"/>
      <c r="AE74" s="138"/>
      <c r="AF74" s="138"/>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c r="BC74" s="138">
        <v>1</v>
      </c>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9">
        <v>1</v>
      </c>
    </row>
    <row r="75" spans="1:84" ht="13.5" x14ac:dyDescent="0.15">
      <c r="A75" s="144" t="s">
        <v>947</v>
      </c>
      <c r="B75" s="144" t="s">
        <v>948</v>
      </c>
      <c r="C75" s="138" t="s">
        <v>68</v>
      </c>
      <c r="D75" s="138"/>
      <c r="E75" s="138"/>
      <c r="F75" s="138"/>
      <c r="G75" s="138"/>
      <c r="H75" s="138"/>
      <c r="I75" s="138"/>
      <c r="J75" s="138"/>
      <c r="K75" s="138"/>
      <c r="L75" s="138"/>
      <c r="M75" s="138"/>
      <c r="N75" s="138"/>
      <c r="O75" s="138"/>
      <c r="P75" s="138"/>
      <c r="Q75" s="138"/>
      <c r="R75" s="138"/>
      <c r="S75" s="138"/>
      <c r="T75" s="138"/>
      <c r="U75" s="138"/>
      <c r="V75" s="138"/>
      <c r="W75" s="138"/>
      <c r="X75" s="138"/>
      <c r="Y75" s="138"/>
      <c r="Z75" s="138"/>
      <c r="AA75" s="138"/>
      <c r="AB75" s="138"/>
      <c r="AC75" s="138"/>
      <c r="AD75" s="138"/>
      <c r="AE75" s="138"/>
      <c r="AF75" s="138"/>
      <c r="AG75" s="138"/>
      <c r="AH75" s="138"/>
      <c r="AI75" s="138"/>
      <c r="AJ75" s="138"/>
      <c r="AK75" s="138"/>
      <c r="AL75" s="138"/>
      <c r="AM75" s="138"/>
      <c r="AN75" s="138"/>
      <c r="AO75" s="138"/>
      <c r="AP75" s="138"/>
      <c r="AQ75" s="138"/>
      <c r="AR75" s="138"/>
      <c r="AS75" s="138"/>
      <c r="AT75" s="138"/>
      <c r="AU75" s="138"/>
      <c r="AV75" s="138"/>
      <c r="AW75" s="138"/>
      <c r="AX75" s="138"/>
      <c r="AY75" s="138"/>
      <c r="AZ75" s="138"/>
      <c r="BA75" s="138"/>
      <c r="BB75" s="138"/>
      <c r="BC75" s="138"/>
      <c r="BD75" s="138"/>
      <c r="BE75" s="138"/>
      <c r="BF75" s="138"/>
      <c r="BG75" s="138"/>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v>100</v>
      </c>
      <c r="CD75" s="138"/>
      <c r="CE75" s="138"/>
      <c r="CF75" s="139">
        <v>100</v>
      </c>
    </row>
    <row r="76" spans="1:84" ht="13.5" x14ac:dyDescent="0.15">
      <c r="A76" s="144" t="s">
        <v>463</v>
      </c>
      <c r="B76" s="144" t="s">
        <v>464</v>
      </c>
      <c r="C76" s="138" t="s">
        <v>68</v>
      </c>
      <c r="D76" s="138"/>
      <c r="E76" s="138">
        <v>5</v>
      </c>
      <c r="F76" s="138"/>
      <c r="G76" s="138"/>
      <c r="H76" s="138"/>
      <c r="I76" s="138"/>
      <c r="J76" s="138"/>
      <c r="K76" s="138"/>
      <c r="L76" s="138"/>
      <c r="M76" s="138"/>
      <c r="N76" s="138"/>
      <c r="O76" s="138"/>
      <c r="P76" s="138"/>
      <c r="Q76" s="138"/>
      <c r="R76" s="138">
        <v>5</v>
      </c>
      <c r="S76" s="138"/>
      <c r="T76" s="138"/>
      <c r="U76" s="138"/>
      <c r="V76" s="138"/>
      <c r="W76" s="138"/>
      <c r="X76" s="138"/>
      <c r="Y76" s="138"/>
      <c r="Z76" s="138"/>
      <c r="AA76" s="138"/>
      <c r="AB76" s="138"/>
      <c r="AC76" s="138"/>
      <c r="AD76" s="138"/>
      <c r="AE76" s="138"/>
      <c r="AF76" s="138"/>
      <c r="AG76" s="138"/>
      <c r="AH76" s="138"/>
      <c r="AI76" s="138">
        <v>3</v>
      </c>
      <c r="AJ76" s="138"/>
      <c r="AK76" s="138"/>
      <c r="AL76" s="138"/>
      <c r="AM76" s="138"/>
      <c r="AN76" s="138"/>
      <c r="AO76" s="138"/>
      <c r="AP76" s="138"/>
      <c r="AQ76" s="138"/>
      <c r="AR76" s="138"/>
      <c r="AS76" s="138"/>
      <c r="AT76" s="138"/>
      <c r="AU76" s="138"/>
      <c r="AV76" s="138"/>
      <c r="AW76" s="138"/>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9">
        <v>13</v>
      </c>
    </row>
    <row r="77" spans="1:84" ht="13.5" x14ac:dyDescent="0.15">
      <c r="A77" s="144" t="s">
        <v>218</v>
      </c>
      <c r="B77" s="144" t="s">
        <v>219</v>
      </c>
      <c r="C77" s="138" t="s">
        <v>68</v>
      </c>
      <c r="D77" s="138"/>
      <c r="E77" s="138"/>
      <c r="F77" s="138"/>
      <c r="G77" s="138"/>
      <c r="H77" s="138"/>
      <c r="I77" s="138"/>
      <c r="J77" s="138"/>
      <c r="K77" s="138"/>
      <c r="L77" s="138"/>
      <c r="M77" s="138">
        <v>10</v>
      </c>
      <c r="N77" s="138"/>
      <c r="O77" s="138"/>
      <c r="P77" s="138"/>
      <c r="Q77" s="138"/>
      <c r="R77" s="138"/>
      <c r="S77" s="138"/>
      <c r="T77" s="138"/>
      <c r="U77" s="138">
        <v>2</v>
      </c>
      <c r="V77" s="138"/>
      <c r="W77" s="138"/>
      <c r="X77" s="138"/>
      <c r="Y77" s="138"/>
      <c r="Z77" s="138"/>
      <c r="AA77" s="138"/>
      <c r="AB77" s="138"/>
      <c r="AC77" s="138"/>
      <c r="AD77" s="138"/>
      <c r="AE77" s="138"/>
      <c r="AF77" s="138"/>
      <c r="AG77" s="138"/>
      <c r="AH77" s="138"/>
      <c r="AI77" s="138"/>
      <c r="AJ77" s="138"/>
      <c r="AK77" s="138"/>
      <c r="AL77" s="138"/>
      <c r="AM77" s="138"/>
      <c r="AN77" s="138"/>
      <c r="AO77" s="138"/>
      <c r="AP77" s="138"/>
      <c r="AQ77" s="138"/>
      <c r="AR77" s="138"/>
      <c r="AS77" s="138"/>
      <c r="AT77" s="138">
        <v>1</v>
      </c>
      <c r="AU77" s="138"/>
      <c r="AV77" s="138"/>
      <c r="AW77" s="138"/>
      <c r="AX77" s="138"/>
      <c r="AY77" s="138"/>
      <c r="AZ77" s="138"/>
      <c r="BA77" s="138"/>
      <c r="BB77" s="138">
        <v>4</v>
      </c>
      <c r="BC77" s="138"/>
      <c r="BD77" s="138"/>
      <c r="BE77" s="138">
        <v>1</v>
      </c>
      <c r="BF77" s="138">
        <v>5</v>
      </c>
      <c r="BG77" s="138"/>
      <c r="BH77" s="138"/>
      <c r="BI77" s="138"/>
      <c r="BJ77" s="138">
        <v>4</v>
      </c>
      <c r="BK77" s="138"/>
      <c r="BL77" s="138"/>
      <c r="BM77" s="138"/>
      <c r="BN77" s="138"/>
      <c r="BO77" s="138"/>
      <c r="BP77" s="138"/>
      <c r="BQ77" s="138"/>
      <c r="BR77" s="138">
        <v>3</v>
      </c>
      <c r="BS77" s="138"/>
      <c r="BT77" s="138"/>
      <c r="BU77" s="138"/>
      <c r="BV77" s="138"/>
      <c r="BW77" s="138"/>
      <c r="BX77" s="138"/>
      <c r="BY77" s="138"/>
      <c r="BZ77" s="138"/>
      <c r="CA77" s="138"/>
      <c r="CB77" s="138"/>
      <c r="CC77" s="138">
        <v>2</v>
      </c>
      <c r="CD77" s="138"/>
      <c r="CE77" s="138"/>
      <c r="CF77" s="139">
        <v>32</v>
      </c>
    </row>
    <row r="78" spans="1:84" ht="13.5" x14ac:dyDescent="0.15">
      <c r="A78" s="144" t="s">
        <v>667</v>
      </c>
      <c r="B78" s="144" t="s">
        <v>668</v>
      </c>
      <c r="C78" s="138" t="s">
        <v>68</v>
      </c>
      <c r="D78" s="138"/>
      <c r="E78" s="138"/>
      <c r="F78" s="138"/>
      <c r="G78" s="138"/>
      <c r="H78" s="138"/>
      <c r="I78" s="138"/>
      <c r="J78" s="138"/>
      <c r="K78" s="138"/>
      <c r="L78" s="138"/>
      <c r="M78" s="138"/>
      <c r="N78" s="138"/>
      <c r="O78" s="138">
        <v>3</v>
      </c>
      <c r="P78" s="138"/>
      <c r="Q78" s="138"/>
      <c r="R78" s="138">
        <v>5</v>
      </c>
      <c r="S78" s="138">
        <v>3</v>
      </c>
      <c r="T78" s="138"/>
      <c r="U78" s="138"/>
      <c r="V78" s="138"/>
      <c r="W78" s="138">
        <v>3</v>
      </c>
      <c r="X78" s="138"/>
      <c r="Y78" s="138"/>
      <c r="Z78" s="138"/>
      <c r="AA78" s="138"/>
      <c r="AB78" s="138"/>
      <c r="AC78" s="138"/>
      <c r="AD78" s="138"/>
      <c r="AE78" s="138"/>
      <c r="AF78" s="138"/>
      <c r="AG78" s="138">
        <v>6</v>
      </c>
      <c r="AH78" s="138"/>
      <c r="AI78" s="138"/>
      <c r="AJ78" s="138"/>
      <c r="AK78" s="138"/>
      <c r="AL78" s="138"/>
      <c r="AM78" s="138"/>
      <c r="AN78" s="138"/>
      <c r="AO78" s="138"/>
      <c r="AP78" s="138"/>
      <c r="AQ78" s="138"/>
      <c r="AR78" s="138"/>
      <c r="AS78" s="138"/>
      <c r="AT78" s="138">
        <v>1</v>
      </c>
      <c r="AU78" s="138"/>
      <c r="AV78" s="138"/>
      <c r="AW78" s="138">
        <v>4</v>
      </c>
      <c r="AX78" s="138"/>
      <c r="AY78" s="138">
        <v>5</v>
      </c>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v>10</v>
      </c>
      <c r="CF78" s="139">
        <v>40</v>
      </c>
    </row>
    <row r="79" spans="1:84" ht="13.5" x14ac:dyDescent="0.15">
      <c r="A79" s="144" t="s">
        <v>662</v>
      </c>
      <c r="B79" s="144" t="s">
        <v>663</v>
      </c>
      <c r="C79" s="138" t="s">
        <v>68</v>
      </c>
      <c r="D79" s="138"/>
      <c r="E79" s="138">
        <v>1</v>
      </c>
      <c r="F79" s="138"/>
      <c r="G79" s="138"/>
      <c r="H79" s="138"/>
      <c r="I79" s="138">
        <v>5</v>
      </c>
      <c r="J79" s="138"/>
      <c r="K79" s="138"/>
      <c r="L79" s="138"/>
      <c r="M79" s="138"/>
      <c r="N79" s="138"/>
      <c r="O79" s="138"/>
      <c r="P79" s="138"/>
      <c r="Q79" s="138"/>
      <c r="R79" s="138"/>
      <c r="S79" s="138"/>
      <c r="T79" s="138"/>
      <c r="U79" s="138"/>
      <c r="V79" s="138"/>
      <c r="W79" s="138"/>
      <c r="X79" s="138"/>
      <c r="Y79" s="138"/>
      <c r="Z79" s="138"/>
      <c r="AA79" s="138"/>
      <c r="AB79" s="138"/>
      <c r="AC79" s="138"/>
      <c r="AD79" s="138"/>
      <c r="AE79" s="138"/>
      <c r="AF79" s="138"/>
      <c r="AG79" s="138"/>
      <c r="AH79" s="138"/>
      <c r="AI79" s="138"/>
      <c r="AJ79" s="138"/>
      <c r="AK79" s="138">
        <v>5</v>
      </c>
      <c r="AL79" s="138"/>
      <c r="AM79" s="138"/>
      <c r="AN79" s="138"/>
      <c r="AO79" s="138"/>
      <c r="AP79" s="138"/>
      <c r="AQ79" s="138"/>
      <c r="AR79" s="138"/>
      <c r="AS79" s="138"/>
      <c r="AT79" s="138"/>
      <c r="AU79" s="138"/>
      <c r="AV79" s="138"/>
      <c r="AW79" s="138"/>
      <c r="AX79" s="138"/>
      <c r="AY79" s="138"/>
      <c r="AZ79" s="138"/>
      <c r="BA79" s="138"/>
      <c r="BB79" s="138"/>
      <c r="BC79" s="138"/>
      <c r="BD79" s="138"/>
      <c r="BE79" s="138"/>
      <c r="BF79" s="138"/>
      <c r="BG79" s="138"/>
      <c r="BH79" s="138"/>
      <c r="BI79" s="138"/>
      <c r="BJ79" s="138"/>
      <c r="BK79" s="138"/>
      <c r="BL79" s="138"/>
      <c r="BM79" s="138"/>
      <c r="BN79" s="138"/>
      <c r="BO79" s="138"/>
      <c r="BP79" s="138"/>
      <c r="BQ79" s="138"/>
      <c r="BR79" s="138">
        <v>4</v>
      </c>
      <c r="BS79" s="138"/>
      <c r="BT79" s="138"/>
      <c r="BU79" s="138"/>
      <c r="BV79" s="138">
        <v>8</v>
      </c>
      <c r="BW79" s="138"/>
      <c r="BX79" s="138">
        <v>10</v>
      </c>
      <c r="BY79" s="138"/>
      <c r="BZ79" s="138"/>
      <c r="CA79" s="138">
        <v>8</v>
      </c>
      <c r="CB79" s="138">
        <v>25</v>
      </c>
      <c r="CC79" s="138"/>
      <c r="CD79" s="138"/>
      <c r="CE79" s="138"/>
      <c r="CF79" s="139">
        <v>66</v>
      </c>
    </row>
    <row r="80" spans="1:84" ht="13.5" x14ac:dyDescent="0.15">
      <c r="A80" s="144" t="s">
        <v>209</v>
      </c>
      <c r="B80" s="144" t="s">
        <v>210</v>
      </c>
      <c r="C80" s="138" t="s">
        <v>68</v>
      </c>
      <c r="D80" s="138"/>
      <c r="E80" s="138"/>
      <c r="F80" s="138"/>
      <c r="G80" s="138"/>
      <c r="H80" s="138"/>
      <c r="I80" s="138"/>
      <c r="J80" s="138">
        <v>6</v>
      </c>
      <c r="K80" s="138"/>
      <c r="L80" s="138"/>
      <c r="M80" s="138"/>
      <c r="N80" s="138"/>
      <c r="O80" s="138"/>
      <c r="P80" s="138"/>
      <c r="Q80" s="138"/>
      <c r="R80" s="138">
        <v>2</v>
      </c>
      <c r="S80" s="138"/>
      <c r="T80" s="138"/>
      <c r="U80" s="138"/>
      <c r="V80" s="138"/>
      <c r="W80" s="138"/>
      <c r="X80" s="138"/>
      <c r="Y80" s="138">
        <v>3</v>
      </c>
      <c r="Z80" s="138">
        <v>2</v>
      </c>
      <c r="AA80" s="138"/>
      <c r="AB80" s="138"/>
      <c r="AC80" s="138"/>
      <c r="AD80" s="138">
        <v>2</v>
      </c>
      <c r="AE80" s="138"/>
      <c r="AF80" s="138"/>
      <c r="AG80" s="138"/>
      <c r="AH80" s="138"/>
      <c r="AI80" s="138"/>
      <c r="AJ80" s="138"/>
      <c r="AK80" s="138"/>
      <c r="AL80" s="138"/>
      <c r="AM80" s="138"/>
      <c r="AN80" s="138"/>
      <c r="AO80" s="138"/>
      <c r="AP80" s="138"/>
      <c r="AQ80" s="138"/>
      <c r="AR80" s="138">
        <v>3</v>
      </c>
      <c r="AS80" s="138"/>
      <c r="AT80" s="138"/>
      <c r="AU80" s="138"/>
      <c r="AV80" s="138"/>
      <c r="AW80" s="138"/>
      <c r="AX80" s="138"/>
      <c r="AY80" s="138"/>
      <c r="AZ80" s="138"/>
      <c r="BA80" s="138"/>
      <c r="BB80" s="138"/>
      <c r="BC80" s="138"/>
      <c r="BD80" s="138"/>
      <c r="BE80" s="138"/>
      <c r="BF80" s="138"/>
      <c r="BG80" s="138"/>
      <c r="BH80" s="138"/>
      <c r="BI80" s="138"/>
      <c r="BJ80" s="138">
        <v>1</v>
      </c>
      <c r="BK80" s="138"/>
      <c r="BL80" s="138"/>
      <c r="BM80" s="138"/>
      <c r="BN80" s="138"/>
      <c r="BO80" s="138"/>
      <c r="BP80" s="138"/>
      <c r="BQ80" s="138"/>
      <c r="BR80" s="138"/>
      <c r="BS80" s="138"/>
      <c r="BT80" s="138"/>
      <c r="BU80" s="138"/>
      <c r="BV80" s="138"/>
      <c r="BW80" s="138"/>
      <c r="BX80" s="138"/>
      <c r="BY80" s="138"/>
      <c r="BZ80" s="138"/>
      <c r="CA80" s="138"/>
      <c r="CB80" s="138"/>
      <c r="CC80" s="138">
        <v>2</v>
      </c>
      <c r="CD80" s="138"/>
      <c r="CE80" s="138"/>
      <c r="CF80" s="139">
        <v>21</v>
      </c>
    </row>
    <row r="81" spans="1:84" ht="13.5" x14ac:dyDescent="0.15">
      <c r="A81" s="144" t="s">
        <v>835</v>
      </c>
      <c r="B81" s="144" t="s">
        <v>836</v>
      </c>
      <c r="C81" s="138" t="s">
        <v>68</v>
      </c>
      <c r="D81" s="138"/>
      <c r="E81" s="138"/>
      <c r="F81" s="138"/>
      <c r="G81" s="138"/>
      <c r="H81" s="138"/>
      <c r="I81" s="138"/>
      <c r="J81" s="138"/>
      <c r="K81" s="138"/>
      <c r="L81" s="138"/>
      <c r="M81" s="138"/>
      <c r="N81" s="138"/>
      <c r="O81" s="138"/>
      <c r="P81" s="138"/>
      <c r="Q81" s="138"/>
      <c r="R81" s="138"/>
      <c r="S81" s="138"/>
      <c r="T81" s="138"/>
      <c r="U81" s="138"/>
      <c r="V81" s="138"/>
      <c r="W81" s="138">
        <v>3</v>
      </c>
      <c r="X81" s="138">
        <v>2</v>
      </c>
      <c r="Y81" s="138"/>
      <c r="Z81" s="138"/>
      <c r="AA81" s="138"/>
      <c r="AB81" s="138"/>
      <c r="AC81" s="138"/>
      <c r="AD81" s="138"/>
      <c r="AE81" s="138"/>
      <c r="AF81" s="138"/>
      <c r="AG81" s="138"/>
      <c r="AH81" s="138"/>
      <c r="AI81" s="138"/>
      <c r="AJ81" s="138"/>
      <c r="AK81" s="138"/>
      <c r="AL81" s="138">
        <v>4</v>
      </c>
      <c r="AM81" s="138"/>
      <c r="AN81" s="138"/>
      <c r="AO81" s="138"/>
      <c r="AP81" s="138"/>
      <c r="AQ81" s="138"/>
      <c r="AR81" s="138"/>
      <c r="AS81" s="138">
        <v>2</v>
      </c>
      <c r="AT81" s="138"/>
      <c r="AU81" s="138"/>
      <c r="AV81" s="138"/>
      <c r="AW81" s="138"/>
      <c r="AX81" s="138"/>
      <c r="AY81" s="138"/>
      <c r="AZ81" s="138"/>
      <c r="BA81" s="138"/>
      <c r="BB81" s="138">
        <v>3</v>
      </c>
      <c r="BC81" s="138"/>
      <c r="BD81" s="138"/>
      <c r="BE81" s="138">
        <v>1</v>
      </c>
      <c r="BF81" s="138"/>
      <c r="BG81" s="138">
        <v>2</v>
      </c>
      <c r="BH81" s="138"/>
      <c r="BI81" s="138"/>
      <c r="BJ81" s="138">
        <v>2</v>
      </c>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9">
        <v>19</v>
      </c>
    </row>
    <row r="82" spans="1:84" ht="13.5" x14ac:dyDescent="0.15">
      <c r="A82" s="144" t="s">
        <v>228</v>
      </c>
      <c r="B82" s="144" t="s">
        <v>229</v>
      </c>
      <c r="C82" s="138" t="s">
        <v>68</v>
      </c>
      <c r="D82" s="138"/>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38"/>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v>2</v>
      </c>
      <c r="CD82" s="138">
        <v>6</v>
      </c>
      <c r="CE82" s="138"/>
      <c r="CF82" s="139">
        <v>8</v>
      </c>
    </row>
    <row r="83" spans="1:84" ht="13.5" x14ac:dyDescent="0.15">
      <c r="A83" s="144" t="s">
        <v>124</v>
      </c>
      <c r="B83" s="144" t="s">
        <v>125</v>
      </c>
      <c r="C83" s="138" t="s">
        <v>68</v>
      </c>
      <c r="D83" s="138"/>
      <c r="E83" s="138"/>
      <c r="F83" s="138"/>
      <c r="G83" s="138"/>
      <c r="H83" s="138"/>
      <c r="I83" s="138"/>
      <c r="J83" s="138"/>
      <c r="K83" s="138"/>
      <c r="L83" s="138"/>
      <c r="M83" s="138"/>
      <c r="N83" s="138"/>
      <c r="O83" s="138"/>
      <c r="P83" s="138"/>
      <c r="Q83" s="138"/>
      <c r="R83" s="138">
        <v>3</v>
      </c>
      <c r="S83" s="138"/>
      <c r="T83" s="138"/>
      <c r="U83" s="138"/>
      <c r="V83" s="138"/>
      <c r="W83" s="138"/>
      <c r="X83" s="138"/>
      <c r="Y83" s="138"/>
      <c r="Z83" s="138"/>
      <c r="AA83" s="138"/>
      <c r="AB83" s="138"/>
      <c r="AC83" s="138">
        <v>2</v>
      </c>
      <c r="AD83" s="138"/>
      <c r="AE83" s="138"/>
      <c r="AF83" s="138"/>
      <c r="AG83" s="138"/>
      <c r="AH83" s="138"/>
      <c r="AI83" s="138"/>
      <c r="AJ83" s="138"/>
      <c r="AK83" s="138">
        <v>5</v>
      </c>
      <c r="AL83" s="138"/>
      <c r="AM83" s="138"/>
      <c r="AN83" s="138"/>
      <c r="AO83" s="138"/>
      <c r="AP83" s="138"/>
      <c r="AQ83" s="138"/>
      <c r="AR83" s="138"/>
      <c r="AS83" s="138"/>
      <c r="AT83" s="138"/>
      <c r="AU83" s="138"/>
      <c r="AV83" s="138">
        <v>2</v>
      </c>
      <c r="AW83" s="138"/>
      <c r="AX83" s="138">
        <v>2</v>
      </c>
      <c r="AY83" s="138"/>
      <c r="AZ83" s="138"/>
      <c r="BA83" s="138"/>
      <c r="BB83" s="138">
        <v>2</v>
      </c>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v>9</v>
      </c>
      <c r="CE83" s="138"/>
      <c r="CF83" s="139">
        <v>25</v>
      </c>
    </row>
    <row r="84" spans="1:84" ht="13.5" x14ac:dyDescent="0.15">
      <c r="A84" s="144" t="s">
        <v>369</v>
      </c>
      <c r="B84" s="144" t="s">
        <v>370</v>
      </c>
      <c r="C84" s="138" t="s">
        <v>68</v>
      </c>
      <c r="D84" s="138"/>
      <c r="E84" s="138"/>
      <c r="F84" s="138">
        <v>3</v>
      </c>
      <c r="G84" s="138"/>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38"/>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v>2</v>
      </c>
      <c r="CD84" s="138"/>
      <c r="CE84" s="138">
        <v>3</v>
      </c>
      <c r="CF84" s="139">
        <v>8</v>
      </c>
    </row>
    <row r="85" spans="1:84" ht="13.5" x14ac:dyDescent="0.15">
      <c r="A85" s="144" t="s">
        <v>850</v>
      </c>
      <c r="B85" s="144" t="s">
        <v>851</v>
      </c>
      <c r="C85" s="138" t="s">
        <v>68</v>
      </c>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38"/>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v>10</v>
      </c>
      <c r="CB85" s="138"/>
      <c r="CC85" s="138"/>
      <c r="CD85" s="138"/>
      <c r="CE85" s="138">
        <v>5</v>
      </c>
      <c r="CF85" s="139">
        <v>15</v>
      </c>
    </row>
    <row r="86" spans="1:84" ht="13.5" x14ac:dyDescent="0.15">
      <c r="A86" s="144" t="s">
        <v>954</v>
      </c>
      <c r="B86" s="144" t="s">
        <v>955</v>
      </c>
      <c r="C86" s="138" t="s">
        <v>69</v>
      </c>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38"/>
      <c r="AG86" s="138"/>
      <c r="AH86" s="138">
        <v>1</v>
      </c>
      <c r="AI86" s="138"/>
      <c r="AJ86" s="138"/>
      <c r="AK86" s="138"/>
      <c r="AL86" s="138"/>
      <c r="AM86" s="138"/>
      <c r="AN86" s="138"/>
      <c r="AO86" s="138"/>
      <c r="AP86" s="138"/>
      <c r="AQ86" s="138"/>
      <c r="AR86" s="138"/>
      <c r="AS86" s="138"/>
      <c r="AT86" s="138"/>
      <c r="AU86" s="138"/>
      <c r="AV86" s="138">
        <v>1</v>
      </c>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9">
        <v>2</v>
      </c>
    </row>
    <row r="87" spans="1:84" ht="13.5" x14ac:dyDescent="0.15">
      <c r="A87" s="144" t="s">
        <v>744</v>
      </c>
      <c r="B87" s="144" t="s">
        <v>745</v>
      </c>
      <c r="C87" s="138" t="s">
        <v>68</v>
      </c>
      <c r="D87" s="138"/>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38"/>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v>3</v>
      </c>
      <c r="CF87" s="139">
        <v>3</v>
      </c>
    </row>
    <row r="88" spans="1:84" ht="13.5" x14ac:dyDescent="0.15">
      <c r="A88" s="144" t="s">
        <v>806</v>
      </c>
      <c r="B88" s="144" t="s">
        <v>810</v>
      </c>
      <c r="C88" s="138" t="s">
        <v>68</v>
      </c>
      <c r="D88" s="138"/>
      <c r="E88" s="138"/>
      <c r="F88" s="138"/>
      <c r="G88" s="138"/>
      <c r="H88" s="138"/>
      <c r="I88" s="138"/>
      <c r="J88" s="138"/>
      <c r="K88" s="138"/>
      <c r="L88" s="138"/>
      <c r="M88" s="138"/>
      <c r="N88" s="138"/>
      <c r="O88" s="138"/>
      <c r="P88" s="138"/>
      <c r="Q88" s="138"/>
      <c r="R88" s="138"/>
      <c r="S88" s="138"/>
      <c r="T88" s="138"/>
      <c r="U88" s="138">
        <v>6</v>
      </c>
      <c r="V88" s="138"/>
      <c r="W88" s="138"/>
      <c r="X88" s="138"/>
      <c r="Y88" s="138"/>
      <c r="Z88" s="138"/>
      <c r="AA88" s="138"/>
      <c r="AB88" s="138"/>
      <c r="AC88" s="138"/>
      <c r="AD88" s="138"/>
      <c r="AE88" s="138"/>
      <c r="AF88" s="138"/>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9">
        <v>6</v>
      </c>
    </row>
    <row r="89" spans="1:84" ht="13.5" x14ac:dyDescent="0.15">
      <c r="A89" s="144" t="s">
        <v>1008</v>
      </c>
      <c r="B89" s="144" t="s">
        <v>1009</v>
      </c>
      <c r="C89" s="138" t="s">
        <v>69</v>
      </c>
      <c r="D89" s="138"/>
      <c r="E89" s="138"/>
      <c r="F89" s="138"/>
      <c r="G89" s="138"/>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38"/>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c r="BY89" s="138"/>
      <c r="BZ89" s="138"/>
      <c r="CA89" s="138"/>
      <c r="CB89" s="138">
        <v>1</v>
      </c>
      <c r="CC89" s="138"/>
      <c r="CD89" s="138"/>
      <c r="CE89" s="138"/>
      <c r="CF89" s="139">
        <v>1</v>
      </c>
    </row>
    <row r="90" spans="1:84" ht="13.5" x14ac:dyDescent="0.15">
      <c r="A90" s="144" t="s">
        <v>762</v>
      </c>
      <c r="B90" s="144" t="s">
        <v>763</v>
      </c>
      <c r="C90" s="138" t="s">
        <v>69</v>
      </c>
      <c r="D90" s="138"/>
      <c r="E90" s="138"/>
      <c r="F90" s="138"/>
      <c r="G90" s="138">
        <v>1</v>
      </c>
      <c r="H90" s="138"/>
      <c r="I90" s="138">
        <v>1</v>
      </c>
      <c r="J90" s="138">
        <v>1</v>
      </c>
      <c r="K90" s="138">
        <v>2</v>
      </c>
      <c r="L90" s="138"/>
      <c r="M90" s="138"/>
      <c r="N90" s="138"/>
      <c r="O90" s="138"/>
      <c r="P90" s="138">
        <v>1</v>
      </c>
      <c r="Q90" s="138"/>
      <c r="R90" s="138">
        <v>1</v>
      </c>
      <c r="S90" s="138"/>
      <c r="T90" s="138"/>
      <c r="U90" s="138"/>
      <c r="V90" s="138">
        <v>1</v>
      </c>
      <c r="W90" s="138"/>
      <c r="X90" s="138">
        <v>1</v>
      </c>
      <c r="Y90" s="138"/>
      <c r="Z90" s="138">
        <v>1</v>
      </c>
      <c r="AA90" s="138"/>
      <c r="AB90" s="138"/>
      <c r="AC90" s="138">
        <v>1</v>
      </c>
      <c r="AD90" s="138"/>
      <c r="AE90" s="138"/>
      <c r="AF90" s="138"/>
      <c r="AG90" s="138"/>
      <c r="AH90" s="138"/>
      <c r="AI90" s="138"/>
      <c r="AJ90" s="138"/>
      <c r="AK90" s="138">
        <v>1</v>
      </c>
      <c r="AL90" s="138"/>
      <c r="AM90" s="138">
        <v>1</v>
      </c>
      <c r="AN90" s="138">
        <v>1</v>
      </c>
      <c r="AO90" s="138"/>
      <c r="AP90" s="138"/>
      <c r="AQ90" s="138"/>
      <c r="AR90" s="138"/>
      <c r="AS90" s="138">
        <v>1</v>
      </c>
      <c r="AT90" s="138"/>
      <c r="AU90" s="138"/>
      <c r="AV90" s="138"/>
      <c r="AW90" s="138">
        <v>1</v>
      </c>
      <c r="AX90" s="138">
        <v>2</v>
      </c>
      <c r="AY90" s="138">
        <v>1</v>
      </c>
      <c r="AZ90" s="138"/>
      <c r="BA90" s="138">
        <v>1</v>
      </c>
      <c r="BB90" s="138">
        <v>1</v>
      </c>
      <c r="BC90" s="138"/>
      <c r="BD90" s="138"/>
      <c r="BE90" s="138">
        <v>1</v>
      </c>
      <c r="BF90" s="138">
        <v>2</v>
      </c>
      <c r="BG90" s="138"/>
      <c r="BH90" s="138"/>
      <c r="BI90" s="138"/>
      <c r="BJ90" s="138"/>
      <c r="BK90" s="138"/>
      <c r="BL90" s="138"/>
      <c r="BM90" s="138"/>
      <c r="BN90" s="138"/>
      <c r="BO90" s="138"/>
      <c r="BP90" s="138"/>
      <c r="BQ90" s="138"/>
      <c r="BR90" s="138"/>
      <c r="BS90" s="138"/>
      <c r="BT90" s="138"/>
      <c r="BU90" s="138"/>
      <c r="BV90" s="138">
        <v>1</v>
      </c>
      <c r="BW90" s="138"/>
      <c r="BX90" s="138"/>
      <c r="BY90" s="138"/>
      <c r="BZ90" s="138"/>
      <c r="CA90" s="138"/>
      <c r="CB90" s="138"/>
      <c r="CC90" s="138"/>
      <c r="CD90" s="138"/>
      <c r="CE90" s="138"/>
      <c r="CF90" s="139">
        <v>25</v>
      </c>
    </row>
    <row r="91" spans="1:84" ht="13.5" x14ac:dyDescent="0.15">
      <c r="A91" s="144" t="s">
        <v>1021</v>
      </c>
      <c r="B91" s="144" t="s">
        <v>1022</v>
      </c>
      <c r="C91" s="138" t="s">
        <v>68</v>
      </c>
      <c r="D91" s="138"/>
      <c r="E91" s="138"/>
      <c r="F91" s="138"/>
      <c r="G91" s="138"/>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38"/>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v>5</v>
      </c>
      <c r="CB91" s="138"/>
      <c r="CC91" s="138"/>
      <c r="CD91" s="138"/>
      <c r="CE91" s="138"/>
      <c r="CF91" s="139">
        <v>5</v>
      </c>
    </row>
    <row r="92" spans="1:84" ht="13.5" x14ac:dyDescent="0.15">
      <c r="A92" s="144" t="s">
        <v>575</v>
      </c>
      <c r="B92" s="144" t="s">
        <v>576</v>
      </c>
      <c r="C92" s="138" t="s">
        <v>68</v>
      </c>
      <c r="D92" s="138">
        <v>2</v>
      </c>
      <c r="E92" s="138">
        <v>2</v>
      </c>
      <c r="F92" s="138">
        <v>5</v>
      </c>
      <c r="G92" s="138"/>
      <c r="H92" s="138"/>
      <c r="I92" s="138">
        <v>6</v>
      </c>
      <c r="J92" s="138">
        <v>4</v>
      </c>
      <c r="K92" s="138">
        <v>5</v>
      </c>
      <c r="L92" s="138"/>
      <c r="M92" s="138">
        <v>4</v>
      </c>
      <c r="N92" s="138">
        <v>3</v>
      </c>
      <c r="O92" s="138"/>
      <c r="P92" s="138"/>
      <c r="Q92" s="138">
        <v>2</v>
      </c>
      <c r="R92" s="138">
        <v>3</v>
      </c>
      <c r="S92" s="138">
        <v>4</v>
      </c>
      <c r="T92" s="138">
        <v>2</v>
      </c>
      <c r="U92" s="138"/>
      <c r="V92" s="138"/>
      <c r="W92" s="138">
        <v>2</v>
      </c>
      <c r="X92" s="138">
        <v>2</v>
      </c>
      <c r="Y92" s="138">
        <v>2</v>
      </c>
      <c r="Z92" s="138"/>
      <c r="AA92" s="138">
        <v>3</v>
      </c>
      <c r="AB92" s="138">
        <v>3</v>
      </c>
      <c r="AC92" s="138">
        <v>3</v>
      </c>
      <c r="AD92" s="138"/>
      <c r="AE92" s="138"/>
      <c r="AF92" s="138">
        <v>7</v>
      </c>
      <c r="AG92" s="138"/>
      <c r="AH92" s="138"/>
      <c r="AI92" s="138"/>
      <c r="AJ92" s="138">
        <v>2</v>
      </c>
      <c r="AK92" s="138">
        <v>5</v>
      </c>
      <c r="AL92" s="138">
        <v>2</v>
      </c>
      <c r="AM92" s="138">
        <v>2</v>
      </c>
      <c r="AN92" s="138">
        <v>2</v>
      </c>
      <c r="AO92" s="138">
        <v>1</v>
      </c>
      <c r="AP92" s="138"/>
      <c r="AQ92" s="138"/>
      <c r="AR92" s="138">
        <v>2</v>
      </c>
      <c r="AS92" s="138">
        <v>4</v>
      </c>
      <c r="AT92" s="138">
        <v>1</v>
      </c>
      <c r="AU92" s="138">
        <v>4</v>
      </c>
      <c r="AV92" s="138"/>
      <c r="AW92" s="138"/>
      <c r="AX92" s="138">
        <v>3</v>
      </c>
      <c r="AY92" s="138">
        <v>4</v>
      </c>
      <c r="AZ92" s="138">
        <v>2</v>
      </c>
      <c r="BA92" s="138">
        <v>2</v>
      </c>
      <c r="BB92" s="138">
        <v>3</v>
      </c>
      <c r="BC92" s="138"/>
      <c r="BD92" s="138">
        <v>4</v>
      </c>
      <c r="BE92" s="138">
        <v>1</v>
      </c>
      <c r="BF92" s="138">
        <v>3</v>
      </c>
      <c r="BG92" s="138"/>
      <c r="BH92" s="138"/>
      <c r="BI92" s="138">
        <v>10</v>
      </c>
      <c r="BJ92" s="138"/>
      <c r="BK92" s="138"/>
      <c r="BL92" s="138"/>
      <c r="BM92" s="138"/>
      <c r="BN92" s="138"/>
      <c r="BO92" s="138"/>
      <c r="BP92" s="138"/>
      <c r="BQ92" s="138"/>
      <c r="BR92" s="138"/>
      <c r="BS92" s="138"/>
      <c r="BT92" s="138"/>
      <c r="BU92" s="138"/>
      <c r="BV92" s="138"/>
      <c r="BW92" s="138"/>
      <c r="BX92" s="138">
        <v>6</v>
      </c>
      <c r="BY92" s="138">
        <v>2</v>
      </c>
      <c r="BZ92" s="138"/>
      <c r="CA92" s="138"/>
      <c r="CB92" s="138"/>
      <c r="CC92" s="138">
        <v>20</v>
      </c>
      <c r="CD92" s="138"/>
      <c r="CE92" s="138">
        <v>8</v>
      </c>
      <c r="CF92" s="139">
        <v>157</v>
      </c>
    </row>
    <row r="93" spans="1:84" ht="13.5" x14ac:dyDescent="0.15">
      <c r="A93" s="144" t="s">
        <v>604</v>
      </c>
      <c r="B93" s="144" t="s">
        <v>605</v>
      </c>
      <c r="C93" s="138" t="s">
        <v>69</v>
      </c>
      <c r="D93" s="138"/>
      <c r="E93" s="138"/>
      <c r="F93" s="138"/>
      <c r="G93" s="138"/>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38"/>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v>2</v>
      </c>
      <c r="CC93" s="138"/>
      <c r="CD93" s="138"/>
      <c r="CE93" s="138"/>
      <c r="CF93" s="139">
        <v>2</v>
      </c>
    </row>
    <row r="94" spans="1:84" ht="13.5" x14ac:dyDescent="0.15">
      <c r="A94" s="144" t="s">
        <v>818</v>
      </c>
      <c r="B94" s="144" t="s">
        <v>819</v>
      </c>
      <c r="C94" s="138" t="s">
        <v>68</v>
      </c>
      <c r="D94" s="138">
        <v>8</v>
      </c>
      <c r="E94" s="138"/>
      <c r="F94" s="138"/>
      <c r="G94" s="138"/>
      <c r="H94" s="138"/>
      <c r="I94" s="138"/>
      <c r="J94" s="138">
        <v>8</v>
      </c>
      <c r="K94" s="138"/>
      <c r="L94" s="138"/>
      <c r="M94" s="138"/>
      <c r="N94" s="138"/>
      <c r="O94" s="138"/>
      <c r="P94" s="138"/>
      <c r="Q94" s="138"/>
      <c r="R94" s="138"/>
      <c r="S94" s="138"/>
      <c r="T94" s="138">
        <v>6</v>
      </c>
      <c r="U94" s="138"/>
      <c r="V94" s="138"/>
      <c r="W94" s="138"/>
      <c r="X94" s="138"/>
      <c r="Y94" s="138"/>
      <c r="Z94" s="138"/>
      <c r="AA94" s="138"/>
      <c r="AB94" s="138"/>
      <c r="AC94" s="138"/>
      <c r="AD94" s="138">
        <v>8</v>
      </c>
      <c r="AE94" s="138"/>
      <c r="AF94" s="138"/>
      <c r="AG94" s="138"/>
      <c r="AH94" s="138"/>
      <c r="AI94" s="138">
        <v>1</v>
      </c>
      <c r="AJ94" s="138"/>
      <c r="AK94" s="138">
        <v>10</v>
      </c>
      <c r="AL94" s="138"/>
      <c r="AM94" s="138">
        <v>2</v>
      </c>
      <c r="AN94" s="138"/>
      <c r="AO94" s="138">
        <v>4</v>
      </c>
      <c r="AP94" s="138"/>
      <c r="AQ94" s="138"/>
      <c r="AR94" s="138"/>
      <c r="AS94" s="138"/>
      <c r="AT94" s="138"/>
      <c r="AU94" s="138">
        <v>4</v>
      </c>
      <c r="AV94" s="138"/>
      <c r="AW94" s="138"/>
      <c r="AX94" s="138"/>
      <c r="AY94" s="138"/>
      <c r="AZ94" s="138">
        <v>8</v>
      </c>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v>8</v>
      </c>
      <c r="CB94" s="138"/>
      <c r="CC94" s="138"/>
      <c r="CD94" s="138">
        <v>4</v>
      </c>
      <c r="CE94" s="138"/>
      <c r="CF94" s="139">
        <v>71</v>
      </c>
    </row>
    <row r="95" spans="1:84" ht="13.5" x14ac:dyDescent="0.15">
      <c r="A95" s="144" t="s">
        <v>660</v>
      </c>
      <c r="B95" s="144" t="s">
        <v>661</v>
      </c>
      <c r="C95" s="138" t="s">
        <v>68</v>
      </c>
      <c r="D95" s="138">
        <v>2</v>
      </c>
      <c r="E95" s="138"/>
      <c r="F95" s="138"/>
      <c r="G95" s="138"/>
      <c r="H95" s="138"/>
      <c r="I95" s="138">
        <v>6</v>
      </c>
      <c r="J95" s="138">
        <v>5</v>
      </c>
      <c r="K95" s="138">
        <v>5</v>
      </c>
      <c r="L95" s="138"/>
      <c r="M95" s="138">
        <v>6</v>
      </c>
      <c r="N95" s="138"/>
      <c r="O95" s="138">
        <v>3</v>
      </c>
      <c r="P95" s="138">
        <v>2</v>
      </c>
      <c r="Q95" s="138">
        <v>2</v>
      </c>
      <c r="R95" s="138">
        <v>3</v>
      </c>
      <c r="S95" s="138"/>
      <c r="T95" s="138"/>
      <c r="U95" s="138">
        <v>2</v>
      </c>
      <c r="V95" s="138"/>
      <c r="W95" s="138">
        <v>2</v>
      </c>
      <c r="X95" s="138">
        <v>2</v>
      </c>
      <c r="Y95" s="138"/>
      <c r="Z95" s="138">
        <v>2</v>
      </c>
      <c r="AA95" s="138">
        <v>3</v>
      </c>
      <c r="AB95" s="138">
        <v>3</v>
      </c>
      <c r="AC95" s="138">
        <v>4</v>
      </c>
      <c r="AD95" s="138">
        <v>2</v>
      </c>
      <c r="AE95" s="138"/>
      <c r="AF95" s="138">
        <v>4</v>
      </c>
      <c r="AG95" s="138">
        <v>3</v>
      </c>
      <c r="AH95" s="138">
        <v>5</v>
      </c>
      <c r="AI95" s="138">
        <v>2</v>
      </c>
      <c r="AJ95" s="138">
        <v>3</v>
      </c>
      <c r="AK95" s="138">
        <v>5</v>
      </c>
      <c r="AL95" s="138"/>
      <c r="AM95" s="138">
        <v>2</v>
      </c>
      <c r="AN95" s="138">
        <v>2</v>
      </c>
      <c r="AO95" s="138">
        <v>2</v>
      </c>
      <c r="AP95" s="138">
        <v>5</v>
      </c>
      <c r="AQ95" s="138"/>
      <c r="AR95" s="138"/>
      <c r="AS95" s="138">
        <v>2</v>
      </c>
      <c r="AT95" s="138">
        <v>1</v>
      </c>
      <c r="AU95" s="138">
        <v>4</v>
      </c>
      <c r="AV95" s="138"/>
      <c r="AW95" s="138"/>
      <c r="AX95" s="138">
        <v>4</v>
      </c>
      <c r="AY95" s="138">
        <v>4</v>
      </c>
      <c r="AZ95" s="138">
        <v>2</v>
      </c>
      <c r="BA95" s="138">
        <v>2</v>
      </c>
      <c r="BB95" s="138">
        <v>4</v>
      </c>
      <c r="BC95" s="138"/>
      <c r="BD95" s="138">
        <v>2</v>
      </c>
      <c r="BE95" s="138">
        <v>1</v>
      </c>
      <c r="BF95" s="138">
        <v>3</v>
      </c>
      <c r="BG95" s="138">
        <v>2</v>
      </c>
      <c r="BH95" s="138"/>
      <c r="BI95" s="138">
        <v>10</v>
      </c>
      <c r="BJ95" s="138"/>
      <c r="BK95" s="138"/>
      <c r="BL95" s="138"/>
      <c r="BM95" s="138"/>
      <c r="BN95" s="138"/>
      <c r="BO95" s="138"/>
      <c r="BP95" s="138"/>
      <c r="BQ95" s="138"/>
      <c r="BR95" s="138"/>
      <c r="BS95" s="138"/>
      <c r="BT95" s="138"/>
      <c r="BU95" s="138"/>
      <c r="BV95" s="138">
        <v>4</v>
      </c>
      <c r="BW95" s="138"/>
      <c r="BX95" s="138"/>
      <c r="BY95" s="138"/>
      <c r="BZ95" s="138"/>
      <c r="CA95" s="138"/>
      <c r="CB95" s="138"/>
      <c r="CC95" s="138"/>
      <c r="CD95" s="138">
        <v>2</v>
      </c>
      <c r="CE95" s="138">
        <v>8</v>
      </c>
      <c r="CF95" s="139">
        <v>142</v>
      </c>
    </row>
    <row r="96" spans="1:84" ht="13.5" x14ac:dyDescent="0.15">
      <c r="A96" s="144" t="s">
        <v>1023</v>
      </c>
      <c r="B96" s="144" t="s">
        <v>1024</v>
      </c>
      <c r="C96" s="138" t="s">
        <v>68</v>
      </c>
      <c r="D96" s="138"/>
      <c r="E96" s="138"/>
      <c r="F96" s="138"/>
      <c r="G96" s="138"/>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38"/>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v>5</v>
      </c>
      <c r="CB96" s="138"/>
      <c r="CC96" s="138"/>
      <c r="CD96" s="138"/>
      <c r="CE96" s="138"/>
      <c r="CF96" s="139">
        <v>5</v>
      </c>
    </row>
    <row r="97" spans="1:84" ht="13.5" x14ac:dyDescent="0.15">
      <c r="A97" s="144" t="s">
        <v>690</v>
      </c>
      <c r="B97" s="144" t="s">
        <v>691</v>
      </c>
      <c r="C97" s="138" t="s">
        <v>69</v>
      </c>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v>1</v>
      </c>
      <c r="CC97" s="138"/>
      <c r="CD97" s="138"/>
      <c r="CE97" s="138"/>
      <c r="CF97" s="139">
        <v>1</v>
      </c>
    </row>
    <row r="98" spans="1:84" ht="13.5" x14ac:dyDescent="0.15">
      <c r="A98" s="144" t="s">
        <v>712</v>
      </c>
      <c r="B98" s="144" t="s">
        <v>782</v>
      </c>
      <c r="C98" s="138" t="s">
        <v>68</v>
      </c>
      <c r="D98" s="138">
        <v>8</v>
      </c>
      <c r="E98" s="138">
        <v>5</v>
      </c>
      <c r="F98" s="138">
        <v>25</v>
      </c>
      <c r="G98" s="138"/>
      <c r="H98" s="138">
        <v>6</v>
      </c>
      <c r="I98" s="138">
        <v>40</v>
      </c>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38"/>
      <c r="AG98" s="138"/>
      <c r="AH98" s="138"/>
      <c r="AI98" s="138"/>
      <c r="AJ98" s="138"/>
      <c r="AK98" s="138">
        <v>15</v>
      </c>
      <c r="AL98" s="138"/>
      <c r="AM98" s="138"/>
      <c r="AN98" s="138"/>
      <c r="AO98" s="138">
        <v>6</v>
      </c>
      <c r="AP98" s="138"/>
      <c r="AQ98" s="138"/>
      <c r="AR98" s="138"/>
      <c r="AS98" s="138"/>
      <c r="AT98" s="138"/>
      <c r="AU98" s="138"/>
      <c r="AV98" s="138"/>
      <c r="AW98" s="138"/>
      <c r="AX98" s="138"/>
      <c r="AY98" s="138"/>
      <c r="AZ98" s="138">
        <v>6</v>
      </c>
      <c r="BA98" s="138"/>
      <c r="BB98" s="138"/>
      <c r="BC98" s="138"/>
      <c r="BD98" s="138"/>
      <c r="BE98" s="138"/>
      <c r="BF98" s="138"/>
      <c r="BG98" s="138"/>
      <c r="BH98" s="138"/>
      <c r="BI98" s="138"/>
      <c r="BJ98" s="138"/>
      <c r="BK98" s="138"/>
      <c r="BL98" s="138"/>
      <c r="BM98" s="138"/>
      <c r="BN98" s="138"/>
      <c r="BO98" s="138"/>
      <c r="BP98" s="138"/>
      <c r="BQ98" s="138"/>
      <c r="BR98" s="138"/>
      <c r="BS98" s="138"/>
      <c r="BT98" s="138"/>
      <c r="BU98" s="138"/>
      <c r="BV98" s="138"/>
      <c r="BW98" s="138"/>
      <c r="BX98" s="138">
        <v>15</v>
      </c>
      <c r="BY98" s="138"/>
      <c r="BZ98" s="138"/>
      <c r="CA98" s="138"/>
      <c r="CB98" s="138"/>
      <c r="CC98" s="138">
        <v>20</v>
      </c>
      <c r="CD98" s="138"/>
      <c r="CE98" s="138">
        <v>6</v>
      </c>
      <c r="CF98" s="139">
        <v>152</v>
      </c>
    </row>
    <row r="99" spans="1:84" ht="13.5" x14ac:dyDescent="0.15">
      <c r="A99" s="144" t="s">
        <v>746</v>
      </c>
      <c r="B99" s="144" t="s">
        <v>747</v>
      </c>
      <c r="C99" s="138" t="s">
        <v>68</v>
      </c>
      <c r="D99" s="138"/>
      <c r="E99" s="138">
        <v>4</v>
      </c>
      <c r="F99" s="138"/>
      <c r="G99" s="138"/>
      <c r="H99" s="138"/>
      <c r="I99" s="138"/>
      <c r="J99" s="138"/>
      <c r="K99" s="138"/>
      <c r="L99" s="138"/>
      <c r="M99" s="138"/>
      <c r="N99" s="138"/>
      <c r="O99" s="138"/>
      <c r="P99" s="138">
        <v>2</v>
      </c>
      <c r="Q99" s="138"/>
      <c r="R99" s="138"/>
      <c r="S99" s="138">
        <v>6</v>
      </c>
      <c r="T99" s="138">
        <v>2</v>
      </c>
      <c r="U99" s="138"/>
      <c r="V99" s="138"/>
      <c r="W99" s="138"/>
      <c r="X99" s="138">
        <v>4</v>
      </c>
      <c r="Y99" s="138"/>
      <c r="Z99" s="138"/>
      <c r="AA99" s="138"/>
      <c r="AB99" s="138">
        <v>4</v>
      </c>
      <c r="AC99" s="138"/>
      <c r="AD99" s="138">
        <v>4</v>
      </c>
      <c r="AE99" s="138"/>
      <c r="AF99" s="138"/>
      <c r="AG99" s="138"/>
      <c r="AH99" s="138">
        <v>10</v>
      </c>
      <c r="AI99" s="138"/>
      <c r="AJ99" s="138"/>
      <c r="AK99" s="138"/>
      <c r="AL99" s="138"/>
      <c r="AM99" s="138">
        <v>5</v>
      </c>
      <c r="AN99" s="138"/>
      <c r="AO99" s="138"/>
      <c r="AP99" s="138"/>
      <c r="AQ99" s="138"/>
      <c r="AR99" s="138"/>
      <c r="AS99" s="138"/>
      <c r="AT99" s="138"/>
      <c r="AU99" s="138">
        <v>6</v>
      </c>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c r="BS99" s="138"/>
      <c r="BT99" s="138"/>
      <c r="BU99" s="138"/>
      <c r="BV99" s="138"/>
      <c r="BW99" s="138"/>
      <c r="BX99" s="138"/>
      <c r="BY99" s="138"/>
      <c r="BZ99" s="138"/>
      <c r="CA99" s="138"/>
      <c r="CB99" s="138"/>
      <c r="CC99" s="138"/>
      <c r="CD99" s="138"/>
      <c r="CE99" s="138"/>
      <c r="CF99" s="139">
        <v>47</v>
      </c>
    </row>
    <row r="100" spans="1:84" ht="13.5" x14ac:dyDescent="0.15">
      <c r="A100" s="144" t="s">
        <v>189</v>
      </c>
      <c r="B100" s="144" t="s">
        <v>190</v>
      </c>
      <c r="C100" s="138" t="s">
        <v>68</v>
      </c>
      <c r="D100" s="138">
        <v>3</v>
      </c>
      <c r="E100" s="138"/>
      <c r="F100" s="138"/>
      <c r="G100" s="138">
        <v>6</v>
      </c>
      <c r="H100" s="138">
        <v>2</v>
      </c>
      <c r="I100" s="138">
        <v>12</v>
      </c>
      <c r="J100" s="138">
        <v>15</v>
      </c>
      <c r="K100" s="138">
        <v>10</v>
      </c>
      <c r="L100" s="138">
        <v>5</v>
      </c>
      <c r="M100" s="138">
        <v>10</v>
      </c>
      <c r="N100" s="138">
        <v>3</v>
      </c>
      <c r="O100" s="138">
        <v>8</v>
      </c>
      <c r="P100" s="138"/>
      <c r="Q100" s="138"/>
      <c r="R100" s="138">
        <v>6</v>
      </c>
      <c r="S100" s="138"/>
      <c r="T100" s="138"/>
      <c r="U100" s="138">
        <v>4</v>
      </c>
      <c r="V100" s="138">
        <v>6</v>
      </c>
      <c r="W100" s="138">
        <v>4</v>
      </c>
      <c r="X100" s="138"/>
      <c r="Y100" s="138">
        <v>3</v>
      </c>
      <c r="Z100" s="138">
        <v>3</v>
      </c>
      <c r="AA100" s="138">
        <v>6</v>
      </c>
      <c r="AB100" s="138"/>
      <c r="AC100" s="138">
        <v>5</v>
      </c>
      <c r="AD100" s="138"/>
      <c r="AE100" s="138"/>
      <c r="AF100" s="138">
        <v>8</v>
      </c>
      <c r="AG100" s="138">
        <v>8</v>
      </c>
      <c r="AH100" s="138">
        <v>10</v>
      </c>
      <c r="AI100" s="138">
        <v>8</v>
      </c>
      <c r="AJ100" s="138"/>
      <c r="AK100" s="138">
        <v>15</v>
      </c>
      <c r="AL100" s="138">
        <v>4</v>
      </c>
      <c r="AM100" s="138"/>
      <c r="AN100" s="138">
        <v>6</v>
      </c>
      <c r="AO100" s="138">
        <v>2</v>
      </c>
      <c r="AP100" s="138">
        <v>10</v>
      </c>
      <c r="AQ100" s="138"/>
      <c r="AR100" s="138">
        <v>3</v>
      </c>
      <c r="AS100" s="138">
        <v>4</v>
      </c>
      <c r="AT100" s="138"/>
      <c r="AU100" s="138"/>
      <c r="AV100" s="138">
        <v>8</v>
      </c>
      <c r="AW100" s="138">
        <v>10</v>
      </c>
      <c r="AX100" s="138">
        <v>7</v>
      </c>
      <c r="AY100" s="138">
        <v>6</v>
      </c>
      <c r="AZ100" s="138">
        <v>2</v>
      </c>
      <c r="BA100" s="138"/>
      <c r="BB100" s="138">
        <v>4</v>
      </c>
      <c r="BC100" s="138"/>
      <c r="BD100" s="138">
        <v>4</v>
      </c>
      <c r="BE100" s="138">
        <v>2</v>
      </c>
      <c r="BF100" s="138">
        <v>10</v>
      </c>
      <c r="BG100" s="138">
        <v>2</v>
      </c>
      <c r="BH100" s="138">
        <v>30</v>
      </c>
      <c r="BI100" s="138"/>
      <c r="BJ100" s="138"/>
      <c r="BK100" s="138"/>
      <c r="BL100" s="138"/>
      <c r="BM100" s="138"/>
      <c r="BN100" s="138"/>
      <c r="BO100" s="138"/>
      <c r="BP100" s="138"/>
      <c r="BQ100" s="138"/>
      <c r="BR100" s="138"/>
      <c r="BS100" s="138"/>
      <c r="BT100" s="138"/>
      <c r="BU100" s="138"/>
      <c r="BV100" s="138">
        <v>6</v>
      </c>
      <c r="BW100" s="138">
        <v>4</v>
      </c>
      <c r="BX100" s="138">
        <v>10</v>
      </c>
      <c r="BY100" s="138">
        <v>3</v>
      </c>
      <c r="BZ100" s="138"/>
      <c r="CA100" s="138">
        <v>10</v>
      </c>
      <c r="CB100" s="138"/>
      <c r="CC100" s="138"/>
      <c r="CD100" s="138"/>
      <c r="CE100" s="138">
        <v>5</v>
      </c>
      <c r="CF100" s="139">
        <v>312</v>
      </c>
    </row>
    <row r="101" spans="1:84" ht="13.5" x14ac:dyDescent="0.15">
      <c r="A101" s="144" t="s">
        <v>748</v>
      </c>
      <c r="B101" s="144" t="s">
        <v>749</v>
      </c>
      <c r="C101" s="138" t="s">
        <v>68</v>
      </c>
      <c r="D101" s="138"/>
      <c r="E101" s="138"/>
      <c r="F101" s="138"/>
      <c r="G101" s="138"/>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38"/>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c r="BZ101" s="138"/>
      <c r="CA101" s="138"/>
      <c r="CB101" s="138"/>
      <c r="CC101" s="138">
        <v>30</v>
      </c>
      <c r="CD101" s="138"/>
      <c r="CE101" s="138"/>
      <c r="CF101" s="139">
        <v>30</v>
      </c>
    </row>
    <row r="102" spans="1:84" ht="13.5" x14ac:dyDescent="0.15">
      <c r="A102" s="144" t="s">
        <v>582</v>
      </c>
      <c r="B102" s="144" t="s">
        <v>583</v>
      </c>
      <c r="C102" s="138" t="s">
        <v>68</v>
      </c>
      <c r="D102" s="138"/>
      <c r="E102" s="138"/>
      <c r="F102" s="138"/>
      <c r="G102" s="138">
        <v>2</v>
      </c>
      <c r="H102" s="138"/>
      <c r="I102" s="138"/>
      <c r="J102" s="138"/>
      <c r="K102" s="138"/>
      <c r="L102" s="138">
        <v>3</v>
      </c>
      <c r="M102" s="138"/>
      <c r="N102" s="138"/>
      <c r="O102" s="138"/>
      <c r="P102" s="138"/>
      <c r="Q102" s="138"/>
      <c r="R102" s="138"/>
      <c r="S102" s="138"/>
      <c r="T102" s="138"/>
      <c r="U102" s="138"/>
      <c r="V102" s="138"/>
      <c r="W102" s="138">
        <v>2</v>
      </c>
      <c r="X102" s="138"/>
      <c r="Y102" s="138"/>
      <c r="Z102" s="138"/>
      <c r="AA102" s="138">
        <v>3</v>
      </c>
      <c r="AB102" s="138"/>
      <c r="AC102" s="138"/>
      <c r="AD102" s="138"/>
      <c r="AE102" s="138">
        <v>2</v>
      </c>
      <c r="AF102" s="138">
        <v>2</v>
      </c>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v>2</v>
      </c>
      <c r="BB102" s="138"/>
      <c r="BC102" s="138"/>
      <c r="BD102" s="138"/>
      <c r="BE102" s="138"/>
      <c r="BF102" s="138">
        <v>2</v>
      </c>
      <c r="BG102" s="138">
        <v>2</v>
      </c>
      <c r="BH102" s="138"/>
      <c r="BI102" s="138"/>
      <c r="BJ102" s="138"/>
      <c r="BK102" s="138"/>
      <c r="BL102" s="138"/>
      <c r="BM102" s="138"/>
      <c r="BN102" s="138"/>
      <c r="BO102" s="138"/>
      <c r="BP102" s="138"/>
      <c r="BQ102" s="138"/>
      <c r="BR102" s="138"/>
      <c r="BS102" s="138"/>
      <c r="BT102" s="138"/>
      <c r="BU102" s="138"/>
      <c r="BV102" s="138"/>
      <c r="BW102" s="138"/>
      <c r="BX102" s="138"/>
      <c r="BY102" s="138"/>
      <c r="BZ102" s="138"/>
      <c r="CA102" s="138">
        <v>7</v>
      </c>
      <c r="CB102" s="138"/>
      <c r="CC102" s="138"/>
      <c r="CD102" s="138"/>
      <c r="CE102" s="138">
        <v>3</v>
      </c>
      <c r="CF102" s="139">
        <v>30</v>
      </c>
    </row>
    <row r="103" spans="1:84" ht="13.5" x14ac:dyDescent="0.15">
      <c r="A103" s="144" t="s">
        <v>750</v>
      </c>
      <c r="B103" s="144" t="s">
        <v>751</v>
      </c>
      <c r="C103" s="138" t="s">
        <v>68</v>
      </c>
      <c r="D103" s="138"/>
      <c r="E103" s="138">
        <v>3</v>
      </c>
      <c r="F103" s="138"/>
      <c r="G103" s="138"/>
      <c r="H103" s="138"/>
      <c r="I103" s="138">
        <v>4</v>
      </c>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38"/>
      <c r="AG103" s="138"/>
      <c r="AH103" s="138"/>
      <c r="AI103" s="138"/>
      <c r="AJ103" s="138"/>
      <c r="AK103" s="138"/>
      <c r="AL103" s="138"/>
      <c r="AM103" s="138"/>
      <c r="AN103" s="138"/>
      <c r="AO103" s="138"/>
      <c r="AP103" s="138"/>
      <c r="AQ103" s="138"/>
      <c r="AR103" s="138"/>
      <c r="AS103" s="138"/>
      <c r="AT103" s="138">
        <v>1</v>
      </c>
      <c r="AU103" s="138"/>
      <c r="AV103" s="138"/>
      <c r="AW103" s="138"/>
      <c r="AX103" s="138"/>
      <c r="AY103" s="138"/>
      <c r="AZ103" s="138"/>
      <c r="BA103" s="138"/>
      <c r="BB103" s="138">
        <v>2</v>
      </c>
      <c r="BC103" s="138"/>
      <c r="BD103" s="138"/>
      <c r="BE103" s="138"/>
      <c r="BF103" s="138">
        <v>3</v>
      </c>
      <c r="BG103" s="138"/>
      <c r="BH103" s="138"/>
      <c r="BI103" s="138"/>
      <c r="BJ103" s="138"/>
      <c r="BK103" s="138"/>
      <c r="BL103" s="138"/>
      <c r="BM103" s="138"/>
      <c r="BN103" s="138"/>
      <c r="BO103" s="138"/>
      <c r="BP103" s="138"/>
      <c r="BQ103" s="138"/>
      <c r="BR103" s="138">
        <v>3</v>
      </c>
      <c r="BS103" s="138"/>
      <c r="BT103" s="138"/>
      <c r="BU103" s="138"/>
      <c r="BV103" s="138"/>
      <c r="BW103" s="138"/>
      <c r="BX103" s="138"/>
      <c r="BY103" s="138"/>
      <c r="BZ103" s="138"/>
      <c r="CA103" s="138"/>
      <c r="CB103" s="138"/>
      <c r="CC103" s="138"/>
      <c r="CD103" s="138"/>
      <c r="CE103" s="138"/>
      <c r="CF103" s="139">
        <v>16</v>
      </c>
    </row>
    <row r="104" spans="1:84" ht="13.5" x14ac:dyDescent="0.15">
      <c r="A104" s="144" t="s">
        <v>752</v>
      </c>
      <c r="B104" s="144" t="s">
        <v>753</v>
      </c>
      <c r="C104" s="138" t="s">
        <v>68</v>
      </c>
      <c r="D104" s="138"/>
      <c r="E104" s="138"/>
      <c r="F104" s="138"/>
      <c r="G104" s="138"/>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38"/>
      <c r="AG104" s="138"/>
      <c r="AH104" s="138"/>
      <c r="AI104" s="138"/>
      <c r="AJ104" s="138"/>
      <c r="AK104" s="138"/>
      <c r="AL104" s="138"/>
      <c r="AM104" s="138"/>
      <c r="AN104" s="138"/>
      <c r="AO104" s="138"/>
      <c r="AP104" s="138"/>
      <c r="AQ104" s="138"/>
      <c r="AR104" s="138"/>
      <c r="AS104" s="138"/>
      <c r="AT104" s="138">
        <v>1</v>
      </c>
      <c r="AU104" s="138"/>
      <c r="AV104" s="138"/>
      <c r="AW104" s="138"/>
      <c r="AX104" s="138"/>
      <c r="AY104" s="138"/>
      <c r="AZ104" s="138"/>
      <c r="BA104" s="138"/>
      <c r="BB104" s="138"/>
      <c r="BC104" s="138"/>
      <c r="BD104" s="138"/>
      <c r="BE104" s="138"/>
      <c r="BF104" s="138">
        <v>3</v>
      </c>
      <c r="BG104" s="138"/>
      <c r="BH104" s="138"/>
      <c r="BI104" s="138"/>
      <c r="BJ104" s="138"/>
      <c r="BK104" s="138"/>
      <c r="BL104" s="138"/>
      <c r="BM104" s="138"/>
      <c r="BN104" s="138"/>
      <c r="BO104" s="138"/>
      <c r="BP104" s="138"/>
      <c r="BQ104" s="138"/>
      <c r="BR104" s="138">
        <v>3</v>
      </c>
      <c r="BS104" s="138"/>
      <c r="BT104" s="138"/>
      <c r="BU104" s="138"/>
      <c r="BV104" s="138"/>
      <c r="BW104" s="138"/>
      <c r="BX104" s="138"/>
      <c r="BY104" s="138"/>
      <c r="BZ104" s="138"/>
      <c r="CA104" s="138"/>
      <c r="CB104" s="138"/>
      <c r="CC104" s="138"/>
      <c r="CD104" s="138">
        <v>4</v>
      </c>
      <c r="CE104" s="138"/>
      <c r="CF104" s="139">
        <v>11</v>
      </c>
    </row>
    <row r="105" spans="1:84" ht="13.5" x14ac:dyDescent="0.15">
      <c r="A105" s="144" t="s">
        <v>865</v>
      </c>
      <c r="B105" s="144" t="s">
        <v>866</v>
      </c>
      <c r="C105" s="138" t="s">
        <v>68</v>
      </c>
      <c r="D105" s="138"/>
      <c r="E105" s="138"/>
      <c r="F105" s="138"/>
      <c r="G105" s="138"/>
      <c r="H105" s="138"/>
      <c r="I105" s="138"/>
      <c r="J105" s="138"/>
      <c r="K105" s="138">
        <v>5</v>
      </c>
      <c r="L105" s="138"/>
      <c r="M105" s="138"/>
      <c r="N105" s="138"/>
      <c r="O105" s="138">
        <v>3</v>
      </c>
      <c r="P105" s="138"/>
      <c r="Q105" s="138"/>
      <c r="R105" s="138"/>
      <c r="S105" s="138">
        <v>3</v>
      </c>
      <c r="T105" s="138"/>
      <c r="U105" s="138">
        <v>2</v>
      </c>
      <c r="V105" s="138"/>
      <c r="W105" s="138"/>
      <c r="X105" s="138"/>
      <c r="Y105" s="138"/>
      <c r="Z105" s="138"/>
      <c r="AA105" s="138"/>
      <c r="AB105" s="138"/>
      <c r="AC105" s="138"/>
      <c r="AD105" s="138"/>
      <c r="AE105" s="138"/>
      <c r="AF105" s="138">
        <v>3</v>
      </c>
      <c r="AG105" s="138"/>
      <c r="AH105" s="138"/>
      <c r="AI105" s="138"/>
      <c r="AJ105" s="138"/>
      <c r="AK105" s="138">
        <v>5</v>
      </c>
      <c r="AL105" s="138"/>
      <c r="AM105" s="138"/>
      <c r="AN105" s="138"/>
      <c r="AO105" s="138"/>
      <c r="AP105" s="138">
        <v>5</v>
      </c>
      <c r="AQ105" s="138"/>
      <c r="AR105" s="138"/>
      <c r="AS105" s="138"/>
      <c r="AT105" s="138"/>
      <c r="AU105" s="138"/>
      <c r="AV105" s="138"/>
      <c r="AW105" s="138"/>
      <c r="AX105" s="138"/>
      <c r="AY105" s="138"/>
      <c r="AZ105" s="138"/>
      <c r="BA105" s="138">
        <v>2</v>
      </c>
      <c r="BB105" s="138"/>
      <c r="BC105" s="138"/>
      <c r="BD105" s="138"/>
      <c r="BE105" s="138"/>
      <c r="BF105" s="138"/>
      <c r="BG105" s="138"/>
      <c r="BH105" s="138">
        <v>10</v>
      </c>
      <c r="BI105" s="138">
        <v>12</v>
      </c>
      <c r="BJ105" s="138"/>
      <c r="BK105" s="138"/>
      <c r="BL105" s="138"/>
      <c r="BM105" s="138"/>
      <c r="BN105" s="138"/>
      <c r="BO105" s="138"/>
      <c r="BP105" s="138">
        <v>3</v>
      </c>
      <c r="BQ105" s="138"/>
      <c r="BR105" s="138"/>
      <c r="BS105" s="138"/>
      <c r="BT105" s="138"/>
      <c r="BU105" s="138"/>
      <c r="BV105" s="138"/>
      <c r="BW105" s="138"/>
      <c r="BX105" s="138">
        <v>6</v>
      </c>
      <c r="BY105" s="138"/>
      <c r="BZ105" s="138"/>
      <c r="CA105" s="138"/>
      <c r="CB105" s="138">
        <v>20</v>
      </c>
      <c r="CC105" s="138"/>
      <c r="CD105" s="138"/>
      <c r="CE105" s="138"/>
      <c r="CF105" s="139">
        <v>79</v>
      </c>
    </row>
    <row r="106" spans="1:84" ht="13.5" x14ac:dyDescent="0.15">
      <c r="A106" s="144" t="s">
        <v>577</v>
      </c>
      <c r="B106" s="144" t="s">
        <v>578</v>
      </c>
      <c r="C106" s="138" t="s">
        <v>68</v>
      </c>
      <c r="D106" s="138"/>
      <c r="E106" s="138"/>
      <c r="F106" s="138"/>
      <c r="G106" s="138"/>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38"/>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c r="CB106" s="138"/>
      <c r="CC106" s="138">
        <v>3</v>
      </c>
      <c r="CD106" s="138"/>
      <c r="CE106" s="138"/>
      <c r="CF106" s="139">
        <v>3</v>
      </c>
    </row>
    <row r="107" spans="1:84" ht="13.5" x14ac:dyDescent="0.15">
      <c r="A107" s="144" t="s">
        <v>624</v>
      </c>
      <c r="B107" s="144" t="s">
        <v>625</v>
      </c>
      <c r="C107" s="138" t="s">
        <v>68</v>
      </c>
      <c r="D107" s="138">
        <v>2</v>
      </c>
      <c r="E107" s="138"/>
      <c r="F107" s="138"/>
      <c r="G107" s="138">
        <v>2</v>
      </c>
      <c r="H107" s="138"/>
      <c r="I107" s="138">
        <v>6</v>
      </c>
      <c r="J107" s="138">
        <v>4</v>
      </c>
      <c r="K107" s="138"/>
      <c r="L107" s="138"/>
      <c r="M107" s="138"/>
      <c r="N107" s="138">
        <v>3</v>
      </c>
      <c r="O107" s="138"/>
      <c r="P107" s="138"/>
      <c r="Q107" s="138"/>
      <c r="R107" s="138"/>
      <c r="S107" s="138"/>
      <c r="T107" s="138"/>
      <c r="U107" s="138"/>
      <c r="V107" s="138"/>
      <c r="W107" s="138">
        <v>4</v>
      </c>
      <c r="X107" s="138"/>
      <c r="Y107" s="138"/>
      <c r="Z107" s="138"/>
      <c r="AA107" s="138"/>
      <c r="AB107" s="138">
        <v>4</v>
      </c>
      <c r="AC107" s="138"/>
      <c r="AD107" s="138"/>
      <c r="AE107" s="138"/>
      <c r="AF107" s="138">
        <v>3</v>
      </c>
      <c r="AG107" s="138"/>
      <c r="AH107" s="138"/>
      <c r="AI107" s="138"/>
      <c r="AJ107" s="138"/>
      <c r="AK107" s="138"/>
      <c r="AL107" s="138"/>
      <c r="AM107" s="138"/>
      <c r="AN107" s="138"/>
      <c r="AO107" s="138">
        <v>2</v>
      </c>
      <c r="AP107" s="138"/>
      <c r="AQ107" s="138"/>
      <c r="AR107" s="138"/>
      <c r="AS107" s="138"/>
      <c r="AT107" s="138"/>
      <c r="AU107" s="138"/>
      <c r="AV107" s="138"/>
      <c r="AW107" s="138"/>
      <c r="AX107" s="138"/>
      <c r="AY107" s="138">
        <v>4</v>
      </c>
      <c r="AZ107" s="138">
        <v>2</v>
      </c>
      <c r="BA107" s="138"/>
      <c r="BB107" s="138"/>
      <c r="BC107" s="138"/>
      <c r="BD107" s="138"/>
      <c r="BE107" s="138"/>
      <c r="BF107" s="138">
        <v>3</v>
      </c>
      <c r="BG107" s="138"/>
      <c r="BH107" s="138"/>
      <c r="BI107" s="138"/>
      <c r="BJ107" s="138">
        <v>4</v>
      </c>
      <c r="BK107" s="138"/>
      <c r="BL107" s="138"/>
      <c r="BM107" s="138"/>
      <c r="BN107" s="138"/>
      <c r="BO107" s="138"/>
      <c r="BP107" s="138"/>
      <c r="BQ107" s="138"/>
      <c r="BR107" s="138"/>
      <c r="BS107" s="138"/>
      <c r="BT107" s="138"/>
      <c r="BU107" s="138"/>
      <c r="BV107" s="138">
        <v>8</v>
      </c>
      <c r="BW107" s="138">
        <v>4</v>
      </c>
      <c r="BX107" s="138"/>
      <c r="BY107" s="138"/>
      <c r="BZ107" s="138"/>
      <c r="CA107" s="138"/>
      <c r="CB107" s="138"/>
      <c r="CC107" s="138">
        <v>10</v>
      </c>
      <c r="CD107" s="138"/>
      <c r="CE107" s="138">
        <v>3</v>
      </c>
      <c r="CF107" s="139">
        <v>68</v>
      </c>
    </row>
    <row r="108" spans="1:84" ht="13.5" x14ac:dyDescent="0.15">
      <c r="A108" s="144" t="s">
        <v>507</v>
      </c>
      <c r="B108" s="144" t="s">
        <v>508</v>
      </c>
      <c r="C108" s="138" t="s">
        <v>68</v>
      </c>
      <c r="D108" s="138"/>
      <c r="E108" s="138"/>
      <c r="F108" s="138"/>
      <c r="G108" s="138"/>
      <c r="H108" s="138">
        <v>2</v>
      </c>
      <c r="I108" s="138"/>
      <c r="J108" s="138"/>
      <c r="K108" s="138">
        <v>10</v>
      </c>
      <c r="L108" s="138"/>
      <c r="M108" s="138"/>
      <c r="N108" s="138"/>
      <c r="O108" s="138"/>
      <c r="P108" s="138"/>
      <c r="Q108" s="138"/>
      <c r="R108" s="138">
        <v>3</v>
      </c>
      <c r="S108" s="138"/>
      <c r="T108" s="138"/>
      <c r="U108" s="138"/>
      <c r="V108" s="138"/>
      <c r="W108" s="138"/>
      <c r="X108" s="138"/>
      <c r="Y108" s="138">
        <v>3</v>
      </c>
      <c r="Z108" s="138">
        <v>3</v>
      </c>
      <c r="AA108" s="138"/>
      <c r="AB108" s="138"/>
      <c r="AC108" s="138"/>
      <c r="AD108" s="138">
        <v>4</v>
      </c>
      <c r="AE108" s="138"/>
      <c r="AF108" s="138"/>
      <c r="AG108" s="138">
        <v>3</v>
      </c>
      <c r="AH108" s="138"/>
      <c r="AI108" s="138"/>
      <c r="AJ108" s="138">
        <v>3</v>
      </c>
      <c r="AK108" s="138">
        <v>8</v>
      </c>
      <c r="AL108" s="138">
        <v>4</v>
      </c>
      <c r="AM108" s="138">
        <v>2</v>
      </c>
      <c r="AN108" s="138"/>
      <c r="AO108" s="138"/>
      <c r="AP108" s="138">
        <v>5</v>
      </c>
      <c r="AQ108" s="138"/>
      <c r="AR108" s="138">
        <v>2</v>
      </c>
      <c r="AS108" s="138"/>
      <c r="AT108" s="138"/>
      <c r="AU108" s="138">
        <v>4</v>
      </c>
      <c r="AV108" s="138"/>
      <c r="AW108" s="138"/>
      <c r="AX108" s="138"/>
      <c r="AY108" s="138"/>
      <c r="AZ108" s="138"/>
      <c r="BA108" s="138">
        <v>3</v>
      </c>
      <c r="BB108" s="138">
        <v>3</v>
      </c>
      <c r="BC108" s="138"/>
      <c r="BD108" s="138"/>
      <c r="BE108" s="138">
        <v>1</v>
      </c>
      <c r="BF108" s="138"/>
      <c r="BG108" s="138"/>
      <c r="BH108" s="138"/>
      <c r="BI108" s="138"/>
      <c r="BJ108" s="138"/>
      <c r="BK108" s="138"/>
      <c r="BL108" s="138"/>
      <c r="BM108" s="138"/>
      <c r="BN108" s="138"/>
      <c r="BO108" s="138"/>
      <c r="BP108" s="138"/>
      <c r="BQ108" s="138"/>
      <c r="BR108" s="138"/>
      <c r="BS108" s="138"/>
      <c r="BT108" s="138"/>
      <c r="BU108" s="138"/>
      <c r="BV108" s="138"/>
      <c r="BW108" s="138"/>
      <c r="BX108" s="138">
        <v>6</v>
      </c>
      <c r="BY108" s="138"/>
      <c r="BZ108" s="138"/>
      <c r="CA108" s="138"/>
      <c r="CB108" s="138"/>
      <c r="CC108" s="138"/>
      <c r="CD108" s="138"/>
      <c r="CE108" s="138"/>
      <c r="CF108" s="139">
        <v>69</v>
      </c>
    </row>
    <row r="109" spans="1:84" ht="13.5" x14ac:dyDescent="0.15">
      <c r="A109" s="144" t="s">
        <v>728</v>
      </c>
      <c r="B109" s="144" t="s">
        <v>729</v>
      </c>
      <c r="C109" s="138" t="s">
        <v>68</v>
      </c>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38"/>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v>10</v>
      </c>
      <c r="CD109" s="138"/>
      <c r="CE109" s="138"/>
      <c r="CF109" s="139">
        <v>10</v>
      </c>
    </row>
    <row r="110" spans="1:84" ht="13.5" x14ac:dyDescent="0.15">
      <c r="A110" s="144" t="s">
        <v>960</v>
      </c>
      <c r="B110" s="144" t="s">
        <v>961</v>
      </c>
      <c r="C110" s="138" t="s">
        <v>68</v>
      </c>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38"/>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c r="CD110" s="138"/>
      <c r="CE110" s="138">
        <v>10</v>
      </c>
      <c r="CF110" s="139">
        <v>10</v>
      </c>
    </row>
    <row r="111" spans="1:84" ht="13.5" x14ac:dyDescent="0.15">
      <c r="A111" s="144" t="s">
        <v>586</v>
      </c>
      <c r="B111" s="144" t="s">
        <v>587</v>
      </c>
      <c r="C111" s="138" t="s">
        <v>68</v>
      </c>
      <c r="D111" s="138"/>
      <c r="E111" s="138"/>
      <c r="F111" s="138"/>
      <c r="G111" s="138"/>
      <c r="H111" s="138"/>
      <c r="I111" s="138"/>
      <c r="J111" s="138">
        <v>1</v>
      </c>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38"/>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c r="CD111" s="138"/>
      <c r="CE111" s="138"/>
      <c r="CF111" s="139">
        <v>1</v>
      </c>
    </row>
    <row r="112" spans="1:84" ht="13.5" x14ac:dyDescent="0.15">
      <c r="A112" s="144" t="s">
        <v>579</v>
      </c>
      <c r="B112" s="144" t="s">
        <v>580</v>
      </c>
      <c r="C112" s="138" t="s">
        <v>68</v>
      </c>
      <c r="D112" s="138">
        <v>1</v>
      </c>
      <c r="E112" s="138"/>
      <c r="F112" s="138">
        <v>5</v>
      </c>
      <c r="G112" s="138"/>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38"/>
      <c r="AG112" s="138"/>
      <c r="AH112" s="138"/>
      <c r="AI112" s="138"/>
      <c r="AJ112" s="138"/>
      <c r="AK112" s="138"/>
      <c r="AL112" s="138"/>
      <c r="AM112" s="138"/>
      <c r="AN112" s="138"/>
      <c r="AO112" s="138">
        <v>1</v>
      </c>
      <c r="AP112" s="138"/>
      <c r="AQ112" s="138"/>
      <c r="AR112" s="138"/>
      <c r="AS112" s="138"/>
      <c r="AT112" s="138"/>
      <c r="AU112" s="138"/>
      <c r="AV112" s="138"/>
      <c r="AW112" s="138"/>
      <c r="AX112" s="138"/>
      <c r="AY112" s="138"/>
      <c r="AZ112" s="138">
        <v>1</v>
      </c>
      <c r="BA112" s="138"/>
      <c r="BB112" s="138"/>
      <c r="BC112" s="138"/>
      <c r="BD112" s="138"/>
      <c r="BE112" s="138"/>
      <c r="BF112" s="138"/>
      <c r="BG112" s="138"/>
      <c r="BH112" s="138"/>
      <c r="BI112" s="138"/>
      <c r="BJ112" s="138"/>
      <c r="BK112" s="138"/>
      <c r="BL112" s="138"/>
      <c r="BM112" s="138"/>
      <c r="BN112" s="138"/>
      <c r="BO112" s="138"/>
      <c r="BP112" s="138"/>
      <c r="BQ112" s="138">
        <v>3</v>
      </c>
      <c r="BR112" s="138"/>
      <c r="BS112" s="138"/>
      <c r="BT112" s="138"/>
      <c r="BU112" s="138"/>
      <c r="BV112" s="138"/>
      <c r="BW112" s="138"/>
      <c r="BX112" s="138"/>
      <c r="BY112" s="138"/>
      <c r="BZ112" s="138"/>
      <c r="CA112" s="138"/>
      <c r="CB112" s="138"/>
      <c r="CC112" s="138"/>
      <c r="CD112" s="138">
        <v>6</v>
      </c>
      <c r="CE112" s="138"/>
      <c r="CF112" s="139">
        <v>17</v>
      </c>
    </row>
    <row r="113" spans="1:84" ht="13.5" x14ac:dyDescent="0.15">
      <c r="A113" s="144" t="s">
        <v>963</v>
      </c>
      <c r="B113" s="144" t="s">
        <v>964</v>
      </c>
      <c r="C113" s="138" t="s">
        <v>68</v>
      </c>
      <c r="D113" s="138"/>
      <c r="E113" s="138"/>
      <c r="F113" s="138"/>
      <c r="G113" s="138"/>
      <c r="H113" s="138"/>
      <c r="I113" s="138"/>
      <c r="J113" s="138"/>
      <c r="K113" s="138"/>
      <c r="L113" s="138"/>
      <c r="M113" s="138"/>
      <c r="N113" s="138"/>
      <c r="O113" s="138"/>
      <c r="P113" s="138"/>
      <c r="Q113" s="138"/>
      <c r="R113" s="138"/>
      <c r="S113" s="138"/>
      <c r="T113" s="138">
        <v>1</v>
      </c>
      <c r="U113" s="138"/>
      <c r="V113" s="138"/>
      <c r="W113" s="138"/>
      <c r="X113" s="138"/>
      <c r="Y113" s="138"/>
      <c r="Z113" s="138"/>
      <c r="AA113" s="138"/>
      <c r="AB113" s="138"/>
      <c r="AC113" s="138"/>
      <c r="AD113" s="138"/>
      <c r="AE113" s="138"/>
      <c r="AF113" s="138"/>
      <c r="AG113" s="138"/>
      <c r="AH113" s="138"/>
      <c r="AI113" s="138"/>
      <c r="AJ113" s="138"/>
      <c r="AK113" s="138"/>
      <c r="AL113" s="138">
        <v>1</v>
      </c>
      <c r="AM113" s="138"/>
      <c r="AN113" s="138"/>
      <c r="AO113" s="138"/>
      <c r="AP113" s="138"/>
      <c r="AQ113" s="138"/>
      <c r="AR113" s="138"/>
      <c r="AS113" s="138"/>
      <c r="AT113" s="138"/>
      <c r="AU113" s="138"/>
      <c r="AV113" s="138"/>
      <c r="AW113" s="138"/>
      <c r="AX113" s="138"/>
      <c r="AY113" s="138"/>
      <c r="AZ113" s="138"/>
      <c r="BA113" s="138">
        <v>1</v>
      </c>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9">
        <v>3</v>
      </c>
    </row>
    <row r="114" spans="1:84" ht="13.5" x14ac:dyDescent="0.15">
      <c r="A114" s="144" t="s">
        <v>965</v>
      </c>
      <c r="B114" s="144" t="s">
        <v>966</v>
      </c>
      <c r="C114" s="138" t="s">
        <v>68</v>
      </c>
      <c r="D114" s="138">
        <v>4</v>
      </c>
      <c r="E114" s="138">
        <v>7</v>
      </c>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38"/>
      <c r="AG114" s="138"/>
      <c r="AH114" s="138"/>
      <c r="AI114" s="138"/>
      <c r="AJ114" s="138"/>
      <c r="AK114" s="138">
        <v>15</v>
      </c>
      <c r="AL114" s="138"/>
      <c r="AM114" s="138"/>
      <c r="AN114" s="138"/>
      <c r="AO114" s="138">
        <v>2</v>
      </c>
      <c r="AP114" s="138"/>
      <c r="AQ114" s="138"/>
      <c r="AR114" s="138"/>
      <c r="AS114" s="138">
        <v>10</v>
      </c>
      <c r="AT114" s="138"/>
      <c r="AU114" s="138"/>
      <c r="AV114" s="138"/>
      <c r="AW114" s="138"/>
      <c r="AX114" s="138"/>
      <c r="AY114" s="138"/>
      <c r="AZ114" s="138">
        <v>4</v>
      </c>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v>9</v>
      </c>
      <c r="CE114" s="138"/>
      <c r="CF114" s="139">
        <v>51</v>
      </c>
    </row>
    <row r="115" spans="1:84" ht="13.5" x14ac:dyDescent="0.15">
      <c r="A115" s="144" t="s">
        <v>525</v>
      </c>
      <c r="B115" s="144" t="s">
        <v>526</v>
      </c>
      <c r="C115" s="138" t="s">
        <v>68</v>
      </c>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138"/>
      <c r="AB115" s="138"/>
      <c r="AC115" s="138"/>
      <c r="AD115" s="138"/>
      <c r="AE115" s="138"/>
      <c r="AF115" s="138"/>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v>9</v>
      </c>
      <c r="CE115" s="138"/>
      <c r="CF115" s="139">
        <v>9</v>
      </c>
    </row>
    <row r="116" spans="1:84" ht="13.5" x14ac:dyDescent="0.15">
      <c r="A116" s="144" t="s">
        <v>527</v>
      </c>
      <c r="B116" s="144" t="s">
        <v>809</v>
      </c>
      <c r="C116" s="138" t="s">
        <v>68</v>
      </c>
      <c r="D116" s="138"/>
      <c r="E116" s="138"/>
      <c r="F116" s="138"/>
      <c r="G116" s="138"/>
      <c r="H116" s="138"/>
      <c r="I116" s="138"/>
      <c r="J116" s="138"/>
      <c r="K116" s="138">
        <v>1</v>
      </c>
      <c r="L116" s="138"/>
      <c r="M116" s="138"/>
      <c r="N116" s="138"/>
      <c r="O116" s="138"/>
      <c r="P116" s="138"/>
      <c r="Q116" s="138"/>
      <c r="R116" s="138"/>
      <c r="S116" s="138"/>
      <c r="T116" s="138"/>
      <c r="U116" s="138"/>
      <c r="V116" s="138"/>
      <c r="W116" s="138"/>
      <c r="X116" s="138"/>
      <c r="Y116" s="138"/>
      <c r="Z116" s="138"/>
      <c r="AA116" s="138"/>
      <c r="AB116" s="138"/>
      <c r="AC116" s="138"/>
      <c r="AD116" s="138"/>
      <c r="AE116" s="138"/>
      <c r="AF116" s="138"/>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9">
        <v>1</v>
      </c>
    </row>
    <row r="117" spans="1:84" ht="13.5" x14ac:dyDescent="0.15">
      <c r="A117" s="144" t="s">
        <v>480</v>
      </c>
      <c r="B117" s="144" t="s">
        <v>481</v>
      </c>
      <c r="C117" s="138" t="s">
        <v>68</v>
      </c>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38"/>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v>10</v>
      </c>
      <c r="CB117" s="138"/>
      <c r="CC117" s="138"/>
      <c r="CD117" s="138"/>
      <c r="CE117" s="138">
        <v>10</v>
      </c>
      <c r="CF117" s="139">
        <v>20</v>
      </c>
    </row>
    <row r="118" spans="1:84" ht="13.5" x14ac:dyDescent="0.15">
      <c r="A118" s="144" t="s">
        <v>482</v>
      </c>
      <c r="B118" s="144" t="s">
        <v>483</v>
      </c>
      <c r="C118" s="138" t="s">
        <v>68</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38"/>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c r="BW118" s="138"/>
      <c r="BX118" s="138"/>
      <c r="BY118" s="138"/>
      <c r="BZ118" s="138"/>
      <c r="CA118" s="138">
        <v>10</v>
      </c>
      <c r="CB118" s="138"/>
      <c r="CC118" s="138"/>
      <c r="CD118" s="138"/>
      <c r="CE118" s="138"/>
      <c r="CF118" s="139">
        <v>10</v>
      </c>
    </row>
    <row r="119" spans="1:84" ht="13.5" x14ac:dyDescent="0.15">
      <c r="A119" s="144" t="s">
        <v>371</v>
      </c>
      <c r="B119" s="144" t="s">
        <v>372</v>
      </c>
      <c r="C119" s="138" t="s">
        <v>68</v>
      </c>
      <c r="D119" s="138"/>
      <c r="E119" s="138"/>
      <c r="F119" s="138"/>
      <c r="G119" s="138"/>
      <c r="H119" s="138"/>
      <c r="I119" s="138"/>
      <c r="J119" s="138">
        <v>1</v>
      </c>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38"/>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v>7</v>
      </c>
      <c r="BI119" s="138"/>
      <c r="BJ119" s="138"/>
      <c r="BK119" s="138">
        <v>3</v>
      </c>
      <c r="BL119" s="138"/>
      <c r="BM119" s="138"/>
      <c r="BN119" s="138"/>
      <c r="BO119" s="138"/>
      <c r="BP119" s="138"/>
      <c r="BQ119" s="138"/>
      <c r="BR119" s="138"/>
      <c r="BS119" s="138"/>
      <c r="BT119" s="138"/>
      <c r="BU119" s="138"/>
      <c r="BV119" s="138"/>
      <c r="BW119" s="138"/>
      <c r="BX119" s="138"/>
      <c r="BY119" s="138"/>
      <c r="BZ119" s="138"/>
      <c r="CA119" s="138"/>
      <c r="CB119" s="138">
        <v>1</v>
      </c>
      <c r="CC119" s="138"/>
      <c r="CD119" s="138"/>
      <c r="CE119" s="138"/>
      <c r="CF119" s="139">
        <v>12</v>
      </c>
    </row>
    <row r="120" spans="1:84" ht="13.5" x14ac:dyDescent="0.15">
      <c r="A120" s="144" t="s">
        <v>373</v>
      </c>
      <c r="B120" s="144" t="s">
        <v>374</v>
      </c>
      <c r="C120" s="138" t="s">
        <v>68</v>
      </c>
      <c r="D120" s="138">
        <v>3</v>
      </c>
      <c r="E120" s="138">
        <v>8</v>
      </c>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38"/>
      <c r="AG120" s="138"/>
      <c r="AH120" s="138"/>
      <c r="AI120" s="138"/>
      <c r="AJ120" s="138"/>
      <c r="AK120" s="138"/>
      <c r="AL120" s="138"/>
      <c r="AM120" s="138"/>
      <c r="AN120" s="138"/>
      <c r="AO120" s="138">
        <v>3</v>
      </c>
      <c r="AP120" s="138"/>
      <c r="AQ120" s="138"/>
      <c r="AR120" s="138"/>
      <c r="AS120" s="138"/>
      <c r="AT120" s="138"/>
      <c r="AU120" s="138"/>
      <c r="AV120" s="138"/>
      <c r="AW120" s="138"/>
      <c r="AX120" s="138"/>
      <c r="AY120" s="138"/>
      <c r="AZ120" s="138">
        <v>3</v>
      </c>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v>50</v>
      </c>
      <c r="CD120" s="138">
        <v>9</v>
      </c>
      <c r="CE120" s="138">
        <v>15</v>
      </c>
      <c r="CF120" s="139">
        <v>91</v>
      </c>
    </row>
    <row r="121" spans="1:84" ht="13.5" x14ac:dyDescent="0.15">
      <c r="A121" s="144" t="s">
        <v>377</v>
      </c>
      <c r="B121" s="144" t="s">
        <v>378</v>
      </c>
      <c r="C121" s="138" t="s">
        <v>68</v>
      </c>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38"/>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38"/>
      <c r="BE121" s="138"/>
      <c r="BF121" s="138"/>
      <c r="BG121" s="138"/>
      <c r="BH121" s="138"/>
      <c r="BI121" s="138">
        <v>50</v>
      </c>
      <c r="BJ121" s="138"/>
      <c r="BK121" s="138"/>
      <c r="BL121" s="138"/>
      <c r="BM121" s="138"/>
      <c r="BN121" s="138"/>
      <c r="BO121" s="138"/>
      <c r="BP121" s="138"/>
      <c r="BQ121" s="138">
        <v>3</v>
      </c>
      <c r="BR121" s="138"/>
      <c r="BS121" s="138"/>
      <c r="BT121" s="138"/>
      <c r="BU121" s="138"/>
      <c r="BV121" s="138"/>
      <c r="BW121" s="138"/>
      <c r="BX121" s="138"/>
      <c r="BY121" s="138"/>
      <c r="BZ121" s="138"/>
      <c r="CA121" s="138"/>
      <c r="CB121" s="138"/>
      <c r="CC121" s="138"/>
      <c r="CD121" s="138"/>
      <c r="CE121" s="138"/>
      <c r="CF121" s="139">
        <v>53</v>
      </c>
    </row>
    <row r="122" spans="1:84" ht="13.5" x14ac:dyDescent="0.15">
      <c r="A122" s="144" t="s">
        <v>552</v>
      </c>
      <c r="B122" s="144" t="s">
        <v>553</v>
      </c>
      <c r="C122" s="138" t="s">
        <v>68</v>
      </c>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38"/>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v>15</v>
      </c>
      <c r="CB122" s="138"/>
      <c r="CC122" s="138"/>
      <c r="CD122" s="138"/>
      <c r="CE122" s="138"/>
      <c r="CF122" s="139">
        <v>15</v>
      </c>
    </row>
    <row r="123" spans="1:84" ht="13.5" x14ac:dyDescent="0.15">
      <c r="A123" s="144" t="s">
        <v>652</v>
      </c>
      <c r="B123" s="144" t="s">
        <v>653</v>
      </c>
      <c r="C123" s="138" t="s">
        <v>68</v>
      </c>
      <c r="D123" s="138">
        <v>2</v>
      </c>
      <c r="E123" s="138">
        <v>4</v>
      </c>
      <c r="F123" s="138"/>
      <c r="G123" s="138"/>
      <c r="H123" s="138"/>
      <c r="I123" s="138"/>
      <c r="J123" s="138">
        <v>8</v>
      </c>
      <c r="K123" s="138"/>
      <c r="L123" s="138"/>
      <c r="M123" s="138"/>
      <c r="N123" s="138"/>
      <c r="O123" s="138"/>
      <c r="P123" s="138"/>
      <c r="Q123" s="138"/>
      <c r="R123" s="138"/>
      <c r="S123" s="138"/>
      <c r="T123" s="138">
        <v>2</v>
      </c>
      <c r="U123" s="138"/>
      <c r="V123" s="138"/>
      <c r="W123" s="138"/>
      <c r="X123" s="138">
        <v>3</v>
      </c>
      <c r="Y123" s="138"/>
      <c r="Z123" s="138"/>
      <c r="AA123" s="138"/>
      <c r="AB123" s="138">
        <v>2</v>
      </c>
      <c r="AC123" s="138"/>
      <c r="AD123" s="138">
        <v>6</v>
      </c>
      <c r="AE123" s="138"/>
      <c r="AF123" s="138">
        <v>8</v>
      </c>
      <c r="AG123" s="138"/>
      <c r="AH123" s="138"/>
      <c r="AI123" s="138"/>
      <c r="AJ123" s="138"/>
      <c r="AK123" s="138"/>
      <c r="AL123" s="138"/>
      <c r="AM123" s="138"/>
      <c r="AN123" s="138"/>
      <c r="AO123" s="138">
        <v>2</v>
      </c>
      <c r="AP123" s="138"/>
      <c r="AQ123" s="138"/>
      <c r="AR123" s="138"/>
      <c r="AS123" s="138"/>
      <c r="AT123" s="138"/>
      <c r="AU123" s="138"/>
      <c r="AV123" s="138"/>
      <c r="AW123" s="138"/>
      <c r="AX123" s="138"/>
      <c r="AY123" s="138">
        <v>6</v>
      </c>
      <c r="AZ123" s="138">
        <v>2</v>
      </c>
      <c r="BA123" s="138"/>
      <c r="BB123" s="138">
        <v>6</v>
      </c>
      <c r="BC123" s="138"/>
      <c r="BD123" s="138"/>
      <c r="BE123" s="138">
        <v>1</v>
      </c>
      <c r="BF123" s="138"/>
      <c r="BG123" s="138"/>
      <c r="BH123" s="138">
        <v>20</v>
      </c>
      <c r="BI123" s="138"/>
      <c r="BJ123" s="138">
        <v>2</v>
      </c>
      <c r="BK123" s="138"/>
      <c r="BL123" s="138"/>
      <c r="BM123" s="138"/>
      <c r="BN123" s="138"/>
      <c r="BO123" s="138"/>
      <c r="BP123" s="138"/>
      <c r="BQ123" s="138"/>
      <c r="BR123" s="138"/>
      <c r="BS123" s="138"/>
      <c r="BT123" s="138"/>
      <c r="BU123" s="138"/>
      <c r="BV123" s="138"/>
      <c r="BW123" s="138"/>
      <c r="BX123" s="138"/>
      <c r="BY123" s="138"/>
      <c r="BZ123" s="138"/>
      <c r="CA123" s="138">
        <v>0</v>
      </c>
      <c r="CB123" s="138"/>
      <c r="CC123" s="138">
        <v>30</v>
      </c>
      <c r="CD123" s="138"/>
      <c r="CE123" s="138">
        <v>10</v>
      </c>
      <c r="CF123" s="139">
        <v>114</v>
      </c>
    </row>
    <row r="124" spans="1:84" ht="13.5" x14ac:dyDescent="0.15">
      <c r="A124" s="144" t="s">
        <v>669</v>
      </c>
      <c r="B124" s="144" t="s">
        <v>670</v>
      </c>
      <c r="C124" s="138" t="s">
        <v>68</v>
      </c>
      <c r="D124" s="138"/>
      <c r="E124" s="138"/>
      <c r="F124" s="138"/>
      <c r="G124" s="138"/>
      <c r="H124" s="138"/>
      <c r="I124" s="138"/>
      <c r="J124" s="138">
        <v>5</v>
      </c>
      <c r="K124" s="138"/>
      <c r="L124" s="138"/>
      <c r="M124" s="138"/>
      <c r="N124" s="138"/>
      <c r="O124" s="138"/>
      <c r="P124" s="138"/>
      <c r="Q124" s="138"/>
      <c r="R124" s="138"/>
      <c r="S124" s="138">
        <v>10</v>
      </c>
      <c r="T124" s="138"/>
      <c r="U124" s="138"/>
      <c r="V124" s="138"/>
      <c r="W124" s="138"/>
      <c r="X124" s="138"/>
      <c r="Y124" s="138"/>
      <c r="Z124" s="138"/>
      <c r="AA124" s="138"/>
      <c r="AB124" s="138"/>
      <c r="AC124" s="138"/>
      <c r="AD124" s="138">
        <v>4</v>
      </c>
      <c r="AE124" s="138"/>
      <c r="AF124" s="138">
        <v>3</v>
      </c>
      <c r="AG124" s="138"/>
      <c r="AH124" s="138"/>
      <c r="AI124" s="138"/>
      <c r="AJ124" s="138"/>
      <c r="AK124" s="138"/>
      <c r="AL124" s="138"/>
      <c r="AM124" s="138"/>
      <c r="AN124" s="138"/>
      <c r="AO124" s="138"/>
      <c r="AP124" s="138"/>
      <c r="AQ124" s="138"/>
      <c r="AR124" s="138"/>
      <c r="AS124" s="138"/>
      <c r="AT124" s="138">
        <v>1</v>
      </c>
      <c r="AU124" s="138">
        <v>6</v>
      </c>
      <c r="AV124" s="138"/>
      <c r="AW124" s="138"/>
      <c r="AX124" s="138">
        <v>4</v>
      </c>
      <c r="AY124" s="138">
        <v>7</v>
      </c>
      <c r="AZ124" s="138"/>
      <c r="BA124" s="138"/>
      <c r="BB124" s="138"/>
      <c r="BC124" s="138"/>
      <c r="BD124" s="138"/>
      <c r="BE124" s="138">
        <v>1</v>
      </c>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9">
        <v>41</v>
      </c>
    </row>
    <row r="125" spans="1:84" ht="13.5" x14ac:dyDescent="0.15">
      <c r="A125" s="144" t="s">
        <v>758</v>
      </c>
      <c r="B125" s="144" t="s">
        <v>759</v>
      </c>
      <c r="C125" s="138" t="s">
        <v>68</v>
      </c>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38"/>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v>10</v>
      </c>
      <c r="CB125" s="138"/>
      <c r="CC125" s="138">
        <v>4</v>
      </c>
      <c r="CD125" s="138"/>
      <c r="CE125" s="138">
        <v>6</v>
      </c>
      <c r="CF125" s="139">
        <v>20</v>
      </c>
    </row>
    <row r="126" spans="1:84" ht="13.5" x14ac:dyDescent="0.15">
      <c r="A126" s="144" t="s">
        <v>262</v>
      </c>
      <c r="B126" s="144" t="s">
        <v>263</v>
      </c>
      <c r="C126" s="138" t="s">
        <v>68</v>
      </c>
      <c r="D126" s="138">
        <v>5</v>
      </c>
      <c r="E126" s="138">
        <v>5</v>
      </c>
      <c r="F126" s="138"/>
      <c r="G126" s="138"/>
      <c r="H126" s="138"/>
      <c r="I126" s="138"/>
      <c r="J126" s="138">
        <v>10</v>
      </c>
      <c r="K126" s="138"/>
      <c r="L126" s="138"/>
      <c r="M126" s="138"/>
      <c r="N126" s="138">
        <v>4</v>
      </c>
      <c r="O126" s="138"/>
      <c r="P126" s="138">
        <v>5</v>
      </c>
      <c r="Q126" s="138"/>
      <c r="R126" s="138">
        <v>10</v>
      </c>
      <c r="S126" s="138"/>
      <c r="T126" s="138"/>
      <c r="U126" s="138">
        <v>4</v>
      </c>
      <c r="V126" s="138">
        <v>6</v>
      </c>
      <c r="W126" s="138">
        <v>6</v>
      </c>
      <c r="X126" s="138">
        <v>4</v>
      </c>
      <c r="Y126" s="138">
        <v>5</v>
      </c>
      <c r="Z126" s="138">
        <v>6</v>
      </c>
      <c r="AA126" s="138"/>
      <c r="AB126" s="138">
        <v>4</v>
      </c>
      <c r="AC126" s="138">
        <v>5</v>
      </c>
      <c r="AD126" s="138">
        <v>8</v>
      </c>
      <c r="AE126" s="138"/>
      <c r="AF126" s="138">
        <v>10</v>
      </c>
      <c r="AG126" s="138">
        <v>5</v>
      </c>
      <c r="AH126" s="138"/>
      <c r="AI126" s="138"/>
      <c r="AJ126" s="138">
        <v>6</v>
      </c>
      <c r="AK126" s="138"/>
      <c r="AL126" s="138"/>
      <c r="AM126" s="138"/>
      <c r="AN126" s="138"/>
      <c r="AO126" s="138">
        <v>4</v>
      </c>
      <c r="AP126" s="138"/>
      <c r="AQ126" s="138"/>
      <c r="AR126" s="138"/>
      <c r="AS126" s="138">
        <v>5</v>
      </c>
      <c r="AT126" s="138">
        <v>5</v>
      </c>
      <c r="AU126" s="138"/>
      <c r="AV126" s="138"/>
      <c r="AW126" s="138">
        <v>10</v>
      </c>
      <c r="AX126" s="138">
        <v>12</v>
      </c>
      <c r="AY126" s="138"/>
      <c r="AZ126" s="138">
        <v>5</v>
      </c>
      <c r="BA126" s="138"/>
      <c r="BB126" s="138">
        <v>6</v>
      </c>
      <c r="BC126" s="138"/>
      <c r="BD126" s="138">
        <v>5</v>
      </c>
      <c r="BE126" s="138">
        <v>2</v>
      </c>
      <c r="BF126" s="138"/>
      <c r="BG126" s="138">
        <v>6</v>
      </c>
      <c r="BH126" s="138"/>
      <c r="BI126" s="138"/>
      <c r="BJ126" s="138">
        <v>4</v>
      </c>
      <c r="BK126" s="138"/>
      <c r="BL126" s="138"/>
      <c r="BM126" s="138"/>
      <c r="BN126" s="138"/>
      <c r="BO126" s="138"/>
      <c r="BP126" s="138"/>
      <c r="BQ126" s="138"/>
      <c r="BR126" s="138"/>
      <c r="BS126" s="138"/>
      <c r="BT126" s="138"/>
      <c r="BU126" s="138"/>
      <c r="BV126" s="138"/>
      <c r="BW126" s="138">
        <v>6</v>
      </c>
      <c r="BX126" s="138"/>
      <c r="BY126" s="138"/>
      <c r="BZ126" s="138"/>
      <c r="CA126" s="138"/>
      <c r="CB126" s="138"/>
      <c r="CC126" s="138">
        <v>40</v>
      </c>
      <c r="CD126" s="138"/>
      <c r="CE126" s="138">
        <v>10</v>
      </c>
      <c r="CF126" s="139">
        <v>228</v>
      </c>
    </row>
    <row r="127" spans="1:84" ht="13.5" x14ac:dyDescent="0.15">
      <c r="A127" s="144" t="s">
        <v>970</v>
      </c>
      <c r="B127" s="144" t="s">
        <v>971</v>
      </c>
      <c r="C127" s="138" t="s">
        <v>68</v>
      </c>
      <c r="D127" s="138"/>
      <c r="E127" s="138"/>
      <c r="F127" s="138"/>
      <c r="G127" s="138"/>
      <c r="H127" s="138">
        <v>2</v>
      </c>
      <c r="I127" s="138"/>
      <c r="J127" s="138"/>
      <c r="K127" s="138">
        <v>10</v>
      </c>
      <c r="L127" s="138"/>
      <c r="M127" s="138"/>
      <c r="N127" s="138"/>
      <c r="O127" s="138"/>
      <c r="P127" s="138"/>
      <c r="Q127" s="138"/>
      <c r="R127" s="138"/>
      <c r="S127" s="138"/>
      <c r="T127" s="138"/>
      <c r="U127" s="138"/>
      <c r="V127" s="138"/>
      <c r="W127" s="138"/>
      <c r="X127" s="138"/>
      <c r="Y127" s="138"/>
      <c r="Z127" s="138"/>
      <c r="AA127" s="138"/>
      <c r="AB127" s="138"/>
      <c r="AC127" s="138"/>
      <c r="AD127" s="138"/>
      <c r="AE127" s="138"/>
      <c r="AF127" s="138"/>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v>5</v>
      </c>
      <c r="CD127" s="138"/>
      <c r="CE127" s="138"/>
      <c r="CF127" s="139">
        <v>17</v>
      </c>
    </row>
    <row r="128" spans="1:84" ht="13.5" x14ac:dyDescent="0.15">
      <c r="A128" s="144" t="s">
        <v>596</v>
      </c>
      <c r="B128" s="144" t="s">
        <v>597</v>
      </c>
      <c r="C128" s="138" t="s">
        <v>68</v>
      </c>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38"/>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v>5</v>
      </c>
      <c r="CB128" s="138"/>
      <c r="CC128" s="138"/>
      <c r="CD128" s="138"/>
      <c r="CE128" s="138">
        <v>3</v>
      </c>
      <c r="CF128" s="139">
        <v>8</v>
      </c>
    </row>
    <row r="129" spans="1:84" ht="13.5" x14ac:dyDescent="0.15">
      <c r="A129" s="144" t="s">
        <v>760</v>
      </c>
      <c r="B129" s="144" t="s">
        <v>761</v>
      </c>
      <c r="C129" s="138" t="s">
        <v>68</v>
      </c>
      <c r="D129" s="138"/>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38"/>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v>0</v>
      </c>
      <c r="CB129" s="138"/>
      <c r="CC129" s="138"/>
      <c r="CD129" s="138"/>
      <c r="CE129" s="138"/>
      <c r="CF129" s="139">
        <v>0</v>
      </c>
    </row>
    <row r="130" spans="1:84" ht="13.5" x14ac:dyDescent="0.15">
      <c r="A130" s="144" t="s">
        <v>647</v>
      </c>
      <c r="B130" s="144" t="s">
        <v>648</v>
      </c>
      <c r="C130" s="138" t="s">
        <v>68</v>
      </c>
      <c r="D130" s="138">
        <v>3</v>
      </c>
      <c r="E130" s="138">
        <v>2</v>
      </c>
      <c r="F130" s="138">
        <v>10</v>
      </c>
      <c r="G130" s="138">
        <v>4</v>
      </c>
      <c r="H130" s="138">
        <v>2</v>
      </c>
      <c r="I130" s="138"/>
      <c r="J130" s="138">
        <v>8</v>
      </c>
      <c r="K130" s="138">
        <v>10</v>
      </c>
      <c r="L130" s="138"/>
      <c r="M130" s="138"/>
      <c r="N130" s="138"/>
      <c r="O130" s="138"/>
      <c r="P130" s="138"/>
      <c r="Q130" s="138"/>
      <c r="R130" s="138"/>
      <c r="S130" s="138"/>
      <c r="T130" s="138"/>
      <c r="U130" s="138">
        <v>4</v>
      </c>
      <c r="V130" s="138"/>
      <c r="W130" s="138"/>
      <c r="X130" s="138"/>
      <c r="Y130" s="138"/>
      <c r="Z130" s="138"/>
      <c r="AA130" s="138"/>
      <c r="AB130" s="138"/>
      <c r="AC130" s="138">
        <v>5</v>
      </c>
      <c r="AD130" s="138"/>
      <c r="AE130" s="138"/>
      <c r="AF130" s="138"/>
      <c r="AG130" s="138"/>
      <c r="AH130" s="138">
        <v>8</v>
      </c>
      <c r="AI130" s="138"/>
      <c r="AJ130" s="138"/>
      <c r="AK130" s="138"/>
      <c r="AL130" s="138">
        <v>3</v>
      </c>
      <c r="AM130" s="138"/>
      <c r="AN130" s="138"/>
      <c r="AO130" s="138">
        <v>2</v>
      </c>
      <c r="AP130" s="138"/>
      <c r="AQ130" s="138"/>
      <c r="AR130" s="138"/>
      <c r="AS130" s="138"/>
      <c r="AT130" s="138"/>
      <c r="AU130" s="138">
        <v>5</v>
      </c>
      <c r="AV130" s="138">
        <v>6</v>
      </c>
      <c r="AW130" s="138"/>
      <c r="AX130" s="138"/>
      <c r="AY130" s="138"/>
      <c r="AZ130" s="138">
        <v>2</v>
      </c>
      <c r="BA130" s="138">
        <v>5</v>
      </c>
      <c r="BB130" s="138"/>
      <c r="BC130" s="138"/>
      <c r="BD130" s="138"/>
      <c r="BE130" s="138">
        <v>1</v>
      </c>
      <c r="BF130" s="138">
        <v>2</v>
      </c>
      <c r="BG130" s="138"/>
      <c r="BH130" s="138"/>
      <c r="BI130" s="138"/>
      <c r="BJ130" s="138"/>
      <c r="BK130" s="138"/>
      <c r="BL130" s="138"/>
      <c r="BM130" s="138"/>
      <c r="BN130" s="138"/>
      <c r="BO130" s="138"/>
      <c r="BP130" s="138"/>
      <c r="BQ130" s="138"/>
      <c r="BR130" s="138"/>
      <c r="BS130" s="138"/>
      <c r="BT130" s="138"/>
      <c r="BU130" s="138"/>
      <c r="BV130" s="138"/>
      <c r="BW130" s="138">
        <v>8</v>
      </c>
      <c r="BX130" s="138"/>
      <c r="BY130" s="138"/>
      <c r="BZ130" s="138"/>
      <c r="CA130" s="138"/>
      <c r="CB130" s="138"/>
      <c r="CC130" s="138"/>
      <c r="CD130" s="138">
        <v>6</v>
      </c>
      <c r="CE130" s="138">
        <v>10</v>
      </c>
      <c r="CF130" s="139">
        <v>106</v>
      </c>
    </row>
    <row r="131" spans="1:84" ht="13.5" x14ac:dyDescent="0.15">
      <c r="A131" s="144" t="s">
        <v>548</v>
      </c>
      <c r="B131" s="144" t="s">
        <v>549</v>
      </c>
      <c r="C131" s="138" t="s">
        <v>68</v>
      </c>
      <c r="D131" s="138"/>
      <c r="E131" s="138"/>
      <c r="F131" s="138"/>
      <c r="G131" s="138"/>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38"/>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c r="BT131" s="138"/>
      <c r="BU131" s="138"/>
      <c r="BV131" s="138"/>
      <c r="BW131" s="138"/>
      <c r="BX131" s="138"/>
      <c r="BY131" s="138"/>
      <c r="BZ131" s="138"/>
      <c r="CA131" s="138">
        <v>10</v>
      </c>
      <c r="CB131" s="138"/>
      <c r="CC131" s="138"/>
      <c r="CD131" s="138"/>
      <c r="CE131" s="138"/>
      <c r="CF131" s="139">
        <v>10</v>
      </c>
    </row>
    <row r="132" spans="1:84" ht="13.5" x14ac:dyDescent="0.15">
      <c r="A132" s="144" t="s">
        <v>799</v>
      </c>
      <c r="B132" s="144" t="s">
        <v>800</v>
      </c>
      <c r="C132" s="138" t="s">
        <v>68</v>
      </c>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38"/>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v>10</v>
      </c>
      <c r="CB132" s="138"/>
      <c r="CC132" s="138"/>
      <c r="CD132" s="138"/>
      <c r="CE132" s="138">
        <v>0</v>
      </c>
      <c r="CF132" s="139">
        <v>10</v>
      </c>
    </row>
    <row r="133" spans="1:84" ht="13.5" x14ac:dyDescent="0.15">
      <c r="A133" s="144" t="s">
        <v>175</v>
      </c>
      <c r="B133" s="144" t="s">
        <v>518</v>
      </c>
      <c r="C133" s="138" t="s">
        <v>68</v>
      </c>
      <c r="D133" s="138"/>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38"/>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v>2</v>
      </c>
      <c r="BM133" s="138">
        <v>1</v>
      </c>
      <c r="BN133" s="138">
        <v>2</v>
      </c>
      <c r="BO133" s="138">
        <v>1</v>
      </c>
      <c r="BP133" s="138"/>
      <c r="BQ133" s="138"/>
      <c r="BR133" s="138"/>
      <c r="BS133" s="138"/>
      <c r="BT133" s="138"/>
      <c r="BU133" s="138"/>
      <c r="BV133" s="138"/>
      <c r="BW133" s="138"/>
      <c r="BX133" s="138"/>
      <c r="BY133" s="138"/>
      <c r="BZ133" s="138"/>
      <c r="CA133" s="138"/>
      <c r="CB133" s="138"/>
      <c r="CC133" s="138"/>
      <c r="CD133" s="138"/>
      <c r="CE133" s="138"/>
      <c r="CF133" s="139">
        <v>6</v>
      </c>
    </row>
    <row r="134" spans="1:84" ht="13.5" x14ac:dyDescent="0.15">
      <c r="A134" s="144" t="s">
        <v>133</v>
      </c>
      <c r="B134" s="144" t="s">
        <v>134</v>
      </c>
      <c r="C134" s="138" t="s">
        <v>68</v>
      </c>
      <c r="D134" s="138"/>
      <c r="E134" s="138">
        <v>4</v>
      </c>
      <c r="F134" s="138"/>
      <c r="G134" s="138"/>
      <c r="H134" s="138"/>
      <c r="I134" s="138"/>
      <c r="J134" s="138">
        <v>4</v>
      </c>
      <c r="K134" s="138">
        <v>5</v>
      </c>
      <c r="L134" s="138">
        <v>5</v>
      </c>
      <c r="M134" s="138"/>
      <c r="N134" s="138">
        <v>3</v>
      </c>
      <c r="O134" s="138">
        <v>3</v>
      </c>
      <c r="P134" s="138">
        <v>4</v>
      </c>
      <c r="Q134" s="138">
        <v>5</v>
      </c>
      <c r="R134" s="138">
        <v>5</v>
      </c>
      <c r="S134" s="138"/>
      <c r="T134" s="138"/>
      <c r="U134" s="138"/>
      <c r="V134" s="138"/>
      <c r="W134" s="138"/>
      <c r="X134" s="138">
        <v>2</v>
      </c>
      <c r="Y134" s="138">
        <v>3</v>
      </c>
      <c r="Z134" s="138">
        <v>4</v>
      </c>
      <c r="AA134" s="138">
        <v>2</v>
      </c>
      <c r="AB134" s="138">
        <v>4</v>
      </c>
      <c r="AC134" s="138">
        <v>5</v>
      </c>
      <c r="AD134" s="138">
        <v>4</v>
      </c>
      <c r="AE134" s="138">
        <v>3</v>
      </c>
      <c r="AF134" s="138">
        <v>4</v>
      </c>
      <c r="AG134" s="138"/>
      <c r="AH134" s="138">
        <v>4</v>
      </c>
      <c r="AI134" s="138"/>
      <c r="AJ134" s="138">
        <v>5</v>
      </c>
      <c r="AK134" s="138">
        <v>5</v>
      </c>
      <c r="AL134" s="138">
        <v>10</v>
      </c>
      <c r="AM134" s="138"/>
      <c r="AN134" s="138">
        <v>6</v>
      </c>
      <c r="AO134" s="138"/>
      <c r="AP134" s="138"/>
      <c r="AQ134" s="138"/>
      <c r="AR134" s="138">
        <v>3</v>
      </c>
      <c r="AS134" s="138">
        <v>4</v>
      </c>
      <c r="AT134" s="138"/>
      <c r="AU134" s="138"/>
      <c r="AV134" s="138">
        <v>4</v>
      </c>
      <c r="AW134" s="138"/>
      <c r="AX134" s="138">
        <v>6</v>
      </c>
      <c r="AY134" s="138">
        <v>5</v>
      </c>
      <c r="AZ134" s="138"/>
      <c r="BA134" s="138">
        <v>2</v>
      </c>
      <c r="BB134" s="138">
        <v>4</v>
      </c>
      <c r="BC134" s="138"/>
      <c r="BD134" s="138">
        <v>4</v>
      </c>
      <c r="BE134" s="138">
        <v>1</v>
      </c>
      <c r="BF134" s="138">
        <v>7</v>
      </c>
      <c r="BG134" s="138"/>
      <c r="BH134" s="138"/>
      <c r="BI134" s="138"/>
      <c r="BJ134" s="138"/>
      <c r="BK134" s="138"/>
      <c r="BL134" s="138"/>
      <c r="BM134" s="138"/>
      <c r="BN134" s="138"/>
      <c r="BO134" s="138"/>
      <c r="BP134" s="138"/>
      <c r="BQ134" s="138"/>
      <c r="BR134" s="138"/>
      <c r="BS134" s="138"/>
      <c r="BT134" s="138"/>
      <c r="BU134" s="138"/>
      <c r="BV134" s="138"/>
      <c r="BW134" s="138">
        <v>4</v>
      </c>
      <c r="BX134" s="138"/>
      <c r="BY134" s="138"/>
      <c r="BZ134" s="138"/>
      <c r="CA134" s="138"/>
      <c r="CB134" s="138"/>
      <c r="CC134" s="138">
        <v>10</v>
      </c>
      <c r="CD134" s="138">
        <v>6</v>
      </c>
      <c r="CE134" s="138"/>
      <c r="CF134" s="139">
        <v>159</v>
      </c>
    </row>
    <row r="135" spans="1:84" ht="13.5" x14ac:dyDescent="0.15">
      <c r="A135" s="144" t="s">
        <v>117</v>
      </c>
      <c r="B135" s="144" t="s">
        <v>118</v>
      </c>
      <c r="C135" s="138" t="s">
        <v>68</v>
      </c>
      <c r="D135" s="138"/>
      <c r="E135" s="138"/>
      <c r="F135" s="138">
        <v>5</v>
      </c>
      <c r="G135" s="138"/>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38"/>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v>3</v>
      </c>
      <c r="CD135" s="138"/>
      <c r="CE135" s="138"/>
      <c r="CF135" s="139">
        <v>8</v>
      </c>
    </row>
    <row r="136" spans="1:84" ht="13.5" x14ac:dyDescent="0.15">
      <c r="A136" s="144" t="s">
        <v>338</v>
      </c>
      <c r="B136" s="144" t="s">
        <v>339</v>
      </c>
      <c r="C136" s="138" t="s">
        <v>68</v>
      </c>
      <c r="D136" s="138"/>
      <c r="E136" s="138">
        <v>2</v>
      </c>
      <c r="F136" s="138"/>
      <c r="G136" s="138"/>
      <c r="H136" s="138"/>
      <c r="I136" s="138"/>
      <c r="J136" s="138">
        <v>2</v>
      </c>
      <c r="K136" s="138"/>
      <c r="L136" s="138"/>
      <c r="M136" s="138"/>
      <c r="N136" s="138"/>
      <c r="O136" s="138"/>
      <c r="P136" s="138"/>
      <c r="Q136" s="138"/>
      <c r="R136" s="138">
        <v>3</v>
      </c>
      <c r="S136" s="138"/>
      <c r="T136" s="138"/>
      <c r="U136" s="138"/>
      <c r="V136" s="138"/>
      <c r="W136" s="138"/>
      <c r="X136" s="138">
        <v>3</v>
      </c>
      <c r="Y136" s="138"/>
      <c r="Z136" s="138"/>
      <c r="AA136" s="138"/>
      <c r="AB136" s="138"/>
      <c r="AC136" s="138"/>
      <c r="AD136" s="138"/>
      <c r="AE136" s="138"/>
      <c r="AF136" s="138"/>
      <c r="AG136" s="138"/>
      <c r="AH136" s="138"/>
      <c r="AI136" s="138"/>
      <c r="AJ136" s="138"/>
      <c r="AK136" s="138">
        <v>5</v>
      </c>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v>2</v>
      </c>
      <c r="BZ136" s="138"/>
      <c r="CA136" s="138"/>
      <c r="CB136" s="138"/>
      <c r="CC136" s="138">
        <v>3</v>
      </c>
      <c r="CD136" s="138"/>
      <c r="CE136" s="138">
        <v>4</v>
      </c>
      <c r="CF136" s="139">
        <v>24</v>
      </c>
    </row>
    <row r="137" spans="1:84" ht="13.5" x14ac:dyDescent="0.15">
      <c r="A137" s="144" t="s">
        <v>340</v>
      </c>
      <c r="B137" s="144" t="s">
        <v>341</v>
      </c>
      <c r="C137" s="138" t="s">
        <v>68</v>
      </c>
      <c r="D137" s="138"/>
      <c r="E137" s="138"/>
      <c r="F137" s="138">
        <v>3</v>
      </c>
      <c r="G137" s="138"/>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v>2</v>
      </c>
      <c r="AE137" s="138"/>
      <c r="AF137" s="138">
        <v>2</v>
      </c>
      <c r="AG137" s="138"/>
      <c r="AH137" s="138"/>
      <c r="AI137" s="138"/>
      <c r="AJ137" s="138"/>
      <c r="AK137" s="138">
        <v>3</v>
      </c>
      <c r="AL137" s="138"/>
      <c r="AM137" s="138">
        <v>1</v>
      </c>
      <c r="AN137" s="138"/>
      <c r="AO137" s="138"/>
      <c r="AP137" s="138">
        <v>3</v>
      </c>
      <c r="AQ137" s="138"/>
      <c r="AR137" s="138"/>
      <c r="AS137" s="138"/>
      <c r="AT137" s="138"/>
      <c r="AU137" s="138"/>
      <c r="AV137" s="138"/>
      <c r="AW137" s="138"/>
      <c r="AX137" s="138"/>
      <c r="AY137" s="138"/>
      <c r="AZ137" s="138"/>
      <c r="BA137" s="138"/>
      <c r="BB137" s="138"/>
      <c r="BC137" s="138"/>
      <c r="BD137" s="138">
        <v>3</v>
      </c>
      <c r="BE137" s="138"/>
      <c r="BF137" s="138"/>
      <c r="BG137" s="138"/>
      <c r="BH137" s="138"/>
      <c r="BI137" s="138"/>
      <c r="BJ137" s="138"/>
      <c r="BK137" s="138"/>
      <c r="BL137" s="138"/>
      <c r="BM137" s="138"/>
      <c r="BN137" s="138"/>
      <c r="BO137" s="138"/>
      <c r="BP137" s="138"/>
      <c r="BQ137" s="138"/>
      <c r="BR137" s="138"/>
      <c r="BS137" s="138"/>
      <c r="BT137" s="138"/>
      <c r="BU137" s="138"/>
      <c r="BV137" s="138"/>
      <c r="BW137" s="138"/>
      <c r="BX137" s="138"/>
      <c r="BY137" s="138"/>
      <c r="BZ137" s="138"/>
      <c r="CA137" s="138"/>
      <c r="CB137" s="138"/>
      <c r="CC137" s="138">
        <v>10</v>
      </c>
      <c r="CD137" s="138"/>
      <c r="CE137" s="138"/>
      <c r="CF137" s="139">
        <v>27</v>
      </c>
    </row>
    <row r="138" spans="1:84" ht="13.5" x14ac:dyDescent="0.15">
      <c r="A138" s="144" t="s">
        <v>976</v>
      </c>
      <c r="B138" s="144" t="s">
        <v>977</v>
      </c>
      <c r="C138" s="138" t="s">
        <v>68</v>
      </c>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38"/>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v>1</v>
      </c>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9">
        <v>1</v>
      </c>
    </row>
    <row r="139" spans="1:84" ht="13.5" x14ac:dyDescent="0.15">
      <c r="A139" s="144" t="s">
        <v>28</v>
      </c>
      <c r="B139" s="144" t="s">
        <v>75</v>
      </c>
      <c r="C139" s="138" t="s">
        <v>68</v>
      </c>
      <c r="D139" s="138"/>
      <c r="E139" s="138"/>
      <c r="F139" s="138">
        <v>10</v>
      </c>
      <c r="G139" s="138">
        <v>2</v>
      </c>
      <c r="H139" s="138"/>
      <c r="I139" s="138"/>
      <c r="J139" s="138"/>
      <c r="K139" s="138">
        <v>5</v>
      </c>
      <c r="L139" s="138"/>
      <c r="M139" s="138"/>
      <c r="N139" s="138"/>
      <c r="O139" s="138"/>
      <c r="P139" s="138"/>
      <c r="Q139" s="138"/>
      <c r="R139" s="138"/>
      <c r="S139" s="138"/>
      <c r="T139" s="138">
        <v>3</v>
      </c>
      <c r="U139" s="138"/>
      <c r="V139" s="138"/>
      <c r="W139" s="138">
        <v>2</v>
      </c>
      <c r="X139" s="138"/>
      <c r="Y139" s="138">
        <v>3</v>
      </c>
      <c r="Z139" s="138"/>
      <c r="AA139" s="138"/>
      <c r="AB139" s="138"/>
      <c r="AC139" s="138">
        <v>4</v>
      </c>
      <c r="AD139" s="138"/>
      <c r="AE139" s="138">
        <v>2</v>
      </c>
      <c r="AF139" s="138"/>
      <c r="AG139" s="138"/>
      <c r="AH139" s="138"/>
      <c r="AI139" s="138"/>
      <c r="AJ139" s="138"/>
      <c r="AK139" s="138">
        <v>5</v>
      </c>
      <c r="AL139" s="138"/>
      <c r="AM139" s="138">
        <v>4</v>
      </c>
      <c r="AN139" s="138"/>
      <c r="AO139" s="138"/>
      <c r="AP139" s="138"/>
      <c r="AQ139" s="138"/>
      <c r="AR139" s="138">
        <v>3</v>
      </c>
      <c r="AS139" s="138">
        <v>4</v>
      </c>
      <c r="AT139" s="138"/>
      <c r="AU139" s="138"/>
      <c r="AV139" s="138">
        <v>6</v>
      </c>
      <c r="AW139" s="138"/>
      <c r="AX139" s="138"/>
      <c r="AY139" s="138">
        <v>8</v>
      </c>
      <c r="AZ139" s="138"/>
      <c r="BA139" s="138">
        <v>2</v>
      </c>
      <c r="BB139" s="138"/>
      <c r="BC139" s="138"/>
      <c r="BD139" s="138"/>
      <c r="BE139" s="138"/>
      <c r="BF139" s="138">
        <v>5</v>
      </c>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v>10</v>
      </c>
      <c r="CD139" s="138"/>
      <c r="CE139" s="138"/>
      <c r="CF139" s="139">
        <v>78</v>
      </c>
    </row>
    <row r="140" spans="1:84" ht="13.5" x14ac:dyDescent="0.15">
      <c r="A140" s="144" t="s">
        <v>119</v>
      </c>
      <c r="B140" s="144" t="s">
        <v>120</v>
      </c>
      <c r="C140" s="138" t="s">
        <v>68</v>
      </c>
      <c r="D140" s="138"/>
      <c r="E140" s="138"/>
      <c r="F140" s="138"/>
      <c r="G140" s="138"/>
      <c r="H140" s="138"/>
      <c r="I140" s="138"/>
      <c r="J140" s="138"/>
      <c r="K140" s="138"/>
      <c r="L140" s="138">
        <v>3</v>
      </c>
      <c r="M140" s="138"/>
      <c r="N140" s="138"/>
      <c r="O140" s="138"/>
      <c r="P140" s="138"/>
      <c r="Q140" s="138"/>
      <c r="R140" s="138"/>
      <c r="S140" s="138"/>
      <c r="T140" s="138"/>
      <c r="U140" s="138"/>
      <c r="V140" s="138"/>
      <c r="W140" s="138"/>
      <c r="X140" s="138"/>
      <c r="Y140" s="138"/>
      <c r="Z140" s="138"/>
      <c r="AA140" s="138"/>
      <c r="AB140" s="138"/>
      <c r="AC140" s="138"/>
      <c r="AD140" s="138"/>
      <c r="AE140" s="138"/>
      <c r="AF140" s="138"/>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v>2</v>
      </c>
      <c r="BA140" s="138"/>
      <c r="BB140" s="138"/>
      <c r="BC140" s="138"/>
      <c r="BD140" s="138"/>
      <c r="BE140" s="138"/>
      <c r="BF140" s="138"/>
      <c r="BG140" s="138"/>
      <c r="BH140" s="138"/>
      <c r="BI140" s="138"/>
      <c r="BJ140" s="138"/>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9">
        <v>5</v>
      </c>
    </row>
    <row r="141" spans="1:84" ht="13.5" x14ac:dyDescent="0.15">
      <c r="A141" s="144" t="s">
        <v>242</v>
      </c>
      <c r="B141" s="144" t="s">
        <v>243</v>
      </c>
      <c r="C141" s="138" t="s">
        <v>68</v>
      </c>
      <c r="D141" s="138"/>
      <c r="E141" s="138">
        <v>2</v>
      </c>
      <c r="F141" s="138"/>
      <c r="G141" s="138"/>
      <c r="H141" s="138"/>
      <c r="I141" s="138"/>
      <c r="J141" s="138">
        <v>4</v>
      </c>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38"/>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c r="BN141" s="138"/>
      <c r="BO141" s="138"/>
      <c r="BP141" s="138"/>
      <c r="BQ141" s="138"/>
      <c r="BR141" s="138"/>
      <c r="BS141" s="138"/>
      <c r="BT141" s="138"/>
      <c r="BU141" s="138"/>
      <c r="BV141" s="138"/>
      <c r="BW141" s="138"/>
      <c r="BX141" s="138"/>
      <c r="BY141" s="138"/>
      <c r="BZ141" s="138"/>
      <c r="CA141" s="138"/>
      <c r="CB141" s="138"/>
      <c r="CC141" s="138">
        <v>10</v>
      </c>
      <c r="CD141" s="138"/>
      <c r="CE141" s="138"/>
      <c r="CF141" s="139">
        <v>16</v>
      </c>
    </row>
    <row r="142" spans="1:84" ht="13.5" x14ac:dyDescent="0.15">
      <c r="A142" s="144" t="s">
        <v>89</v>
      </c>
      <c r="B142" s="144" t="s">
        <v>90</v>
      </c>
      <c r="C142" s="138" t="s">
        <v>68</v>
      </c>
      <c r="D142" s="138"/>
      <c r="E142" s="138">
        <v>1</v>
      </c>
      <c r="F142" s="138">
        <v>5</v>
      </c>
      <c r="G142" s="138"/>
      <c r="H142" s="138"/>
      <c r="I142" s="138">
        <v>3</v>
      </c>
      <c r="J142" s="138">
        <v>4</v>
      </c>
      <c r="K142" s="138"/>
      <c r="L142" s="138"/>
      <c r="M142" s="138"/>
      <c r="N142" s="138"/>
      <c r="O142" s="138"/>
      <c r="P142" s="138"/>
      <c r="Q142" s="138"/>
      <c r="R142" s="138">
        <v>2</v>
      </c>
      <c r="S142" s="138"/>
      <c r="T142" s="138">
        <v>2</v>
      </c>
      <c r="U142" s="138">
        <v>2</v>
      </c>
      <c r="V142" s="138"/>
      <c r="W142" s="138"/>
      <c r="X142" s="138"/>
      <c r="Y142" s="138"/>
      <c r="Z142" s="138"/>
      <c r="AA142" s="138"/>
      <c r="AB142" s="138"/>
      <c r="AC142" s="138"/>
      <c r="AD142" s="138"/>
      <c r="AE142" s="138"/>
      <c r="AF142" s="138"/>
      <c r="AG142" s="138"/>
      <c r="AH142" s="138">
        <v>2</v>
      </c>
      <c r="AI142" s="138"/>
      <c r="AJ142" s="138"/>
      <c r="AK142" s="138"/>
      <c r="AL142" s="138"/>
      <c r="AM142" s="138"/>
      <c r="AN142" s="138"/>
      <c r="AO142" s="138"/>
      <c r="AP142" s="138"/>
      <c r="AQ142" s="138"/>
      <c r="AR142" s="138"/>
      <c r="AS142" s="138">
        <v>2</v>
      </c>
      <c r="AT142" s="138"/>
      <c r="AU142" s="138"/>
      <c r="AV142" s="138">
        <v>2</v>
      </c>
      <c r="AW142" s="138">
        <v>2</v>
      </c>
      <c r="AX142" s="138">
        <v>2</v>
      </c>
      <c r="AY142" s="138"/>
      <c r="AZ142" s="138"/>
      <c r="BA142" s="138"/>
      <c r="BB142" s="138"/>
      <c r="BC142" s="138"/>
      <c r="BD142" s="138"/>
      <c r="BE142" s="138">
        <v>1</v>
      </c>
      <c r="BF142" s="138">
        <v>2</v>
      </c>
      <c r="BG142" s="138"/>
      <c r="BH142" s="138"/>
      <c r="BI142" s="138"/>
      <c r="BJ142" s="138"/>
      <c r="BK142" s="138"/>
      <c r="BL142" s="138"/>
      <c r="BM142" s="138"/>
      <c r="BN142" s="138"/>
      <c r="BO142" s="138"/>
      <c r="BP142" s="138"/>
      <c r="BQ142" s="138"/>
      <c r="BR142" s="138"/>
      <c r="BS142" s="138"/>
      <c r="BT142" s="138"/>
      <c r="BU142" s="138"/>
      <c r="BV142" s="138"/>
      <c r="BW142" s="138"/>
      <c r="BX142" s="138"/>
      <c r="BY142" s="138"/>
      <c r="BZ142" s="138"/>
      <c r="CA142" s="138"/>
      <c r="CB142" s="138"/>
      <c r="CC142" s="138">
        <v>2</v>
      </c>
      <c r="CD142" s="138"/>
      <c r="CE142" s="138"/>
      <c r="CF142" s="139">
        <v>34</v>
      </c>
    </row>
    <row r="143" spans="1:84" ht="13.5" x14ac:dyDescent="0.15">
      <c r="A143" s="144" t="s">
        <v>546</v>
      </c>
      <c r="B143" s="144" t="s">
        <v>547</v>
      </c>
      <c r="C143" s="138" t="s">
        <v>68</v>
      </c>
      <c r="D143" s="138"/>
      <c r="E143" s="138"/>
      <c r="F143" s="138">
        <v>3</v>
      </c>
      <c r="G143" s="138"/>
      <c r="H143" s="138"/>
      <c r="I143" s="138"/>
      <c r="J143" s="138">
        <v>2</v>
      </c>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38"/>
      <c r="AG143" s="138"/>
      <c r="AH143" s="138"/>
      <c r="AI143" s="138"/>
      <c r="AJ143" s="138"/>
      <c r="AK143" s="138">
        <v>3</v>
      </c>
      <c r="AL143" s="138"/>
      <c r="AM143" s="138"/>
      <c r="AN143" s="138"/>
      <c r="AO143" s="138"/>
      <c r="AP143" s="138">
        <v>3</v>
      </c>
      <c r="AQ143" s="138"/>
      <c r="AR143" s="138"/>
      <c r="AS143" s="138"/>
      <c r="AT143" s="138">
        <v>1</v>
      </c>
      <c r="AU143" s="138"/>
      <c r="AV143" s="138"/>
      <c r="AW143" s="138"/>
      <c r="AX143" s="138"/>
      <c r="AY143" s="138"/>
      <c r="AZ143" s="138"/>
      <c r="BA143" s="138"/>
      <c r="BB143" s="138">
        <v>2</v>
      </c>
      <c r="BC143" s="138"/>
      <c r="BD143" s="138"/>
      <c r="BE143" s="138"/>
      <c r="BF143" s="138"/>
      <c r="BG143" s="138"/>
      <c r="BH143" s="138"/>
      <c r="BI143" s="138"/>
      <c r="BJ143" s="138"/>
      <c r="BK143" s="138"/>
      <c r="BL143" s="138"/>
      <c r="BM143" s="138"/>
      <c r="BN143" s="138"/>
      <c r="BO143" s="138"/>
      <c r="BP143" s="138"/>
      <c r="BQ143" s="138"/>
      <c r="BR143" s="138">
        <v>2</v>
      </c>
      <c r="BS143" s="138"/>
      <c r="BT143" s="138"/>
      <c r="BU143" s="138"/>
      <c r="BV143" s="138"/>
      <c r="BW143" s="138"/>
      <c r="BX143" s="138"/>
      <c r="BY143" s="138"/>
      <c r="BZ143" s="138"/>
      <c r="CA143" s="138"/>
      <c r="CB143" s="138">
        <v>10</v>
      </c>
      <c r="CC143" s="138">
        <v>2</v>
      </c>
      <c r="CD143" s="138"/>
      <c r="CE143" s="138"/>
      <c r="CF143" s="139">
        <v>28</v>
      </c>
    </row>
    <row r="144" spans="1:84" ht="13.5" x14ac:dyDescent="0.15">
      <c r="A144" s="144" t="s">
        <v>280</v>
      </c>
      <c r="B144" s="144" t="s">
        <v>281</v>
      </c>
      <c r="C144" s="138" t="s">
        <v>68</v>
      </c>
      <c r="D144" s="138">
        <v>2</v>
      </c>
      <c r="E144" s="138">
        <v>1</v>
      </c>
      <c r="F144" s="138"/>
      <c r="G144" s="138">
        <v>2</v>
      </c>
      <c r="H144" s="138"/>
      <c r="I144" s="138">
        <v>3</v>
      </c>
      <c r="J144" s="138">
        <v>2</v>
      </c>
      <c r="K144" s="138">
        <v>2</v>
      </c>
      <c r="L144" s="138"/>
      <c r="M144" s="138"/>
      <c r="N144" s="138"/>
      <c r="O144" s="138"/>
      <c r="P144" s="138"/>
      <c r="Q144" s="138"/>
      <c r="R144" s="138"/>
      <c r="S144" s="138"/>
      <c r="T144" s="138"/>
      <c r="U144" s="138"/>
      <c r="V144" s="138"/>
      <c r="W144" s="138"/>
      <c r="X144" s="138"/>
      <c r="Y144" s="138"/>
      <c r="Z144" s="138"/>
      <c r="AA144" s="138"/>
      <c r="AB144" s="138"/>
      <c r="AC144" s="138"/>
      <c r="AD144" s="138"/>
      <c r="AE144" s="138"/>
      <c r="AF144" s="138"/>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v>1</v>
      </c>
      <c r="BK144" s="138"/>
      <c r="BL144" s="138"/>
      <c r="BM144" s="138"/>
      <c r="BN144" s="138"/>
      <c r="BO144" s="138"/>
      <c r="BP144" s="138"/>
      <c r="BQ144" s="138"/>
      <c r="BR144" s="138"/>
      <c r="BS144" s="138"/>
      <c r="BT144" s="138"/>
      <c r="BU144" s="138"/>
      <c r="BV144" s="138">
        <v>4</v>
      </c>
      <c r="BW144" s="138"/>
      <c r="BX144" s="138">
        <v>3</v>
      </c>
      <c r="BY144" s="138"/>
      <c r="BZ144" s="138"/>
      <c r="CA144" s="138"/>
      <c r="CB144" s="138"/>
      <c r="CC144" s="138">
        <v>2</v>
      </c>
      <c r="CD144" s="138"/>
      <c r="CE144" s="138"/>
      <c r="CF144" s="139">
        <v>22</v>
      </c>
    </row>
    <row r="145" spans="1:84" ht="13.5" x14ac:dyDescent="0.15">
      <c r="A145" s="144" t="s">
        <v>156</v>
      </c>
      <c r="B145" s="144" t="s">
        <v>157</v>
      </c>
      <c r="C145" s="138" t="s">
        <v>68</v>
      </c>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38"/>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v>1</v>
      </c>
      <c r="BI145" s="138">
        <v>1</v>
      </c>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9">
        <v>2</v>
      </c>
    </row>
    <row r="146" spans="1:84" ht="13.5" x14ac:dyDescent="0.15">
      <c r="A146" s="144" t="s">
        <v>283</v>
      </c>
      <c r="B146" s="144" t="s">
        <v>284</v>
      </c>
      <c r="C146" s="138" t="s">
        <v>68</v>
      </c>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38"/>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v>4</v>
      </c>
      <c r="BW146" s="138">
        <v>2</v>
      </c>
      <c r="BX146" s="138"/>
      <c r="BY146" s="138"/>
      <c r="BZ146" s="138"/>
      <c r="CA146" s="138"/>
      <c r="CB146" s="138"/>
      <c r="CC146" s="138">
        <v>6</v>
      </c>
      <c r="CD146" s="138">
        <v>4</v>
      </c>
      <c r="CE146" s="138">
        <v>3</v>
      </c>
      <c r="CF146" s="139">
        <v>19</v>
      </c>
    </row>
    <row r="147" spans="1:84" ht="13.5" x14ac:dyDescent="0.15">
      <c r="A147" s="144" t="s">
        <v>503</v>
      </c>
      <c r="B147" s="144" t="s">
        <v>504</v>
      </c>
      <c r="C147" s="138" t="s">
        <v>68</v>
      </c>
      <c r="D147" s="138"/>
      <c r="E147" s="138">
        <v>3</v>
      </c>
      <c r="F147" s="138"/>
      <c r="G147" s="138"/>
      <c r="H147" s="138"/>
      <c r="I147" s="138"/>
      <c r="J147" s="138"/>
      <c r="K147" s="138"/>
      <c r="L147" s="138"/>
      <c r="M147" s="138"/>
      <c r="N147" s="138"/>
      <c r="O147" s="138"/>
      <c r="P147" s="138"/>
      <c r="Q147" s="138"/>
      <c r="R147" s="138"/>
      <c r="S147" s="138"/>
      <c r="T147" s="138"/>
      <c r="U147" s="138"/>
      <c r="V147" s="138"/>
      <c r="W147" s="138"/>
      <c r="X147" s="138"/>
      <c r="Y147" s="138"/>
      <c r="Z147" s="138"/>
      <c r="AA147" s="138"/>
      <c r="AB147" s="138"/>
      <c r="AC147" s="138"/>
      <c r="AD147" s="138"/>
      <c r="AE147" s="138"/>
      <c r="AF147" s="138">
        <v>10</v>
      </c>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v>3</v>
      </c>
      <c r="BK147" s="138"/>
      <c r="BL147" s="138"/>
      <c r="BM147" s="138"/>
      <c r="BN147" s="138"/>
      <c r="BO147" s="138"/>
      <c r="BP147" s="138"/>
      <c r="BQ147" s="138"/>
      <c r="BR147" s="138"/>
      <c r="BS147" s="138"/>
      <c r="BT147" s="138"/>
      <c r="BU147" s="138"/>
      <c r="BV147" s="138">
        <v>6</v>
      </c>
      <c r="BW147" s="138">
        <v>2</v>
      </c>
      <c r="BX147" s="138">
        <v>8</v>
      </c>
      <c r="BY147" s="138"/>
      <c r="BZ147" s="138"/>
      <c r="CA147" s="138"/>
      <c r="CB147" s="138"/>
      <c r="CC147" s="138"/>
      <c r="CD147" s="138"/>
      <c r="CE147" s="138">
        <v>3</v>
      </c>
      <c r="CF147" s="139">
        <v>35</v>
      </c>
    </row>
    <row r="148" spans="1:84" ht="13.5" x14ac:dyDescent="0.15">
      <c r="A148" s="144" t="s">
        <v>1010</v>
      </c>
      <c r="B148" s="144" t="s">
        <v>1011</v>
      </c>
      <c r="C148" s="138" t="s">
        <v>68</v>
      </c>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38"/>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v>10</v>
      </c>
      <c r="BI148" s="138">
        <v>10</v>
      </c>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v>4</v>
      </c>
      <c r="CD148" s="138"/>
      <c r="CE148" s="138"/>
      <c r="CF148" s="139">
        <v>24</v>
      </c>
    </row>
    <row r="149" spans="1:84" ht="13.5" x14ac:dyDescent="0.15">
      <c r="A149" s="144" t="s">
        <v>756</v>
      </c>
      <c r="B149" s="144" t="s">
        <v>757</v>
      </c>
      <c r="C149" s="138" t="s">
        <v>68</v>
      </c>
      <c r="D149" s="138">
        <v>3</v>
      </c>
      <c r="E149" s="138"/>
      <c r="F149" s="138"/>
      <c r="G149" s="138"/>
      <c r="H149" s="138"/>
      <c r="I149" s="138"/>
      <c r="J149" s="138">
        <v>12</v>
      </c>
      <c r="K149" s="138"/>
      <c r="L149" s="138"/>
      <c r="M149" s="138"/>
      <c r="N149" s="138"/>
      <c r="O149" s="138"/>
      <c r="P149" s="138"/>
      <c r="Q149" s="138"/>
      <c r="R149" s="138"/>
      <c r="S149" s="138">
        <v>5</v>
      </c>
      <c r="T149" s="138"/>
      <c r="U149" s="138">
        <v>5</v>
      </c>
      <c r="V149" s="138"/>
      <c r="W149" s="138"/>
      <c r="X149" s="138">
        <v>6</v>
      </c>
      <c r="Y149" s="138"/>
      <c r="Z149" s="138"/>
      <c r="AA149" s="138"/>
      <c r="AB149" s="138"/>
      <c r="AC149" s="138"/>
      <c r="AD149" s="138"/>
      <c r="AE149" s="138"/>
      <c r="AF149" s="138"/>
      <c r="AG149" s="138"/>
      <c r="AH149" s="138">
        <v>10</v>
      </c>
      <c r="AI149" s="138"/>
      <c r="AJ149" s="138"/>
      <c r="AK149" s="138"/>
      <c r="AL149" s="138"/>
      <c r="AM149" s="138"/>
      <c r="AN149" s="138"/>
      <c r="AO149" s="138">
        <v>2</v>
      </c>
      <c r="AP149" s="138"/>
      <c r="AQ149" s="138"/>
      <c r="AR149" s="138">
        <v>3</v>
      </c>
      <c r="AS149" s="138"/>
      <c r="AT149" s="138">
        <v>4</v>
      </c>
      <c r="AU149" s="138"/>
      <c r="AV149" s="138"/>
      <c r="AW149" s="138"/>
      <c r="AX149" s="138"/>
      <c r="AY149" s="138"/>
      <c r="AZ149" s="138">
        <v>2</v>
      </c>
      <c r="BA149" s="138"/>
      <c r="BB149" s="138"/>
      <c r="BC149" s="138"/>
      <c r="BD149" s="138"/>
      <c r="BE149" s="138"/>
      <c r="BF149" s="138"/>
      <c r="BG149" s="138"/>
      <c r="BH149" s="138"/>
      <c r="BI149" s="138"/>
      <c r="BJ149" s="138">
        <v>5</v>
      </c>
      <c r="BK149" s="138"/>
      <c r="BL149" s="138"/>
      <c r="BM149" s="138"/>
      <c r="BN149" s="138"/>
      <c r="BO149" s="138"/>
      <c r="BP149" s="138"/>
      <c r="BQ149" s="138"/>
      <c r="BR149" s="138"/>
      <c r="BS149" s="138"/>
      <c r="BT149" s="138"/>
      <c r="BU149" s="138"/>
      <c r="BV149" s="138"/>
      <c r="BW149" s="138"/>
      <c r="BX149" s="138"/>
      <c r="BY149" s="138"/>
      <c r="BZ149" s="138"/>
      <c r="CA149" s="138"/>
      <c r="CB149" s="138"/>
      <c r="CC149" s="138">
        <v>12</v>
      </c>
      <c r="CD149" s="138"/>
      <c r="CE149" s="138">
        <v>3</v>
      </c>
      <c r="CF149" s="139">
        <v>72</v>
      </c>
    </row>
    <row r="150" spans="1:84" ht="13.5" x14ac:dyDescent="0.15">
      <c r="A150" s="144" t="s">
        <v>556</v>
      </c>
      <c r="B150" s="144" t="s">
        <v>557</v>
      </c>
      <c r="C150" s="138" t="s">
        <v>68</v>
      </c>
      <c r="D150" s="138"/>
      <c r="E150" s="138"/>
      <c r="F150" s="138"/>
      <c r="G150" s="138"/>
      <c r="H150" s="138"/>
      <c r="I150" s="138"/>
      <c r="J150" s="138"/>
      <c r="K150" s="138">
        <v>10</v>
      </c>
      <c r="L150" s="138"/>
      <c r="M150" s="138"/>
      <c r="N150" s="138"/>
      <c r="O150" s="138"/>
      <c r="P150" s="138"/>
      <c r="Q150" s="138">
        <v>5</v>
      </c>
      <c r="R150" s="138">
        <v>8</v>
      </c>
      <c r="S150" s="138"/>
      <c r="T150" s="138"/>
      <c r="U150" s="138"/>
      <c r="V150" s="138">
        <v>8</v>
      </c>
      <c r="W150" s="138"/>
      <c r="X150" s="138">
        <v>6</v>
      </c>
      <c r="Y150" s="138"/>
      <c r="Z150" s="138"/>
      <c r="AA150" s="138"/>
      <c r="AB150" s="138">
        <v>8</v>
      </c>
      <c r="AC150" s="138"/>
      <c r="AD150" s="138">
        <v>10</v>
      </c>
      <c r="AE150" s="138"/>
      <c r="AF150" s="138"/>
      <c r="AG150" s="138">
        <v>6</v>
      </c>
      <c r="AH150" s="138"/>
      <c r="AI150" s="138"/>
      <c r="AJ150" s="138"/>
      <c r="AK150" s="138">
        <v>10</v>
      </c>
      <c r="AL150" s="138"/>
      <c r="AM150" s="138"/>
      <c r="AN150" s="138">
        <v>10</v>
      </c>
      <c r="AO150" s="138"/>
      <c r="AP150" s="138"/>
      <c r="AQ150" s="138"/>
      <c r="AR150" s="138"/>
      <c r="AS150" s="138"/>
      <c r="AT150" s="138"/>
      <c r="AU150" s="138">
        <v>10</v>
      </c>
      <c r="AV150" s="138">
        <v>10</v>
      </c>
      <c r="AW150" s="138">
        <v>10</v>
      </c>
      <c r="AX150" s="138"/>
      <c r="AY150" s="138">
        <v>10</v>
      </c>
      <c r="AZ150" s="138"/>
      <c r="BA150" s="138">
        <v>10</v>
      </c>
      <c r="BB150" s="138"/>
      <c r="BC150" s="138"/>
      <c r="BD150" s="138"/>
      <c r="BE150" s="138"/>
      <c r="BF150" s="138">
        <v>4</v>
      </c>
      <c r="BG150" s="138">
        <v>4</v>
      </c>
      <c r="BH150" s="138"/>
      <c r="BI150" s="138"/>
      <c r="BJ150" s="138">
        <v>4</v>
      </c>
      <c r="BK150" s="138"/>
      <c r="BL150" s="138"/>
      <c r="BM150" s="138"/>
      <c r="BN150" s="138"/>
      <c r="BO150" s="138"/>
      <c r="BP150" s="138"/>
      <c r="BQ150" s="138"/>
      <c r="BR150" s="138"/>
      <c r="BS150" s="138"/>
      <c r="BT150" s="138"/>
      <c r="BU150" s="138"/>
      <c r="BV150" s="138"/>
      <c r="BW150" s="138"/>
      <c r="BX150" s="138"/>
      <c r="BY150" s="138">
        <v>4</v>
      </c>
      <c r="BZ150" s="138"/>
      <c r="CA150" s="138"/>
      <c r="CB150" s="138"/>
      <c r="CC150" s="138">
        <v>10</v>
      </c>
      <c r="CD150" s="138"/>
      <c r="CE150" s="138">
        <v>2</v>
      </c>
      <c r="CF150" s="139">
        <v>159</v>
      </c>
    </row>
    <row r="151" spans="1:84" ht="13.5" x14ac:dyDescent="0.15">
      <c r="A151" s="144" t="s">
        <v>471</v>
      </c>
      <c r="B151" s="144" t="s">
        <v>472</v>
      </c>
      <c r="C151" s="138" t="s">
        <v>68</v>
      </c>
      <c r="D151" s="138"/>
      <c r="E151" s="138"/>
      <c r="F151" s="138"/>
      <c r="G151" s="138"/>
      <c r="H151" s="138"/>
      <c r="I151" s="138"/>
      <c r="J151" s="138">
        <v>2</v>
      </c>
      <c r="K151" s="138">
        <v>5</v>
      </c>
      <c r="L151" s="138"/>
      <c r="M151" s="138"/>
      <c r="N151" s="138"/>
      <c r="O151" s="138"/>
      <c r="P151" s="138"/>
      <c r="Q151" s="138"/>
      <c r="R151" s="138"/>
      <c r="S151" s="138"/>
      <c r="T151" s="138"/>
      <c r="U151" s="138"/>
      <c r="V151" s="138"/>
      <c r="W151" s="138"/>
      <c r="X151" s="138"/>
      <c r="Y151" s="138"/>
      <c r="Z151" s="138"/>
      <c r="AA151" s="138"/>
      <c r="AB151" s="138"/>
      <c r="AC151" s="138"/>
      <c r="AD151" s="138"/>
      <c r="AE151" s="138"/>
      <c r="AF151" s="138"/>
      <c r="AG151" s="138"/>
      <c r="AH151" s="138"/>
      <c r="AI151" s="138"/>
      <c r="AJ151" s="138"/>
      <c r="AK151" s="138"/>
      <c r="AL151" s="138"/>
      <c r="AM151" s="138"/>
      <c r="AN151" s="138"/>
      <c r="AO151" s="138"/>
      <c r="AP151" s="138"/>
      <c r="AQ151" s="138"/>
      <c r="AR151" s="138"/>
      <c r="AS151" s="138"/>
      <c r="AT151" s="138"/>
      <c r="AU151" s="138"/>
      <c r="AV151" s="138"/>
      <c r="AW151" s="138"/>
      <c r="AX151" s="138">
        <v>2</v>
      </c>
      <c r="AY151" s="138"/>
      <c r="AZ151" s="138"/>
      <c r="BA151" s="138">
        <v>2</v>
      </c>
      <c r="BB151" s="138"/>
      <c r="BC151" s="138"/>
      <c r="BD151" s="138"/>
      <c r="BE151" s="138"/>
      <c r="BF151" s="138">
        <v>2</v>
      </c>
      <c r="BG151" s="138"/>
      <c r="BH151" s="138"/>
      <c r="BI151" s="138"/>
      <c r="BJ151" s="138"/>
      <c r="BK151" s="138"/>
      <c r="BL151" s="138"/>
      <c r="BM151" s="138"/>
      <c r="BN151" s="138"/>
      <c r="BO151" s="138"/>
      <c r="BP151" s="138"/>
      <c r="BQ151" s="138"/>
      <c r="BR151" s="138"/>
      <c r="BS151" s="138"/>
      <c r="BT151" s="138"/>
      <c r="BU151" s="138"/>
      <c r="BV151" s="138"/>
      <c r="BW151" s="138"/>
      <c r="BX151" s="138"/>
      <c r="BY151" s="138"/>
      <c r="BZ151" s="138"/>
      <c r="CA151" s="138"/>
      <c r="CB151" s="138"/>
      <c r="CC151" s="138">
        <v>10</v>
      </c>
      <c r="CD151" s="138"/>
      <c r="CE151" s="138"/>
      <c r="CF151" s="139">
        <v>23</v>
      </c>
    </row>
    <row r="152" spans="1:84" ht="13.5" x14ac:dyDescent="0.15">
      <c r="A152" s="144" t="s">
        <v>181</v>
      </c>
      <c r="B152" s="144" t="s">
        <v>182</v>
      </c>
      <c r="C152" s="138" t="s">
        <v>68</v>
      </c>
      <c r="D152" s="138">
        <v>2</v>
      </c>
      <c r="E152" s="138"/>
      <c r="F152" s="138"/>
      <c r="G152" s="138">
        <v>2</v>
      </c>
      <c r="H152" s="138"/>
      <c r="I152" s="138"/>
      <c r="J152" s="138">
        <v>2</v>
      </c>
      <c r="K152" s="138"/>
      <c r="L152" s="138">
        <v>5</v>
      </c>
      <c r="M152" s="138">
        <v>5</v>
      </c>
      <c r="N152" s="138"/>
      <c r="O152" s="138">
        <v>2</v>
      </c>
      <c r="P152" s="138"/>
      <c r="Q152" s="138"/>
      <c r="R152" s="138"/>
      <c r="S152" s="138"/>
      <c r="T152" s="138"/>
      <c r="U152" s="138"/>
      <c r="V152" s="138"/>
      <c r="W152" s="138">
        <v>3</v>
      </c>
      <c r="X152" s="138">
        <v>2</v>
      </c>
      <c r="Y152" s="138"/>
      <c r="Z152" s="138"/>
      <c r="AA152" s="138"/>
      <c r="AB152" s="138"/>
      <c r="AC152" s="138"/>
      <c r="AD152" s="138"/>
      <c r="AE152" s="138"/>
      <c r="AF152" s="138"/>
      <c r="AG152" s="138">
        <v>5</v>
      </c>
      <c r="AH152" s="138">
        <v>3</v>
      </c>
      <c r="AI152" s="138"/>
      <c r="AJ152" s="138"/>
      <c r="AK152" s="138">
        <v>4</v>
      </c>
      <c r="AL152" s="138"/>
      <c r="AM152" s="138"/>
      <c r="AN152" s="138"/>
      <c r="AO152" s="138"/>
      <c r="AP152" s="138"/>
      <c r="AQ152" s="138"/>
      <c r="AR152" s="138">
        <v>2</v>
      </c>
      <c r="AS152" s="138">
        <v>4</v>
      </c>
      <c r="AT152" s="138"/>
      <c r="AU152" s="138"/>
      <c r="AV152" s="138"/>
      <c r="AW152" s="138"/>
      <c r="AX152" s="138"/>
      <c r="AY152" s="138"/>
      <c r="AZ152" s="138"/>
      <c r="BA152" s="138"/>
      <c r="BB152" s="138">
        <v>2</v>
      </c>
      <c r="BC152" s="138"/>
      <c r="BD152" s="138">
        <v>3</v>
      </c>
      <c r="BE152" s="138"/>
      <c r="BF152" s="138"/>
      <c r="BG152" s="138"/>
      <c r="BH152" s="138"/>
      <c r="BI152" s="138"/>
      <c r="BJ152" s="138">
        <v>2</v>
      </c>
      <c r="BK152" s="138"/>
      <c r="BL152" s="138"/>
      <c r="BM152" s="138"/>
      <c r="BN152" s="138"/>
      <c r="BO152" s="138"/>
      <c r="BP152" s="138"/>
      <c r="BQ152" s="138"/>
      <c r="BR152" s="138"/>
      <c r="BS152" s="138"/>
      <c r="BT152" s="138"/>
      <c r="BU152" s="138"/>
      <c r="BV152" s="138"/>
      <c r="BW152" s="138"/>
      <c r="BX152" s="138">
        <v>8</v>
      </c>
      <c r="BY152" s="138"/>
      <c r="BZ152" s="138"/>
      <c r="CA152" s="138"/>
      <c r="CB152" s="138"/>
      <c r="CC152" s="138">
        <v>2</v>
      </c>
      <c r="CD152" s="138"/>
      <c r="CE152" s="138">
        <v>2</v>
      </c>
      <c r="CF152" s="139">
        <v>60</v>
      </c>
    </row>
    <row r="153" spans="1:84" ht="13.5" x14ac:dyDescent="0.15">
      <c r="A153" s="144" t="s">
        <v>678</v>
      </c>
      <c r="B153" s="144" t="s">
        <v>679</v>
      </c>
      <c r="C153" s="138" t="s">
        <v>68</v>
      </c>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v>1</v>
      </c>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9">
        <v>1</v>
      </c>
    </row>
    <row r="154" spans="1:84" ht="13.5" x14ac:dyDescent="0.15">
      <c r="A154" s="144" t="s">
        <v>570</v>
      </c>
      <c r="B154" s="144" t="s">
        <v>571</v>
      </c>
      <c r="C154" s="138" t="s">
        <v>68</v>
      </c>
      <c r="D154" s="138"/>
      <c r="E154" s="138"/>
      <c r="F154" s="138"/>
      <c r="G154" s="138"/>
      <c r="H154" s="138"/>
      <c r="I154" s="138"/>
      <c r="J154" s="138"/>
      <c r="K154" s="138"/>
      <c r="L154" s="138"/>
      <c r="M154" s="138">
        <v>3</v>
      </c>
      <c r="N154" s="138"/>
      <c r="O154" s="138"/>
      <c r="P154" s="138"/>
      <c r="Q154" s="138"/>
      <c r="R154" s="138"/>
      <c r="S154" s="138"/>
      <c r="T154" s="138"/>
      <c r="U154" s="138"/>
      <c r="V154" s="138"/>
      <c r="W154" s="138"/>
      <c r="X154" s="138"/>
      <c r="Y154" s="138"/>
      <c r="Z154" s="138"/>
      <c r="AA154" s="138"/>
      <c r="AB154" s="138"/>
      <c r="AC154" s="138"/>
      <c r="AD154" s="138"/>
      <c r="AE154" s="138"/>
      <c r="AF154" s="138"/>
      <c r="AG154" s="138"/>
      <c r="AH154" s="138"/>
      <c r="AI154" s="138"/>
      <c r="AJ154" s="138"/>
      <c r="AK154" s="138"/>
      <c r="AL154" s="138"/>
      <c r="AM154" s="138"/>
      <c r="AN154" s="138"/>
      <c r="AO154" s="138"/>
      <c r="AP154" s="138">
        <v>5</v>
      </c>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v>4</v>
      </c>
      <c r="CD154" s="138"/>
      <c r="CE154" s="138"/>
      <c r="CF154" s="139">
        <v>12</v>
      </c>
    </row>
    <row r="155" spans="1:84" ht="13.5" x14ac:dyDescent="0.15">
      <c r="A155" s="144" t="s">
        <v>143</v>
      </c>
      <c r="B155" s="144" t="s">
        <v>144</v>
      </c>
      <c r="C155" s="138" t="s">
        <v>68</v>
      </c>
      <c r="D155" s="138"/>
      <c r="E155" s="138"/>
      <c r="F155" s="138"/>
      <c r="G155" s="138"/>
      <c r="H155" s="138"/>
      <c r="I155" s="138">
        <v>5</v>
      </c>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38"/>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9">
        <v>5</v>
      </c>
    </row>
    <row r="156" spans="1:84" ht="13.5" x14ac:dyDescent="0.15">
      <c r="A156" s="144" t="s">
        <v>682</v>
      </c>
      <c r="B156" s="144" t="s">
        <v>683</v>
      </c>
      <c r="C156" s="138" t="s">
        <v>68</v>
      </c>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38"/>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c r="BC156" s="138">
        <v>1</v>
      </c>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9">
        <v>1</v>
      </c>
    </row>
    <row r="157" spans="1:84" ht="13.5" x14ac:dyDescent="0.15">
      <c r="A157" s="144" t="s">
        <v>84</v>
      </c>
      <c r="B157" s="144" t="s">
        <v>85</v>
      </c>
      <c r="C157" s="138" t="s">
        <v>68</v>
      </c>
      <c r="D157" s="138"/>
      <c r="E157" s="138">
        <v>3</v>
      </c>
      <c r="F157" s="138">
        <v>3</v>
      </c>
      <c r="G157" s="138"/>
      <c r="H157" s="138"/>
      <c r="I157" s="138"/>
      <c r="J157" s="138"/>
      <c r="K157" s="138"/>
      <c r="L157" s="138"/>
      <c r="M157" s="138"/>
      <c r="N157" s="138"/>
      <c r="O157" s="138"/>
      <c r="P157" s="138"/>
      <c r="Q157" s="138"/>
      <c r="R157" s="138"/>
      <c r="S157" s="138">
        <v>4</v>
      </c>
      <c r="T157" s="138"/>
      <c r="U157" s="138"/>
      <c r="V157" s="138"/>
      <c r="W157" s="138">
        <v>2</v>
      </c>
      <c r="X157" s="138"/>
      <c r="Y157" s="138"/>
      <c r="Z157" s="138"/>
      <c r="AA157" s="138"/>
      <c r="AB157" s="138"/>
      <c r="AC157" s="138"/>
      <c r="AD157" s="138"/>
      <c r="AE157" s="138"/>
      <c r="AF157" s="138"/>
      <c r="AG157" s="138"/>
      <c r="AH157" s="138"/>
      <c r="AI157" s="138"/>
      <c r="AJ157" s="138"/>
      <c r="AK157" s="138">
        <v>15</v>
      </c>
      <c r="AL157" s="138"/>
      <c r="AM157" s="138"/>
      <c r="AN157" s="138"/>
      <c r="AO157" s="138"/>
      <c r="AP157" s="138"/>
      <c r="AQ157" s="138"/>
      <c r="AR157" s="138"/>
      <c r="AS157" s="138"/>
      <c r="AT157" s="138">
        <v>2</v>
      </c>
      <c r="AU157" s="138"/>
      <c r="AV157" s="138"/>
      <c r="AW157" s="138">
        <v>5</v>
      </c>
      <c r="AX157" s="138"/>
      <c r="AY157" s="138"/>
      <c r="AZ157" s="138"/>
      <c r="BA157" s="138"/>
      <c r="BB157" s="138"/>
      <c r="BC157" s="138"/>
      <c r="BD157" s="138"/>
      <c r="BE157" s="138"/>
      <c r="BF157" s="138"/>
      <c r="BG157" s="138"/>
      <c r="BH157" s="138"/>
      <c r="BI157" s="138">
        <v>20</v>
      </c>
      <c r="BJ157" s="138">
        <v>4</v>
      </c>
      <c r="BK157" s="138"/>
      <c r="BL157" s="138"/>
      <c r="BM157" s="138"/>
      <c r="BN157" s="138"/>
      <c r="BO157" s="138"/>
      <c r="BP157" s="138"/>
      <c r="BQ157" s="138"/>
      <c r="BR157" s="138"/>
      <c r="BS157" s="138"/>
      <c r="BT157" s="138"/>
      <c r="BU157" s="138"/>
      <c r="BV157" s="138"/>
      <c r="BW157" s="138"/>
      <c r="BX157" s="138"/>
      <c r="BY157" s="138"/>
      <c r="BZ157" s="138"/>
      <c r="CA157" s="138"/>
      <c r="CB157" s="138"/>
      <c r="CC157" s="138">
        <v>4</v>
      </c>
      <c r="CD157" s="138"/>
      <c r="CE157" s="138"/>
      <c r="CF157" s="139">
        <v>62</v>
      </c>
    </row>
    <row r="158" spans="1:84" ht="13.5" x14ac:dyDescent="0.15">
      <c r="A158" s="144" t="s">
        <v>160</v>
      </c>
      <c r="B158" s="144" t="s">
        <v>161</v>
      </c>
      <c r="C158" s="138" t="s">
        <v>68</v>
      </c>
      <c r="D158" s="138">
        <v>2</v>
      </c>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38"/>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c r="BM158" s="138"/>
      <c r="BN158" s="138"/>
      <c r="BO158" s="138"/>
      <c r="BP158" s="138"/>
      <c r="BQ158" s="138"/>
      <c r="BR158" s="138"/>
      <c r="BS158" s="138"/>
      <c r="BT158" s="138"/>
      <c r="BU158" s="138"/>
      <c r="BV158" s="138"/>
      <c r="BW158" s="138"/>
      <c r="BX158" s="138"/>
      <c r="BY158" s="138"/>
      <c r="BZ158" s="138"/>
      <c r="CA158" s="138"/>
      <c r="CB158" s="138"/>
      <c r="CC158" s="138"/>
      <c r="CD158" s="138"/>
      <c r="CE158" s="138"/>
      <c r="CF158" s="139">
        <v>2</v>
      </c>
    </row>
    <row r="159" spans="1:84" ht="13.5" x14ac:dyDescent="0.15">
      <c r="A159" s="144" t="s">
        <v>162</v>
      </c>
      <c r="B159" s="144" t="s">
        <v>163</v>
      </c>
      <c r="C159" s="138" t="s">
        <v>68</v>
      </c>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v>2</v>
      </c>
      <c r="BW159" s="138"/>
      <c r="BX159" s="138">
        <v>2</v>
      </c>
      <c r="BY159" s="138"/>
      <c r="BZ159" s="138"/>
      <c r="CA159" s="138"/>
      <c r="CB159" s="138"/>
      <c r="CC159" s="138"/>
      <c r="CD159" s="138"/>
      <c r="CE159" s="138"/>
      <c r="CF159" s="139">
        <v>4</v>
      </c>
    </row>
    <row r="160" spans="1:84" ht="13.5" x14ac:dyDescent="0.15">
      <c r="A160" s="144" t="s">
        <v>986</v>
      </c>
      <c r="B160" s="144" t="s">
        <v>987</v>
      </c>
      <c r="C160" s="138" t="s">
        <v>68</v>
      </c>
      <c r="D160" s="138"/>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c r="BP160" s="138"/>
      <c r="BQ160" s="138"/>
      <c r="BR160" s="138"/>
      <c r="BS160" s="138"/>
      <c r="BT160" s="138"/>
      <c r="BU160" s="138"/>
      <c r="BV160" s="138"/>
      <c r="BW160" s="138"/>
      <c r="BX160" s="138"/>
      <c r="BY160" s="138"/>
      <c r="BZ160" s="138"/>
      <c r="CA160" s="138"/>
      <c r="CB160" s="138">
        <v>14</v>
      </c>
      <c r="CC160" s="138"/>
      <c r="CD160" s="138"/>
      <c r="CE160" s="138"/>
      <c r="CF160" s="139">
        <v>14</v>
      </c>
    </row>
    <row r="161" spans="1:84" ht="13.5" x14ac:dyDescent="0.15">
      <c r="A161" s="144" t="s">
        <v>815</v>
      </c>
      <c r="B161" s="144" t="s">
        <v>858</v>
      </c>
      <c r="C161" s="138" t="s">
        <v>68</v>
      </c>
      <c r="D161" s="138"/>
      <c r="E161" s="138">
        <v>3</v>
      </c>
      <c r="F161" s="138"/>
      <c r="G161" s="138">
        <v>4</v>
      </c>
      <c r="H161" s="138">
        <v>2</v>
      </c>
      <c r="I161" s="138">
        <v>10</v>
      </c>
      <c r="J161" s="138">
        <v>15</v>
      </c>
      <c r="K161" s="138"/>
      <c r="L161" s="138"/>
      <c r="M161" s="138"/>
      <c r="N161" s="138"/>
      <c r="O161" s="138"/>
      <c r="P161" s="138">
        <v>2</v>
      </c>
      <c r="Q161" s="138">
        <v>2</v>
      </c>
      <c r="R161" s="138"/>
      <c r="S161" s="138"/>
      <c r="T161" s="138">
        <v>2</v>
      </c>
      <c r="U161" s="138">
        <v>4</v>
      </c>
      <c r="V161" s="138"/>
      <c r="W161" s="138"/>
      <c r="X161" s="138">
        <v>3</v>
      </c>
      <c r="Y161" s="138"/>
      <c r="Z161" s="138">
        <v>5</v>
      </c>
      <c r="AA161" s="138">
        <v>3</v>
      </c>
      <c r="AB161" s="138">
        <v>6</v>
      </c>
      <c r="AC161" s="138"/>
      <c r="AD161" s="138"/>
      <c r="AE161" s="138">
        <v>3</v>
      </c>
      <c r="AF161" s="138">
        <v>4</v>
      </c>
      <c r="AG161" s="138"/>
      <c r="AH161" s="138">
        <v>5</v>
      </c>
      <c r="AI161" s="138"/>
      <c r="AJ161" s="138"/>
      <c r="AK161" s="138">
        <v>10</v>
      </c>
      <c r="AL161" s="138"/>
      <c r="AM161" s="138"/>
      <c r="AN161" s="138"/>
      <c r="AO161" s="138"/>
      <c r="AP161" s="138"/>
      <c r="AQ161" s="138"/>
      <c r="AR161" s="138"/>
      <c r="AS161" s="138"/>
      <c r="AT161" s="138"/>
      <c r="AU161" s="138">
        <v>5</v>
      </c>
      <c r="AV161" s="138"/>
      <c r="AW161" s="138">
        <v>8</v>
      </c>
      <c r="AX161" s="138">
        <v>5</v>
      </c>
      <c r="AY161" s="138"/>
      <c r="AZ161" s="138"/>
      <c r="BA161" s="138"/>
      <c r="BB161" s="138"/>
      <c r="BC161" s="138"/>
      <c r="BD161" s="138"/>
      <c r="BE161" s="138"/>
      <c r="BF161" s="138"/>
      <c r="BG161" s="138"/>
      <c r="BH161" s="138"/>
      <c r="BI161" s="138">
        <v>20</v>
      </c>
      <c r="BJ161" s="138">
        <v>3</v>
      </c>
      <c r="BK161" s="138"/>
      <c r="BL161" s="138"/>
      <c r="BM161" s="138"/>
      <c r="BN161" s="138"/>
      <c r="BO161" s="138"/>
      <c r="BP161" s="138"/>
      <c r="BQ161" s="138"/>
      <c r="BR161" s="138"/>
      <c r="BS161" s="138"/>
      <c r="BT161" s="138"/>
      <c r="BU161" s="138"/>
      <c r="BV161" s="138"/>
      <c r="BW161" s="138"/>
      <c r="BX161" s="138"/>
      <c r="BY161" s="138"/>
      <c r="BZ161" s="138"/>
      <c r="CA161" s="138"/>
      <c r="CB161" s="138"/>
      <c r="CC161" s="138">
        <v>5</v>
      </c>
      <c r="CD161" s="138"/>
      <c r="CE161" s="138">
        <v>3</v>
      </c>
      <c r="CF161" s="139">
        <v>132</v>
      </c>
    </row>
    <row r="162" spans="1:84" ht="13.5" x14ac:dyDescent="0.15">
      <c r="A162" s="144" t="s">
        <v>988</v>
      </c>
      <c r="B162" s="144" t="s">
        <v>989</v>
      </c>
      <c r="C162" s="138" t="s">
        <v>68</v>
      </c>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38"/>
      <c r="AE162" s="138"/>
      <c r="AF162" s="138"/>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v>1</v>
      </c>
      <c r="BD162" s="138"/>
      <c r="BE162" s="138"/>
      <c r="BF162" s="138"/>
      <c r="BG162" s="138"/>
      <c r="BH162" s="138"/>
      <c r="BI162" s="138"/>
      <c r="BJ162" s="138"/>
      <c r="BK162" s="138"/>
      <c r="BL162" s="138"/>
      <c r="BM162" s="138"/>
      <c r="BN162" s="138"/>
      <c r="BO162" s="138"/>
      <c r="BP162" s="138"/>
      <c r="BQ162" s="138"/>
      <c r="BR162" s="138"/>
      <c r="BS162" s="138"/>
      <c r="BT162" s="138"/>
      <c r="BU162" s="138"/>
      <c r="BV162" s="138"/>
      <c r="BW162" s="138"/>
      <c r="BX162" s="138"/>
      <c r="BY162" s="138"/>
      <c r="BZ162" s="138"/>
      <c r="CA162" s="138"/>
      <c r="CB162" s="138"/>
      <c r="CC162" s="138"/>
      <c r="CD162" s="138"/>
      <c r="CE162" s="138"/>
      <c r="CF162" s="139">
        <v>1</v>
      </c>
    </row>
    <row r="163" spans="1:84" ht="13.5" x14ac:dyDescent="0.15">
      <c r="A163" s="144" t="s">
        <v>391</v>
      </c>
      <c r="B163" s="144" t="s">
        <v>392</v>
      </c>
      <c r="C163" s="138" t="s">
        <v>68</v>
      </c>
      <c r="D163" s="138"/>
      <c r="E163" s="138"/>
      <c r="F163" s="138"/>
      <c r="G163" s="138"/>
      <c r="H163" s="138"/>
      <c r="I163" s="138"/>
      <c r="J163" s="138">
        <v>0</v>
      </c>
      <c r="K163" s="138"/>
      <c r="L163" s="138"/>
      <c r="M163" s="138"/>
      <c r="N163" s="138"/>
      <c r="O163" s="138"/>
      <c r="P163" s="138"/>
      <c r="Q163" s="138"/>
      <c r="R163" s="138"/>
      <c r="S163" s="138"/>
      <c r="T163" s="138"/>
      <c r="U163" s="138"/>
      <c r="V163" s="138"/>
      <c r="W163" s="138"/>
      <c r="X163" s="138"/>
      <c r="Y163" s="138"/>
      <c r="Z163" s="138"/>
      <c r="AA163" s="138"/>
      <c r="AB163" s="138"/>
      <c r="AC163" s="138"/>
      <c r="AD163" s="138"/>
      <c r="AE163" s="138"/>
      <c r="AF163" s="138"/>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c r="BR163" s="138"/>
      <c r="BS163" s="138"/>
      <c r="BT163" s="138"/>
      <c r="BU163" s="138"/>
      <c r="BV163" s="138"/>
      <c r="BW163" s="138"/>
      <c r="BX163" s="138"/>
      <c r="BY163" s="138"/>
      <c r="BZ163" s="138"/>
      <c r="CA163" s="138"/>
      <c r="CB163" s="138"/>
      <c r="CC163" s="138"/>
      <c r="CD163" s="138"/>
      <c r="CE163" s="138"/>
      <c r="CF163" s="139">
        <v>0</v>
      </c>
    </row>
    <row r="164" spans="1:84" ht="13.5" x14ac:dyDescent="0.15">
      <c r="A164" s="144" t="s">
        <v>113</v>
      </c>
      <c r="B164" s="144" t="s">
        <v>114</v>
      </c>
      <c r="C164" s="138" t="s">
        <v>68</v>
      </c>
      <c r="D164" s="138"/>
      <c r="E164" s="138"/>
      <c r="F164" s="138"/>
      <c r="G164" s="138"/>
      <c r="H164" s="138"/>
      <c r="I164" s="138"/>
      <c r="J164" s="138"/>
      <c r="K164" s="138"/>
      <c r="L164" s="138"/>
      <c r="M164" s="138">
        <v>2</v>
      </c>
      <c r="N164" s="138"/>
      <c r="O164" s="138"/>
      <c r="P164" s="138"/>
      <c r="Q164" s="138"/>
      <c r="R164" s="138"/>
      <c r="S164" s="138"/>
      <c r="T164" s="138"/>
      <c r="U164" s="138"/>
      <c r="V164" s="138"/>
      <c r="W164" s="138"/>
      <c r="X164" s="138"/>
      <c r="Y164" s="138"/>
      <c r="Z164" s="138"/>
      <c r="AA164" s="138"/>
      <c r="AB164" s="138"/>
      <c r="AC164" s="138"/>
      <c r="AD164" s="138"/>
      <c r="AE164" s="138"/>
      <c r="AF164" s="138"/>
      <c r="AG164" s="138"/>
      <c r="AH164" s="138"/>
      <c r="AI164" s="138"/>
      <c r="AJ164" s="138"/>
      <c r="AK164" s="138"/>
      <c r="AL164" s="138"/>
      <c r="AM164" s="138"/>
      <c r="AN164" s="138"/>
      <c r="AO164" s="138"/>
      <c r="AP164" s="138"/>
      <c r="AQ164" s="138"/>
      <c r="AR164" s="138"/>
      <c r="AS164" s="138"/>
      <c r="AT164" s="138"/>
      <c r="AU164" s="138"/>
      <c r="AV164" s="138"/>
      <c r="AW164" s="138">
        <v>2</v>
      </c>
      <c r="AX164" s="138"/>
      <c r="AY164" s="138">
        <v>2</v>
      </c>
      <c r="AZ164" s="138"/>
      <c r="BA164" s="138"/>
      <c r="BB164" s="138">
        <v>2</v>
      </c>
      <c r="BC164" s="138"/>
      <c r="BD164" s="138"/>
      <c r="BE164" s="138"/>
      <c r="BF164" s="138"/>
      <c r="BG164" s="138"/>
      <c r="BH164" s="138">
        <v>5</v>
      </c>
      <c r="BI164" s="138">
        <v>10</v>
      </c>
      <c r="BJ164" s="138"/>
      <c r="BK164" s="138"/>
      <c r="BL164" s="138"/>
      <c r="BM164" s="138"/>
      <c r="BN164" s="138"/>
      <c r="BO164" s="138"/>
      <c r="BP164" s="138"/>
      <c r="BQ164" s="138"/>
      <c r="BR164" s="138"/>
      <c r="BS164" s="138"/>
      <c r="BT164" s="138"/>
      <c r="BU164" s="138"/>
      <c r="BV164" s="138"/>
      <c r="BW164" s="138"/>
      <c r="BX164" s="138"/>
      <c r="BY164" s="138"/>
      <c r="BZ164" s="138"/>
      <c r="CA164" s="138"/>
      <c r="CB164" s="138"/>
      <c r="CC164" s="138">
        <v>4</v>
      </c>
      <c r="CD164" s="138"/>
      <c r="CE164" s="138"/>
      <c r="CF164" s="139">
        <v>27</v>
      </c>
    </row>
    <row r="165" spans="1:84" ht="13.5" x14ac:dyDescent="0.15">
      <c r="A165" s="144" t="s">
        <v>127</v>
      </c>
      <c r="B165" s="144" t="s">
        <v>128</v>
      </c>
      <c r="C165" s="138" t="s">
        <v>68</v>
      </c>
      <c r="D165" s="138"/>
      <c r="E165" s="138">
        <v>1</v>
      </c>
      <c r="F165" s="138"/>
      <c r="G165" s="138"/>
      <c r="H165" s="138">
        <v>1</v>
      </c>
      <c r="I165" s="138">
        <v>3</v>
      </c>
      <c r="J165" s="138">
        <v>4</v>
      </c>
      <c r="K165" s="138">
        <v>2</v>
      </c>
      <c r="L165" s="138"/>
      <c r="M165" s="138">
        <v>2</v>
      </c>
      <c r="N165" s="138"/>
      <c r="O165" s="138"/>
      <c r="P165" s="138"/>
      <c r="Q165" s="138"/>
      <c r="R165" s="138">
        <v>3</v>
      </c>
      <c r="S165" s="138">
        <v>3</v>
      </c>
      <c r="T165" s="138"/>
      <c r="U165" s="138"/>
      <c r="V165" s="138"/>
      <c r="W165" s="138">
        <v>2</v>
      </c>
      <c r="X165" s="138"/>
      <c r="Y165" s="138"/>
      <c r="Z165" s="138"/>
      <c r="AA165" s="138"/>
      <c r="AB165" s="138"/>
      <c r="AC165" s="138"/>
      <c r="AD165" s="138"/>
      <c r="AE165" s="138"/>
      <c r="AF165" s="138"/>
      <c r="AG165" s="138"/>
      <c r="AH165" s="138">
        <v>3</v>
      </c>
      <c r="AI165" s="138"/>
      <c r="AJ165" s="138"/>
      <c r="AK165" s="138"/>
      <c r="AL165" s="138"/>
      <c r="AM165" s="138"/>
      <c r="AN165" s="138"/>
      <c r="AO165" s="138"/>
      <c r="AP165" s="138"/>
      <c r="AQ165" s="138"/>
      <c r="AR165" s="138"/>
      <c r="AS165" s="138"/>
      <c r="AT165" s="138"/>
      <c r="AU165" s="138"/>
      <c r="AV165" s="138"/>
      <c r="AW165" s="138">
        <v>2</v>
      </c>
      <c r="AX165" s="138">
        <v>4</v>
      </c>
      <c r="AY165" s="138"/>
      <c r="AZ165" s="138"/>
      <c r="BA165" s="138"/>
      <c r="BB165" s="138">
        <v>2</v>
      </c>
      <c r="BC165" s="138"/>
      <c r="BD165" s="138"/>
      <c r="BE165" s="138"/>
      <c r="BF165" s="138"/>
      <c r="BG165" s="138"/>
      <c r="BH165" s="138">
        <v>5</v>
      </c>
      <c r="BI165" s="138">
        <v>10</v>
      </c>
      <c r="BJ165" s="138">
        <v>2</v>
      </c>
      <c r="BK165" s="138"/>
      <c r="BL165" s="138"/>
      <c r="BM165" s="138"/>
      <c r="BN165" s="138"/>
      <c r="BO165" s="138"/>
      <c r="BP165" s="138"/>
      <c r="BQ165" s="138"/>
      <c r="BR165" s="138"/>
      <c r="BS165" s="138"/>
      <c r="BT165" s="138"/>
      <c r="BU165" s="138"/>
      <c r="BV165" s="138"/>
      <c r="BW165" s="138"/>
      <c r="BX165" s="138"/>
      <c r="BY165" s="138"/>
      <c r="BZ165" s="138"/>
      <c r="CA165" s="138"/>
      <c r="CB165" s="138"/>
      <c r="CC165" s="138">
        <v>2</v>
      </c>
      <c r="CD165" s="138"/>
      <c r="CE165" s="138"/>
      <c r="CF165" s="139">
        <v>51</v>
      </c>
    </row>
    <row r="166" spans="1:84" ht="13.5" x14ac:dyDescent="0.15">
      <c r="A166" s="144" t="s">
        <v>18</v>
      </c>
      <c r="B166" s="144" t="s">
        <v>83</v>
      </c>
      <c r="C166" s="138" t="s">
        <v>69</v>
      </c>
      <c r="D166" s="138"/>
      <c r="E166" s="138"/>
      <c r="F166" s="138"/>
      <c r="G166" s="138">
        <v>1</v>
      </c>
      <c r="H166" s="138"/>
      <c r="I166" s="138">
        <v>1</v>
      </c>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38"/>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c r="BU166" s="138"/>
      <c r="BV166" s="138"/>
      <c r="BW166" s="138"/>
      <c r="BX166" s="138"/>
      <c r="BY166" s="138"/>
      <c r="BZ166" s="138"/>
      <c r="CA166" s="138"/>
      <c r="CB166" s="138"/>
      <c r="CC166" s="138">
        <v>1</v>
      </c>
      <c r="CD166" s="138">
        <v>1</v>
      </c>
      <c r="CE166" s="138"/>
      <c r="CF166" s="139">
        <v>4</v>
      </c>
    </row>
    <row r="167" spans="1:84" ht="13.5" x14ac:dyDescent="0.15">
      <c r="A167" s="144" t="s">
        <v>413</v>
      </c>
      <c r="B167" s="144" t="s">
        <v>414</v>
      </c>
      <c r="C167" s="138" t="s">
        <v>69</v>
      </c>
      <c r="D167" s="138"/>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38"/>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v>1</v>
      </c>
      <c r="BV167" s="138"/>
      <c r="BW167" s="138"/>
      <c r="BX167" s="138"/>
      <c r="BY167" s="138"/>
      <c r="BZ167" s="138"/>
      <c r="CA167" s="138"/>
      <c r="CB167" s="138"/>
      <c r="CC167" s="138"/>
      <c r="CD167" s="138"/>
      <c r="CE167" s="138"/>
      <c r="CF167" s="139">
        <v>1</v>
      </c>
    </row>
    <row r="168" spans="1:84" ht="13.5" x14ac:dyDescent="0.15">
      <c r="A168" s="144" t="s">
        <v>867</v>
      </c>
      <c r="B168" s="144" t="s">
        <v>868</v>
      </c>
      <c r="C168" s="138" t="s">
        <v>69</v>
      </c>
      <c r="D168" s="138"/>
      <c r="E168" s="138"/>
      <c r="F168" s="138"/>
      <c r="G168" s="138"/>
      <c r="H168" s="138"/>
      <c r="I168" s="138"/>
      <c r="J168" s="138"/>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38"/>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c r="BK168" s="138"/>
      <c r="BL168" s="138"/>
      <c r="BM168" s="138"/>
      <c r="BN168" s="138"/>
      <c r="BO168" s="138"/>
      <c r="BP168" s="138"/>
      <c r="BQ168" s="138"/>
      <c r="BR168" s="138"/>
      <c r="BS168" s="138">
        <v>1</v>
      </c>
      <c r="BT168" s="138">
        <v>1</v>
      </c>
      <c r="BU168" s="138"/>
      <c r="BV168" s="138"/>
      <c r="BW168" s="138"/>
      <c r="BX168" s="138"/>
      <c r="BY168" s="138"/>
      <c r="BZ168" s="138"/>
      <c r="CA168" s="138"/>
      <c r="CB168" s="138"/>
      <c r="CC168" s="138"/>
      <c r="CD168" s="138"/>
      <c r="CE168" s="138"/>
      <c r="CF168" s="139">
        <v>2</v>
      </c>
    </row>
    <row r="169" spans="1:84" ht="13.5" x14ac:dyDescent="0.15">
      <c r="A169" s="144" t="s">
        <v>145</v>
      </c>
      <c r="B169" s="144" t="s">
        <v>146</v>
      </c>
      <c r="C169" s="138"/>
      <c r="D169" s="138"/>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38"/>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c r="BK169" s="138"/>
      <c r="BL169" s="138"/>
      <c r="BM169" s="138"/>
      <c r="BN169" s="138"/>
      <c r="BO169" s="138"/>
      <c r="BP169" s="138"/>
      <c r="BQ169" s="138"/>
      <c r="BR169" s="138"/>
      <c r="BS169" s="138"/>
      <c r="BT169" s="138"/>
      <c r="BU169" s="138"/>
      <c r="BV169" s="138"/>
      <c r="BW169" s="138"/>
      <c r="BX169" s="138"/>
      <c r="BY169" s="138"/>
      <c r="BZ169" s="138"/>
      <c r="CA169" s="138"/>
      <c r="CB169" s="138"/>
      <c r="CC169" s="138">
        <v>6</v>
      </c>
      <c r="CD169" s="138"/>
      <c r="CE169" s="138"/>
      <c r="CF169" s="139">
        <v>6</v>
      </c>
    </row>
    <row r="170" spans="1:84" ht="13.5" x14ac:dyDescent="0.15">
      <c r="A170" s="144" t="s">
        <v>437</v>
      </c>
      <c r="B170" s="144" t="s">
        <v>438</v>
      </c>
      <c r="C170" s="138"/>
      <c r="D170" s="138"/>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38"/>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c r="BL170" s="138"/>
      <c r="BM170" s="138"/>
      <c r="BN170" s="138"/>
      <c r="BO170" s="138"/>
      <c r="BP170" s="138"/>
      <c r="BQ170" s="138"/>
      <c r="BR170" s="138"/>
      <c r="BS170" s="138"/>
      <c r="BT170" s="138"/>
      <c r="BU170" s="138"/>
      <c r="BV170" s="138"/>
      <c r="BW170" s="138"/>
      <c r="BX170" s="138"/>
      <c r="BY170" s="138"/>
      <c r="BZ170" s="138"/>
      <c r="CA170" s="138"/>
      <c r="CB170" s="138"/>
      <c r="CC170" s="138">
        <v>18</v>
      </c>
      <c r="CD170" s="138"/>
      <c r="CE170" s="138"/>
      <c r="CF170" s="139">
        <v>18</v>
      </c>
    </row>
    <row r="171" spans="1:84" ht="13.5" x14ac:dyDescent="0.15">
      <c r="A171" s="144" t="s">
        <v>439</v>
      </c>
      <c r="B171" s="144" t="s">
        <v>440</v>
      </c>
      <c r="C171" s="138"/>
      <c r="D171" s="138"/>
      <c r="E171" s="138"/>
      <c r="F171" s="138"/>
      <c r="G171" s="138"/>
      <c r="H171" s="138"/>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38"/>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c r="BM171" s="138"/>
      <c r="BN171" s="138"/>
      <c r="BO171" s="138"/>
      <c r="BP171" s="138"/>
      <c r="BQ171" s="138"/>
      <c r="BR171" s="138"/>
      <c r="BS171" s="138"/>
      <c r="BT171" s="138"/>
      <c r="BU171" s="138"/>
      <c r="BV171" s="138"/>
      <c r="BW171" s="138"/>
      <c r="BX171" s="138"/>
      <c r="BY171" s="138"/>
      <c r="BZ171" s="138"/>
      <c r="CA171" s="138"/>
      <c r="CB171" s="138"/>
      <c r="CC171" s="138">
        <v>4</v>
      </c>
      <c r="CD171" s="138"/>
      <c r="CE171" s="138"/>
      <c r="CF171" s="139">
        <v>4</v>
      </c>
    </row>
    <row r="172" spans="1:84" ht="13.5" x14ac:dyDescent="0.15">
      <c r="A172" s="144" t="s">
        <v>441</v>
      </c>
      <c r="B172" s="144" t="s">
        <v>442</v>
      </c>
      <c r="C172" s="138"/>
      <c r="D172" s="138"/>
      <c r="E172" s="138"/>
      <c r="F172" s="138"/>
      <c r="G172" s="138"/>
      <c r="H172" s="138"/>
      <c r="I172" s="138"/>
      <c r="J172" s="138"/>
      <c r="K172" s="138"/>
      <c r="L172" s="138"/>
      <c r="M172" s="138"/>
      <c r="N172" s="138"/>
      <c r="O172" s="138"/>
      <c r="P172" s="138"/>
      <c r="Q172" s="138"/>
      <c r="R172" s="138"/>
      <c r="S172" s="138"/>
      <c r="T172" s="138"/>
      <c r="U172" s="138"/>
      <c r="V172" s="138"/>
      <c r="W172" s="138"/>
      <c r="X172" s="138"/>
      <c r="Y172" s="138"/>
      <c r="Z172" s="138"/>
      <c r="AA172" s="138"/>
      <c r="AB172" s="138"/>
      <c r="AC172" s="138"/>
      <c r="AD172" s="138"/>
      <c r="AE172" s="138"/>
      <c r="AF172" s="138"/>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c r="BM172" s="138"/>
      <c r="BN172" s="138"/>
      <c r="BO172" s="138"/>
      <c r="BP172" s="138"/>
      <c r="BQ172" s="138"/>
      <c r="BR172" s="138"/>
      <c r="BS172" s="138"/>
      <c r="BT172" s="138"/>
      <c r="BU172" s="138"/>
      <c r="BV172" s="138"/>
      <c r="BW172" s="138"/>
      <c r="BX172" s="138"/>
      <c r="BY172" s="138"/>
      <c r="BZ172" s="138"/>
      <c r="CA172" s="138"/>
      <c r="CB172" s="138"/>
      <c r="CC172" s="138">
        <v>8</v>
      </c>
      <c r="CD172" s="138"/>
      <c r="CE172" s="138"/>
      <c r="CF172" s="139">
        <v>8</v>
      </c>
    </row>
    <row r="173" spans="1:84" ht="13.5" x14ac:dyDescent="0.15">
      <c r="A173" s="144" t="s">
        <v>443</v>
      </c>
      <c r="B173" s="144" t="s">
        <v>444</v>
      </c>
      <c r="C173" s="138"/>
      <c r="D173" s="138"/>
      <c r="E173" s="138"/>
      <c r="F173" s="138"/>
      <c r="G173" s="138"/>
      <c r="H173" s="138"/>
      <c r="I173" s="138"/>
      <c r="J173" s="138"/>
      <c r="K173" s="138"/>
      <c r="L173" s="138"/>
      <c r="M173" s="138"/>
      <c r="N173" s="138"/>
      <c r="O173" s="138"/>
      <c r="P173" s="138"/>
      <c r="Q173" s="138"/>
      <c r="R173" s="138"/>
      <c r="S173" s="138"/>
      <c r="T173" s="138"/>
      <c r="U173" s="138"/>
      <c r="V173" s="138"/>
      <c r="W173" s="138"/>
      <c r="X173" s="138"/>
      <c r="Y173" s="138"/>
      <c r="Z173" s="138"/>
      <c r="AA173" s="138"/>
      <c r="AB173" s="138"/>
      <c r="AC173" s="138"/>
      <c r="AD173" s="138"/>
      <c r="AE173" s="138"/>
      <c r="AF173" s="138"/>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c r="BM173" s="138"/>
      <c r="BN173" s="138"/>
      <c r="BO173" s="138"/>
      <c r="BP173" s="138"/>
      <c r="BQ173" s="138"/>
      <c r="BR173" s="138"/>
      <c r="BS173" s="138"/>
      <c r="BT173" s="138"/>
      <c r="BU173" s="138"/>
      <c r="BV173" s="138"/>
      <c r="BW173" s="138"/>
      <c r="BX173" s="138"/>
      <c r="BY173" s="138"/>
      <c r="BZ173" s="138"/>
      <c r="CA173" s="138"/>
      <c r="CB173" s="138"/>
      <c r="CC173" s="138">
        <v>4</v>
      </c>
      <c r="CD173" s="138"/>
      <c r="CE173" s="138"/>
      <c r="CF173" s="139">
        <v>4</v>
      </c>
    </row>
    <row r="174" spans="1:84" ht="13.5" x14ac:dyDescent="0.15">
      <c r="A174" s="144" t="s">
        <v>445</v>
      </c>
      <c r="B174" s="144" t="s">
        <v>446</v>
      </c>
      <c r="C174" s="138"/>
      <c r="D174" s="138"/>
      <c r="E174" s="138"/>
      <c r="F174" s="138"/>
      <c r="G174" s="138"/>
      <c r="H174" s="138"/>
      <c r="I174" s="138"/>
      <c r="J174" s="138"/>
      <c r="K174" s="138"/>
      <c r="L174" s="138"/>
      <c r="M174" s="138"/>
      <c r="N174" s="138"/>
      <c r="O174" s="138"/>
      <c r="P174" s="138"/>
      <c r="Q174" s="138"/>
      <c r="R174" s="138"/>
      <c r="S174" s="138"/>
      <c r="T174" s="138"/>
      <c r="U174" s="138"/>
      <c r="V174" s="138"/>
      <c r="W174" s="138"/>
      <c r="X174" s="138"/>
      <c r="Y174" s="138"/>
      <c r="Z174" s="138"/>
      <c r="AA174" s="138"/>
      <c r="AB174" s="138"/>
      <c r="AC174" s="138"/>
      <c r="AD174" s="138"/>
      <c r="AE174" s="138"/>
      <c r="AF174" s="138"/>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c r="BM174" s="138"/>
      <c r="BN174" s="138"/>
      <c r="BO174" s="138"/>
      <c r="BP174" s="138"/>
      <c r="BQ174" s="138"/>
      <c r="BR174" s="138"/>
      <c r="BS174" s="138"/>
      <c r="BT174" s="138"/>
      <c r="BU174" s="138"/>
      <c r="BV174" s="138"/>
      <c r="BW174" s="138"/>
      <c r="BX174" s="138"/>
      <c r="BY174" s="138"/>
      <c r="BZ174" s="138"/>
      <c r="CA174" s="138"/>
      <c r="CB174" s="138"/>
      <c r="CC174" s="138">
        <v>2</v>
      </c>
      <c r="CD174" s="138"/>
      <c r="CE174" s="138"/>
      <c r="CF174" s="139">
        <v>2</v>
      </c>
    </row>
    <row r="175" spans="1:84" ht="13.5" x14ac:dyDescent="0.15">
      <c r="A175" s="144" t="s">
        <v>498</v>
      </c>
      <c r="B175" s="144" t="s">
        <v>499</v>
      </c>
      <c r="C175" s="138"/>
      <c r="D175" s="138"/>
      <c r="E175" s="138"/>
      <c r="F175" s="138"/>
      <c r="G175" s="138"/>
      <c r="H175" s="138"/>
      <c r="I175" s="138"/>
      <c r="J175" s="138"/>
      <c r="K175" s="138"/>
      <c r="L175" s="138"/>
      <c r="M175" s="138"/>
      <c r="N175" s="138"/>
      <c r="O175" s="138"/>
      <c r="P175" s="138"/>
      <c r="Q175" s="138"/>
      <c r="R175" s="138"/>
      <c r="S175" s="138"/>
      <c r="T175" s="138"/>
      <c r="U175" s="138"/>
      <c r="V175" s="138"/>
      <c r="W175" s="138"/>
      <c r="X175" s="138"/>
      <c r="Y175" s="138"/>
      <c r="Z175" s="138"/>
      <c r="AA175" s="138"/>
      <c r="AB175" s="138"/>
      <c r="AC175" s="138"/>
      <c r="AD175" s="138"/>
      <c r="AE175" s="138"/>
      <c r="AF175" s="138"/>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c r="BM175" s="138"/>
      <c r="BN175" s="138"/>
      <c r="BO175" s="138"/>
      <c r="BP175" s="138"/>
      <c r="BQ175" s="138"/>
      <c r="BR175" s="138"/>
      <c r="BS175" s="138"/>
      <c r="BT175" s="138"/>
      <c r="BU175" s="138"/>
      <c r="BV175" s="138"/>
      <c r="BW175" s="138"/>
      <c r="BX175" s="138"/>
      <c r="BY175" s="138"/>
      <c r="BZ175" s="138"/>
      <c r="CA175" s="138"/>
      <c r="CB175" s="138"/>
      <c r="CC175" s="138">
        <v>0</v>
      </c>
      <c r="CD175" s="138"/>
      <c r="CE175" s="138"/>
      <c r="CF175" s="139">
        <v>0</v>
      </c>
    </row>
    <row r="176" spans="1:84" ht="13.5" x14ac:dyDescent="0.15">
      <c r="A176" s="144" t="s">
        <v>534</v>
      </c>
      <c r="B176" s="144" t="s">
        <v>535</v>
      </c>
      <c r="C176" s="138"/>
      <c r="D176" s="138"/>
      <c r="E176" s="138"/>
      <c r="F176" s="138"/>
      <c r="G176" s="138"/>
      <c r="H176" s="138"/>
      <c r="I176" s="138"/>
      <c r="J176" s="138"/>
      <c r="K176" s="138">
        <v>1</v>
      </c>
      <c r="L176" s="138"/>
      <c r="M176" s="138"/>
      <c r="N176" s="138"/>
      <c r="O176" s="138">
        <v>1</v>
      </c>
      <c r="P176" s="138"/>
      <c r="Q176" s="138"/>
      <c r="R176" s="138"/>
      <c r="S176" s="138"/>
      <c r="T176" s="138"/>
      <c r="U176" s="138"/>
      <c r="V176" s="138"/>
      <c r="W176" s="138"/>
      <c r="X176" s="138"/>
      <c r="Y176" s="138"/>
      <c r="Z176" s="138"/>
      <c r="AA176" s="138"/>
      <c r="AB176" s="138"/>
      <c r="AC176" s="138"/>
      <c r="AD176" s="138"/>
      <c r="AE176" s="138"/>
      <c r="AF176" s="138"/>
      <c r="AG176" s="138"/>
      <c r="AH176" s="138"/>
      <c r="AI176" s="138"/>
      <c r="AJ176" s="138"/>
      <c r="AK176" s="138">
        <v>2</v>
      </c>
      <c r="AL176" s="138"/>
      <c r="AM176" s="138">
        <v>1</v>
      </c>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v>2</v>
      </c>
      <c r="BJ176" s="138"/>
      <c r="BK176" s="138"/>
      <c r="BL176" s="138"/>
      <c r="BM176" s="138"/>
      <c r="BN176" s="138"/>
      <c r="BO176" s="138"/>
      <c r="BP176" s="138"/>
      <c r="BQ176" s="138"/>
      <c r="BR176" s="138"/>
      <c r="BS176" s="138"/>
      <c r="BT176" s="138"/>
      <c r="BU176" s="138"/>
      <c r="BV176" s="138"/>
      <c r="BW176" s="138"/>
      <c r="BX176" s="138"/>
      <c r="BY176" s="138"/>
      <c r="BZ176" s="138"/>
      <c r="CA176" s="138"/>
      <c r="CB176" s="138"/>
      <c r="CC176" s="138"/>
      <c r="CD176" s="138"/>
      <c r="CE176" s="138"/>
      <c r="CF176" s="139">
        <v>7</v>
      </c>
    </row>
    <row r="177" spans="1:84" ht="13.5" x14ac:dyDescent="0.15">
      <c r="A177" s="144" t="s">
        <v>825</v>
      </c>
      <c r="B177" s="144" t="s">
        <v>826</v>
      </c>
      <c r="C177" s="138" t="s">
        <v>68</v>
      </c>
      <c r="D177" s="138"/>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c r="BM177" s="138"/>
      <c r="BN177" s="138"/>
      <c r="BO177" s="138"/>
      <c r="BP177" s="138"/>
      <c r="BQ177" s="138"/>
      <c r="BR177" s="138"/>
      <c r="BS177" s="138"/>
      <c r="BT177" s="138"/>
      <c r="BU177" s="138"/>
      <c r="BV177" s="138"/>
      <c r="BW177" s="138">
        <v>8</v>
      </c>
      <c r="BX177" s="138">
        <v>3</v>
      </c>
      <c r="BY177" s="138"/>
      <c r="BZ177" s="138"/>
      <c r="CA177" s="138"/>
      <c r="CB177" s="138"/>
      <c r="CC177" s="138">
        <v>3</v>
      </c>
      <c r="CD177" s="138"/>
      <c r="CE177" s="138"/>
      <c r="CF177" s="139">
        <v>14</v>
      </c>
    </row>
    <row r="178" spans="1:84" ht="13.5" x14ac:dyDescent="0.15">
      <c r="A178" s="145" t="s">
        <v>74</v>
      </c>
      <c r="B178" s="147"/>
      <c r="C178" s="141"/>
      <c r="D178" s="166">
        <v>81</v>
      </c>
      <c r="E178" s="166">
        <v>79</v>
      </c>
      <c r="F178" s="166">
        <v>106</v>
      </c>
      <c r="G178" s="166">
        <v>37</v>
      </c>
      <c r="H178" s="166">
        <v>21</v>
      </c>
      <c r="I178" s="166">
        <v>124</v>
      </c>
      <c r="J178" s="166">
        <v>158</v>
      </c>
      <c r="K178" s="166">
        <v>92</v>
      </c>
      <c r="L178" s="166">
        <v>31</v>
      </c>
      <c r="M178" s="166">
        <v>52</v>
      </c>
      <c r="N178" s="166">
        <v>32</v>
      </c>
      <c r="O178" s="166">
        <v>27</v>
      </c>
      <c r="P178" s="166">
        <v>18</v>
      </c>
      <c r="Q178" s="166">
        <v>16</v>
      </c>
      <c r="R178" s="166">
        <v>87</v>
      </c>
      <c r="S178" s="166">
        <v>56</v>
      </c>
      <c r="T178" s="166">
        <v>20</v>
      </c>
      <c r="U178" s="166">
        <v>47</v>
      </c>
      <c r="V178" s="166">
        <v>24</v>
      </c>
      <c r="W178" s="166">
        <v>45</v>
      </c>
      <c r="X178" s="166">
        <v>56</v>
      </c>
      <c r="Y178" s="166">
        <v>26</v>
      </c>
      <c r="Z178" s="166">
        <v>42</v>
      </c>
      <c r="AA178" s="166">
        <v>36</v>
      </c>
      <c r="AB178" s="166">
        <v>40</v>
      </c>
      <c r="AC178" s="166">
        <v>43</v>
      </c>
      <c r="AD178" s="166">
        <v>58</v>
      </c>
      <c r="AE178" s="166">
        <v>15</v>
      </c>
      <c r="AF178" s="166">
        <v>83</v>
      </c>
      <c r="AG178" s="166">
        <v>39</v>
      </c>
      <c r="AH178" s="166">
        <v>71</v>
      </c>
      <c r="AI178" s="166">
        <v>18</v>
      </c>
      <c r="AJ178" s="166">
        <v>19</v>
      </c>
      <c r="AK178" s="166">
        <v>208</v>
      </c>
      <c r="AL178" s="166">
        <v>63</v>
      </c>
      <c r="AM178" s="166">
        <v>22</v>
      </c>
      <c r="AN178" s="166">
        <v>34</v>
      </c>
      <c r="AO178" s="166">
        <v>60</v>
      </c>
      <c r="AP178" s="166">
        <v>47</v>
      </c>
      <c r="AQ178" s="166">
        <v>1</v>
      </c>
      <c r="AR178" s="166">
        <v>37</v>
      </c>
      <c r="AS178" s="166">
        <v>52</v>
      </c>
      <c r="AT178" s="166">
        <v>19</v>
      </c>
      <c r="AU178" s="166">
        <v>49</v>
      </c>
      <c r="AV178" s="166">
        <v>45</v>
      </c>
      <c r="AW178" s="166">
        <v>67</v>
      </c>
      <c r="AX178" s="166">
        <v>97</v>
      </c>
      <c r="AY178" s="166">
        <v>62</v>
      </c>
      <c r="AZ178" s="166">
        <v>66</v>
      </c>
      <c r="BA178" s="166">
        <v>41</v>
      </c>
      <c r="BB178" s="166">
        <v>62</v>
      </c>
      <c r="BC178" s="166">
        <v>22</v>
      </c>
      <c r="BD178" s="166">
        <v>30</v>
      </c>
      <c r="BE178" s="166">
        <v>24</v>
      </c>
      <c r="BF178" s="166">
        <v>81</v>
      </c>
      <c r="BG178" s="166">
        <v>26</v>
      </c>
      <c r="BH178" s="166">
        <v>165</v>
      </c>
      <c r="BI178" s="166">
        <v>211</v>
      </c>
      <c r="BJ178" s="166">
        <v>48</v>
      </c>
      <c r="BK178" s="166">
        <v>3</v>
      </c>
      <c r="BL178" s="166">
        <v>3</v>
      </c>
      <c r="BM178" s="166">
        <v>1</v>
      </c>
      <c r="BN178" s="166">
        <v>2</v>
      </c>
      <c r="BO178" s="166">
        <v>2</v>
      </c>
      <c r="BP178" s="166">
        <v>5</v>
      </c>
      <c r="BQ178" s="166">
        <v>13</v>
      </c>
      <c r="BR178" s="166">
        <v>19</v>
      </c>
      <c r="BS178" s="166">
        <v>1</v>
      </c>
      <c r="BT178" s="166">
        <v>1</v>
      </c>
      <c r="BU178" s="166">
        <v>1</v>
      </c>
      <c r="BV178" s="166">
        <v>89</v>
      </c>
      <c r="BW178" s="166">
        <v>50</v>
      </c>
      <c r="BX178" s="166">
        <v>137</v>
      </c>
      <c r="BY178" s="166">
        <v>14</v>
      </c>
      <c r="BZ178" s="166">
        <v>2</v>
      </c>
      <c r="CA178" s="166">
        <v>164</v>
      </c>
      <c r="CB178" s="166">
        <v>75</v>
      </c>
      <c r="CC178" s="166">
        <v>671</v>
      </c>
      <c r="CD178" s="166">
        <v>112</v>
      </c>
      <c r="CE178" s="166">
        <v>221</v>
      </c>
      <c r="CF178" s="167">
        <v>4924</v>
      </c>
    </row>
    <row r="179" spans="1:84" ht="13.5" x14ac:dyDescent="0.15">
      <c r="D179" s="22"/>
    </row>
    <row r="180" spans="1:84" ht="13.5" x14ac:dyDescent="0.15">
      <c r="D180" s="22"/>
    </row>
    <row r="181" spans="1:84" ht="13.5" x14ac:dyDescent="0.15">
      <c r="D181" s="22"/>
    </row>
    <row r="182" spans="1:84" ht="13.5" x14ac:dyDescent="0.15">
      <c r="D182" s="22"/>
    </row>
    <row r="183" spans="1:84" ht="13.5" x14ac:dyDescent="0.15">
      <c r="D183" s="22"/>
    </row>
    <row r="184" spans="1:84" ht="13.5" x14ac:dyDescent="0.15">
      <c r="D184" s="22"/>
    </row>
    <row r="185" spans="1:84" ht="13.5" x14ac:dyDescent="0.15">
      <c r="D185" s="22"/>
    </row>
    <row r="186" spans="1:84" ht="13.5" x14ac:dyDescent="0.15">
      <c r="D186" s="22"/>
    </row>
    <row r="187" spans="1:84" ht="13.5" x14ac:dyDescent="0.15">
      <c r="D187" s="22"/>
    </row>
    <row r="188" spans="1:84" ht="13.5" x14ac:dyDescent="0.15">
      <c r="D188" s="22"/>
    </row>
    <row r="189" spans="1:84" ht="13.5" x14ac:dyDescent="0.15">
      <c r="D189" s="22"/>
    </row>
    <row r="190" spans="1:84" ht="13.5" x14ac:dyDescent="0.15">
      <c r="D190" s="22"/>
    </row>
    <row r="191" spans="1:84" ht="13.5" x14ac:dyDescent="0.15">
      <c r="D191" s="22"/>
    </row>
    <row r="192" spans="1:84" ht="13.5" x14ac:dyDescent="0.15">
      <c r="D192" s="22"/>
    </row>
    <row r="193" spans="4:4" ht="13.5" x14ac:dyDescent="0.15">
      <c r="D193" s="22"/>
    </row>
    <row r="194" spans="4:4" ht="13.5" x14ac:dyDescent="0.15">
      <c r="D194" s="22"/>
    </row>
    <row r="195" spans="4:4" ht="13.5" x14ac:dyDescent="0.15">
      <c r="D195" s="22"/>
    </row>
    <row r="196" spans="4:4" ht="13.5" x14ac:dyDescent="0.15">
      <c r="D196" s="22"/>
    </row>
    <row r="197" spans="4:4" ht="13.5" x14ac:dyDescent="0.15">
      <c r="D197" s="22"/>
    </row>
    <row r="198" spans="4:4" ht="13.5" x14ac:dyDescent="0.15">
      <c r="D198" s="22"/>
    </row>
    <row r="199" spans="4:4" ht="13.5" x14ac:dyDescent="0.15">
      <c r="D199" s="22"/>
    </row>
    <row r="200" spans="4:4" ht="13.5" x14ac:dyDescent="0.15">
      <c r="D200" s="22"/>
    </row>
    <row r="201" spans="4:4" ht="13.5" x14ac:dyDescent="0.15">
      <c r="D201" s="22"/>
    </row>
    <row r="202" spans="4:4" ht="13.5" x14ac:dyDescent="0.15">
      <c r="D202" s="22"/>
    </row>
    <row r="203" spans="4:4" ht="13.5" x14ac:dyDescent="0.15">
      <c r="D203" s="22"/>
    </row>
    <row r="204" spans="4:4" ht="13.5" x14ac:dyDescent="0.15">
      <c r="D204" s="22"/>
    </row>
    <row r="205" spans="4:4" ht="13.5" x14ac:dyDescent="0.15">
      <c r="D205" s="22"/>
    </row>
    <row r="206" spans="4:4" ht="13.5" x14ac:dyDescent="0.15">
      <c r="D206" s="22"/>
    </row>
    <row r="207" spans="4:4" ht="13.5" x14ac:dyDescent="0.15">
      <c r="D207" s="22"/>
    </row>
    <row r="208" spans="4:4" ht="13.5" x14ac:dyDescent="0.15">
      <c r="D208" s="22"/>
    </row>
    <row r="209" spans="4:4" ht="13.5" x14ac:dyDescent="0.15">
      <c r="D209" s="22"/>
    </row>
    <row r="210" spans="4:4" ht="13.5" x14ac:dyDescent="0.15">
      <c r="D210" s="22"/>
    </row>
    <row r="211" spans="4:4" ht="13.5" x14ac:dyDescent="0.15">
      <c r="D211" s="22"/>
    </row>
    <row r="212" spans="4:4" ht="13.5" x14ac:dyDescent="0.15">
      <c r="D212" s="22"/>
    </row>
    <row r="213" spans="4:4" ht="13.5" x14ac:dyDescent="0.15">
      <c r="D213" s="22"/>
    </row>
    <row r="214" spans="4:4" ht="13.5" x14ac:dyDescent="0.15">
      <c r="D214" s="22"/>
    </row>
    <row r="215" spans="4:4" ht="13.5" x14ac:dyDescent="0.15">
      <c r="D215" s="22"/>
    </row>
    <row r="216" spans="4:4" ht="13.5" x14ac:dyDescent="0.15">
      <c r="D216" s="22"/>
    </row>
    <row r="217" spans="4:4" ht="13.5" x14ac:dyDescent="0.15">
      <c r="D217" s="22"/>
    </row>
    <row r="218" spans="4:4" ht="13.5" x14ac:dyDescent="0.15">
      <c r="D218" s="22"/>
    </row>
    <row r="219" spans="4:4" ht="13.5" x14ac:dyDescent="0.15">
      <c r="D219" s="22"/>
    </row>
    <row r="220" spans="4:4" ht="13.5" x14ac:dyDescent="0.15">
      <c r="D220" s="22"/>
    </row>
    <row r="221" spans="4:4" ht="13.5" x14ac:dyDescent="0.15">
      <c r="D221" s="22"/>
    </row>
    <row r="222" spans="4:4" ht="13.5" x14ac:dyDescent="0.15">
      <c r="D222" s="22"/>
    </row>
    <row r="223" spans="4:4" ht="13.5" x14ac:dyDescent="0.15">
      <c r="D223" s="22"/>
    </row>
    <row r="224" spans="4:4" ht="13.5" x14ac:dyDescent="0.15">
      <c r="D224" s="22"/>
    </row>
    <row r="225" spans="4:4" ht="13.5" x14ac:dyDescent="0.15">
      <c r="D225" s="22"/>
    </row>
    <row r="226" spans="4:4" ht="13.5" x14ac:dyDescent="0.15">
      <c r="D226" s="22"/>
    </row>
    <row r="227" spans="4:4" ht="13.5" x14ac:dyDescent="0.15">
      <c r="D227" s="22"/>
    </row>
    <row r="228" spans="4:4" ht="13.5" x14ac:dyDescent="0.15">
      <c r="D228" s="22"/>
    </row>
    <row r="229" spans="4:4" ht="13.5" x14ac:dyDescent="0.15">
      <c r="D229" s="22"/>
    </row>
    <row r="230" spans="4:4" ht="13.5" x14ac:dyDescent="0.15">
      <c r="D230" s="22"/>
    </row>
    <row r="231" spans="4:4" ht="13.5" x14ac:dyDescent="0.15">
      <c r="D231" s="22"/>
    </row>
    <row r="232" spans="4:4" ht="13.5" x14ac:dyDescent="0.15">
      <c r="D232" s="22"/>
    </row>
    <row r="233" spans="4:4" ht="13.5" x14ac:dyDescent="0.15">
      <c r="D233" s="22"/>
    </row>
    <row r="234" spans="4:4" ht="13.5" x14ac:dyDescent="0.15">
      <c r="D234" s="22"/>
    </row>
    <row r="235" spans="4:4" ht="13.5" x14ac:dyDescent="0.15">
      <c r="D235" s="22"/>
    </row>
    <row r="236" spans="4:4" ht="13.5" x14ac:dyDescent="0.15">
      <c r="D236" s="22"/>
    </row>
    <row r="237" spans="4:4" ht="13.5" x14ac:dyDescent="0.15">
      <c r="D237" s="22"/>
    </row>
    <row r="238" spans="4:4" ht="13.5" x14ac:dyDescent="0.15">
      <c r="D238" s="22"/>
    </row>
    <row r="239" spans="4:4" ht="13.5" x14ac:dyDescent="0.15">
      <c r="D239" s="22"/>
    </row>
    <row r="240" spans="4:4" ht="13.5" x14ac:dyDescent="0.15">
      <c r="D240" s="22"/>
    </row>
    <row r="241" spans="4:4" ht="13.5" x14ac:dyDescent="0.15">
      <c r="D241" s="22"/>
    </row>
    <row r="242" spans="4:4" ht="13.5" x14ac:dyDescent="0.15">
      <c r="D242" s="22"/>
    </row>
    <row r="243" spans="4:4" ht="13.5" x14ac:dyDescent="0.15">
      <c r="D243" s="22"/>
    </row>
    <row r="244" spans="4:4" ht="13.5" x14ac:dyDescent="0.15">
      <c r="D244" s="22"/>
    </row>
    <row r="245" spans="4:4" ht="13.5" x14ac:dyDescent="0.15">
      <c r="D245" s="22"/>
    </row>
    <row r="246" spans="4:4" ht="13.5" x14ac:dyDescent="0.15">
      <c r="D246" s="22"/>
    </row>
    <row r="247" spans="4:4" ht="13.5" x14ac:dyDescent="0.15">
      <c r="D247" s="22"/>
    </row>
    <row r="248" spans="4:4" ht="13.5" x14ac:dyDescent="0.15">
      <c r="D248" s="22"/>
    </row>
    <row r="249" spans="4:4" ht="13.5" x14ac:dyDescent="0.15">
      <c r="D249" s="22"/>
    </row>
    <row r="250" spans="4:4" ht="13.5" x14ac:dyDescent="0.15">
      <c r="D250" s="22"/>
    </row>
    <row r="251" spans="4:4" ht="13.5" x14ac:dyDescent="0.15">
      <c r="D251" s="22"/>
    </row>
    <row r="252" spans="4:4" ht="13.5" x14ac:dyDescent="0.15">
      <c r="D252" s="22"/>
    </row>
    <row r="253" spans="4:4" ht="13.5" x14ac:dyDescent="0.15">
      <c r="D253" s="22"/>
    </row>
    <row r="254" spans="4:4" ht="13.5" x14ac:dyDescent="0.15">
      <c r="D254" s="22"/>
    </row>
    <row r="255" spans="4:4" ht="13.5" x14ac:dyDescent="0.15">
      <c r="D255" s="22"/>
    </row>
    <row r="256" spans="4:4" ht="13.5" x14ac:dyDescent="0.15">
      <c r="D256" s="22"/>
    </row>
    <row r="257" spans="4:4" ht="13.5" x14ac:dyDescent="0.15">
      <c r="D257" s="22"/>
    </row>
    <row r="258" spans="4:4" ht="13.5" x14ac:dyDescent="0.15">
      <c r="D258" s="22"/>
    </row>
    <row r="259" spans="4:4" ht="13.5" x14ac:dyDescent="0.15">
      <c r="D259" s="22"/>
    </row>
    <row r="260" spans="4:4" ht="13.5" x14ac:dyDescent="0.15">
      <c r="D260" s="22"/>
    </row>
    <row r="261" spans="4:4" ht="13.5" x14ac:dyDescent="0.15">
      <c r="D261" s="22"/>
    </row>
    <row r="262" spans="4:4" ht="13.5" x14ac:dyDescent="0.15">
      <c r="D262" s="22"/>
    </row>
    <row r="263" spans="4:4" ht="13.5" x14ac:dyDescent="0.15">
      <c r="D263" s="22"/>
    </row>
    <row r="264" spans="4:4" ht="13.5" x14ac:dyDescent="0.15">
      <c r="D264" s="22"/>
    </row>
    <row r="265" spans="4:4" ht="13.5" x14ac:dyDescent="0.15">
      <c r="D265" s="22"/>
    </row>
    <row r="266" spans="4:4" ht="13.5" x14ac:dyDescent="0.15">
      <c r="D266" s="22"/>
    </row>
    <row r="267" spans="4:4" ht="13.5" x14ac:dyDescent="0.15">
      <c r="D267" s="22"/>
    </row>
    <row r="268" spans="4:4" ht="13.5" x14ac:dyDescent="0.15">
      <c r="D268" s="22"/>
    </row>
    <row r="269" spans="4:4" ht="13.5" x14ac:dyDescent="0.15">
      <c r="D269" s="22"/>
    </row>
    <row r="270" spans="4:4" ht="13.5" x14ac:dyDescent="0.15">
      <c r="D270" s="22"/>
    </row>
    <row r="271" spans="4:4" ht="13.5" x14ac:dyDescent="0.15">
      <c r="D271" s="22"/>
    </row>
    <row r="272" spans="4:4" ht="13.5" x14ac:dyDescent="0.15">
      <c r="D272" s="22"/>
    </row>
    <row r="273" spans="4:4" ht="13.5" x14ac:dyDescent="0.15">
      <c r="D273" s="22"/>
    </row>
    <row r="274" spans="4:4" ht="13.5" x14ac:dyDescent="0.15">
      <c r="D274" s="22"/>
    </row>
    <row r="275" spans="4:4" ht="13.5" x14ac:dyDescent="0.15">
      <c r="D275" s="22"/>
    </row>
    <row r="276" spans="4:4" ht="13.5" x14ac:dyDescent="0.15">
      <c r="D276" s="22"/>
    </row>
    <row r="277" spans="4:4" ht="13.5" x14ac:dyDescent="0.15">
      <c r="D277" s="22"/>
    </row>
    <row r="278" spans="4:4" ht="13.5" x14ac:dyDescent="0.15">
      <c r="D278" s="22"/>
    </row>
    <row r="279" spans="4:4" ht="13.5" x14ac:dyDescent="0.15">
      <c r="D279" s="22"/>
    </row>
    <row r="280" spans="4:4" ht="13.5" x14ac:dyDescent="0.15">
      <c r="D280" s="22"/>
    </row>
    <row r="281" spans="4:4" ht="13.5" x14ac:dyDescent="0.15">
      <c r="D281" s="22"/>
    </row>
    <row r="282" spans="4:4" ht="13.5" x14ac:dyDescent="0.15">
      <c r="D282" s="22"/>
    </row>
    <row r="283" spans="4:4" ht="13.5" x14ac:dyDescent="0.15">
      <c r="D283" s="22"/>
    </row>
    <row r="284" spans="4:4" ht="13.5" x14ac:dyDescent="0.15">
      <c r="D284" s="22"/>
    </row>
    <row r="285" spans="4:4" ht="13.5" x14ac:dyDescent="0.15">
      <c r="D285" s="22"/>
    </row>
    <row r="286" spans="4:4" ht="13.5" x14ac:dyDescent="0.15">
      <c r="D286" s="22"/>
    </row>
    <row r="287" spans="4:4" ht="13.5" x14ac:dyDescent="0.15">
      <c r="D287" s="22"/>
    </row>
    <row r="288" spans="4:4" ht="13.5" x14ac:dyDescent="0.15">
      <c r="D288" s="22"/>
    </row>
    <row r="289" spans="4:4" ht="13.5" x14ac:dyDescent="0.15">
      <c r="D289" s="22"/>
    </row>
    <row r="290" spans="4:4" ht="13.5" x14ac:dyDescent="0.15">
      <c r="D290" s="22"/>
    </row>
    <row r="291" spans="4:4" ht="13.5" x14ac:dyDescent="0.15">
      <c r="D291" s="22"/>
    </row>
    <row r="292" spans="4:4" ht="13.5" x14ac:dyDescent="0.15">
      <c r="D292" s="22"/>
    </row>
    <row r="293" spans="4:4" ht="13.5" x14ac:dyDescent="0.15">
      <c r="D293" s="22"/>
    </row>
    <row r="294" spans="4:4" ht="13.5" x14ac:dyDescent="0.15">
      <c r="D294" s="22"/>
    </row>
    <row r="295" spans="4:4" ht="13.5" x14ac:dyDescent="0.15">
      <c r="D295" s="22"/>
    </row>
    <row r="296" spans="4:4" ht="13.5" x14ac:dyDescent="0.15">
      <c r="D296" s="22"/>
    </row>
    <row r="297" spans="4:4" ht="13.5" x14ac:dyDescent="0.15">
      <c r="D297" s="22"/>
    </row>
    <row r="298" spans="4:4" ht="13.5" x14ac:dyDescent="0.15">
      <c r="D298" s="22"/>
    </row>
    <row r="299" spans="4:4" ht="13.5" x14ac:dyDescent="0.15">
      <c r="D299" s="22"/>
    </row>
    <row r="300" spans="4:4" ht="13.5" x14ac:dyDescent="0.15">
      <c r="D300" s="22"/>
    </row>
    <row r="301" spans="4:4" ht="13.5" x14ac:dyDescent="0.15">
      <c r="D301" s="22"/>
    </row>
    <row r="302" spans="4:4" ht="13.5" x14ac:dyDescent="0.15">
      <c r="D302" s="22"/>
    </row>
    <row r="303" spans="4:4" ht="13.5" x14ac:dyDescent="0.15">
      <c r="D303" s="22"/>
    </row>
    <row r="304" spans="4:4" ht="13.5" x14ac:dyDescent="0.15">
      <c r="D304" s="22"/>
    </row>
    <row r="305" spans="4:4" ht="13.5" x14ac:dyDescent="0.15">
      <c r="D305" s="22"/>
    </row>
    <row r="306" spans="4:4" ht="13.5" x14ac:dyDescent="0.15">
      <c r="D306" s="22"/>
    </row>
    <row r="307" spans="4:4" ht="13.5" x14ac:dyDescent="0.15">
      <c r="D307" s="22"/>
    </row>
    <row r="308" spans="4:4" ht="13.5" x14ac:dyDescent="0.15">
      <c r="D308" s="22"/>
    </row>
    <row r="309" spans="4:4" ht="13.5" x14ac:dyDescent="0.15">
      <c r="D309" s="22"/>
    </row>
    <row r="310" spans="4:4" ht="13.5" x14ac:dyDescent="0.15">
      <c r="D310" s="22"/>
    </row>
    <row r="311" spans="4:4" ht="13.5" x14ac:dyDescent="0.15">
      <c r="D311" s="22"/>
    </row>
    <row r="312" spans="4:4" ht="13.5" x14ac:dyDescent="0.15">
      <c r="D312" s="22"/>
    </row>
    <row r="313" spans="4:4" ht="13.5" x14ac:dyDescent="0.15">
      <c r="D313" s="22"/>
    </row>
    <row r="314" spans="4:4" ht="13.5" x14ac:dyDescent="0.15">
      <c r="D314" s="22"/>
    </row>
    <row r="315" spans="4:4" ht="13.5" x14ac:dyDescent="0.15">
      <c r="D315" s="22"/>
    </row>
    <row r="316" spans="4:4" ht="13.5" x14ac:dyDescent="0.15">
      <c r="D316" s="22"/>
    </row>
    <row r="317" spans="4:4" ht="13.5" x14ac:dyDescent="0.15">
      <c r="D317" s="22"/>
    </row>
    <row r="318" spans="4:4" ht="13.5" x14ac:dyDescent="0.15">
      <c r="D318" s="22"/>
    </row>
    <row r="319" spans="4:4" ht="13.5" x14ac:dyDescent="0.15">
      <c r="D319" s="22"/>
    </row>
    <row r="320" spans="4:4" ht="13.5" x14ac:dyDescent="0.15">
      <c r="D320" s="22"/>
    </row>
    <row r="321" spans="4:4" ht="13.5" x14ac:dyDescent="0.15">
      <c r="D321" s="22"/>
    </row>
    <row r="322" spans="4:4" ht="13.5" x14ac:dyDescent="0.15">
      <c r="D322" s="22"/>
    </row>
    <row r="323" spans="4:4" ht="13.5" x14ac:dyDescent="0.15">
      <c r="D323" s="22"/>
    </row>
    <row r="324" spans="4:4" ht="13.5" x14ac:dyDescent="0.15">
      <c r="D324" s="22"/>
    </row>
    <row r="325" spans="4:4" ht="13.5" x14ac:dyDescent="0.15">
      <c r="D325" s="22"/>
    </row>
    <row r="326" spans="4:4" ht="13.5" x14ac:dyDescent="0.15">
      <c r="D326" s="22"/>
    </row>
    <row r="327" spans="4:4" ht="13.5" x14ac:dyDescent="0.15">
      <c r="D327" s="22"/>
    </row>
    <row r="328" spans="4:4" ht="13.5" x14ac:dyDescent="0.15">
      <c r="D328" s="22"/>
    </row>
    <row r="329" spans="4:4" ht="13.5" x14ac:dyDescent="0.15">
      <c r="D329" s="22"/>
    </row>
    <row r="330" spans="4:4" ht="13.5" x14ac:dyDescent="0.15">
      <c r="D330" s="22"/>
    </row>
    <row r="331" spans="4:4" ht="13.5" x14ac:dyDescent="0.15">
      <c r="D331" s="22"/>
    </row>
    <row r="332" spans="4:4" ht="13.5" x14ac:dyDescent="0.15">
      <c r="D332" s="22"/>
    </row>
    <row r="333" spans="4:4" ht="13.5" x14ac:dyDescent="0.15">
      <c r="D333" s="22"/>
    </row>
    <row r="334" spans="4:4" ht="13.5" x14ac:dyDescent="0.15">
      <c r="D334" s="22"/>
    </row>
    <row r="335" spans="4:4" ht="13.5" x14ac:dyDescent="0.15">
      <c r="D335" s="22"/>
    </row>
    <row r="336" spans="4:4" ht="13.5" x14ac:dyDescent="0.15">
      <c r="D336" s="22"/>
    </row>
    <row r="337" spans="4:4" ht="13.5" x14ac:dyDescent="0.15">
      <c r="D337" s="22"/>
    </row>
    <row r="338" spans="4:4" ht="13.5" x14ac:dyDescent="0.15">
      <c r="D338" s="22"/>
    </row>
    <row r="339" spans="4:4" ht="13.5" x14ac:dyDescent="0.15">
      <c r="D339" s="22"/>
    </row>
    <row r="340" spans="4:4" ht="13.5" x14ac:dyDescent="0.15">
      <c r="D340" s="22"/>
    </row>
    <row r="341" spans="4:4" ht="13.5" x14ac:dyDescent="0.15">
      <c r="D341" s="22"/>
    </row>
    <row r="342" spans="4:4" ht="13.5" x14ac:dyDescent="0.15">
      <c r="D342" s="22"/>
    </row>
    <row r="343" spans="4:4" ht="13.5" x14ac:dyDescent="0.15">
      <c r="D343" s="22"/>
    </row>
    <row r="344" spans="4:4" ht="13.5" x14ac:dyDescent="0.15">
      <c r="D344" s="22"/>
    </row>
    <row r="345" spans="4:4" ht="13.5" x14ac:dyDescent="0.15">
      <c r="D345" s="22"/>
    </row>
    <row r="346" spans="4:4" ht="13.5" x14ac:dyDescent="0.15">
      <c r="D346" s="22"/>
    </row>
    <row r="347" spans="4:4" ht="13.5" x14ac:dyDescent="0.15">
      <c r="D347" s="22"/>
    </row>
    <row r="348" spans="4:4" ht="13.5" x14ac:dyDescent="0.15">
      <c r="D348" s="22"/>
    </row>
    <row r="349" spans="4:4" ht="13.5" x14ac:dyDescent="0.15">
      <c r="D349" s="22"/>
    </row>
    <row r="350" spans="4:4" ht="13.5" x14ac:dyDescent="0.15">
      <c r="D350" s="22"/>
    </row>
    <row r="351" spans="4:4" ht="13.5" x14ac:dyDescent="0.15">
      <c r="D351" s="22"/>
    </row>
    <row r="352" spans="4:4" ht="13.5" x14ac:dyDescent="0.15">
      <c r="D352" s="22"/>
    </row>
    <row r="353" spans="4:4" ht="13.5" x14ac:dyDescent="0.15">
      <c r="D353" s="22"/>
    </row>
    <row r="354" spans="4:4" ht="13.5" x14ac:dyDescent="0.15">
      <c r="D354" s="22"/>
    </row>
    <row r="355" spans="4:4" ht="13.5" x14ac:dyDescent="0.15">
      <c r="D355" s="22"/>
    </row>
    <row r="356" spans="4:4" ht="13.5" x14ac:dyDescent="0.15">
      <c r="D356" s="22"/>
    </row>
    <row r="357" spans="4:4" ht="13.5" x14ac:dyDescent="0.15">
      <c r="D357" s="22"/>
    </row>
    <row r="358" spans="4:4" ht="13.5" x14ac:dyDescent="0.15">
      <c r="D358" s="22"/>
    </row>
    <row r="359" spans="4:4" ht="13.5" x14ac:dyDescent="0.15">
      <c r="D359" s="22"/>
    </row>
    <row r="360" spans="4:4" ht="13.5" x14ac:dyDescent="0.15">
      <c r="D360" s="22"/>
    </row>
    <row r="361" spans="4:4" ht="13.5" x14ac:dyDescent="0.15">
      <c r="D361" s="22"/>
    </row>
    <row r="362" spans="4:4" ht="13.5" x14ac:dyDescent="0.15">
      <c r="D362" s="22"/>
    </row>
    <row r="363" spans="4:4" ht="13.5" x14ac:dyDescent="0.15">
      <c r="D363" s="22"/>
    </row>
    <row r="364" spans="4:4" ht="13.5" x14ac:dyDescent="0.15">
      <c r="D364" s="22"/>
    </row>
    <row r="365" spans="4:4" ht="13.5" x14ac:dyDescent="0.15">
      <c r="D365" s="22"/>
    </row>
    <row r="366" spans="4:4" ht="13.5" x14ac:dyDescent="0.15">
      <c r="D366" s="22"/>
    </row>
    <row r="367" spans="4:4" ht="13.5" x14ac:dyDescent="0.15">
      <c r="D367" s="22"/>
    </row>
    <row r="368" spans="4:4" ht="13.5" x14ac:dyDescent="0.15">
      <c r="D368" s="22"/>
    </row>
    <row r="369" spans="4:4" ht="13.5" x14ac:dyDescent="0.15">
      <c r="D369" s="22"/>
    </row>
    <row r="370" spans="4:4" ht="13.5" x14ac:dyDescent="0.15">
      <c r="D370" s="22"/>
    </row>
    <row r="371" spans="4:4" ht="13.5" x14ac:dyDescent="0.15">
      <c r="D371" s="22"/>
    </row>
    <row r="372" spans="4:4" ht="13.5" x14ac:dyDescent="0.15">
      <c r="D372" s="22"/>
    </row>
    <row r="373" spans="4:4" ht="13.5" x14ac:dyDescent="0.15">
      <c r="D373" s="22"/>
    </row>
    <row r="374" spans="4:4" ht="13.5" x14ac:dyDescent="0.15">
      <c r="D374" s="22"/>
    </row>
    <row r="375" spans="4:4" ht="13.5" x14ac:dyDescent="0.15">
      <c r="D375" s="22"/>
    </row>
    <row r="376" spans="4:4" ht="13.5" x14ac:dyDescent="0.15">
      <c r="D376" s="22"/>
    </row>
    <row r="377" spans="4:4" ht="13.5" x14ac:dyDescent="0.15">
      <c r="D377" s="22"/>
    </row>
    <row r="378" spans="4:4" ht="13.5" x14ac:dyDescent="0.15">
      <c r="D378" s="22"/>
    </row>
    <row r="379" spans="4:4" ht="13.5" x14ac:dyDescent="0.15">
      <c r="D379" s="22"/>
    </row>
    <row r="380" spans="4:4" ht="13.5" x14ac:dyDescent="0.15">
      <c r="D380" s="22"/>
    </row>
    <row r="381" spans="4:4" ht="13.5" x14ac:dyDescent="0.15">
      <c r="D381" s="22"/>
    </row>
    <row r="382" spans="4:4" ht="13.5" x14ac:dyDescent="0.15">
      <c r="D382" s="22"/>
    </row>
    <row r="383" spans="4:4" ht="13.5" x14ac:dyDescent="0.15">
      <c r="D383" s="22"/>
    </row>
    <row r="384" spans="4:4" ht="13.5" x14ac:dyDescent="0.15">
      <c r="D384" s="22"/>
    </row>
    <row r="385" spans="4:4" ht="13.5" x14ac:dyDescent="0.15">
      <c r="D385" s="22"/>
    </row>
    <row r="386" spans="4:4" ht="13.5" x14ac:dyDescent="0.15">
      <c r="D386" s="22"/>
    </row>
    <row r="387" spans="4:4" ht="13.5" x14ac:dyDescent="0.15">
      <c r="D387" s="22"/>
    </row>
    <row r="388" spans="4:4" ht="13.5" x14ac:dyDescent="0.15">
      <c r="D388" s="22"/>
    </row>
    <row r="389" spans="4:4" ht="13.5" x14ac:dyDescent="0.15">
      <c r="D389" s="22"/>
    </row>
    <row r="390" spans="4:4" ht="13.5" x14ac:dyDescent="0.15">
      <c r="D390" s="22"/>
    </row>
    <row r="391" spans="4:4" ht="13.5" x14ac:dyDescent="0.15">
      <c r="D391" s="22"/>
    </row>
    <row r="392" spans="4:4" ht="13.5" x14ac:dyDescent="0.15">
      <c r="D392" s="22"/>
    </row>
    <row r="393" spans="4:4" ht="13.5" x14ac:dyDescent="0.15">
      <c r="D393" s="22"/>
    </row>
    <row r="394" spans="4:4" ht="13.5" x14ac:dyDescent="0.15">
      <c r="D394" s="22"/>
    </row>
    <row r="395" spans="4:4" ht="13.5" x14ac:dyDescent="0.15">
      <c r="D395" s="22"/>
    </row>
    <row r="396" spans="4:4" ht="13.5" x14ac:dyDescent="0.15">
      <c r="D396" s="22"/>
    </row>
    <row r="397" spans="4:4" ht="13.5" x14ac:dyDescent="0.15">
      <c r="D397" s="22"/>
    </row>
    <row r="398" spans="4:4" ht="13.5" x14ac:dyDescent="0.15">
      <c r="D398" s="22"/>
    </row>
    <row r="399" spans="4:4" ht="13.5" x14ac:dyDescent="0.15">
      <c r="D399" s="22"/>
    </row>
    <row r="400" spans="4:4" ht="13.5" x14ac:dyDescent="0.15">
      <c r="D400" s="22"/>
    </row>
    <row r="401" spans="4:4" ht="13.5" x14ac:dyDescent="0.15">
      <c r="D401" s="22"/>
    </row>
    <row r="402" spans="4:4" ht="13.5" x14ac:dyDescent="0.15">
      <c r="D402" s="22"/>
    </row>
    <row r="403" spans="4:4" ht="13.5" x14ac:dyDescent="0.15">
      <c r="D403" s="22"/>
    </row>
    <row r="404" spans="4:4" ht="13.5" x14ac:dyDescent="0.15">
      <c r="D404" s="22"/>
    </row>
    <row r="405" spans="4:4" ht="13.5" x14ac:dyDescent="0.15">
      <c r="D405" s="22"/>
    </row>
    <row r="406" spans="4:4" ht="13.5" x14ac:dyDescent="0.15">
      <c r="D406" s="22"/>
    </row>
    <row r="407" spans="4:4" ht="13.5" x14ac:dyDescent="0.15">
      <c r="D407" s="22"/>
    </row>
    <row r="408" spans="4:4" ht="13.5" x14ac:dyDescent="0.15">
      <c r="D408" s="22"/>
    </row>
    <row r="409" spans="4:4" ht="13.5" x14ac:dyDescent="0.15">
      <c r="D409" s="22"/>
    </row>
    <row r="410" spans="4:4" ht="13.5" x14ac:dyDescent="0.15">
      <c r="D410" s="22"/>
    </row>
    <row r="411" spans="4:4" ht="13.5" x14ac:dyDescent="0.15">
      <c r="D411" s="22"/>
    </row>
    <row r="412" spans="4:4" ht="13.5" x14ac:dyDescent="0.15">
      <c r="D412" s="22"/>
    </row>
    <row r="413" spans="4:4" ht="13.5" x14ac:dyDescent="0.15">
      <c r="D413" s="22"/>
    </row>
    <row r="414" spans="4:4" ht="13.5" x14ac:dyDescent="0.15">
      <c r="D414" s="22"/>
    </row>
    <row r="415" spans="4:4" ht="13.5" x14ac:dyDescent="0.15">
      <c r="D415" s="22"/>
    </row>
    <row r="416" spans="4:4" ht="13.5" x14ac:dyDescent="0.15">
      <c r="D416" s="22"/>
    </row>
    <row r="417" spans="4:4" ht="13.5" x14ac:dyDescent="0.15">
      <c r="D417" s="22"/>
    </row>
    <row r="418" spans="4:4" ht="13.5" x14ac:dyDescent="0.15">
      <c r="D418" s="22"/>
    </row>
    <row r="419" spans="4:4" ht="13.5" x14ac:dyDescent="0.15">
      <c r="D419" s="22"/>
    </row>
    <row r="420" spans="4:4" ht="13.5" x14ac:dyDescent="0.15">
      <c r="D420" s="22"/>
    </row>
    <row r="421" spans="4:4" ht="13.5" x14ac:dyDescent="0.15">
      <c r="D421" s="22"/>
    </row>
    <row r="422" spans="4:4" ht="13.5" x14ac:dyDescent="0.15">
      <c r="D422" s="22"/>
    </row>
    <row r="423" spans="4:4" ht="13.5" x14ac:dyDescent="0.15">
      <c r="D423" s="22"/>
    </row>
    <row r="424" spans="4:4" ht="13.5" x14ac:dyDescent="0.15">
      <c r="D424" s="22"/>
    </row>
    <row r="425" spans="4:4" ht="13.5" x14ac:dyDescent="0.15">
      <c r="D425" s="22"/>
    </row>
    <row r="426" spans="4:4" ht="13.5" x14ac:dyDescent="0.15">
      <c r="D426" s="22"/>
    </row>
    <row r="427" spans="4:4" ht="13.5" x14ac:dyDescent="0.15">
      <c r="D427" s="22"/>
    </row>
    <row r="428" spans="4:4" ht="13.5" x14ac:dyDescent="0.15">
      <c r="D428" s="22"/>
    </row>
    <row r="429" spans="4:4" ht="13.5" x14ac:dyDescent="0.15">
      <c r="D429" s="22"/>
    </row>
    <row r="430" spans="4:4" ht="13.5" x14ac:dyDescent="0.15">
      <c r="D430" s="22"/>
    </row>
    <row r="431" spans="4:4" ht="13.5" x14ac:dyDescent="0.15">
      <c r="D431" s="22"/>
    </row>
    <row r="432" spans="4:4" ht="13.5" x14ac:dyDescent="0.15">
      <c r="D432" s="22"/>
    </row>
    <row r="433" spans="4:4" ht="13.5" x14ac:dyDescent="0.15">
      <c r="D433" s="22"/>
    </row>
    <row r="434" spans="4:4" ht="13.5" x14ac:dyDescent="0.15">
      <c r="D434" s="22"/>
    </row>
    <row r="435" spans="4:4" ht="13.5" x14ac:dyDescent="0.15">
      <c r="D435" s="22"/>
    </row>
    <row r="436" spans="4:4" ht="13.5" x14ac:dyDescent="0.15">
      <c r="D436" s="22"/>
    </row>
    <row r="437" spans="4:4" ht="13.5" x14ac:dyDescent="0.15">
      <c r="D437" s="22"/>
    </row>
    <row r="438" spans="4:4" ht="13.5" x14ac:dyDescent="0.15">
      <c r="D438" s="22"/>
    </row>
    <row r="439" spans="4:4" ht="13.5" x14ac:dyDescent="0.15">
      <c r="D439" s="22"/>
    </row>
    <row r="440" spans="4:4" ht="13.5" x14ac:dyDescent="0.15">
      <c r="D440" s="22"/>
    </row>
    <row r="441" spans="4:4" ht="13.5" x14ac:dyDescent="0.15">
      <c r="D441" s="22"/>
    </row>
    <row r="442" spans="4:4" ht="13.5" x14ac:dyDescent="0.15">
      <c r="D442" s="22"/>
    </row>
    <row r="443" spans="4:4" ht="13.5" x14ac:dyDescent="0.15">
      <c r="D443" s="22"/>
    </row>
    <row r="444" spans="4:4" ht="13.5" x14ac:dyDescent="0.15">
      <c r="D444" s="22"/>
    </row>
    <row r="445" spans="4:4" ht="13.5" x14ac:dyDescent="0.15">
      <c r="D445" s="22"/>
    </row>
    <row r="446" spans="4:4" ht="13.5" x14ac:dyDescent="0.15">
      <c r="D446" s="22"/>
    </row>
    <row r="447" spans="4:4" ht="13.5" x14ac:dyDescent="0.15">
      <c r="D447" s="22"/>
    </row>
    <row r="448" spans="4:4" ht="13.5" x14ac:dyDescent="0.15">
      <c r="D448" s="22"/>
    </row>
    <row r="449" spans="4:4" ht="13.5" x14ac:dyDescent="0.15">
      <c r="D449" s="22"/>
    </row>
    <row r="450" spans="4:4" ht="13.5" x14ac:dyDescent="0.15">
      <c r="D450" s="22"/>
    </row>
    <row r="451" spans="4:4" ht="13.5" x14ac:dyDescent="0.15">
      <c r="D451" s="22"/>
    </row>
    <row r="452" spans="4:4" ht="13.5" x14ac:dyDescent="0.15">
      <c r="D452" s="22"/>
    </row>
    <row r="453" spans="4:4" ht="13.5" x14ac:dyDescent="0.15">
      <c r="D453" s="22"/>
    </row>
    <row r="454" spans="4:4" ht="13.5" x14ac:dyDescent="0.15">
      <c r="D454" s="22"/>
    </row>
    <row r="455" spans="4:4" ht="13.5" x14ac:dyDescent="0.15">
      <c r="D455" s="22"/>
    </row>
    <row r="456" spans="4:4" ht="13.5" x14ac:dyDescent="0.15">
      <c r="D456" s="22"/>
    </row>
    <row r="457" spans="4:4" ht="13.5" x14ac:dyDescent="0.15">
      <c r="D457" s="22"/>
    </row>
    <row r="458" spans="4:4" ht="13.5" x14ac:dyDescent="0.15">
      <c r="D458" s="22"/>
    </row>
    <row r="459" spans="4:4" ht="13.5" x14ac:dyDescent="0.15">
      <c r="D459" s="22"/>
    </row>
    <row r="460" spans="4:4" ht="13.5" x14ac:dyDescent="0.15">
      <c r="D460" s="22"/>
    </row>
    <row r="461" spans="4:4" ht="13.5" x14ac:dyDescent="0.15">
      <c r="D461" s="22"/>
    </row>
    <row r="462" spans="4:4" ht="13.5" x14ac:dyDescent="0.15">
      <c r="D462" s="22"/>
    </row>
    <row r="463" spans="4:4" ht="13.5" x14ac:dyDescent="0.15">
      <c r="D463" s="22"/>
    </row>
    <row r="464" spans="4:4" ht="13.5" x14ac:dyDescent="0.15">
      <c r="D464" s="22"/>
    </row>
    <row r="465" spans="4:4" ht="13.5" x14ac:dyDescent="0.15">
      <c r="D465" s="22"/>
    </row>
    <row r="466" spans="4:4" ht="13.5" x14ac:dyDescent="0.15">
      <c r="D466" s="22"/>
    </row>
    <row r="467" spans="4:4" ht="13.5" x14ac:dyDescent="0.15">
      <c r="D467" s="22"/>
    </row>
    <row r="468" spans="4:4" ht="13.5" x14ac:dyDescent="0.15">
      <c r="D468" s="22"/>
    </row>
    <row r="469" spans="4:4" ht="13.5" x14ac:dyDescent="0.15">
      <c r="D469" s="22"/>
    </row>
    <row r="470" spans="4:4" ht="13.5" x14ac:dyDescent="0.15">
      <c r="D470" s="22"/>
    </row>
    <row r="471" spans="4:4" ht="13.5" x14ac:dyDescent="0.15">
      <c r="D471" s="22"/>
    </row>
    <row r="472" spans="4:4" ht="13.5" x14ac:dyDescent="0.15">
      <c r="D472" s="22"/>
    </row>
    <row r="473" spans="4:4" ht="13.5" x14ac:dyDescent="0.15">
      <c r="D473" s="22"/>
    </row>
    <row r="474" spans="4:4" ht="13.5" x14ac:dyDescent="0.15">
      <c r="D474" s="22"/>
    </row>
    <row r="475" spans="4:4" ht="13.5" x14ac:dyDescent="0.15">
      <c r="D475" s="22"/>
    </row>
    <row r="476" spans="4:4" ht="13.5" x14ac:dyDescent="0.15">
      <c r="D476" s="22"/>
    </row>
    <row r="477" spans="4:4" ht="13.5" x14ac:dyDescent="0.15">
      <c r="D477" s="22"/>
    </row>
    <row r="478" spans="4:4" ht="13.5" x14ac:dyDescent="0.15">
      <c r="D478" s="22"/>
    </row>
    <row r="479" spans="4:4" ht="13.5" x14ac:dyDescent="0.15">
      <c r="D479" s="22"/>
    </row>
    <row r="480" spans="4:4" ht="13.5" x14ac:dyDescent="0.15">
      <c r="D480" s="22"/>
    </row>
    <row r="481" spans="4:4" ht="13.5" x14ac:dyDescent="0.15">
      <c r="D481" s="22"/>
    </row>
    <row r="482" spans="4:4" ht="13.5" x14ac:dyDescent="0.15">
      <c r="D482" s="22"/>
    </row>
    <row r="483" spans="4:4" ht="13.5" x14ac:dyDescent="0.15">
      <c r="D483" s="22"/>
    </row>
    <row r="484" spans="4:4" ht="13.5" x14ac:dyDescent="0.15">
      <c r="D484" s="22"/>
    </row>
    <row r="485" spans="4:4" ht="13.5" x14ac:dyDescent="0.15">
      <c r="D485" s="22"/>
    </row>
    <row r="486" spans="4:4" ht="13.5" x14ac:dyDescent="0.15">
      <c r="D486" s="22"/>
    </row>
    <row r="487" spans="4:4" ht="13.5" x14ac:dyDescent="0.15">
      <c r="D487" s="22"/>
    </row>
    <row r="488" spans="4:4" ht="13.5" x14ac:dyDescent="0.15">
      <c r="D488" s="22"/>
    </row>
    <row r="489" spans="4:4" ht="13.5" x14ac:dyDescent="0.15">
      <c r="D489" s="22"/>
    </row>
    <row r="490" spans="4:4" ht="13.5" x14ac:dyDescent="0.15">
      <c r="D490" s="22"/>
    </row>
    <row r="491" spans="4:4" ht="13.5" x14ac:dyDescent="0.15">
      <c r="D491" s="22"/>
    </row>
    <row r="492" spans="4:4" ht="13.5" x14ac:dyDescent="0.15">
      <c r="D492" s="22"/>
    </row>
    <row r="493" spans="4:4" ht="13.5" x14ac:dyDescent="0.15">
      <c r="D493" s="22"/>
    </row>
    <row r="494" spans="4:4" ht="13.5" x14ac:dyDescent="0.15">
      <c r="D494" s="22"/>
    </row>
    <row r="495" spans="4:4" ht="13.5" x14ac:dyDescent="0.15">
      <c r="D495" s="22"/>
    </row>
    <row r="496" spans="4:4" ht="13.5" x14ac:dyDescent="0.15">
      <c r="D496" s="22"/>
    </row>
    <row r="497" spans="4:4" ht="13.5" x14ac:dyDescent="0.15">
      <c r="D497" s="22"/>
    </row>
    <row r="498" spans="4:4" ht="13.5" x14ac:dyDescent="0.15">
      <c r="D498" s="22"/>
    </row>
    <row r="499" spans="4:4" ht="13.5" x14ac:dyDescent="0.15">
      <c r="D499" s="22"/>
    </row>
    <row r="500" spans="4:4" ht="13.5" x14ac:dyDescent="0.15">
      <c r="D500" s="22"/>
    </row>
    <row r="501" spans="4:4" ht="13.5" x14ac:dyDescent="0.15">
      <c r="D501" s="22"/>
    </row>
    <row r="502" spans="4:4" ht="13.5" x14ac:dyDescent="0.15">
      <c r="D502" s="22"/>
    </row>
    <row r="503" spans="4:4" ht="13.5" x14ac:dyDescent="0.15">
      <c r="D503" s="22"/>
    </row>
    <row r="504" spans="4:4" ht="13.5" x14ac:dyDescent="0.15">
      <c r="D504" s="22"/>
    </row>
    <row r="505" spans="4:4" ht="13.5" x14ac:dyDescent="0.15">
      <c r="D505" s="22"/>
    </row>
    <row r="506" spans="4:4" ht="13.5" x14ac:dyDescent="0.15">
      <c r="D506" s="22"/>
    </row>
    <row r="507" spans="4:4" ht="13.5" x14ac:dyDescent="0.15">
      <c r="D507" s="22"/>
    </row>
    <row r="508" spans="4:4" ht="13.5" x14ac:dyDescent="0.15">
      <c r="D508" s="22"/>
    </row>
    <row r="509" spans="4:4" ht="13.5" x14ac:dyDescent="0.15">
      <c r="D509" s="22"/>
    </row>
    <row r="510" spans="4:4" ht="13.5" x14ac:dyDescent="0.15">
      <c r="D510" s="22"/>
    </row>
    <row r="511" spans="4:4" ht="13.5" x14ac:dyDescent="0.15">
      <c r="D511" s="22"/>
    </row>
    <row r="512" spans="4:4" ht="13.5" x14ac:dyDescent="0.15">
      <c r="D512" s="22"/>
    </row>
    <row r="513" spans="4:4" ht="13.5" x14ac:dyDescent="0.15">
      <c r="D513" s="22"/>
    </row>
    <row r="514" spans="4:4" ht="13.5" x14ac:dyDescent="0.15">
      <c r="D514" s="22"/>
    </row>
    <row r="515" spans="4:4" ht="13.5" x14ac:dyDescent="0.15">
      <c r="D515" s="22"/>
    </row>
    <row r="516" spans="4:4" ht="13.5" x14ac:dyDescent="0.15">
      <c r="D516" s="22"/>
    </row>
  </sheetData>
  <phoneticPr fontId="2"/>
  <pageMargins left="0" right="0" top="0" bottom="0" header="0.51181102362204722" footer="0.51181102362204722"/>
  <pageSetup paperSize="9"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055" r:id="rId5" name="Button 1863">
              <controlPr defaultSize="0" print="0" autoFill="0" autoPict="0" macro="[0]!ShtOrderSum.OrderSumADDNEW_Click">
                <anchor moveWithCells="1">
                  <from>
                    <xdr:col>1</xdr:col>
                    <xdr:colOff>0</xdr:colOff>
                    <xdr:row>2</xdr:row>
                    <xdr:rowOff>0</xdr:rowOff>
                  </from>
                  <to>
                    <xdr:col>1</xdr:col>
                    <xdr:colOff>876300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99FF33"/>
    <pageSetUpPr fitToPage="1"/>
  </sheetPr>
  <dimension ref="A1:S176"/>
  <sheetViews>
    <sheetView zoomScaleNormal="100" zoomScaleSheetLayoutView="85" workbookViewId="0">
      <pane ySplit="3" topLeftCell="A4" activePane="bottomLeft" state="frozen"/>
      <selection pane="bottomLeft" activeCell="A5" sqref="A5:J176"/>
    </sheetView>
  </sheetViews>
  <sheetFormatPr defaultColWidth="9" defaultRowHeight="13.5" x14ac:dyDescent="0.15"/>
  <cols>
    <col min="1" max="1" width="9.875" style="61" bestFit="1" customWidth="1"/>
    <col min="2" max="2" width="40.375" style="61" bestFit="1" customWidth="1"/>
    <col min="3" max="3" width="3.75" style="73" customWidth="1"/>
    <col min="4" max="4" width="3.75" style="61" customWidth="1"/>
    <col min="5" max="5" width="5.875" style="83" customWidth="1"/>
    <col min="6" max="6" width="5.875" style="91" hidden="1" customWidth="1"/>
    <col min="7" max="7" width="4.5" style="73" bestFit="1" customWidth="1"/>
    <col min="8" max="8" width="3.75" style="61" customWidth="1"/>
    <col min="9" max="9" width="4.5" style="78" customWidth="1"/>
    <col min="10" max="10" width="3.25" style="19" customWidth="1"/>
    <col min="11" max="11" width="3.875" style="87" customWidth="1"/>
    <col min="12" max="12" width="2.75" style="61" hidden="1" customWidth="1"/>
    <col min="13" max="13" width="4.375" style="63" customWidth="1"/>
    <col min="14" max="16" width="3.75" style="19" customWidth="1"/>
    <col min="17" max="16384" width="9" style="19"/>
  </cols>
  <sheetData>
    <row r="1" spans="1:19" x14ac:dyDescent="0.15">
      <c r="C1" s="73" t="s">
        <v>107</v>
      </c>
      <c r="D1" s="73" t="s">
        <v>107</v>
      </c>
      <c r="E1" s="80" t="s">
        <v>107</v>
      </c>
      <c r="F1" s="89"/>
      <c r="G1" s="73" t="s">
        <v>107</v>
      </c>
      <c r="H1" s="73" t="s">
        <v>107</v>
      </c>
      <c r="I1" s="77" t="s">
        <v>107</v>
      </c>
      <c r="J1" s="47" t="s">
        <v>107</v>
      </c>
      <c r="K1" s="84" t="s">
        <v>108</v>
      </c>
      <c r="L1" s="62"/>
      <c r="M1" s="62" t="s">
        <v>108</v>
      </c>
    </row>
    <row r="2" spans="1:19" ht="36.75" customHeight="1" x14ac:dyDescent="0.15">
      <c r="A2" s="5" t="s">
        <v>16</v>
      </c>
      <c r="B2" s="5" t="s">
        <v>17</v>
      </c>
      <c r="C2" s="79" t="s">
        <v>77</v>
      </c>
      <c r="D2" s="74" t="s">
        <v>96</v>
      </c>
      <c r="E2" s="81" t="s">
        <v>25</v>
      </c>
      <c r="F2" s="90"/>
      <c r="G2" s="75" t="s">
        <v>95</v>
      </c>
      <c r="H2" s="79" t="s">
        <v>78</v>
      </c>
      <c r="I2" s="35" t="s">
        <v>76</v>
      </c>
      <c r="J2" s="64" t="s">
        <v>62</v>
      </c>
      <c r="K2" s="85" t="s">
        <v>97</v>
      </c>
      <c r="L2" s="65" t="s">
        <v>98</v>
      </c>
      <c r="M2" s="66"/>
    </row>
    <row r="3" spans="1:19" ht="13.5" customHeight="1" x14ac:dyDescent="0.15">
      <c r="A3" s="88">
        <f ca="1">TODAY()+1+1</f>
        <v>45840</v>
      </c>
      <c r="B3" s="118"/>
      <c r="C3" s="76"/>
      <c r="D3" s="35"/>
      <c r="E3" s="82"/>
      <c r="F3" s="92"/>
      <c r="G3" s="76"/>
      <c r="H3" s="68"/>
      <c r="I3" s="35"/>
      <c r="J3" s="67"/>
      <c r="K3" s="86"/>
      <c r="L3" s="68"/>
      <c r="M3" s="68"/>
    </row>
    <row r="4" spans="1:19" ht="12.75" customHeight="1" x14ac:dyDescent="0.15">
      <c r="A4" s="5" t="s">
        <v>100</v>
      </c>
      <c r="B4" s="103"/>
      <c r="C4" s="76"/>
      <c r="D4" s="35"/>
      <c r="E4" s="82"/>
      <c r="F4" s="92"/>
      <c r="G4" s="76"/>
      <c r="H4" s="68"/>
      <c r="I4" s="35"/>
      <c r="J4" s="67"/>
      <c r="K4" s="86"/>
      <c r="L4" s="68"/>
      <c r="M4" s="68"/>
    </row>
    <row r="5" spans="1:19" s="58" customFormat="1" ht="12.6" customHeight="1" x14ac:dyDescent="0.15">
      <c r="A5" s="14"/>
      <c r="B5" s="5"/>
      <c r="C5" s="37"/>
      <c r="D5" s="36"/>
      <c r="E5" s="5"/>
      <c r="F5" s="37"/>
      <c r="G5" s="38"/>
      <c r="H5" s="37"/>
      <c r="I5" s="35"/>
      <c r="J5" s="35"/>
      <c r="K5" s="121">
        <f t="shared" ref="K5:K36" si="0">C5-E5+G5</f>
        <v>0</v>
      </c>
      <c r="L5" s="103"/>
      <c r="M5" s="104" t="str">
        <f t="shared" ref="M5:M36" si="1">IF(COUNTIFS($B5,"*東一*")&gt;0,"東一",IF(COUNTIF($L5,"■")&gt;0,IF(COUNTIF($J5,"○")&gt;0,"荷受",$K5*-1),"温パ"))</f>
        <v>温パ</v>
      </c>
      <c r="N5" s="19"/>
      <c r="O5" s="19"/>
      <c r="P5" s="19"/>
      <c r="Q5" s="19"/>
      <c r="R5" s="19"/>
      <c r="S5" s="19"/>
    </row>
    <row r="6" spans="1:19" ht="12.6" customHeight="1" x14ac:dyDescent="0.15">
      <c r="A6" s="14"/>
      <c r="B6" s="5"/>
      <c r="C6" s="37"/>
      <c r="D6" s="36"/>
      <c r="E6" s="5"/>
      <c r="F6" s="37"/>
      <c r="G6" s="38"/>
      <c r="H6" s="37"/>
      <c r="I6" s="35"/>
      <c r="J6" s="35"/>
      <c r="K6" s="121">
        <f t="shared" si="0"/>
        <v>0</v>
      </c>
      <c r="L6" s="103"/>
      <c r="M6" s="104" t="str">
        <f t="shared" si="1"/>
        <v>温パ</v>
      </c>
    </row>
    <row r="7" spans="1:19" ht="12.6" customHeight="1" x14ac:dyDescent="0.15">
      <c r="A7" s="14"/>
      <c r="B7" s="5"/>
      <c r="C7" s="37"/>
      <c r="D7" s="36"/>
      <c r="E7" s="5"/>
      <c r="F7" s="37"/>
      <c r="G7" s="38"/>
      <c r="H7" s="37"/>
      <c r="I7" s="35"/>
      <c r="J7" s="35"/>
      <c r="K7" s="121">
        <f t="shared" si="0"/>
        <v>0</v>
      </c>
      <c r="L7" s="103"/>
      <c r="M7" s="104" t="str">
        <f t="shared" si="1"/>
        <v>温パ</v>
      </c>
    </row>
    <row r="8" spans="1:19" ht="12.6" customHeight="1" x14ac:dyDescent="0.15">
      <c r="A8" s="14"/>
      <c r="B8" s="5"/>
      <c r="C8" s="37"/>
      <c r="D8" s="36"/>
      <c r="E8" s="5"/>
      <c r="F8" s="37"/>
      <c r="G8" s="38"/>
      <c r="H8" s="37"/>
      <c r="I8" s="35"/>
      <c r="J8" s="35"/>
      <c r="K8" s="121">
        <f t="shared" si="0"/>
        <v>0</v>
      </c>
      <c r="L8" s="103"/>
      <c r="M8" s="104" t="str">
        <f t="shared" si="1"/>
        <v>温パ</v>
      </c>
    </row>
    <row r="9" spans="1:19" ht="12.6" customHeight="1" x14ac:dyDescent="0.15">
      <c r="A9" s="14"/>
      <c r="B9" s="5"/>
      <c r="C9" s="37"/>
      <c r="D9" s="36"/>
      <c r="E9" s="5"/>
      <c r="F9" s="37"/>
      <c r="G9" s="38"/>
      <c r="H9" s="37"/>
      <c r="I9" s="35"/>
      <c r="J9" s="35"/>
      <c r="K9" s="121">
        <f t="shared" si="0"/>
        <v>0</v>
      </c>
      <c r="L9" s="103"/>
      <c r="M9" s="104" t="str">
        <f t="shared" si="1"/>
        <v>温パ</v>
      </c>
    </row>
    <row r="10" spans="1:19" ht="12.6" customHeight="1" x14ac:dyDescent="0.15">
      <c r="A10" s="14"/>
      <c r="B10" s="5"/>
      <c r="C10" s="37"/>
      <c r="D10" s="36"/>
      <c r="E10" s="5"/>
      <c r="F10" s="37"/>
      <c r="G10" s="38"/>
      <c r="H10" s="37"/>
      <c r="I10" s="35"/>
      <c r="J10" s="35"/>
      <c r="K10" s="121">
        <f t="shared" si="0"/>
        <v>0</v>
      </c>
      <c r="L10" s="103"/>
      <c r="M10" s="104" t="str">
        <f t="shared" si="1"/>
        <v>温パ</v>
      </c>
    </row>
    <row r="11" spans="1:19" ht="12.6" customHeight="1" x14ac:dyDescent="0.15">
      <c r="A11" s="14"/>
      <c r="B11" s="5"/>
      <c r="C11" s="37"/>
      <c r="D11" s="36"/>
      <c r="E11" s="5"/>
      <c r="F11" s="37"/>
      <c r="G11" s="38"/>
      <c r="H11" s="37"/>
      <c r="I11" s="35"/>
      <c r="J11" s="35"/>
      <c r="K11" s="121">
        <f t="shared" si="0"/>
        <v>0</v>
      </c>
      <c r="L11" s="103"/>
      <c r="M11" s="104" t="str">
        <f t="shared" si="1"/>
        <v>温パ</v>
      </c>
    </row>
    <row r="12" spans="1:19" ht="12.6" customHeight="1" x14ac:dyDescent="0.15">
      <c r="A12" s="14"/>
      <c r="B12" s="5"/>
      <c r="C12" s="37"/>
      <c r="D12" s="36"/>
      <c r="E12" s="5"/>
      <c r="F12" s="37"/>
      <c r="G12" s="38"/>
      <c r="H12" s="37"/>
      <c r="I12" s="35"/>
      <c r="J12" s="35"/>
      <c r="K12" s="121">
        <f t="shared" si="0"/>
        <v>0</v>
      </c>
      <c r="L12" s="103"/>
      <c r="M12" s="104" t="str">
        <f t="shared" si="1"/>
        <v>温パ</v>
      </c>
    </row>
    <row r="13" spans="1:19" ht="12.6" customHeight="1" x14ac:dyDescent="0.15">
      <c r="A13" s="14"/>
      <c r="B13" s="5"/>
      <c r="C13" s="37"/>
      <c r="D13" s="36"/>
      <c r="E13" s="5"/>
      <c r="F13" s="37"/>
      <c r="G13" s="38"/>
      <c r="H13" s="37"/>
      <c r="I13" s="35"/>
      <c r="J13" s="35"/>
      <c r="K13" s="121">
        <f t="shared" si="0"/>
        <v>0</v>
      </c>
      <c r="L13" s="103"/>
      <c r="M13" s="104" t="str">
        <f t="shared" si="1"/>
        <v>温パ</v>
      </c>
    </row>
    <row r="14" spans="1:19" ht="12.6" customHeight="1" x14ac:dyDescent="0.15">
      <c r="A14" s="14"/>
      <c r="B14" s="5"/>
      <c r="C14" s="37"/>
      <c r="D14" s="36"/>
      <c r="E14" s="5"/>
      <c r="F14" s="37"/>
      <c r="G14" s="38"/>
      <c r="H14" s="37"/>
      <c r="I14" s="35"/>
      <c r="J14" s="35"/>
      <c r="K14" s="121">
        <f t="shared" si="0"/>
        <v>0</v>
      </c>
      <c r="L14" s="103"/>
      <c r="M14" s="104" t="str">
        <f t="shared" si="1"/>
        <v>温パ</v>
      </c>
    </row>
    <row r="15" spans="1:19" ht="12.6" customHeight="1" x14ac:dyDescent="0.15">
      <c r="A15" s="14"/>
      <c r="B15" s="5"/>
      <c r="C15" s="37"/>
      <c r="D15" s="36"/>
      <c r="E15" s="5"/>
      <c r="F15" s="37"/>
      <c r="G15" s="38"/>
      <c r="H15" s="37"/>
      <c r="I15" s="35"/>
      <c r="J15" s="35"/>
      <c r="K15" s="121">
        <f t="shared" si="0"/>
        <v>0</v>
      </c>
      <c r="L15" s="103"/>
      <c r="M15" s="104" t="str">
        <f t="shared" si="1"/>
        <v>温パ</v>
      </c>
    </row>
    <row r="16" spans="1:19" ht="12.6" customHeight="1" x14ac:dyDescent="0.15">
      <c r="A16" s="14"/>
      <c r="B16" s="5"/>
      <c r="C16" s="37"/>
      <c r="D16" s="36"/>
      <c r="E16" s="5"/>
      <c r="F16" s="37"/>
      <c r="G16" s="38"/>
      <c r="H16" s="37"/>
      <c r="I16" s="35"/>
      <c r="J16" s="35"/>
      <c r="K16" s="121">
        <f t="shared" si="0"/>
        <v>0</v>
      </c>
      <c r="L16" s="103"/>
      <c r="M16" s="104" t="str">
        <f t="shared" si="1"/>
        <v>温パ</v>
      </c>
    </row>
    <row r="17" spans="1:13" ht="12.6" customHeight="1" x14ac:dyDescent="0.15">
      <c r="A17" s="14"/>
      <c r="B17" s="5"/>
      <c r="C17" s="37"/>
      <c r="D17" s="36"/>
      <c r="E17" s="5"/>
      <c r="F17" s="37"/>
      <c r="G17" s="38"/>
      <c r="H17" s="37"/>
      <c r="I17" s="35"/>
      <c r="J17" s="35"/>
      <c r="K17" s="121">
        <f t="shared" si="0"/>
        <v>0</v>
      </c>
      <c r="L17" s="103"/>
      <c r="M17" s="104" t="str">
        <f t="shared" si="1"/>
        <v>温パ</v>
      </c>
    </row>
    <row r="18" spans="1:13" ht="12.6" customHeight="1" x14ac:dyDescent="0.15">
      <c r="A18" s="14"/>
      <c r="B18" s="5"/>
      <c r="C18" s="37"/>
      <c r="D18" s="36"/>
      <c r="E18" s="5"/>
      <c r="F18" s="37"/>
      <c r="G18" s="38"/>
      <c r="H18" s="37"/>
      <c r="I18" s="35"/>
      <c r="J18" s="35"/>
      <c r="K18" s="121">
        <f t="shared" si="0"/>
        <v>0</v>
      </c>
      <c r="L18" s="103"/>
      <c r="M18" s="104" t="str">
        <f t="shared" si="1"/>
        <v>温パ</v>
      </c>
    </row>
    <row r="19" spans="1:13" ht="12.6" customHeight="1" x14ac:dyDescent="0.15">
      <c r="A19" s="14"/>
      <c r="B19" s="5"/>
      <c r="C19" s="37"/>
      <c r="D19" s="36"/>
      <c r="E19" s="5"/>
      <c r="F19" s="37"/>
      <c r="G19" s="38"/>
      <c r="H19" s="37"/>
      <c r="I19" s="35"/>
      <c r="J19" s="35"/>
      <c r="K19" s="121">
        <f t="shared" si="0"/>
        <v>0</v>
      </c>
      <c r="L19" s="103"/>
      <c r="M19" s="104" t="str">
        <f t="shared" si="1"/>
        <v>温パ</v>
      </c>
    </row>
    <row r="20" spans="1:13" ht="12.6" customHeight="1" x14ac:dyDescent="0.15">
      <c r="A20" s="14"/>
      <c r="B20" s="5"/>
      <c r="C20" s="37"/>
      <c r="D20" s="36"/>
      <c r="E20" s="5"/>
      <c r="F20" s="37"/>
      <c r="G20" s="38"/>
      <c r="H20" s="37"/>
      <c r="I20" s="35"/>
      <c r="J20" s="35"/>
      <c r="K20" s="121">
        <f t="shared" si="0"/>
        <v>0</v>
      </c>
      <c r="L20" s="103"/>
      <c r="M20" s="104" t="str">
        <f t="shared" si="1"/>
        <v>温パ</v>
      </c>
    </row>
    <row r="21" spans="1:13" ht="12.6" customHeight="1" x14ac:dyDescent="0.15">
      <c r="A21" s="14"/>
      <c r="B21" s="5"/>
      <c r="C21" s="37"/>
      <c r="D21" s="36"/>
      <c r="E21" s="5"/>
      <c r="F21" s="37"/>
      <c r="G21" s="38"/>
      <c r="H21" s="37"/>
      <c r="I21" s="35"/>
      <c r="J21" s="35"/>
      <c r="K21" s="121">
        <f t="shared" si="0"/>
        <v>0</v>
      </c>
      <c r="L21" s="103"/>
      <c r="M21" s="104" t="str">
        <f t="shared" si="1"/>
        <v>温パ</v>
      </c>
    </row>
    <row r="22" spans="1:13" ht="12.6" customHeight="1" x14ac:dyDescent="0.15">
      <c r="A22" s="14"/>
      <c r="B22" s="5"/>
      <c r="C22" s="37"/>
      <c r="D22" s="36"/>
      <c r="E22" s="5"/>
      <c r="F22" s="37"/>
      <c r="G22" s="38"/>
      <c r="H22" s="37"/>
      <c r="I22" s="35"/>
      <c r="J22" s="35"/>
      <c r="K22" s="121">
        <f t="shared" si="0"/>
        <v>0</v>
      </c>
      <c r="L22" s="103"/>
      <c r="M22" s="104" t="str">
        <f t="shared" si="1"/>
        <v>温パ</v>
      </c>
    </row>
    <row r="23" spans="1:13" ht="12.6" customHeight="1" x14ac:dyDescent="0.15">
      <c r="A23" s="14"/>
      <c r="B23" s="5"/>
      <c r="C23" s="37"/>
      <c r="D23" s="36"/>
      <c r="E23" s="5"/>
      <c r="F23" s="37"/>
      <c r="G23" s="38"/>
      <c r="H23" s="37"/>
      <c r="I23" s="35"/>
      <c r="J23" s="35"/>
      <c r="K23" s="121">
        <f t="shared" si="0"/>
        <v>0</v>
      </c>
      <c r="L23" s="103"/>
      <c r="M23" s="104" t="str">
        <f t="shared" si="1"/>
        <v>温パ</v>
      </c>
    </row>
    <row r="24" spans="1:13" ht="12.6" customHeight="1" x14ac:dyDescent="0.15">
      <c r="A24" s="14"/>
      <c r="B24" s="5"/>
      <c r="C24" s="37"/>
      <c r="D24" s="36"/>
      <c r="E24" s="5"/>
      <c r="F24" s="37"/>
      <c r="G24" s="38"/>
      <c r="H24" s="37"/>
      <c r="I24" s="35"/>
      <c r="J24" s="35"/>
      <c r="K24" s="121">
        <f t="shared" si="0"/>
        <v>0</v>
      </c>
      <c r="L24" s="103"/>
      <c r="M24" s="104" t="str">
        <f t="shared" si="1"/>
        <v>温パ</v>
      </c>
    </row>
    <row r="25" spans="1:13" ht="12.6" customHeight="1" x14ac:dyDescent="0.15">
      <c r="A25" s="14"/>
      <c r="B25" s="5"/>
      <c r="C25" s="37"/>
      <c r="D25" s="36"/>
      <c r="E25" s="5"/>
      <c r="F25" s="37"/>
      <c r="G25" s="38"/>
      <c r="H25" s="37"/>
      <c r="I25" s="35"/>
      <c r="J25" s="35"/>
      <c r="K25" s="121">
        <f t="shared" si="0"/>
        <v>0</v>
      </c>
      <c r="L25" s="103"/>
      <c r="M25" s="104" t="str">
        <f t="shared" si="1"/>
        <v>温パ</v>
      </c>
    </row>
    <row r="26" spans="1:13" ht="12.6" customHeight="1" x14ac:dyDescent="0.15">
      <c r="A26" s="14"/>
      <c r="B26" s="5"/>
      <c r="C26" s="37"/>
      <c r="D26" s="36"/>
      <c r="E26" s="5"/>
      <c r="F26" s="37"/>
      <c r="G26" s="38"/>
      <c r="H26" s="37"/>
      <c r="I26" s="35"/>
      <c r="J26" s="35"/>
      <c r="K26" s="121">
        <f t="shared" si="0"/>
        <v>0</v>
      </c>
      <c r="L26" s="103"/>
      <c r="M26" s="104" t="str">
        <f t="shared" si="1"/>
        <v>温パ</v>
      </c>
    </row>
    <row r="27" spans="1:13" ht="12.6" customHeight="1" x14ac:dyDescent="0.15">
      <c r="A27" s="14"/>
      <c r="B27" s="5"/>
      <c r="C27" s="37"/>
      <c r="D27" s="36"/>
      <c r="E27" s="5"/>
      <c r="F27" s="37"/>
      <c r="G27" s="38"/>
      <c r="H27" s="37"/>
      <c r="I27" s="35"/>
      <c r="J27" s="35"/>
      <c r="K27" s="121">
        <f t="shared" si="0"/>
        <v>0</v>
      </c>
      <c r="L27" s="103"/>
      <c r="M27" s="104" t="str">
        <f t="shared" si="1"/>
        <v>温パ</v>
      </c>
    </row>
    <row r="28" spans="1:13" ht="12.6" customHeight="1" x14ac:dyDescent="0.15">
      <c r="A28" s="14"/>
      <c r="B28" s="5"/>
      <c r="C28" s="37"/>
      <c r="D28" s="36"/>
      <c r="E28" s="5"/>
      <c r="F28" s="37"/>
      <c r="G28" s="38"/>
      <c r="H28" s="37"/>
      <c r="I28" s="35"/>
      <c r="J28" s="35"/>
      <c r="K28" s="121">
        <f t="shared" si="0"/>
        <v>0</v>
      </c>
      <c r="L28" s="103"/>
      <c r="M28" s="104" t="str">
        <f t="shared" si="1"/>
        <v>温パ</v>
      </c>
    </row>
    <row r="29" spans="1:13" ht="12.6" customHeight="1" x14ac:dyDescent="0.15">
      <c r="A29" s="14"/>
      <c r="B29" s="5"/>
      <c r="C29" s="37"/>
      <c r="D29" s="36"/>
      <c r="E29" s="5"/>
      <c r="F29" s="37"/>
      <c r="G29" s="38"/>
      <c r="H29" s="37"/>
      <c r="I29" s="35"/>
      <c r="J29" s="35"/>
      <c r="K29" s="121">
        <f t="shared" si="0"/>
        <v>0</v>
      </c>
      <c r="L29" s="103"/>
      <c r="M29" s="104" t="str">
        <f t="shared" si="1"/>
        <v>温パ</v>
      </c>
    </row>
    <row r="30" spans="1:13" ht="12.6" customHeight="1" x14ac:dyDescent="0.15">
      <c r="A30" s="14"/>
      <c r="B30" s="5"/>
      <c r="C30" s="37"/>
      <c r="D30" s="36"/>
      <c r="E30" s="5"/>
      <c r="F30" s="37"/>
      <c r="G30" s="38"/>
      <c r="H30" s="37"/>
      <c r="I30" s="35"/>
      <c r="J30" s="35"/>
      <c r="K30" s="121">
        <f t="shared" si="0"/>
        <v>0</v>
      </c>
      <c r="L30" s="103"/>
      <c r="M30" s="104" t="str">
        <f t="shared" si="1"/>
        <v>温パ</v>
      </c>
    </row>
    <row r="31" spans="1:13" ht="12.6" customHeight="1" x14ac:dyDescent="0.15">
      <c r="A31" s="14"/>
      <c r="B31" s="5"/>
      <c r="C31" s="37"/>
      <c r="D31" s="36"/>
      <c r="E31" s="5"/>
      <c r="F31" s="37"/>
      <c r="G31" s="38"/>
      <c r="H31" s="37"/>
      <c r="I31" s="35"/>
      <c r="J31" s="35"/>
      <c r="K31" s="121">
        <f t="shared" si="0"/>
        <v>0</v>
      </c>
      <c r="L31" s="103"/>
      <c r="M31" s="104" t="str">
        <f t="shared" si="1"/>
        <v>温パ</v>
      </c>
    </row>
    <row r="32" spans="1:13" ht="12.6" customHeight="1" x14ac:dyDescent="0.15">
      <c r="A32" s="14"/>
      <c r="B32" s="5"/>
      <c r="C32" s="37"/>
      <c r="D32" s="36"/>
      <c r="E32" s="5"/>
      <c r="F32" s="37"/>
      <c r="G32" s="38"/>
      <c r="H32" s="37"/>
      <c r="I32" s="35"/>
      <c r="J32" s="35"/>
      <c r="K32" s="121">
        <f t="shared" si="0"/>
        <v>0</v>
      </c>
      <c r="L32" s="103"/>
      <c r="M32" s="104" t="str">
        <f t="shared" si="1"/>
        <v>温パ</v>
      </c>
    </row>
    <row r="33" spans="1:13" ht="12.6" customHeight="1" x14ac:dyDescent="0.15">
      <c r="A33" s="14"/>
      <c r="B33" s="5"/>
      <c r="C33" s="37"/>
      <c r="D33" s="36"/>
      <c r="E33" s="5"/>
      <c r="F33" s="37"/>
      <c r="G33" s="38"/>
      <c r="H33" s="37"/>
      <c r="I33" s="35"/>
      <c r="J33" s="35"/>
      <c r="K33" s="121">
        <f t="shared" si="0"/>
        <v>0</v>
      </c>
      <c r="L33" s="103"/>
      <c r="M33" s="104" t="str">
        <f t="shared" si="1"/>
        <v>温パ</v>
      </c>
    </row>
    <row r="34" spans="1:13" ht="12.6" customHeight="1" x14ac:dyDescent="0.15">
      <c r="A34" s="14"/>
      <c r="B34" s="5"/>
      <c r="C34" s="37"/>
      <c r="D34" s="36"/>
      <c r="E34" s="5"/>
      <c r="F34" s="37"/>
      <c r="G34" s="38"/>
      <c r="H34" s="37"/>
      <c r="I34" s="35"/>
      <c r="J34" s="35"/>
      <c r="K34" s="121">
        <f t="shared" si="0"/>
        <v>0</v>
      </c>
      <c r="L34" s="103"/>
      <c r="M34" s="104" t="str">
        <f t="shared" si="1"/>
        <v>温パ</v>
      </c>
    </row>
    <row r="35" spans="1:13" ht="12.6" customHeight="1" x14ac:dyDescent="0.15">
      <c r="A35" s="14"/>
      <c r="B35" s="5"/>
      <c r="C35" s="37"/>
      <c r="D35" s="36"/>
      <c r="E35" s="5"/>
      <c r="F35" s="37"/>
      <c r="G35" s="38"/>
      <c r="H35" s="37"/>
      <c r="I35" s="35"/>
      <c r="J35" s="35"/>
      <c r="K35" s="121">
        <f t="shared" si="0"/>
        <v>0</v>
      </c>
      <c r="L35" s="103"/>
      <c r="M35" s="104" t="str">
        <f t="shared" si="1"/>
        <v>温パ</v>
      </c>
    </row>
    <row r="36" spans="1:13" ht="12.6" customHeight="1" x14ac:dyDescent="0.15">
      <c r="A36" s="14"/>
      <c r="B36" s="5"/>
      <c r="C36" s="37"/>
      <c r="D36" s="36"/>
      <c r="E36" s="5"/>
      <c r="F36" s="37"/>
      <c r="G36" s="38"/>
      <c r="H36" s="37"/>
      <c r="I36" s="35"/>
      <c r="J36" s="35"/>
      <c r="K36" s="121">
        <f t="shared" si="0"/>
        <v>0</v>
      </c>
      <c r="L36" s="103"/>
      <c r="M36" s="104" t="str">
        <f t="shared" si="1"/>
        <v>温パ</v>
      </c>
    </row>
    <row r="37" spans="1:13" ht="12.6" customHeight="1" x14ac:dyDescent="0.15">
      <c r="A37" s="14"/>
      <c r="B37" s="5"/>
      <c r="C37" s="37"/>
      <c r="D37" s="36"/>
      <c r="E37" s="5"/>
      <c r="F37" s="37"/>
      <c r="G37" s="38"/>
      <c r="H37" s="37"/>
      <c r="I37" s="35"/>
      <c r="J37" s="35"/>
      <c r="K37" s="121">
        <f t="shared" ref="K37:K68" si="2">C37-E37+G37</f>
        <v>0</v>
      </c>
      <c r="L37" s="103"/>
      <c r="M37" s="104" t="str">
        <f t="shared" ref="M37:M68" si="3">IF(COUNTIFS($B37,"*東一*")&gt;0,"東一",IF(COUNTIF($L37,"■")&gt;0,IF(COUNTIF($J37,"○")&gt;0,"荷受",$K37*-1),"温パ"))</f>
        <v>温パ</v>
      </c>
    </row>
    <row r="38" spans="1:13" ht="12.6" customHeight="1" x14ac:dyDescent="0.15">
      <c r="A38" s="14"/>
      <c r="B38" s="5"/>
      <c r="C38" s="37"/>
      <c r="D38" s="36"/>
      <c r="E38" s="5"/>
      <c r="F38" s="37"/>
      <c r="G38" s="38"/>
      <c r="H38" s="37"/>
      <c r="I38" s="35"/>
      <c r="J38" s="35"/>
      <c r="K38" s="121">
        <f t="shared" si="2"/>
        <v>0</v>
      </c>
      <c r="L38" s="103"/>
      <c r="M38" s="104" t="str">
        <f t="shared" si="3"/>
        <v>温パ</v>
      </c>
    </row>
    <row r="39" spans="1:13" ht="12.6" customHeight="1" x14ac:dyDescent="0.15">
      <c r="A39" s="14"/>
      <c r="B39" s="5"/>
      <c r="C39" s="37"/>
      <c r="D39" s="36"/>
      <c r="E39" s="5"/>
      <c r="F39" s="37"/>
      <c r="G39" s="38"/>
      <c r="H39" s="37"/>
      <c r="I39" s="35"/>
      <c r="J39" s="35"/>
      <c r="K39" s="121">
        <f t="shared" si="2"/>
        <v>0</v>
      </c>
      <c r="L39" s="103"/>
      <c r="M39" s="104" t="str">
        <f t="shared" si="3"/>
        <v>温パ</v>
      </c>
    </row>
    <row r="40" spans="1:13" ht="12.6" customHeight="1" x14ac:dyDescent="0.15">
      <c r="A40" s="14"/>
      <c r="B40" s="5"/>
      <c r="C40" s="37"/>
      <c r="D40" s="36"/>
      <c r="E40" s="5"/>
      <c r="F40" s="37"/>
      <c r="G40" s="38"/>
      <c r="H40" s="37"/>
      <c r="I40" s="35"/>
      <c r="J40" s="35"/>
      <c r="K40" s="121">
        <f t="shared" si="2"/>
        <v>0</v>
      </c>
      <c r="L40" s="103"/>
      <c r="M40" s="104" t="str">
        <f t="shared" si="3"/>
        <v>温パ</v>
      </c>
    </row>
    <row r="41" spans="1:13" ht="12.6" customHeight="1" x14ac:dyDescent="0.15">
      <c r="A41" s="14"/>
      <c r="B41" s="5"/>
      <c r="C41" s="37"/>
      <c r="D41" s="36"/>
      <c r="E41" s="5"/>
      <c r="F41" s="37"/>
      <c r="G41" s="38"/>
      <c r="H41" s="37"/>
      <c r="I41" s="35"/>
      <c r="J41" s="35"/>
      <c r="K41" s="121">
        <f t="shared" si="2"/>
        <v>0</v>
      </c>
      <c r="L41" s="103"/>
      <c r="M41" s="104" t="str">
        <f t="shared" si="3"/>
        <v>温パ</v>
      </c>
    </row>
    <row r="42" spans="1:13" ht="12.6" customHeight="1" x14ac:dyDescent="0.15">
      <c r="A42" s="14"/>
      <c r="B42" s="5"/>
      <c r="C42" s="37"/>
      <c r="D42" s="36"/>
      <c r="E42" s="5"/>
      <c r="F42" s="37"/>
      <c r="G42" s="38"/>
      <c r="H42" s="37"/>
      <c r="I42" s="35"/>
      <c r="J42" s="35"/>
      <c r="K42" s="121">
        <f t="shared" si="2"/>
        <v>0</v>
      </c>
      <c r="L42" s="103"/>
      <c r="M42" s="104" t="str">
        <f t="shared" si="3"/>
        <v>温パ</v>
      </c>
    </row>
    <row r="43" spans="1:13" ht="12.6" customHeight="1" x14ac:dyDescent="0.15">
      <c r="A43" s="14"/>
      <c r="B43" s="5"/>
      <c r="C43" s="37"/>
      <c r="D43" s="36"/>
      <c r="E43" s="5"/>
      <c r="F43" s="37"/>
      <c r="G43" s="38"/>
      <c r="H43" s="37"/>
      <c r="I43" s="35"/>
      <c r="J43" s="35"/>
      <c r="K43" s="121">
        <f t="shared" si="2"/>
        <v>0</v>
      </c>
      <c r="L43" s="103"/>
      <c r="M43" s="104" t="str">
        <f t="shared" si="3"/>
        <v>温パ</v>
      </c>
    </row>
    <row r="44" spans="1:13" ht="12.6" customHeight="1" x14ac:dyDescent="0.15">
      <c r="A44" s="14"/>
      <c r="B44" s="5"/>
      <c r="C44" s="37"/>
      <c r="D44" s="36"/>
      <c r="E44" s="5"/>
      <c r="F44" s="37"/>
      <c r="G44" s="38"/>
      <c r="H44" s="37"/>
      <c r="I44" s="35"/>
      <c r="J44" s="35"/>
      <c r="K44" s="121">
        <f t="shared" si="2"/>
        <v>0</v>
      </c>
      <c r="L44" s="103"/>
      <c r="M44" s="104" t="str">
        <f t="shared" si="3"/>
        <v>温パ</v>
      </c>
    </row>
    <row r="45" spans="1:13" ht="12.6" customHeight="1" x14ac:dyDescent="0.15">
      <c r="A45" s="14"/>
      <c r="B45" s="5"/>
      <c r="C45" s="37"/>
      <c r="D45" s="36"/>
      <c r="E45" s="5"/>
      <c r="F45" s="37"/>
      <c r="G45" s="38"/>
      <c r="H45" s="37"/>
      <c r="I45" s="35"/>
      <c r="J45" s="35"/>
      <c r="K45" s="121">
        <f t="shared" si="2"/>
        <v>0</v>
      </c>
      <c r="L45" s="103"/>
      <c r="M45" s="104" t="str">
        <f t="shared" si="3"/>
        <v>温パ</v>
      </c>
    </row>
    <row r="46" spans="1:13" ht="12.6" customHeight="1" x14ac:dyDescent="0.15">
      <c r="A46" s="14"/>
      <c r="B46" s="5"/>
      <c r="C46" s="37"/>
      <c r="D46" s="36"/>
      <c r="E46" s="5"/>
      <c r="F46" s="37"/>
      <c r="G46" s="38"/>
      <c r="H46" s="37"/>
      <c r="I46" s="35"/>
      <c r="J46" s="35"/>
      <c r="K46" s="121">
        <f t="shared" si="2"/>
        <v>0</v>
      </c>
      <c r="L46" s="103"/>
      <c r="M46" s="104" t="str">
        <f t="shared" si="3"/>
        <v>温パ</v>
      </c>
    </row>
    <row r="47" spans="1:13" ht="12.6" customHeight="1" x14ac:dyDescent="0.15">
      <c r="A47" s="14"/>
      <c r="B47" s="5"/>
      <c r="C47" s="37"/>
      <c r="D47" s="36"/>
      <c r="E47" s="5"/>
      <c r="F47" s="37"/>
      <c r="G47" s="38"/>
      <c r="H47" s="37"/>
      <c r="I47" s="35"/>
      <c r="J47" s="35"/>
      <c r="K47" s="121">
        <f t="shared" si="2"/>
        <v>0</v>
      </c>
      <c r="L47" s="103"/>
      <c r="M47" s="104" t="str">
        <f t="shared" si="3"/>
        <v>温パ</v>
      </c>
    </row>
    <row r="48" spans="1:13" ht="12.6" customHeight="1" x14ac:dyDescent="0.15">
      <c r="A48" s="14"/>
      <c r="B48" s="5"/>
      <c r="C48" s="37"/>
      <c r="D48" s="36"/>
      <c r="E48" s="5"/>
      <c r="F48" s="37"/>
      <c r="G48" s="38"/>
      <c r="H48" s="37"/>
      <c r="I48" s="35"/>
      <c r="J48" s="35"/>
      <c r="K48" s="121">
        <f t="shared" si="2"/>
        <v>0</v>
      </c>
      <c r="L48" s="103"/>
      <c r="M48" s="104" t="str">
        <f t="shared" si="3"/>
        <v>温パ</v>
      </c>
    </row>
    <row r="49" spans="1:13" ht="12.6" customHeight="1" x14ac:dyDescent="0.15">
      <c r="A49" s="14"/>
      <c r="B49" s="5"/>
      <c r="C49" s="37"/>
      <c r="D49" s="36"/>
      <c r="E49" s="5"/>
      <c r="F49" s="37"/>
      <c r="G49" s="38"/>
      <c r="H49" s="37"/>
      <c r="I49" s="35"/>
      <c r="J49" s="35"/>
      <c r="K49" s="121">
        <f t="shared" si="2"/>
        <v>0</v>
      </c>
      <c r="L49" s="103"/>
      <c r="M49" s="104" t="str">
        <f t="shared" si="3"/>
        <v>温パ</v>
      </c>
    </row>
    <row r="50" spans="1:13" ht="12.6" customHeight="1" x14ac:dyDescent="0.15">
      <c r="A50" s="14"/>
      <c r="B50" s="5"/>
      <c r="C50" s="37"/>
      <c r="D50" s="36"/>
      <c r="E50" s="5"/>
      <c r="F50" s="37"/>
      <c r="G50" s="38"/>
      <c r="H50" s="37"/>
      <c r="I50" s="35"/>
      <c r="J50" s="35"/>
      <c r="K50" s="121">
        <f t="shared" si="2"/>
        <v>0</v>
      </c>
      <c r="L50" s="103"/>
      <c r="M50" s="104" t="str">
        <f t="shared" si="3"/>
        <v>温パ</v>
      </c>
    </row>
    <row r="51" spans="1:13" ht="12.6" customHeight="1" x14ac:dyDescent="0.15">
      <c r="A51" s="14"/>
      <c r="B51" s="5"/>
      <c r="C51" s="37"/>
      <c r="D51" s="36"/>
      <c r="E51" s="5"/>
      <c r="F51" s="37"/>
      <c r="G51" s="38"/>
      <c r="H51" s="37"/>
      <c r="I51" s="35"/>
      <c r="J51" s="35"/>
      <c r="K51" s="121">
        <f t="shared" si="2"/>
        <v>0</v>
      </c>
      <c r="L51" s="103"/>
      <c r="M51" s="104" t="str">
        <f t="shared" si="3"/>
        <v>温パ</v>
      </c>
    </row>
    <row r="52" spans="1:13" ht="12.6" customHeight="1" x14ac:dyDescent="0.15">
      <c r="A52" s="14"/>
      <c r="B52" s="5"/>
      <c r="C52" s="37"/>
      <c r="D52" s="36"/>
      <c r="E52" s="5"/>
      <c r="F52" s="37"/>
      <c r="G52" s="38"/>
      <c r="H52" s="37"/>
      <c r="I52" s="35"/>
      <c r="J52" s="35"/>
      <c r="K52" s="121">
        <f t="shared" si="2"/>
        <v>0</v>
      </c>
      <c r="L52" s="103"/>
      <c r="M52" s="104" t="str">
        <f t="shared" si="3"/>
        <v>温パ</v>
      </c>
    </row>
    <row r="53" spans="1:13" ht="12.6" customHeight="1" x14ac:dyDescent="0.15">
      <c r="A53" s="14"/>
      <c r="B53" s="5"/>
      <c r="C53" s="37"/>
      <c r="D53" s="36"/>
      <c r="E53" s="5"/>
      <c r="F53" s="37"/>
      <c r="G53" s="38"/>
      <c r="H53" s="37"/>
      <c r="I53" s="35"/>
      <c r="J53" s="35"/>
      <c r="K53" s="121">
        <f t="shared" si="2"/>
        <v>0</v>
      </c>
      <c r="L53" s="103"/>
      <c r="M53" s="104" t="str">
        <f t="shared" si="3"/>
        <v>温パ</v>
      </c>
    </row>
    <row r="54" spans="1:13" ht="12.6" customHeight="1" x14ac:dyDescent="0.15">
      <c r="A54" s="14"/>
      <c r="B54" s="5"/>
      <c r="C54" s="37"/>
      <c r="D54" s="36"/>
      <c r="E54" s="5"/>
      <c r="F54" s="37"/>
      <c r="G54" s="38"/>
      <c r="H54" s="37"/>
      <c r="I54" s="35"/>
      <c r="J54" s="35"/>
      <c r="K54" s="121">
        <f t="shared" si="2"/>
        <v>0</v>
      </c>
      <c r="L54" s="103"/>
      <c r="M54" s="104" t="str">
        <f t="shared" si="3"/>
        <v>温パ</v>
      </c>
    </row>
    <row r="55" spans="1:13" ht="12.6" customHeight="1" x14ac:dyDescent="0.15">
      <c r="A55" s="14"/>
      <c r="B55" s="5"/>
      <c r="C55" s="37"/>
      <c r="D55" s="36"/>
      <c r="E55" s="5"/>
      <c r="F55" s="37"/>
      <c r="G55" s="38"/>
      <c r="H55" s="37"/>
      <c r="I55" s="35"/>
      <c r="J55" s="35"/>
      <c r="K55" s="121">
        <f t="shared" si="2"/>
        <v>0</v>
      </c>
      <c r="L55" s="103"/>
      <c r="M55" s="104" t="str">
        <f t="shared" si="3"/>
        <v>温パ</v>
      </c>
    </row>
    <row r="56" spans="1:13" ht="12.6" customHeight="1" x14ac:dyDescent="0.15">
      <c r="A56" s="14"/>
      <c r="B56" s="5"/>
      <c r="C56" s="37"/>
      <c r="D56" s="36"/>
      <c r="E56" s="5"/>
      <c r="F56" s="37"/>
      <c r="G56" s="38"/>
      <c r="H56" s="37"/>
      <c r="I56" s="35"/>
      <c r="J56" s="35"/>
      <c r="K56" s="121">
        <f t="shared" si="2"/>
        <v>0</v>
      </c>
      <c r="L56" s="103"/>
      <c r="M56" s="104" t="str">
        <f t="shared" si="3"/>
        <v>温パ</v>
      </c>
    </row>
    <row r="57" spans="1:13" ht="12.6" customHeight="1" x14ac:dyDescent="0.15">
      <c r="A57" s="14"/>
      <c r="B57" s="5"/>
      <c r="C57" s="37"/>
      <c r="D57" s="36"/>
      <c r="E57" s="5"/>
      <c r="F57" s="37"/>
      <c r="G57" s="38"/>
      <c r="H57" s="37"/>
      <c r="I57" s="35"/>
      <c r="J57" s="35"/>
      <c r="K57" s="121">
        <f t="shared" si="2"/>
        <v>0</v>
      </c>
      <c r="L57" s="103"/>
      <c r="M57" s="104" t="str">
        <f t="shared" si="3"/>
        <v>温パ</v>
      </c>
    </row>
    <row r="58" spans="1:13" ht="12.6" customHeight="1" x14ac:dyDescent="0.15">
      <c r="A58" s="14"/>
      <c r="B58" s="5"/>
      <c r="C58" s="37"/>
      <c r="D58" s="36"/>
      <c r="E58" s="5"/>
      <c r="F58" s="37"/>
      <c r="G58" s="38"/>
      <c r="H58" s="37"/>
      <c r="I58" s="35"/>
      <c r="J58" s="35"/>
      <c r="K58" s="121">
        <f t="shared" si="2"/>
        <v>0</v>
      </c>
      <c r="L58" s="103"/>
      <c r="M58" s="104" t="str">
        <f t="shared" si="3"/>
        <v>温パ</v>
      </c>
    </row>
    <row r="59" spans="1:13" ht="12.6" customHeight="1" x14ac:dyDescent="0.15">
      <c r="A59" s="14"/>
      <c r="B59" s="5"/>
      <c r="C59" s="37"/>
      <c r="D59" s="36"/>
      <c r="E59" s="5"/>
      <c r="F59" s="37"/>
      <c r="G59" s="38"/>
      <c r="H59" s="37"/>
      <c r="I59" s="35"/>
      <c r="J59" s="35"/>
      <c r="K59" s="121">
        <f t="shared" si="2"/>
        <v>0</v>
      </c>
      <c r="L59" s="103"/>
      <c r="M59" s="104" t="str">
        <f t="shared" si="3"/>
        <v>温パ</v>
      </c>
    </row>
    <row r="60" spans="1:13" ht="12.6" customHeight="1" x14ac:dyDescent="0.15">
      <c r="A60" s="14"/>
      <c r="B60" s="5"/>
      <c r="C60" s="37"/>
      <c r="D60" s="36"/>
      <c r="E60" s="5"/>
      <c r="F60" s="37"/>
      <c r="G60" s="38"/>
      <c r="H60" s="37"/>
      <c r="I60" s="35"/>
      <c r="J60" s="35"/>
      <c r="K60" s="121">
        <f t="shared" si="2"/>
        <v>0</v>
      </c>
      <c r="L60" s="103"/>
      <c r="M60" s="104" t="str">
        <f t="shared" si="3"/>
        <v>温パ</v>
      </c>
    </row>
    <row r="61" spans="1:13" ht="12.6" customHeight="1" x14ac:dyDescent="0.15">
      <c r="A61" s="14"/>
      <c r="B61" s="5"/>
      <c r="C61" s="37"/>
      <c r="D61" s="36"/>
      <c r="E61" s="5"/>
      <c r="F61" s="37"/>
      <c r="G61" s="38"/>
      <c r="H61" s="37"/>
      <c r="I61" s="35"/>
      <c r="J61" s="35"/>
      <c r="K61" s="121">
        <f t="shared" si="2"/>
        <v>0</v>
      </c>
      <c r="L61" s="103"/>
      <c r="M61" s="104" t="str">
        <f t="shared" si="3"/>
        <v>温パ</v>
      </c>
    </row>
    <row r="62" spans="1:13" ht="12.6" customHeight="1" x14ac:dyDescent="0.15">
      <c r="A62" s="14"/>
      <c r="B62" s="5"/>
      <c r="C62" s="37"/>
      <c r="D62" s="36"/>
      <c r="E62" s="5"/>
      <c r="F62" s="37"/>
      <c r="G62" s="38"/>
      <c r="H62" s="37"/>
      <c r="I62" s="35"/>
      <c r="J62" s="35"/>
      <c r="K62" s="121">
        <f t="shared" si="2"/>
        <v>0</v>
      </c>
      <c r="L62" s="103"/>
      <c r="M62" s="104" t="str">
        <f t="shared" si="3"/>
        <v>温パ</v>
      </c>
    </row>
    <row r="63" spans="1:13" ht="12.6" customHeight="1" x14ac:dyDescent="0.15">
      <c r="A63" s="14"/>
      <c r="B63" s="5"/>
      <c r="C63" s="37"/>
      <c r="D63" s="36"/>
      <c r="E63" s="5"/>
      <c r="F63" s="37"/>
      <c r="G63" s="38"/>
      <c r="H63" s="37"/>
      <c r="I63" s="35"/>
      <c r="J63" s="35"/>
      <c r="K63" s="121">
        <f t="shared" si="2"/>
        <v>0</v>
      </c>
      <c r="L63" s="103"/>
      <c r="M63" s="104" t="str">
        <f t="shared" si="3"/>
        <v>温パ</v>
      </c>
    </row>
    <row r="64" spans="1:13" ht="12.6" customHeight="1" x14ac:dyDescent="0.15">
      <c r="A64" s="14"/>
      <c r="B64" s="5"/>
      <c r="C64" s="37"/>
      <c r="D64" s="36"/>
      <c r="E64" s="5"/>
      <c r="F64" s="37"/>
      <c r="G64" s="38"/>
      <c r="H64" s="37"/>
      <c r="I64" s="35"/>
      <c r="J64" s="35"/>
      <c r="K64" s="121">
        <f t="shared" si="2"/>
        <v>0</v>
      </c>
      <c r="L64" s="103"/>
      <c r="M64" s="104" t="str">
        <f t="shared" si="3"/>
        <v>温パ</v>
      </c>
    </row>
    <row r="65" spans="1:13" ht="12.6" customHeight="1" x14ac:dyDescent="0.15">
      <c r="A65" s="14"/>
      <c r="B65" s="5"/>
      <c r="C65" s="37"/>
      <c r="D65" s="36"/>
      <c r="E65" s="5"/>
      <c r="F65" s="37"/>
      <c r="G65" s="38"/>
      <c r="H65" s="37"/>
      <c r="I65" s="35"/>
      <c r="J65" s="35"/>
      <c r="K65" s="121">
        <f t="shared" si="2"/>
        <v>0</v>
      </c>
      <c r="L65" s="103"/>
      <c r="M65" s="104" t="str">
        <f t="shared" si="3"/>
        <v>温パ</v>
      </c>
    </row>
    <row r="66" spans="1:13" ht="12.6" customHeight="1" x14ac:dyDescent="0.15">
      <c r="A66" s="14"/>
      <c r="B66" s="5"/>
      <c r="C66" s="37"/>
      <c r="D66" s="36"/>
      <c r="E66" s="5"/>
      <c r="F66" s="37"/>
      <c r="G66" s="38"/>
      <c r="H66" s="37"/>
      <c r="I66" s="35"/>
      <c r="J66" s="35"/>
      <c r="K66" s="121">
        <f t="shared" si="2"/>
        <v>0</v>
      </c>
      <c r="L66" s="103"/>
      <c r="M66" s="104" t="str">
        <f t="shared" si="3"/>
        <v>温パ</v>
      </c>
    </row>
    <row r="67" spans="1:13" ht="12.6" customHeight="1" x14ac:dyDescent="0.15">
      <c r="A67" s="14"/>
      <c r="B67" s="5"/>
      <c r="C67" s="37"/>
      <c r="D67" s="36"/>
      <c r="E67" s="5"/>
      <c r="F67" s="37"/>
      <c r="G67" s="38"/>
      <c r="H67" s="37"/>
      <c r="I67" s="35"/>
      <c r="J67" s="35"/>
      <c r="K67" s="121">
        <f t="shared" si="2"/>
        <v>0</v>
      </c>
      <c r="L67" s="103"/>
      <c r="M67" s="104" t="str">
        <f t="shared" si="3"/>
        <v>温パ</v>
      </c>
    </row>
    <row r="68" spans="1:13" ht="12.6" customHeight="1" x14ac:dyDescent="0.15">
      <c r="A68" s="14"/>
      <c r="B68" s="5"/>
      <c r="C68" s="37"/>
      <c r="D68" s="36"/>
      <c r="E68" s="5"/>
      <c r="F68" s="37"/>
      <c r="G68" s="38"/>
      <c r="H68" s="37"/>
      <c r="I68" s="35"/>
      <c r="J68" s="35"/>
      <c r="K68" s="121">
        <f t="shared" si="2"/>
        <v>0</v>
      </c>
      <c r="L68" s="103"/>
      <c r="M68" s="104" t="str">
        <f t="shared" si="3"/>
        <v>温パ</v>
      </c>
    </row>
    <row r="69" spans="1:13" ht="12.6" customHeight="1" x14ac:dyDescent="0.15">
      <c r="A69" s="14"/>
      <c r="B69" s="5"/>
      <c r="C69" s="37"/>
      <c r="D69" s="36"/>
      <c r="E69" s="5"/>
      <c r="F69" s="37"/>
      <c r="G69" s="38"/>
      <c r="H69" s="37"/>
      <c r="I69" s="35"/>
      <c r="J69" s="35"/>
      <c r="K69" s="121">
        <f t="shared" ref="K69:K100" si="4">C69-E69+G69</f>
        <v>0</v>
      </c>
      <c r="L69" s="103"/>
      <c r="M69" s="104" t="str">
        <f t="shared" ref="M69:M100" si="5">IF(COUNTIFS($B69,"*東一*")&gt;0,"東一",IF(COUNTIF($L69,"■")&gt;0,IF(COUNTIF($J69,"○")&gt;0,"荷受",$K69*-1),"温パ"))</f>
        <v>温パ</v>
      </c>
    </row>
    <row r="70" spans="1:13" ht="12.6" customHeight="1" x14ac:dyDescent="0.15">
      <c r="A70" s="14"/>
      <c r="B70" s="5"/>
      <c r="C70" s="37"/>
      <c r="D70" s="36"/>
      <c r="E70" s="5"/>
      <c r="F70" s="37"/>
      <c r="G70" s="38"/>
      <c r="H70" s="37"/>
      <c r="I70" s="35"/>
      <c r="J70" s="35"/>
      <c r="K70" s="121">
        <f t="shared" si="4"/>
        <v>0</v>
      </c>
      <c r="L70" s="103"/>
      <c r="M70" s="104" t="str">
        <f t="shared" si="5"/>
        <v>温パ</v>
      </c>
    </row>
    <row r="71" spans="1:13" ht="12.6" customHeight="1" x14ac:dyDescent="0.15">
      <c r="A71" s="14"/>
      <c r="B71" s="5"/>
      <c r="C71" s="37"/>
      <c r="D71" s="36"/>
      <c r="E71" s="5"/>
      <c r="F71" s="37"/>
      <c r="G71" s="38"/>
      <c r="H71" s="37"/>
      <c r="I71" s="35"/>
      <c r="J71" s="35"/>
      <c r="K71" s="121">
        <f t="shared" si="4"/>
        <v>0</v>
      </c>
      <c r="L71" s="103"/>
      <c r="M71" s="104" t="str">
        <f t="shared" si="5"/>
        <v>温パ</v>
      </c>
    </row>
    <row r="72" spans="1:13" ht="12.6" customHeight="1" x14ac:dyDescent="0.15">
      <c r="A72" s="14"/>
      <c r="B72" s="5"/>
      <c r="C72" s="37"/>
      <c r="D72" s="36"/>
      <c r="E72" s="5"/>
      <c r="F72" s="37"/>
      <c r="G72" s="38"/>
      <c r="H72" s="37"/>
      <c r="I72" s="35"/>
      <c r="J72" s="35"/>
      <c r="K72" s="121">
        <f t="shared" si="4"/>
        <v>0</v>
      </c>
      <c r="L72" s="103"/>
      <c r="M72" s="104" t="str">
        <f t="shared" si="5"/>
        <v>温パ</v>
      </c>
    </row>
    <row r="73" spans="1:13" ht="12.6" customHeight="1" x14ac:dyDescent="0.15">
      <c r="A73" s="14"/>
      <c r="B73" s="5"/>
      <c r="C73" s="37"/>
      <c r="D73" s="36"/>
      <c r="E73" s="5"/>
      <c r="F73" s="37"/>
      <c r="G73" s="38"/>
      <c r="H73" s="37"/>
      <c r="I73" s="35"/>
      <c r="J73" s="35"/>
      <c r="K73" s="121">
        <f t="shared" si="4"/>
        <v>0</v>
      </c>
      <c r="L73" s="103"/>
      <c r="M73" s="104" t="str">
        <f t="shared" si="5"/>
        <v>温パ</v>
      </c>
    </row>
    <row r="74" spans="1:13" ht="12.6" customHeight="1" x14ac:dyDescent="0.15">
      <c r="A74" s="14"/>
      <c r="B74" s="5"/>
      <c r="C74" s="37"/>
      <c r="D74" s="36"/>
      <c r="E74" s="5"/>
      <c r="F74" s="37"/>
      <c r="G74" s="38"/>
      <c r="H74" s="37"/>
      <c r="I74" s="35"/>
      <c r="J74" s="35"/>
      <c r="K74" s="121">
        <f t="shared" si="4"/>
        <v>0</v>
      </c>
      <c r="L74" s="103"/>
      <c r="M74" s="104" t="str">
        <f t="shared" si="5"/>
        <v>温パ</v>
      </c>
    </row>
    <row r="75" spans="1:13" ht="12.6" customHeight="1" x14ac:dyDescent="0.15">
      <c r="A75" s="14"/>
      <c r="B75" s="5"/>
      <c r="C75" s="37"/>
      <c r="D75" s="36"/>
      <c r="E75" s="5"/>
      <c r="F75" s="37"/>
      <c r="G75" s="38"/>
      <c r="H75" s="37"/>
      <c r="I75" s="35"/>
      <c r="J75" s="35"/>
      <c r="K75" s="121">
        <f t="shared" si="4"/>
        <v>0</v>
      </c>
      <c r="L75" s="103"/>
      <c r="M75" s="104" t="str">
        <f t="shared" si="5"/>
        <v>温パ</v>
      </c>
    </row>
    <row r="76" spans="1:13" ht="12.6" customHeight="1" x14ac:dyDescent="0.15">
      <c r="A76" s="14"/>
      <c r="B76" s="5"/>
      <c r="C76" s="37"/>
      <c r="D76" s="36"/>
      <c r="E76" s="5"/>
      <c r="F76" s="37"/>
      <c r="G76" s="38"/>
      <c r="H76" s="37"/>
      <c r="I76" s="35"/>
      <c r="J76" s="35"/>
      <c r="K76" s="121">
        <f t="shared" si="4"/>
        <v>0</v>
      </c>
      <c r="L76" s="103"/>
      <c r="M76" s="104" t="str">
        <f t="shared" si="5"/>
        <v>温パ</v>
      </c>
    </row>
    <row r="77" spans="1:13" ht="12.6" customHeight="1" x14ac:dyDescent="0.15">
      <c r="A77" s="14"/>
      <c r="B77" s="5"/>
      <c r="C77" s="37"/>
      <c r="D77" s="36"/>
      <c r="E77" s="5"/>
      <c r="F77" s="37"/>
      <c r="G77" s="38"/>
      <c r="H77" s="37"/>
      <c r="I77" s="35"/>
      <c r="J77" s="35"/>
      <c r="K77" s="121">
        <f t="shared" si="4"/>
        <v>0</v>
      </c>
      <c r="L77" s="103"/>
      <c r="M77" s="104" t="str">
        <f t="shared" si="5"/>
        <v>温パ</v>
      </c>
    </row>
    <row r="78" spans="1:13" ht="12.6" customHeight="1" x14ac:dyDescent="0.15">
      <c r="A78" s="14"/>
      <c r="B78" s="5"/>
      <c r="C78" s="37"/>
      <c r="D78" s="36"/>
      <c r="E78" s="5"/>
      <c r="F78" s="37"/>
      <c r="G78" s="38"/>
      <c r="H78" s="37"/>
      <c r="I78" s="35"/>
      <c r="J78" s="35"/>
      <c r="K78" s="121">
        <f t="shared" si="4"/>
        <v>0</v>
      </c>
      <c r="L78" s="103"/>
      <c r="M78" s="104" t="str">
        <f t="shared" si="5"/>
        <v>温パ</v>
      </c>
    </row>
    <row r="79" spans="1:13" ht="12.6" customHeight="1" x14ac:dyDescent="0.15">
      <c r="A79" s="14"/>
      <c r="B79" s="5"/>
      <c r="C79" s="37"/>
      <c r="D79" s="36"/>
      <c r="E79" s="5"/>
      <c r="F79" s="37"/>
      <c r="G79" s="38"/>
      <c r="H79" s="37"/>
      <c r="I79" s="35"/>
      <c r="J79" s="35"/>
      <c r="K79" s="121">
        <f t="shared" si="4"/>
        <v>0</v>
      </c>
      <c r="L79" s="103"/>
      <c r="M79" s="104" t="str">
        <f t="shared" si="5"/>
        <v>温パ</v>
      </c>
    </row>
    <row r="80" spans="1:13" ht="12.6" customHeight="1" x14ac:dyDescent="0.15">
      <c r="A80" s="14"/>
      <c r="B80" s="5"/>
      <c r="C80" s="37"/>
      <c r="D80" s="36"/>
      <c r="E80" s="5"/>
      <c r="F80" s="37"/>
      <c r="G80" s="38"/>
      <c r="H80" s="37"/>
      <c r="I80" s="35"/>
      <c r="J80" s="35"/>
      <c r="K80" s="121">
        <f t="shared" si="4"/>
        <v>0</v>
      </c>
      <c r="L80" s="103"/>
      <c r="M80" s="104" t="str">
        <f t="shared" si="5"/>
        <v>温パ</v>
      </c>
    </row>
    <row r="81" spans="1:13" ht="12.6" customHeight="1" x14ac:dyDescent="0.15">
      <c r="A81" s="14"/>
      <c r="B81" s="5"/>
      <c r="C81" s="37"/>
      <c r="D81" s="36"/>
      <c r="E81" s="5"/>
      <c r="F81" s="37"/>
      <c r="G81" s="38"/>
      <c r="H81" s="37"/>
      <c r="I81" s="35"/>
      <c r="J81" s="35"/>
      <c r="K81" s="121">
        <f t="shared" si="4"/>
        <v>0</v>
      </c>
      <c r="L81" s="103"/>
      <c r="M81" s="104" t="str">
        <f t="shared" si="5"/>
        <v>温パ</v>
      </c>
    </row>
    <row r="82" spans="1:13" ht="12.6" customHeight="1" x14ac:dyDescent="0.15">
      <c r="A82" s="14"/>
      <c r="B82" s="5"/>
      <c r="C82" s="37"/>
      <c r="D82" s="36"/>
      <c r="E82" s="5"/>
      <c r="F82" s="37"/>
      <c r="G82" s="38"/>
      <c r="H82" s="37"/>
      <c r="I82" s="35"/>
      <c r="J82" s="35"/>
      <c r="K82" s="121">
        <f t="shared" si="4"/>
        <v>0</v>
      </c>
      <c r="L82" s="103"/>
      <c r="M82" s="104" t="str">
        <f t="shared" si="5"/>
        <v>温パ</v>
      </c>
    </row>
    <row r="83" spans="1:13" ht="12.6" customHeight="1" x14ac:dyDescent="0.15">
      <c r="A83" s="14"/>
      <c r="B83" s="5"/>
      <c r="C83" s="37"/>
      <c r="D83" s="36"/>
      <c r="E83" s="5"/>
      <c r="F83" s="37"/>
      <c r="G83" s="38"/>
      <c r="H83" s="37"/>
      <c r="I83" s="35"/>
      <c r="J83" s="35"/>
      <c r="K83" s="121">
        <f t="shared" si="4"/>
        <v>0</v>
      </c>
      <c r="L83" s="103"/>
      <c r="M83" s="104" t="str">
        <f t="shared" si="5"/>
        <v>温パ</v>
      </c>
    </row>
    <row r="84" spans="1:13" ht="12.6" customHeight="1" x14ac:dyDescent="0.15">
      <c r="A84" s="14"/>
      <c r="B84" s="5"/>
      <c r="C84" s="37"/>
      <c r="D84" s="36"/>
      <c r="E84" s="5"/>
      <c r="F84" s="37"/>
      <c r="G84" s="38"/>
      <c r="H84" s="37"/>
      <c r="I84" s="35"/>
      <c r="J84" s="35"/>
      <c r="K84" s="121">
        <f t="shared" si="4"/>
        <v>0</v>
      </c>
      <c r="L84" s="103"/>
      <c r="M84" s="104" t="str">
        <f t="shared" si="5"/>
        <v>温パ</v>
      </c>
    </row>
    <row r="85" spans="1:13" ht="12.6" customHeight="1" x14ac:dyDescent="0.15">
      <c r="A85" s="14"/>
      <c r="B85" s="5"/>
      <c r="C85" s="37"/>
      <c r="D85" s="36"/>
      <c r="E85" s="5"/>
      <c r="F85" s="37"/>
      <c r="G85" s="38"/>
      <c r="H85" s="37"/>
      <c r="I85" s="35"/>
      <c r="J85" s="35"/>
      <c r="K85" s="121">
        <f t="shared" si="4"/>
        <v>0</v>
      </c>
      <c r="L85" s="103"/>
      <c r="M85" s="104" t="str">
        <f t="shared" si="5"/>
        <v>温パ</v>
      </c>
    </row>
    <row r="86" spans="1:13" ht="12.6" customHeight="1" x14ac:dyDescent="0.15">
      <c r="A86" s="14"/>
      <c r="B86" s="5"/>
      <c r="C86" s="37"/>
      <c r="D86" s="36"/>
      <c r="E86" s="5"/>
      <c r="F86" s="37"/>
      <c r="G86" s="38"/>
      <c r="H86" s="37"/>
      <c r="I86" s="35"/>
      <c r="J86" s="35"/>
      <c r="K86" s="121">
        <f t="shared" si="4"/>
        <v>0</v>
      </c>
      <c r="L86" s="103"/>
      <c r="M86" s="104" t="str">
        <f t="shared" si="5"/>
        <v>温パ</v>
      </c>
    </row>
    <row r="87" spans="1:13" ht="12.6" customHeight="1" x14ac:dyDescent="0.15">
      <c r="A87" s="14"/>
      <c r="B87" s="5"/>
      <c r="C87" s="37"/>
      <c r="D87" s="36"/>
      <c r="E87" s="5"/>
      <c r="F87" s="37"/>
      <c r="G87" s="38"/>
      <c r="H87" s="37"/>
      <c r="I87" s="35"/>
      <c r="J87" s="35"/>
      <c r="K87" s="121">
        <f t="shared" si="4"/>
        <v>0</v>
      </c>
      <c r="L87" s="103"/>
      <c r="M87" s="104" t="str">
        <f t="shared" si="5"/>
        <v>温パ</v>
      </c>
    </row>
    <row r="88" spans="1:13" ht="12.6" customHeight="1" x14ac:dyDescent="0.15">
      <c r="A88" s="14"/>
      <c r="B88" s="5"/>
      <c r="C88" s="37"/>
      <c r="D88" s="36"/>
      <c r="E88" s="5"/>
      <c r="F88" s="37"/>
      <c r="G88" s="38"/>
      <c r="H88" s="37"/>
      <c r="I88" s="35"/>
      <c r="J88" s="35"/>
      <c r="K88" s="121">
        <f t="shared" si="4"/>
        <v>0</v>
      </c>
      <c r="L88" s="103"/>
      <c r="M88" s="104" t="str">
        <f t="shared" si="5"/>
        <v>温パ</v>
      </c>
    </row>
    <row r="89" spans="1:13" ht="12.6" customHeight="1" x14ac:dyDescent="0.15">
      <c r="A89" s="14"/>
      <c r="B89" s="5"/>
      <c r="C89" s="37"/>
      <c r="D89" s="36"/>
      <c r="E89" s="5"/>
      <c r="F89" s="37"/>
      <c r="G89" s="38"/>
      <c r="H89" s="37"/>
      <c r="I89" s="35"/>
      <c r="J89" s="35"/>
      <c r="K89" s="121">
        <f t="shared" si="4"/>
        <v>0</v>
      </c>
      <c r="L89" s="103"/>
      <c r="M89" s="104" t="str">
        <f t="shared" si="5"/>
        <v>温パ</v>
      </c>
    </row>
    <row r="90" spans="1:13" ht="12.6" customHeight="1" x14ac:dyDescent="0.15">
      <c r="A90" s="14"/>
      <c r="B90" s="5"/>
      <c r="C90" s="37"/>
      <c r="D90" s="36"/>
      <c r="E90" s="5"/>
      <c r="F90" s="37"/>
      <c r="G90" s="38"/>
      <c r="H90" s="37"/>
      <c r="I90" s="35"/>
      <c r="J90" s="35"/>
      <c r="K90" s="121">
        <f t="shared" si="4"/>
        <v>0</v>
      </c>
      <c r="L90" s="103"/>
      <c r="M90" s="104" t="str">
        <f t="shared" si="5"/>
        <v>温パ</v>
      </c>
    </row>
    <row r="91" spans="1:13" ht="12.6" customHeight="1" x14ac:dyDescent="0.15">
      <c r="A91" s="14"/>
      <c r="B91" s="5"/>
      <c r="C91" s="37"/>
      <c r="D91" s="36"/>
      <c r="E91" s="5"/>
      <c r="F91" s="37"/>
      <c r="G91" s="38"/>
      <c r="H91" s="37"/>
      <c r="I91" s="35"/>
      <c r="J91" s="35"/>
      <c r="K91" s="121">
        <f t="shared" si="4"/>
        <v>0</v>
      </c>
      <c r="L91" s="103"/>
      <c r="M91" s="104" t="str">
        <f t="shared" si="5"/>
        <v>温パ</v>
      </c>
    </row>
    <row r="92" spans="1:13" ht="12.6" customHeight="1" x14ac:dyDescent="0.15">
      <c r="A92" s="14"/>
      <c r="B92" s="5"/>
      <c r="C92" s="37"/>
      <c r="D92" s="36"/>
      <c r="E92" s="5"/>
      <c r="F92" s="37"/>
      <c r="G92" s="38"/>
      <c r="H92" s="37"/>
      <c r="I92" s="35"/>
      <c r="J92" s="35"/>
      <c r="K92" s="121">
        <f t="shared" si="4"/>
        <v>0</v>
      </c>
      <c r="L92" s="103"/>
      <c r="M92" s="104" t="str">
        <f t="shared" si="5"/>
        <v>温パ</v>
      </c>
    </row>
    <row r="93" spans="1:13" ht="12.6" customHeight="1" x14ac:dyDescent="0.15">
      <c r="A93" s="14"/>
      <c r="B93" s="5"/>
      <c r="C93" s="37"/>
      <c r="D93" s="36"/>
      <c r="E93" s="5"/>
      <c r="F93" s="37"/>
      <c r="G93" s="38"/>
      <c r="H93" s="37"/>
      <c r="I93" s="35"/>
      <c r="J93" s="35"/>
      <c r="K93" s="121">
        <f t="shared" si="4"/>
        <v>0</v>
      </c>
      <c r="L93" s="103"/>
      <c r="M93" s="104" t="str">
        <f t="shared" si="5"/>
        <v>温パ</v>
      </c>
    </row>
    <row r="94" spans="1:13" ht="12.6" customHeight="1" x14ac:dyDescent="0.15">
      <c r="A94" s="14"/>
      <c r="B94" s="5"/>
      <c r="C94" s="37"/>
      <c r="D94" s="36"/>
      <c r="E94" s="5"/>
      <c r="F94" s="37"/>
      <c r="G94" s="38"/>
      <c r="H94" s="37"/>
      <c r="I94" s="35"/>
      <c r="J94" s="35"/>
      <c r="K94" s="121">
        <f t="shared" si="4"/>
        <v>0</v>
      </c>
      <c r="L94" s="103"/>
      <c r="M94" s="104" t="str">
        <f t="shared" si="5"/>
        <v>温パ</v>
      </c>
    </row>
    <row r="95" spans="1:13" ht="12.6" customHeight="1" x14ac:dyDescent="0.15">
      <c r="A95" s="14"/>
      <c r="B95" s="5"/>
      <c r="C95" s="37"/>
      <c r="D95" s="36"/>
      <c r="E95" s="5"/>
      <c r="F95" s="37"/>
      <c r="G95" s="38"/>
      <c r="H95" s="37"/>
      <c r="I95" s="35"/>
      <c r="J95" s="35"/>
      <c r="K95" s="121">
        <f t="shared" si="4"/>
        <v>0</v>
      </c>
      <c r="L95" s="103"/>
      <c r="M95" s="104" t="str">
        <f t="shared" si="5"/>
        <v>温パ</v>
      </c>
    </row>
    <row r="96" spans="1:13" ht="12.6" customHeight="1" x14ac:dyDescent="0.15">
      <c r="A96" s="14"/>
      <c r="B96" s="5"/>
      <c r="C96" s="37"/>
      <c r="D96" s="36"/>
      <c r="E96" s="5"/>
      <c r="F96" s="37"/>
      <c r="G96" s="38"/>
      <c r="H96" s="37"/>
      <c r="I96" s="35"/>
      <c r="J96" s="35"/>
      <c r="K96" s="121">
        <f t="shared" si="4"/>
        <v>0</v>
      </c>
      <c r="L96" s="103"/>
      <c r="M96" s="104" t="str">
        <f t="shared" si="5"/>
        <v>温パ</v>
      </c>
    </row>
    <row r="97" spans="1:13" ht="12.6" customHeight="1" x14ac:dyDescent="0.15">
      <c r="A97" s="14"/>
      <c r="B97" s="5"/>
      <c r="C97" s="37"/>
      <c r="D97" s="36"/>
      <c r="E97" s="5"/>
      <c r="F97" s="37"/>
      <c r="G97" s="38"/>
      <c r="H97" s="37"/>
      <c r="I97" s="35"/>
      <c r="J97" s="35"/>
      <c r="K97" s="121">
        <f t="shared" si="4"/>
        <v>0</v>
      </c>
      <c r="L97" s="103"/>
      <c r="M97" s="104" t="str">
        <f t="shared" si="5"/>
        <v>温パ</v>
      </c>
    </row>
    <row r="98" spans="1:13" ht="12.6" customHeight="1" x14ac:dyDescent="0.15">
      <c r="A98" s="14"/>
      <c r="B98" s="5"/>
      <c r="C98" s="37"/>
      <c r="D98" s="36"/>
      <c r="E98" s="5"/>
      <c r="F98" s="37"/>
      <c r="G98" s="38"/>
      <c r="H98" s="37"/>
      <c r="I98" s="35"/>
      <c r="J98" s="35"/>
      <c r="K98" s="121">
        <f t="shared" si="4"/>
        <v>0</v>
      </c>
      <c r="L98" s="103"/>
      <c r="M98" s="104" t="str">
        <f t="shared" si="5"/>
        <v>温パ</v>
      </c>
    </row>
    <row r="99" spans="1:13" ht="12.6" customHeight="1" x14ac:dyDescent="0.15">
      <c r="A99" s="14"/>
      <c r="B99" s="5"/>
      <c r="C99" s="37"/>
      <c r="D99" s="36"/>
      <c r="E99" s="5"/>
      <c r="F99" s="37"/>
      <c r="G99" s="38"/>
      <c r="H99" s="37"/>
      <c r="I99" s="35"/>
      <c r="J99" s="35"/>
      <c r="K99" s="121">
        <f t="shared" si="4"/>
        <v>0</v>
      </c>
      <c r="L99" s="103"/>
      <c r="M99" s="104" t="str">
        <f t="shared" si="5"/>
        <v>温パ</v>
      </c>
    </row>
    <row r="100" spans="1:13" ht="12.6" customHeight="1" x14ac:dyDescent="0.15">
      <c r="A100" s="14"/>
      <c r="B100" s="5"/>
      <c r="C100" s="37"/>
      <c r="D100" s="36"/>
      <c r="E100" s="5"/>
      <c r="F100" s="37"/>
      <c r="G100" s="38"/>
      <c r="H100" s="37"/>
      <c r="I100" s="35"/>
      <c r="J100" s="35"/>
      <c r="K100" s="121">
        <f t="shared" si="4"/>
        <v>0</v>
      </c>
      <c r="L100" s="103"/>
      <c r="M100" s="104" t="str">
        <f t="shared" si="5"/>
        <v>温パ</v>
      </c>
    </row>
    <row r="101" spans="1:13" x14ac:dyDescent="0.15">
      <c r="A101" s="14"/>
      <c r="B101" s="5"/>
      <c r="C101" s="37"/>
      <c r="D101" s="36"/>
      <c r="E101" s="5"/>
      <c r="F101" s="37"/>
      <c r="G101" s="38"/>
      <c r="H101" s="37"/>
      <c r="I101" s="35"/>
      <c r="J101" s="35"/>
      <c r="K101" s="121">
        <f t="shared" ref="K101:K132" si="6">C101-E101+G101</f>
        <v>0</v>
      </c>
      <c r="L101" s="103"/>
      <c r="M101" s="104" t="str">
        <f t="shared" ref="M101:M132" si="7">IF(COUNTIFS($B101,"*東一*")&gt;0,"東一",IF(COUNTIF($L101,"■")&gt;0,IF(COUNTIF($J101,"○")&gt;0,"荷受",$K101*-1),"温パ"))</f>
        <v>温パ</v>
      </c>
    </row>
    <row r="102" spans="1:13" x14ac:dyDescent="0.15">
      <c r="A102" s="14"/>
      <c r="B102" s="5"/>
      <c r="C102" s="37"/>
      <c r="D102" s="36"/>
      <c r="E102" s="5"/>
      <c r="F102" s="37"/>
      <c r="G102" s="38"/>
      <c r="H102" s="37"/>
      <c r="I102" s="35"/>
      <c r="J102" s="35"/>
      <c r="K102" s="121">
        <f t="shared" si="6"/>
        <v>0</v>
      </c>
      <c r="L102" s="103"/>
      <c r="M102" s="104" t="str">
        <f t="shared" si="7"/>
        <v>温パ</v>
      </c>
    </row>
    <row r="103" spans="1:13" x14ac:dyDescent="0.15">
      <c r="A103" s="14"/>
      <c r="B103" s="5"/>
      <c r="C103" s="37"/>
      <c r="D103" s="36"/>
      <c r="E103" s="5"/>
      <c r="F103" s="37"/>
      <c r="G103" s="38"/>
      <c r="H103" s="37"/>
      <c r="I103" s="35"/>
      <c r="J103" s="35"/>
      <c r="K103" s="121">
        <f t="shared" si="6"/>
        <v>0</v>
      </c>
      <c r="L103" s="103"/>
      <c r="M103" s="104" t="str">
        <f t="shared" si="7"/>
        <v>温パ</v>
      </c>
    </row>
    <row r="104" spans="1:13" x14ac:dyDescent="0.15">
      <c r="A104" s="14"/>
      <c r="B104" s="5"/>
      <c r="C104" s="37"/>
      <c r="D104" s="36"/>
      <c r="E104" s="5"/>
      <c r="F104" s="37"/>
      <c r="G104" s="38"/>
      <c r="H104" s="37"/>
      <c r="I104" s="35"/>
      <c r="J104" s="35"/>
      <c r="K104" s="121">
        <f t="shared" si="6"/>
        <v>0</v>
      </c>
      <c r="L104" s="103"/>
      <c r="M104" s="104" t="str">
        <f t="shared" si="7"/>
        <v>温パ</v>
      </c>
    </row>
    <row r="105" spans="1:13" x14ac:dyDescent="0.15">
      <c r="A105" s="14"/>
      <c r="B105" s="5"/>
      <c r="C105" s="37"/>
      <c r="D105" s="36"/>
      <c r="E105" s="5"/>
      <c r="F105" s="37"/>
      <c r="G105" s="38"/>
      <c r="H105" s="37"/>
      <c r="I105" s="35"/>
      <c r="J105" s="35"/>
      <c r="K105" s="121">
        <f t="shared" si="6"/>
        <v>0</v>
      </c>
      <c r="L105" s="103"/>
      <c r="M105" s="104" t="str">
        <f t="shared" si="7"/>
        <v>温パ</v>
      </c>
    </row>
    <row r="106" spans="1:13" x14ac:dyDescent="0.15">
      <c r="A106" s="14"/>
      <c r="B106" s="5"/>
      <c r="C106" s="37"/>
      <c r="D106" s="36"/>
      <c r="E106" s="5"/>
      <c r="F106" s="37"/>
      <c r="G106" s="38"/>
      <c r="H106" s="37"/>
      <c r="I106" s="35"/>
      <c r="J106" s="35"/>
      <c r="K106" s="121">
        <f t="shared" si="6"/>
        <v>0</v>
      </c>
      <c r="L106" s="103"/>
      <c r="M106" s="104" t="str">
        <f t="shared" si="7"/>
        <v>温パ</v>
      </c>
    </row>
    <row r="107" spans="1:13" x14ac:dyDescent="0.15">
      <c r="A107" s="14"/>
      <c r="B107" s="5"/>
      <c r="C107" s="37"/>
      <c r="D107" s="36"/>
      <c r="E107" s="5"/>
      <c r="F107" s="37"/>
      <c r="G107" s="38"/>
      <c r="H107" s="37"/>
      <c r="I107" s="35"/>
      <c r="J107" s="35"/>
      <c r="K107" s="121">
        <f t="shared" si="6"/>
        <v>0</v>
      </c>
      <c r="L107" s="103"/>
      <c r="M107" s="104" t="str">
        <f t="shared" si="7"/>
        <v>温パ</v>
      </c>
    </row>
    <row r="108" spans="1:13" x14ac:dyDescent="0.15">
      <c r="A108" s="14"/>
      <c r="B108" s="5"/>
      <c r="C108" s="37"/>
      <c r="D108" s="36"/>
      <c r="E108" s="5"/>
      <c r="F108" s="37"/>
      <c r="G108" s="38"/>
      <c r="H108" s="37"/>
      <c r="I108" s="35"/>
      <c r="J108" s="35"/>
      <c r="K108" s="121">
        <f t="shared" si="6"/>
        <v>0</v>
      </c>
      <c r="L108" s="103"/>
      <c r="M108" s="104" t="str">
        <f t="shared" si="7"/>
        <v>温パ</v>
      </c>
    </row>
    <row r="109" spans="1:13" x14ac:dyDescent="0.15">
      <c r="A109" s="14"/>
      <c r="B109" s="5"/>
      <c r="C109" s="37"/>
      <c r="D109" s="36"/>
      <c r="E109" s="5"/>
      <c r="F109" s="37"/>
      <c r="G109" s="38"/>
      <c r="H109" s="37"/>
      <c r="I109" s="35"/>
      <c r="J109" s="35"/>
      <c r="K109" s="121">
        <f t="shared" si="6"/>
        <v>0</v>
      </c>
      <c r="L109" s="103"/>
      <c r="M109" s="104" t="str">
        <f t="shared" si="7"/>
        <v>温パ</v>
      </c>
    </row>
    <row r="110" spans="1:13" x14ac:dyDescent="0.15">
      <c r="A110" s="14"/>
      <c r="B110" s="5"/>
      <c r="C110" s="37"/>
      <c r="D110" s="36"/>
      <c r="E110" s="5"/>
      <c r="F110" s="37"/>
      <c r="G110" s="38"/>
      <c r="H110" s="37"/>
      <c r="I110" s="35"/>
      <c r="J110" s="35"/>
      <c r="K110" s="121">
        <f t="shared" si="6"/>
        <v>0</v>
      </c>
      <c r="L110" s="103"/>
      <c r="M110" s="104" t="str">
        <f t="shared" si="7"/>
        <v>温パ</v>
      </c>
    </row>
    <row r="111" spans="1:13" x14ac:dyDescent="0.15">
      <c r="A111" s="14"/>
      <c r="B111" s="5"/>
      <c r="C111" s="37"/>
      <c r="D111" s="36"/>
      <c r="E111" s="5"/>
      <c r="F111" s="37"/>
      <c r="G111" s="38"/>
      <c r="H111" s="37"/>
      <c r="I111" s="35"/>
      <c r="J111" s="35"/>
      <c r="K111" s="121">
        <f t="shared" si="6"/>
        <v>0</v>
      </c>
      <c r="L111" s="103"/>
      <c r="M111" s="104" t="str">
        <f t="shared" si="7"/>
        <v>温パ</v>
      </c>
    </row>
    <row r="112" spans="1:13" x14ac:dyDescent="0.15">
      <c r="A112" s="14"/>
      <c r="B112" s="5"/>
      <c r="C112" s="37"/>
      <c r="D112" s="36"/>
      <c r="E112" s="5"/>
      <c r="F112" s="37"/>
      <c r="G112" s="38"/>
      <c r="H112" s="37"/>
      <c r="I112" s="35"/>
      <c r="J112" s="35"/>
      <c r="K112" s="121">
        <f t="shared" si="6"/>
        <v>0</v>
      </c>
      <c r="L112" s="103"/>
      <c r="M112" s="104" t="str">
        <f t="shared" si="7"/>
        <v>温パ</v>
      </c>
    </row>
    <row r="113" spans="1:13" x14ac:dyDescent="0.15">
      <c r="A113" s="14"/>
      <c r="B113" s="5"/>
      <c r="C113" s="37"/>
      <c r="D113" s="36"/>
      <c r="E113" s="5"/>
      <c r="F113" s="37"/>
      <c r="G113" s="38"/>
      <c r="H113" s="37"/>
      <c r="I113" s="35"/>
      <c r="J113" s="35"/>
      <c r="K113" s="121">
        <f t="shared" si="6"/>
        <v>0</v>
      </c>
      <c r="L113" s="103"/>
      <c r="M113" s="104" t="str">
        <f t="shared" si="7"/>
        <v>温パ</v>
      </c>
    </row>
    <row r="114" spans="1:13" x14ac:dyDescent="0.15">
      <c r="A114" s="14"/>
      <c r="B114" s="5"/>
      <c r="C114" s="37"/>
      <c r="D114" s="36"/>
      <c r="E114" s="5"/>
      <c r="F114" s="37"/>
      <c r="G114" s="38"/>
      <c r="H114" s="37"/>
      <c r="I114" s="35"/>
      <c r="J114" s="35"/>
      <c r="K114" s="121">
        <f t="shared" si="6"/>
        <v>0</v>
      </c>
      <c r="L114" s="103"/>
      <c r="M114" s="104" t="str">
        <f t="shared" si="7"/>
        <v>温パ</v>
      </c>
    </row>
    <row r="115" spans="1:13" x14ac:dyDescent="0.15">
      <c r="A115" s="14"/>
      <c r="B115" s="5"/>
      <c r="C115" s="37"/>
      <c r="D115" s="36"/>
      <c r="E115" s="5"/>
      <c r="F115" s="37"/>
      <c r="G115" s="38"/>
      <c r="H115" s="37"/>
      <c r="I115" s="35"/>
      <c r="J115" s="35"/>
      <c r="K115" s="121">
        <f t="shared" si="6"/>
        <v>0</v>
      </c>
      <c r="L115" s="103"/>
      <c r="M115" s="104" t="str">
        <f t="shared" si="7"/>
        <v>温パ</v>
      </c>
    </row>
    <row r="116" spans="1:13" x14ac:dyDescent="0.15">
      <c r="A116" s="14"/>
      <c r="B116" s="5"/>
      <c r="C116" s="37"/>
      <c r="D116" s="36"/>
      <c r="E116" s="5"/>
      <c r="F116" s="37"/>
      <c r="G116" s="38"/>
      <c r="H116" s="37"/>
      <c r="I116" s="35"/>
      <c r="J116" s="35"/>
      <c r="K116" s="121">
        <f t="shared" si="6"/>
        <v>0</v>
      </c>
      <c r="L116" s="103"/>
      <c r="M116" s="104" t="str">
        <f t="shared" si="7"/>
        <v>温パ</v>
      </c>
    </row>
    <row r="117" spans="1:13" x14ac:dyDescent="0.15">
      <c r="A117" s="14"/>
      <c r="B117" s="5"/>
      <c r="C117" s="37"/>
      <c r="D117" s="36"/>
      <c r="E117" s="5"/>
      <c r="F117" s="37"/>
      <c r="G117" s="38"/>
      <c r="H117" s="37"/>
      <c r="I117" s="35"/>
      <c r="J117" s="35"/>
      <c r="K117" s="121">
        <f t="shared" si="6"/>
        <v>0</v>
      </c>
      <c r="L117" s="103"/>
      <c r="M117" s="104" t="str">
        <f t="shared" si="7"/>
        <v>温パ</v>
      </c>
    </row>
    <row r="118" spans="1:13" x14ac:dyDescent="0.15">
      <c r="A118" s="14"/>
      <c r="B118" s="5"/>
      <c r="C118" s="37"/>
      <c r="D118" s="36"/>
      <c r="E118" s="5"/>
      <c r="F118" s="37"/>
      <c r="G118" s="38"/>
      <c r="H118" s="37"/>
      <c r="I118" s="35"/>
      <c r="J118" s="35"/>
      <c r="K118" s="121">
        <f t="shared" si="6"/>
        <v>0</v>
      </c>
      <c r="L118" s="103"/>
      <c r="M118" s="104" t="str">
        <f t="shared" si="7"/>
        <v>温パ</v>
      </c>
    </row>
    <row r="119" spans="1:13" x14ac:dyDescent="0.15">
      <c r="A119" s="14"/>
      <c r="B119" s="5"/>
      <c r="C119" s="37"/>
      <c r="D119" s="36"/>
      <c r="E119" s="5"/>
      <c r="F119" s="37"/>
      <c r="G119" s="38"/>
      <c r="H119" s="37"/>
      <c r="I119" s="35"/>
      <c r="J119" s="35"/>
      <c r="K119" s="121">
        <f t="shared" si="6"/>
        <v>0</v>
      </c>
      <c r="L119" s="103"/>
      <c r="M119" s="104" t="str">
        <f t="shared" si="7"/>
        <v>温パ</v>
      </c>
    </row>
    <row r="120" spans="1:13" x14ac:dyDescent="0.15">
      <c r="A120" s="14"/>
      <c r="B120" s="5"/>
      <c r="C120" s="37"/>
      <c r="D120" s="36"/>
      <c r="E120" s="5"/>
      <c r="F120" s="37"/>
      <c r="G120" s="38"/>
      <c r="H120" s="37"/>
      <c r="I120" s="35"/>
      <c r="J120" s="35"/>
      <c r="K120" s="121">
        <f t="shared" si="6"/>
        <v>0</v>
      </c>
      <c r="L120" s="103"/>
      <c r="M120" s="104" t="str">
        <f t="shared" si="7"/>
        <v>温パ</v>
      </c>
    </row>
    <row r="121" spans="1:13" x14ac:dyDescent="0.15">
      <c r="A121" s="14"/>
      <c r="B121" s="5"/>
      <c r="C121" s="37"/>
      <c r="D121" s="36"/>
      <c r="E121" s="5"/>
      <c r="F121" s="37"/>
      <c r="G121" s="38"/>
      <c r="H121" s="37"/>
      <c r="I121" s="35"/>
      <c r="J121" s="35"/>
      <c r="K121" s="121">
        <f t="shared" si="6"/>
        <v>0</v>
      </c>
      <c r="L121" s="103"/>
      <c r="M121" s="104" t="str">
        <f t="shared" si="7"/>
        <v>温パ</v>
      </c>
    </row>
    <row r="122" spans="1:13" x14ac:dyDescent="0.15">
      <c r="A122" s="14"/>
      <c r="B122" s="5"/>
      <c r="C122" s="37"/>
      <c r="D122" s="36"/>
      <c r="E122" s="5"/>
      <c r="F122" s="37"/>
      <c r="G122" s="38"/>
      <c r="H122" s="37"/>
      <c r="I122" s="35"/>
      <c r="J122" s="35"/>
      <c r="K122" s="121">
        <f t="shared" si="6"/>
        <v>0</v>
      </c>
      <c r="L122" s="103"/>
      <c r="M122" s="104" t="str">
        <f t="shared" si="7"/>
        <v>温パ</v>
      </c>
    </row>
    <row r="123" spans="1:13" x14ac:dyDescent="0.15">
      <c r="A123" s="14"/>
      <c r="B123" s="5"/>
      <c r="C123" s="37"/>
      <c r="D123" s="36"/>
      <c r="E123" s="5"/>
      <c r="F123" s="37"/>
      <c r="G123" s="38"/>
      <c r="H123" s="37"/>
      <c r="I123" s="35"/>
      <c r="J123" s="35"/>
      <c r="K123" s="121">
        <f t="shared" si="6"/>
        <v>0</v>
      </c>
      <c r="L123" s="103"/>
      <c r="M123" s="104" t="str">
        <f t="shared" si="7"/>
        <v>温パ</v>
      </c>
    </row>
    <row r="124" spans="1:13" x14ac:dyDescent="0.15">
      <c r="A124" s="14"/>
      <c r="B124" s="5"/>
      <c r="C124" s="37"/>
      <c r="D124" s="36"/>
      <c r="E124" s="5"/>
      <c r="F124" s="37"/>
      <c r="G124" s="38"/>
      <c r="H124" s="37"/>
      <c r="I124" s="35"/>
      <c r="J124" s="35"/>
      <c r="K124" s="121">
        <f t="shared" si="6"/>
        <v>0</v>
      </c>
      <c r="L124" s="103"/>
      <c r="M124" s="104" t="str">
        <f t="shared" si="7"/>
        <v>温パ</v>
      </c>
    </row>
    <row r="125" spans="1:13" x14ac:dyDescent="0.15">
      <c r="A125" s="14"/>
      <c r="B125" s="5"/>
      <c r="C125" s="37"/>
      <c r="D125" s="36"/>
      <c r="E125" s="5"/>
      <c r="F125" s="37"/>
      <c r="G125" s="38"/>
      <c r="H125" s="37"/>
      <c r="I125" s="35"/>
      <c r="J125" s="35"/>
      <c r="K125" s="121">
        <f t="shared" si="6"/>
        <v>0</v>
      </c>
      <c r="L125" s="103"/>
      <c r="M125" s="104" t="str">
        <f t="shared" si="7"/>
        <v>温パ</v>
      </c>
    </row>
    <row r="126" spans="1:13" x14ac:dyDescent="0.15">
      <c r="A126" s="14"/>
      <c r="B126" s="5"/>
      <c r="C126" s="37"/>
      <c r="D126" s="36"/>
      <c r="E126" s="5"/>
      <c r="F126" s="37"/>
      <c r="G126" s="38"/>
      <c r="H126" s="37"/>
      <c r="I126" s="35"/>
      <c r="J126" s="35"/>
      <c r="K126" s="121">
        <f t="shared" si="6"/>
        <v>0</v>
      </c>
      <c r="L126" s="103"/>
      <c r="M126" s="104" t="str">
        <f t="shared" si="7"/>
        <v>温パ</v>
      </c>
    </row>
    <row r="127" spans="1:13" x14ac:dyDescent="0.15">
      <c r="A127" s="14"/>
      <c r="B127" s="5"/>
      <c r="C127" s="37"/>
      <c r="D127" s="36"/>
      <c r="E127" s="5"/>
      <c r="F127" s="37"/>
      <c r="G127" s="38"/>
      <c r="H127" s="37"/>
      <c r="I127" s="35"/>
      <c r="J127" s="35"/>
      <c r="K127" s="121">
        <f t="shared" si="6"/>
        <v>0</v>
      </c>
      <c r="L127" s="103"/>
      <c r="M127" s="104" t="str">
        <f t="shared" si="7"/>
        <v>温パ</v>
      </c>
    </row>
    <row r="128" spans="1:13" x14ac:dyDescent="0.15">
      <c r="A128" s="14"/>
      <c r="B128" s="5"/>
      <c r="C128" s="37"/>
      <c r="D128" s="36"/>
      <c r="E128" s="5"/>
      <c r="F128" s="37"/>
      <c r="G128" s="38"/>
      <c r="H128" s="37"/>
      <c r="I128" s="35"/>
      <c r="J128" s="35"/>
      <c r="K128" s="121">
        <f t="shared" si="6"/>
        <v>0</v>
      </c>
      <c r="L128" s="103"/>
      <c r="M128" s="104" t="str">
        <f t="shared" si="7"/>
        <v>温パ</v>
      </c>
    </row>
    <row r="129" spans="1:13" x14ac:dyDescent="0.15">
      <c r="A129" s="14"/>
      <c r="B129" s="5"/>
      <c r="C129" s="37"/>
      <c r="D129" s="36"/>
      <c r="E129" s="5"/>
      <c r="F129" s="37"/>
      <c r="G129" s="38"/>
      <c r="H129" s="37"/>
      <c r="I129" s="35"/>
      <c r="J129" s="35"/>
      <c r="K129" s="121">
        <f t="shared" si="6"/>
        <v>0</v>
      </c>
      <c r="L129" s="103"/>
      <c r="M129" s="104" t="str">
        <f t="shared" si="7"/>
        <v>温パ</v>
      </c>
    </row>
    <row r="130" spans="1:13" x14ac:dyDescent="0.15">
      <c r="A130" s="14"/>
      <c r="B130" s="5"/>
      <c r="C130" s="37"/>
      <c r="D130" s="36"/>
      <c r="E130" s="5"/>
      <c r="F130" s="37"/>
      <c r="G130" s="38"/>
      <c r="H130" s="37"/>
      <c r="I130" s="35"/>
      <c r="J130" s="35"/>
      <c r="K130" s="121">
        <f t="shared" si="6"/>
        <v>0</v>
      </c>
      <c r="L130" s="103"/>
      <c r="M130" s="104" t="str">
        <f t="shared" si="7"/>
        <v>温パ</v>
      </c>
    </row>
    <row r="131" spans="1:13" x14ac:dyDescent="0.15">
      <c r="A131" s="14"/>
      <c r="B131" s="5"/>
      <c r="C131" s="37"/>
      <c r="D131" s="36"/>
      <c r="E131" s="5"/>
      <c r="F131" s="37"/>
      <c r="G131" s="38"/>
      <c r="H131" s="37"/>
      <c r="I131" s="35"/>
      <c r="J131" s="35"/>
      <c r="K131" s="121">
        <f t="shared" si="6"/>
        <v>0</v>
      </c>
      <c r="L131" s="103"/>
      <c r="M131" s="104" t="str">
        <f t="shared" si="7"/>
        <v>温パ</v>
      </c>
    </row>
    <row r="132" spans="1:13" x14ac:dyDescent="0.15">
      <c r="A132" s="14"/>
      <c r="B132" s="5"/>
      <c r="C132" s="37"/>
      <c r="D132" s="36"/>
      <c r="E132" s="5"/>
      <c r="F132" s="37"/>
      <c r="G132" s="38"/>
      <c r="H132" s="37"/>
      <c r="I132" s="35"/>
      <c r="J132" s="35"/>
      <c r="K132" s="121">
        <f t="shared" si="6"/>
        <v>0</v>
      </c>
      <c r="L132" s="103"/>
      <c r="M132" s="104" t="str">
        <f t="shared" si="7"/>
        <v>温パ</v>
      </c>
    </row>
    <row r="133" spans="1:13" x14ac:dyDescent="0.15">
      <c r="A133" s="14"/>
      <c r="B133" s="5"/>
      <c r="C133" s="37"/>
      <c r="D133" s="36"/>
      <c r="E133" s="5"/>
      <c r="F133" s="37"/>
      <c r="G133" s="38"/>
      <c r="H133" s="37"/>
      <c r="I133" s="35"/>
      <c r="J133" s="35"/>
      <c r="K133" s="121">
        <f t="shared" ref="K133:K164" si="8">C133-E133+G133</f>
        <v>0</v>
      </c>
      <c r="L133" s="103"/>
      <c r="M133" s="104" t="str">
        <f t="shared" ref="M133:M164" si="9">IF(COUNTIFS($B133,"*東一*")&gt;0,"東一",IF(COUNTIF($L133,"■")&gt;0,IF(COUNTIF($J133,"○")&gt;0,"荷受",$K133*-1),"温パ"))</f>
        <v>温パ</v>
      </c>
    </row>
    <row r="134" spans="1:13" x14ac:dyDescent="0.15">
      <c r="A134" s="14"/>
      <c r="B134" s="5"/>
      <c r="C134" s="37"/>
      <c r="D134" s="36"/>
      <c r="E134" s="5"/>
      <c r="F134" s="37"/>
      <c r="G134" s="38"/>
      <c r="H134" s="37"/>
      <c r="I134" s="35"/>
      <c r="J134" s="35"/>
      <c r="K134" s="121">
        <f t="shared" si="8"/>
        <v>0</v>
      </c>
      <c r="L134" s="103"/>
      <c r="M134" s="104" t="str">
        <f t="shared" si="9"/>
        <v>温パ</v>
      </c>
    </row>
    <row r="135" spans="1:13" x14ac:dyDescent="0.15">
      <c r="A135" s="14"/>
      <c r="B135" s="5"/>
      <c r="C135" s="37"/>
      <c r="D135" s="36"/>
      <c r="E135" s="5"/>
      <c r="F135" s="37"/>
      <c r="G135" s="38"/>
      <c r="H135" s="37"/>
      <c r="I135" s="35"/>
      <c r="J135" s="35"/>
      <c r="K135" s="121">
        <f t="shared" si="8"/>
        <v>0</v>
      </c>
      <c r="L135" s="103"/>
      <c r="M135" s="104" t="str">
        <f t="shared" si="9"/>
        <v>温パ</v>
      </c>
    </row>
    <row r="136" spans="1:13" x14ac:dyDescent="0.15">
      <c r="A136" s="14"/>
      <c r="B136" s="5"/>
      <c r="C136" s="37"/>
      <c r="D136" s="36"/>
      <c r="E136" s="5"/>
      <c r="F136" s="37"/>
      <c r="G136" s="38"/>
      <c r="H136" s="37"/>
      <c r="I136" s="35"/>
      <c r="J136" s="35"/>
      <c r="K136" s="121">
        <f t="shared" si="8"/>
        <v>0</v>
      </c>
      <c r="L136" s="103"/>
      <c r="M136" s="104" t="str">
        <f t="shared" si="9"/>
        <v>温パ</v>
      </c>
    </row>
    <row r="137" spans="1:13" x14ac:dyDescent="0.15">
      <c r="A137" s="14"/>
      <c r="B137" s="5"/>
      <c r="C137" s="37"/>
      <c r="D137" s="36"/>
      <c r="E137" s="5"/>
      <c r="F137" s="37"/>
      <c r="G137" s="38"/>
      <c r="H137" s="37"/>
      <c r="I137" s="35"/>
      <c r="J137" s="35"/>
      <c r="K137" s="121">
        <f t="shared" si="8"/>
        <v>0</v>
      </c>
      <c r="L137" s="103"/>
      <c r="M137" s="104" t="str">
        <f t="shared" si="9"/>
        <v>温パ</v>
      </c>
    </row>
    <row r="138" spans="1:13" x14ac:dyDescent="0.15">
      <c r="A138" s="14"/>
      <c r="B138" s="5"/>
      <c r="C138" s="37"/>
      <c r="D138" s="36"/>
      <c r="E138" s="5"/>
      <c r="F138" s="37"/>
      <c r="G138" s="38"/>
      <c r="H138" s="37"/>
      <c r="I138" s="35"/>
      <c r="J138" s="35"/>
      <c r="K138" s="121">
        <f t="shared" si="8"/>
        <v>0</v>
      </c>
      <c r="L138" s="103"/>
      <c r="M138" s="104" t="str">
        <f t="shared" si="9"/>
        <v>温パ</v>
      </c>
    </row>
    <row r="139" spans="1:13" x14ac:dyDescent="0.15">
      <c r="A139" s="14"/>
      <c r="B139" s="5"/>
      <c r="C139" s="37"/>
      <c r="D139" s="36"/>
      <c r="E139" s="5"/>
      <c r="F139" s="37"/>
      <c r="G139" s="38"/>
      <c r="H139" s="37"/>
      <c r="I139" s="35"/>
      <c r="J139" s="35"/>
      <c r="K139" s="121">
        <f t="shared" si="8"/>
        <v>0</v>
      </c>
      <c r="L139" s="103"/>
      <c r="M139" s="104" t="str">
        <f t="shared" si="9"/>
        <v>温パ</v>
      </c>
    </row>
    <row r="140" spans="1:13" x14ac:dyDescent="0.15">
      <c r="A140" s="14"/>
      <c r="B140" s="5"/>
      <c r="C140" s="37"/>
      <c r="D140" s="36"/>
      <c r="E140" s="5"/>
      <c r="F140" s="37"/>
      <c r="G140" s="38"/>
      <c r="H140" s="37"/>
      <c r="I140" s="35"/>
      <c r="J140" s="35"/>
      <c r="K140" s="121">
        <f t="shared" si="8"/>
        <v>0</v>
      </c>
      <c r="L140" s="103"/>
      <c r="M140" s="104" t="str">
        <f t="shared" si="9"/>
        <v>温パ</v>
      </c>
    </row>
    <row r="141" spans="1:13" x14ac:dyDescent="0.15">
      <c r="A141" s="14"/>
      <c r="B141" s="5"/>
      <c r="C141" s="37"/>
      <c r="D141" s="36"/>
      <c r="E141" s="5"/>
      <c r="F141" s="37"/>
      <c r="G141" s="38"/>
      <c r="H141" s="37"/>
      <c r="I141" s="35"/>
      <c r="J141" s="35"/>
      <c r="K141" s="121">
        <f t="shared" si="8"/>
        <v>0</v>
      </c>
      <c r="L141" s="103"/>
      <c r="M141" s="104" t="str">
        <f t="shared" si="9"/>
        <v>温パ</v>
      </c>
    </row>
    <row r="142" spans="1:13" x14ac:dyDescent="0.15">
      <c r="A142" s="14"/>
      <c r="B142" s="5"/>
      <c r="C142" s="37"/>
      <c r="D142" s="36"/>
      <c r="E142" s="5"/>
      <c r="F142" s="37"/>
      <c r="G142" s="38"/>
      <c r="H142" s="37"/>
      <c r="I142" s="35"/>
      <c r="J142" s="35"/>
      <c r="K142" s="121">
        <f t="shared" si="8"/>
        <v>0</v>
      </c>
      <c r="L142" s="103"/>
      <c r="M142" s="104" t="str">
        <f t="shared" si="9"/>
        <v>温パ</v>
      </c>
    </row>
    <row r="143" spans="1:13" x14ac:dyDescent="0.15">
      <c r="A143" s="14"/>
      <c r="B143" s="5"/>
      <c r="C143" s="37"/>
      <c r="D143" s="36"/>
      <c r="E143" s="5"/>
      <c r="F143" s="37"/>
      <c r="G143" s="38"/>
      <c r="H143" s="37"/>
      <c r="I143" s="35"/>
      <c r="J143" s="35"/>
      <c r="K143" s="121">
        <f t="shared" si="8"/>
        <v>0</v>
      </c>
      <c r="L143" s="103"/>
      <c r="M143" s="104" t="str">
        <f t="shared" si="9"/>
        <v>温パ</v>
      </c>
    </row>
    <row r="144" spans="1:13" x14ac:dyDescent="0.15">
      <c r="A144" s="14"/>
      <c r="B144" s="5"/>
      <c r="C144" s="37"/>
      <c r="D144" s="36"/>
      <c r="E144" s="5"/>
      <c r="F144" s="37"/>
      <c r="G144" s="38"/>
      <c r="H144" s="37"/>
      <c r="I144" s="35"/>
      <c r="J144" s="35"/>
      <c r="K144" s="121">
        <f t="shared" si="8"/>
        <v>0</v>
      </c>
      <c r="L144" s="103"/>
      <c r="M144" s="104" t="str">
        <f t="shared" si="9"/>
        <v>温パ</v>
      </c>
    </row>
    <row r="145" spans="1:13" x14ac:dyDescent="0.15">
      <c r="A145" s="14"/>
      <c r="B145" s="5"/>
      <c r="C145" s="37"/>
      <c r="D145" s="36"/>
      <c r="E145" s="5"/>
      <c r="F145" s="37"/>
      <c r="G145" s="38"/>
      <c r="H145" s="37"/>
      <c r="I145" s="35"/>
      <c r="J145" s="35"/>
      <c r="K145" s="121">
        <f t="shared" si="8"/>
        <v>0</v>
      </c>
      <c r="L145" s="103"/>
      <c r="M145" s="104" t="str">
        <f t="shared" si="9"/>
        <v>温パ</v>
      </c>
    </row>
    <row r="146" spans="1:13" x14ac:dyDescent="0.15">
      <c r="A146" s="14"/>
      <c r="B146" s="5"/>
      <c r="C146" s="37"/>
      <c r="D146" s="36"/>
      <c r="E146" s="5"/>
      <c r="F146" s="37"/>
      <c r="G146" s="38"/>
      <c r="H146" s="37"/>
      <c r="I146" s="35"/>
      <c r="J146" s="35"/>
      <c r="K146" s="121">
        <f t="shared" si="8"/>
        <v>0</v>
      </c>
      <c r="L146" s="103"/>
      <c r="M146" s="104" t="str">
        <f t="shared" si="9"/>
        <v>温パ</v>
      </c>
    </row>
    <row r="147" spans="1:13" x14ac:dyDescent="0.15">
      <c r="A147" s="14"/>
      <c r="B147" s="5"/>
      <c r="C147" s="37"/>
      <c r="D147" s="36"/>
      <c r="E147" s="5"/>
      <c r="F147" s="37"/>
      <c r="G147" s="38"/>
      <c r="H147" s="37"/>
      <c r="I147" s="35"/>
      <c r="J147" s="35"/>
      <c r="K147" s="121">
        <f t="shared" si="8"/>
        <v>0</v>
      </c>
      <c r="L147" s="103"/>
      <c r="M147" s="104" t="str">
        <f t="shared" si="9"/>
        <v>温パ</v>
      </c>
    </row>
    <row r="148" spans="1:13" x14ac:dyDescent="0.15">
      <c r="A148" s="14"/>
      <c r="B148" s="5"/>
      <c r="C148" s="37"/>
      <c r="D148" s="36"/>
      <c r="E148" s="5"/>
      <c r="F148" s="37"/>
      <c r="G148" s="38"/>
      <c r="H148" s="37"/>
      <c r="I148" s="35"/>
      <c r="J148" s="35"/>
      <c r="K148" s="121">
        <f t="shared" si="8"/>
        <v>0</v>
      </c>
      <c r="L148" s="103"/>
      <c r="M148" s="104" t="str">
        <f t="shared" si="9"/>
        <v>温パ</v>
      </c>
    </row>
    <row r="149" spans="1:13" x14ac:dyDescent="0.15">
      <c r="A149" s="14"/>
      <c r="B149" s="5"/>
      <c r="C149" s="37"/>
      <c r="D149" s="36"/>
      <c r="E149" s="5"/>
      <c r="F149" s="37"/>
      <c r="G149" s="38"/>
      <c r="H149" s="37"/>
      <c r="I149" s="35"/>
      <c r="J149" s="35"/>
      <c r="K149" s="121">
        <f t="shared" si="8"/>
        <v>0</v>
      </c>
      <c r="L149" s="103"/>
      <c r="M149" s="104" t="str">
        <f t="shared" si="9"/>
        <v>温パ</v>
      </c>
    </row>
    <row r="150" spans="1:13" x14ac:dyDescent="0.15">
      <c r="A150" s="14"/>
      <c r="B150" s="5"/>
      <c r="C150" s="37"/>
      <c r="D150" s="36"/>
      <c r="E150" s="5"/>
      <c r="F150" s="37"/>
      <c r="G150" s="38"/>
      <c r="H150" s="37"/>
      <c r="I150" s="35"/>
      <c r="J150" s="35"/>
      <c r="K150" s="121">
        <f t="shared" si="8"/>
        <v>0</v>
      </c>
      <c r="L150" s="103"/>
      <c r="M150" s="104" t="str">
        <f t="shared" si="9"/>
        <v>温パ</v>
      </c>
    </row>
    <row r="151" spans="1:13" x14ac:dyDescent="0.15">
      <c r="A151" s="14"/>
      <c r="B151" s="5"/>
      <c r="C151" s="37"/>
      <c r="D151" s="36"/>
      <c r="E151" s="5"/>
      <c r="F151" s="37"/>
      <c r="G151" s="38"/>
      <c r="H151" s="37"/>
      <c r="I151" s="35"/>
      <c r="J151" s="35"/>
      <c r="K151" s="121">
        <f t="shared" si="8"/>
        <v>0</v>
      </c>
      <c r="L151" s="103"/>
      <c r="M151" s="104" t="str">
        <f t="shared" si="9"/>
        <v>温パ</v>
      </c>
    </row>
    <row r="152" spans="1:13" x14ac:dyDescent="0.15">
      <c r="A152" s="14"/>
      <c r="B152" s="5"/>
      <c r="C152" s="37"/>
      <c r="D152" s="36"/>
      <c r="E152" s="5"/>
      <c r="F152" s="37"/>
      <c r="G152" s="38"/>
      <c r="H152" s="37"/>
      <c r="I152" s="35"/>
      <c r="J152" s="35"/>
      <c r="K152" s="121">
        <f t="shared" si="8"/>
        <v>0</v>
      </c>
      <c r="L152" s="103"/>
      <c r="M152" s="104" t="str">
        <f t="shared" si="9"/>
        <v>温パ</v>
      </c>
    </row>
    <row r="153" spans="1:13" x14ac:dyDescent="0.15">
      <c r="A153" s="14"/>
      <c r="B153" s="5"/>
      <c r="C153" s="37"/>
      <c r="D153" s="36"/>
      <c r="E153" s="5"/>
      <c r="F153" s="37"/>
      <c r="G153" s="38"/>
      <c r="H153" s="37"/>
      <c r="I153" s="35"/>
      <c r="J153" s="35"/>
      <c r="K153" s="121">
        <f t="shared" si="8"/>
        <v>0</v>
      </c>
      <c r="L153" s="103"/>
      <c r="M153" s="104" t="str">
        <f t="shared" si="9"/>
        <v>温パ</v>
      </c>
    </row>
    <row r="154" spans="1:13" x14ac:dyDescent="0.15">
      <c r="A154" s="14"/>
      <c r="B154" s="5"/>
      <c r="C154" s="37"/>
      <c r="D154" s="36"/>
      <c r="E154" s="5"/>
      <c r="F154" s="37"/>
      <c r="G154" s="38"/>
      <c r="H154" s="37"/>
      <c r="I154" s="35"/>
      <c r="J154" s="35"/>
      <c r="K154" s="121">
        <f t="shared" si="8"/>
        <v>0</v>
      </c>
      <c r="L154" s="103"/>
      <c r="M154" s="104" t="str">
        <f t="shared" si="9"/>
        <v>温パ</v>
      </c>
    </row>
    <row r="155" spans="1:13" x14ac:dyDescent="0.15">
      <c r="A155" s="14"/>
      <c r="B155" s="5"/>
      <c r="C155" s="37"/>
      <c r="D155" s="36"/>
      <c r="E155" s="5"/>
      <c r="F155" s="37"/>
      <c r="G155" s="38"/>
      <c r="H155" s="37"/>
      <c r="I155" s="35"/>
      <c r="J155" s="35"/>
      <c r="K155" s="121">
        <f t="shared" si="8"/>
        <v>0</v>
      </c>
      <c r="L155" s="103"/>
      <c r="M155" s="104" t="str">
        <f t="shared" si="9"/>
        <v>温パ</v>
      </c>
    </row>
    <row r="156" spans="1:13" x14ac:dyDescent="0.15">
      <c r="A156" s="14"/>
      <c r="B156" s="5"/>
      <c r="C156" s="37"/>
      <c r="D156" s="36"/>
      <c r="E156" s="5"/>
      <c r="F156" s="37"/>
      <c r="G156" s="38"/>
      <c r="H156" s="37"/>
      <c r="I156" s="35"/>
      <c r="J156" s="35"/>
      <c r="K156" s="121">
        <f t="shared" si="8"/>
        <v>0</v>
      </c>
      <c r="L156" s="103"/>
      <c r="M156" s="104" t="str">
        <f t="shared" si="9"/>
        <v>温パ</v>
      </c>
    </row>
    <row r="157" spans="1:13" x14ac:dyDescent="0.15">
      <c r="A157" s="14"/>
      <c r="B157" s="5"/>
      <c r="C157" s="37"/>
      <c r="D157" s="36"/>
      <c r="E157" s="5"/>
      <c r="F157" s="37"/>
      <c r="G157" s="38"/>
      <c r="H157" s="37"/>
      <c r="I157" s="35"/>
      <c r="J157" s="35"/>
      <c r="K157" s="121">
        <f t="shared" si="8"/>
        <v>0</v>
      </c>
      <c r="L157" s="103"/>
      <c r="M157" s="104" t="str">
        <f t="shared" si="9"/>
        <v>温パ</v>
      </c>
    </row>
    <row r="158" spans="1:13" x14ac:dyDescent="0.15">
      <c r="A158" s="14"/>
      <c r="B158" s="5"/>
      <c r="C158" s="37"/>
      <c r="D158" s="36"/>
      <c r="E158" s="5"/>
      <c r="F158" s="37"/>
      <c r="G158" s="38"/>
      <c r="H158" s="37"/>
      <c r="I158" s="35"/>
      <c r="J158" s="35"/>
      <c r="K158" s="121">
        <f t="shared" si="8"/>
        <v>0</v>
      </c>
      <c r="L158" s="103"/>
      <c r="M158" s="104" t="str">
        <f t="shared" si="9"/>
        <v>温パ</v>
      </c>
    </row>
    <row r="159" spans="1:13" x14ac:dyDescent="0.15">
      <c r="A159" s="14"/>
      <c r="B159" s="5"/>
      <c r="C159" s="37"/>
      <c r="D159" s="36"/>
      <c r="E159" s="5"/>
      <c r="F159" s="37"/>
      <c r="G159" s="38"/>
      <c r="H159" s="37"/>
      <c r="I159" s="35"/>
      <c r="J159" s="35"/>
      <c r="K159" s="121">
        <f t="shared" si="8"/>
        <v>0</v>
      </c>
      <c r="L159" s="103"/>
      <c r="M159" s="104" t="str">
        <f t="shared" si="9"/>
        <v>温パ</v>
      </c>
    </row>
    <row r="160" spans="1:13" x14ac:dyDescent="0.15">
      <c r="A160" s="14"/>
      <c r="B160" s="5"/>
      <c r="C160" s="37"/>
      <c r="D160" s="36"/>
      <c r="E160" s="5"/>
      <c r="F160" s="37"/>
      <c r="G160" s="38"/>
      <c r="H160" s="37"/>
      <c r="I160" s="35"/>
      <c r="J160" s="35"/>
      <c r="K160" s="121">
        <f t="shared" si="8"/>
        <v>0</v>
      </c>
      <c r="L160" s="103"/>
      <c r="M160" s="104" t="str">
        <f t="shared" si="9"/>
        <v>温パ</v>
      </c>
    </row>
    <row r="161" spans="1:13" x14ac:dyDescent="0.15">
      <c r="A161" s="14"/>
      <c r="B161" s="5"/>
      <c r="C161" s="37"/>
      <c r="D161" s="36"/>
      <c r="E161" s="5"/>
      <c r="F161" s="37"/>
      <c r="G161" s="38"/>
      <c r="H161" s="37"/>
      <c r="I161" s="35"/>
      <c r="J161" s="35"/>
      <c r="K161" s="121">
        <f t="shared" si="8"/>
        <v>0</v>
      </c>
      <c r="L161" s="103"/>
      <c r="M161" s="104" t="str">
        <f t="shared" si="9"/>
        <v>温パ</v>
      </c>
    </row>
    <row r="162" spans="1:13" x14ac:dyDescent="0.15">
      <c r="A162" s="14"/>
      <c r="B162" s="5"/>
      <c r="C162" s="37"/>
      <c r="D162" s="36"/>
      <c r="E162" s="5"/>
      <c r="F162" s="37"/>
      <c r="G162" s="38"/>
      <c r="H162" s="37"/>
      <c r="I162" s="35"/>
      <c r="J162" s="35"/>
      <c r="K162" s="121">
        <f t="shared" si="8"/>
        <v>0</v>
      </c>
      <c r="L162" s="103"/>
      <c r="M162" s="104" t="str">
        <f t="shared" si="9"/>
        <v>温パ</v>
      </c>
    </row>
    <row r="163" spans="1:13" x14ac:dyDescent="0.15">
      <c r="A163" s="14"/>
      <c r="B163" s="5"/>
      <c r="C163" s="37"/>
      <c r="D163" s="36"/>
      <c r="E163" s="5"/>
      <c r="F163" s="37"/>
      <c r="G163" s="38"/>
      <c r="H163" s="37"/>
      <c r="I163" s="35"/>
      <c r="J163" s="35"/>
      <c r="K163" s="121">
        <f t="shared" si="8"/>
        <v>0</v>
      </c>
      <c r="L163" s="103"/>
      <c r="M163" s="104" t="str">
        <f t="shared" si="9"/>
        <v>温パ</v>
      </c>
    </row>
    <row r="164" spans="1:13" x14ac:dyDescent="0.15">
      <c r="A164" s="14"/>
      <c r="B164" s="5"/>
      <c r="C164" s="37"/>
      <c r="D164" s="36"/>
      <c r="E164" s="5"/>
      <c r="F164" s="37"/>
      <c r="G164" s="38"/>
      <c r="H164" s="37"/>
      <c r="I164" s="35"/>
      <c r="J164" s="35"/>
      <c r="K164" s="121">
        <f t="shared" si="8"/>
        <v>0</v>
      </c>
      <c r="L164" s="103"/>
      <c r="M164" s="104" t="str">
        <f t="shared" si="9"/>
        <v>温パ</v>
      </c>
    </row>
    <row r="165" spans="1:13" x14ac:dyDescent="0.15">
      <c r="A165" s="14"/>
      <c r="B165" s="5"/>
      <c r="C165" s="37"/>
      <c r="D165" s="36"/>
      <c r="E165" s="5"/>
      <c r="F165" s="37"/>
      <c r="G165" s="38"/>
      <c r="H165" s="37"/>
      <c r="I165" s="35"/>
      <c r="J165" s="35"/>
      <c r="K165" s="121">
        <f t="shared" ref="K165:K176" si="10">C165-E165+G165</f>
        <v>0</v>
      </c>
      <c r="L165" s="103"/>
      <c r="M165" s="104" t="str">
        <f t="shared" ref="M165:M176" si="11">IF(COUNTIFS($B165,"*東一*")&gt;0,"東一",IF(COUNTIF($L165,"■")&gt;0,IF(COUNTIF($J165,"○")&gt;0,"荷受",$K165*-1),"温パ"))</f>
        <v>温パ</v>
      </c>
    </row>
    <row r="166" spans="1:13" x14ac:dyDescent="0.15">
      <c r="A166" s="14"/>
      <c r="B166" s="5"/>
      <c r="C166" s="37"/>
      <c r="D166" s="36"/>
      <c r="E166" s="5"/>
      <c r="F166" s="37"/>
      <c r="G166" s="38"/>
      <c r="H166" s="37"/>
      <c r="I166" s="35"/>
      <c r="J166" s="35"/>
      <c r="K166" s="121">
        <f t="shared" si="10"/>
        <v>0</v>
      </c>
      <c r="L166" s="103"/>
      <c r="M166" s="104" t="str">
        <f t="shared" si="11"/>
        <v>温パ</v>
      </c>
    </row>
    <row r="167" spans="1:13" x14ac:dyDescent="0.15">
      <c r="A167" s="14"/>
      <c r="B167" s="5"/>
      <c r="C167" s="37"/>
      <c r="D167" s="36"/>
      <c r="E167" s="5"/>
      <c r="F167" s="37"/>
      <c r="G167" s="38"/>
      <c r="H167" s="37"/>
      <c r="I167" s="35"/>
      <c r="J167" s="35"/>
      <c r="K167" s="121">
        <f t="shared" si="10"/>
        <v>0</v>
      </c>
      <c r="L167" s="103"/>
      <c r="M167" s="104" t="str">
        <f t="shared" si="11"/>
        <v>温パ</v>
      </c>
    </row>
    <row r="168" spans="1:13" x14ac:dyDescent="0.15">
      <c r="A168" s="14"/>
      <c r="B168" s="5"/>
      <c r="C168" s="37"/>
      <c r="D168" s="36"/>
      <c r="E168" s="5"/>
      <c r="F168" s="37"/>
      <c r="G168" s="38"/>
      <c r="H168" s="37"/>
      <c r="I168" s="35"/>
      <c r="J168" s="35"/>
      <c r="K168" s="121">
        <f t="shared" si="10"/>
        <v>0</v>
      </c>
      <c r="L168" s="103"/>
      <c r="M168" s="104" t="str">
        <f t="shared" si="11"/>
        <v>温パ</v>
      </c>
    </row>
    <row r="169" spans="1:13" x14ac:dyDescent="0.15">
      <c r="A169" s="14"/>
      <c r="B169" s="5"/>
      <c r="C169" s="37"/>
      <c r="D169" s="36"/>
      <c r="E169" s="5"/>
      <c r="F169" s="37"/>
      <c r="G169" s="38"/>
      <c r="H169" s="37"/>
      <c r="I169" s="35"/>
      <c r="J169" s="35"/>
      <c r="K169" s="121">
        <f t="shared" si="10"/>
        <v>0</v>
      </c>
      <c r="L169" s="103"/>
      <c r="M169" s="104" t="str">
        <f t="shared" si="11"/>
        <v>温パ</v>
      </c>
    </row>
    <row r="170" spans="1:13" x14ac:dyDescent="0.15">
      <c r="A170" s="14"/>
      <c r="B170" s="5"/>
      <c r="C170" s="37"/>
      <c r="D170" s="36"/>
      <c r="E170" s="5"/>
      <c r="F170" s="37"/>
      <c r="G170" s="38"/>
      <c r="H170" s="37"/>
      <c r="I170" s="35"/>
      <c r="J170" s="35"/>
      <c r="K170" s="121">
        <f t="shared" si="10"/>
        <v>0</v>
      </c>
      <c r="L170" s="103"/>
      <c r="M170" s="104" t="str">
        <f t="shared" si="11"/>
        <v>温パ</v>
      </c>
    </row>
    <row r="171" spans="1:13" x14ac:dyDescent="0.15">
      <c r="A171" s="14"/>
      <c r="B171" s="5"/>
      <c r="C171" s="37"/>
      <c r="D171" s="36"/>
      <c r="E171" s="5"/>
      <c r="F171" s="37"/>
      <c r="G171" s="38"/>
      <c r="H171" s="37"/>
      <c r="I171" s="35"/>
      <c r="J171" s="35"/>
      <c r="K171" s="121">
        <f t="shared" si="10"/>
        <v>0</v>
      </c>
      <c r="L171" s="103"/>
      <c r="M171" s="104" t="str">
        <f t="shared" si="11"/>
        <v>温パ</v>
      </c>
    </row>
    <row r="172" spans="1:13" x14ac:dyDescent="0.15">
      <c r="A172" s="14"/>
      <c r="B172" s="5"/>
      <c r="C172" s="37"/>
      <c r="D172" s="36"/>
      <c r="E172" s="5"/>
      <c r="F172" s="37"/>
      <c r="G172" s="38"/>
      <c r="H172" s="37"/>
      <c r="I172" s="35"/>
      <c r="J172" s="35"/>
      <c r="K172" s="121">
        <f t="shared" si="10"/>
        <v>0</v>
      </c>
      <c r="L172" s="103"/>
      <c r="M172" s="104" t="str">
        <f t="shared" si="11"/>
        <v>温パ</v>
      </c>
    </row>
    <row r="173" spans="1:13" x14ac:dyDescent="0.15">
      <c r="A173" s="14"/>
      <c r="B173" s="5"/>
      <c r="C173" s="37"/>
      <c r="D173" s="36"/>
      <c r="E173" s="5"/>
      <c r="F173" s="37"/>
      <c r="G173" s="38"/>
      <c r="H173" s="37"/>
      <c r="I173" s="35"/>
      <c r="J173" s="35"/>
      <c r="K173" s="121">
        <f t="shared" si="10"/>
        <v>0</v>
      </c>
      <c r="L173" s="103"/>
      <c r="M173" s="104" t="str">
        <f t="shared" si="11"/>
        <v>温パ</v>
      </c>
    </row>
    <row r="174" spans="1:13" x14ac:dyDescent="0.15">
      <c r="A174" s="14"/>
      <c r="B174" s="5"/>
      <c r="C174" s="37"/>
      <c r="D174" s="36"/>
      <c r="E174" s="5"/>
      <c r="F174" s="37"/>
      <c r="G174" s="38"/>
      <c r="H174" s="37"/>
      <c r="I174" s="35"/>
      <c r="J174" s="35"/>
      <c r="K174" s="121">
        <f t="shared" si="10"/>
        <v>0</v>
      </c>
      <c r="L174" s="103"/>
      <c r="M174" s="104" t="str">
        <f t="shared" si="11"/>
        <v>温パ</v>
      </c>
    </row>
    <row r="175" spans="1:13" x14ac:dyDescent="0.15">
      <c r="A175" s="14"/>
      <c r="B175" s="5"/>
      <c r="C175" s="37"/>
      <c r="D175" s="36"/>
      <c r="E175" s="5"/>
      <c r="F175" s="37"/>
      <c r="G175" s="38"/>
      <c r="H175" s="37"/>
      <c r="I175" s="35"/>
      <c r="J175" s="35"/>
      <c r="K175" s="121">
        <f t="shared" si="10"/>
        <v>0</v>
      </c>
      <c r="L175" s="103"/>
      <c r="M175" s="104" t="str">
        <f t="shared" si="11"/>
        <v>温パ</v>
      </c>
    </row>
    <row r="176" spans="1:13" x14ac:dyDescent="0.15">
      <c r="A176" s="14"/>
      <c r="B176" s="5"/>
      <c r="C176" s="37"/>
      <c r="D176" s="36"/>
      <c r="E176" s="5"/>
      <c r="F176" s="37"/>
      <c r="G176" s="38"/>
      <c r="H176" s="37"/>
      <c r="I176" s="35"/>
      <c r="J176" s="35"/>
      <c r="K176" s="121">
        <f t="shared" si="10"/>
        <v>0</v>
      </c>
      <c r="L176" s="103"/>
      <c r="M176" s="104" t="str">
        <f t="shared" si="11"/>
        <v>温パ</v>
      </c>
    </row>
  </sheetData>
  <sortState xmlns:xlrd2="http://schemas.microsoft.com/office/spreadsheetml/2017/richdata2" ref="A51:S176">
    <sortCondition ref="A51:A176"/>
  </sortState>
  <phoneticPr fontId="2"/>
  <conditionalFormatting sqref="M3:M4 K2:K1048576">
    <cfRule type="cellIs" dxfId="4" priority="21" operator="greaterThanOrEqual">
      <formula>0</formula>
    </cfRule>
  </conditionalFormatting>
  <conditionalFormatting sqref="M5:M176">
    <cfRule type="cellIs" dxfId="3" priority="1" operator="lessThanOrEqual">
      <formula>0</formula>
    </cfRule>
    <cfRule type="containsText" dxfId="2" priority="2" operator="containsText" text="温パ">
      <formula>NOT(ISERROR(SEARCH("温パ",M5)))</formula>
    </cfRule>
    <cfRule type="containsText" dxfId="1" priority="3" operator="containsText" text="荷受">
      <formula>NOT(ISERROR(SEARCH("荷受",M5)))</formula>
    </cfRule>
  </conditionalFormatting>
  <pageMargins left="0.78740157480314965" right="0" top="0.59055118110236227" bottom="0.19685039370078741" header="0" footer="0.39370078740157483"/>
  <pageSetup paperSize="9" fitToHeight="3" orientation="portrait" r:id="rId1"/>
  <headerFooter alignWithMargins="0">
    <oddFooter>&amp;R&amp;P/&amp;N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4"/>
  </sheetPr>
  <dimension ref="A1:E58603"/>
  <sheetViews>
    <sheetView view="pageBreakPreview" zoomScale="40" zoomScaleNormal="40" zoomScaleSheetLayoutView="40" workbookViewId="0">
      <pane ySplit="2" topLeftCell="A9" activePane="bottomLeft" state="frozen"/>
      <selection pane="bottomLeft" activeCell="C35" sqref="C35"/>
    </sheetView>
  </sheetViews>
  <sheetFormatPr defaultColWidth="36.625" defaultRowHeight="30.75" x14ac:dyDescent="0.3"/>
  <cols>
    <col min="1" max="1" width="21.5" style="17" customWidth="1"/>
    <col min="2" max="2" width="61" style="17" customWidth="1"/>
    <col min="3" max="3" width="8.5" style="55" customWidth="1"/>
    <col min="4" max="4" width="20.875" style="17" customWidth="1"/>
    <col min="5" max="5" width="5.5" style="17" customWidth="1"/>
    <col min="6" max="16384" width="36.625" style="51"/>
  </cols>
  <sheetData>
    <row r="1" spans="1:5" x14ac:dyDescent="0.3">
      <c r="A1" s="18"/>
      <c r="B1" s="16" t="s">
        <v>358</v>
      </c>
      <c r="C1" s="48"/>
      <c r="D1" s="49">
        <f ca="1">TODAY()</f>
        <v>45838</v>
      </c>
      <c r="E1" s="50"/>
    </row>
    <row r="2" spans="1:5" ht="25.5" customHeight="1" x14ac:dyDescent="0.3">
      <c r="A2" s="57" t="s">
        <v>16</v>
      </c>
      <c r="B2" s="59" t="s">
        <v>17</v>
      </c>
      <c r="C2" s="52" t="s">
        <v>26</v>
      </c>
      <c r="D2" s="53" t="str">
        <f ca="1">VLOOKUP(E2,$A$57582:$B$59786,2,0)</f>
        <v>月</v>
      </c>
      <c r="E2" s="54">
        <f ca="1">WEEKDAY(D1)</f>
        <v>2</v>
      </c>
    </row>
    <row r="3" spans="1:5" ht="39" customHeight="1" x14ac:dyDescent="0.3">
      <c r="A3" s="164" t="s">
        <v>558</v>
      </c>
      <c r="B3" s="105" t="s">
        <v>559</v>
      </c>
      <c r="C3" s="106">
        <v>0</v>
      </c>
      <c r="D3" s="57"/>
      <c r="E3" s="57"/>
    </row>
    <row r="4" spans="1:5" ht="39" customHeight="1" x14ac:dyDescent="0.3">
      <c r="A4" s="164" t="s">
        <v>560</v>
      </c>
      <c r="B4" s="105" t="s">
        <v>561</v>
      </c>
      <c r="C4" s="106">
        <v>47</v>
      </c>
      <c r="D4" s="57"/>
      <c r="E4" s="57"/>
    </row>
    <row r="5" spans="1:5" ht="39" customHeight="1" x14ac:dyDescent="0.3">
      <c r="A5" s="164" t="s">
        <v>598</v>
      </c>
      <c r="B5" s="105" t="s">
        <v>599</v>
      </c>
      <c r="C5" s="106">
        <v>4</v>
      </c>
      <c r="D5" s="57"/>
      <c r="E5" s="57"/>
    </row>
    <row r="6" spans="1:5" ht="39" customHeight="1" x14ac:dyDescent="0.3">
      <c r="A6" s="164" t="s">
        <v>768</v>
      </c>
      <c r="B6" s="105" t="s">
        <v>769</v>
      </c>
      <c r="C6" s="106">
        <v>1</v>
      </c>
      <c r="D6" s="57"/>
      <c r="E6" s="57"/>
    </row>
    <row r="7" spans="1:5" ht="39" customHeight="1" x14ac:dyDescent="0.3">
      <c r="A7" s="164" t="s">
        <v>785</v>
      </c>
      <c r="B7" s="105" t="s">
        <v>786</v>
      </c>
      <c r="C7" s="106">
        <v>0</v>
      </c>
      <c r="D7" s="57"/>
      <c r="E7" s="57"/>
    </row>
    <row r="8" spans="1:5" ht="39" customHeight="1" x14ac:dyDescent="0.3">
      <c r="A8" s="164" t="s">
        <v>513</v>
      </c>
      <c r="B8" s="105" t="s">
        <v>514</v>
      </c>
      <c r="C8" s="106">
        <v>1</v>
      </c>
      <c r="D8" s="57"/>
      <c r="E8" s="57"/>
    </row>
    <row r="9" spans="1:5" ht="39" customHeight="1" x14ac:dyDescent="0.3">
      <c r="A9" s="164" t="s">
        <v>632</v>
      </c>
      <c r="B9" s="105" t="s">
        <v>633</v>
      </c>
      <c r="C9" s="106">
        <v>14</v>
      </c>
      <c r="D9" s="57"/>
      <c r="E9" s="57"/>
    </row>
    <row r="10" spans="1:5" ht="39" customHeight="1" x14ac:dyDescent="0.3">
      <c r="A10" s="164" t="s">
        <v>634</v>
      </c>
      <c r="B10" s="105" t="s">
        <v>635</v>
      </c>
      <c r="C10" s="106">
        <v>3</v>
      </c>
      <c r="D10" s="57"/>
      <c r="E10" s="57"/>
    </row>
    <row r="11" spans="1:5" ht="39" customHeight="1" x14ac:dyDescent="0.3">
      <c r="A11" s="164" t="s">
        <v>409</v>
      </c>
      <c r="B11" s="105" t="s">
        <v>410</v>
      </c>
      <c r="C11" s="106">
        <v>14</v>
      </c>
      <c r="D11" s="57"/>
      <c r="E11" s="57"/>
    </row>
    <row r="12" spans="1:5" ht="39" customHeight="1" x14ac:dyDescent="0.3">
      <c r="A12" s="164" t="s">
        <v>636</v>
      </c>
      <c r="B12" s="105" t="s">
        <v>637</v>
      </c>
      <c r="C12" s="106">
        <v>1</v>
      </c>
      <c r="D12" s="57"/>
      <c r="E12" s="57"/>
    </row>
    <row r="13" spans="1:5" ht="39" customHeight="1" x14ac:dyDescent="0.3">
      <c r="A13" s="164" t="s">
        <v>813</v>
      </c>
      <c r="B13" s="105" t="s">
        <v>814</v>
      </c>
      <c r="C13" s="106">
        <v>0</v>
      </c>
      <c r="D13" s="57"/>
      <c r="E13" s="57"/>
    </row>
    <row r="14" spans="1:5" ht="39" customHeight="1" x14ac:dyDescent="0.3">
      <c r="A14" s="164" t="s">
        <v>600</v>
      </c>
      <c r="B14" s="105" t="s">
        <v>601</v>
      </c>
      <c r="C14" s="106">
        <v>1</v>
      </c>
      <c r="D14" s="57"/>
      <c r="E14" s="57"/>
    </row>
    <row r="15" spans="1:5" ht="39" customHeight="1" x14ac:dyDescent="0.3">
      <c r="A15" s="164" t="s">
        <v>384</v>
      </c>
      <c r="B15" s="105" t="s">
        <v>385</v>
      </c>
      <c r="C15" s="106">
        <v>2</v>
      </c>
      <c r="D15" s="57"/>
      <c r="E15" s="57"/>
    </row>
    <row r="16" spans="1:5" ht="39" customHeight="1" x14ac:dyDescent="0.3">
      <c r="A16" s="164" t="s">
        <v>638</v>
      </c>
      <c r="B16" s="105" t="s">
        <v>639</v>
      </c>
      <c r="C16" s="106">
        <v>1</v>
      </c>
      <c r="D16" s="57"/>
      <c r="E16" s="57"/>
    </row>
    <row r="17" spans="1:5" ht="39" customHeight="1" x14ac:dyDescent="0.3">
      <c r="A17" s="164" t="s">
        <v>306</v>
      </c>
      <c r="B17" s="105" t="s">
        <v>307</v>
      </c>
      <c r="C17" s="106">
        <v>6</v>
      </c>
      <c r="D17" s="57"/>
      <c r="E17" s="57"/>
    </row>
    <row r="18" spans="1:5" ht="39" customHeight="1" x14ac:dyDescent="0.3">
      <c r="A18" s="164" t="s">
        <v>519</v>
      </c>
      <c r="B18" s="105" t="s">
        <v>520</v>
      </c>
      <c r="C18" s="106">
        <v>16</v>
      </c>
      <c r="D18" s="57"/>
      <c r="E18" s="57"/>
    </row>
    <row r="19" spans="1:5" ht="39" customHeight="1" x14ac:dyDescent="0.3">
      <c r="A19" s="164" t="s">
        <v>655</v>
      </c>
      <c r="B19" s="105" t="s">
        <v>656</v>
      </c>
      <c r="C19" s="106">
        <v>11</v>
      </c>
      <c r="D19" s="57"/>
      <c r="E19" s="57"/>
    </row>
    <row r="20" spans="1:5" ht="39" customHeight="1" x14ac:dyDescent="0.3">
      <c r="A20" s="164" t="s">
        <v>710</v>
      </c>
      <c r="B20" s="105" t="s">
        <v>711</v>
      </c>
      <c r="C20" s="106">
        <v>1</v>
      </c>
      <c r="D20" s="57"/>
      <c r="E20" s="57"/>
    </row>
    <row r="21" spans="1:5" ht="39" customHeight="1" x14ac:dyDescent="0.3">
      <c r="A21" s="164" t="s">
        <v>845</v>
      </c>
      <c r="B21" s="105" t="s">
        <v>874</v>
      </c>
      <c r="C21" s="106">
        <v>20</v>
      </c>
      <c r="D21" s="57"/>
      <c r="E21" s="57"/>
    </row>
    <row r="22" spans="1:5" ht="39" customHeight="1" x14ac:dyDescent="0.3">
      <c r="A22" s="164" t="s">
        <v>550</v>
      </c>
      <c r="B22" s="105" t="s">
        <v>551</v>
      </c>
      <c r="C22" s="106">
        <v>5</v>
      </c>
      <c r="D22" s="57"/>
      <c r="E22" s="57"/>
    </row>
    <row r="23" spans="1:5" ht="39" customHeight="1" x14ac:dyDescent="0.3">
      <c r="A23" s="164" t="s">
        <v>770</v>
      </c>
      <c r="B23" s="105" t="s">
        <v>771</v>
      </c>
      <c r="C23" s="106">
        <v>8</v>
      </c>
      <c r="D23" s="57"/>
      <c r="E23" s="57"/>
    </row>
    <row r="24" spans="1:5" ht="39" customHeight="1" x14ac:dyDescent="0.3">
      <c r="A24" s="164" t="s">
        <v>316</v>
      </c>
      <c r="B24" s="105" t="s">
        <v>319</v>
      </c>
      <c r="C24" s="106">
        <v>0</v>
      </c>
      <c r="D24" s="57"/>
      <c r="E24" s="57"/>
    </row>
    <row r="25" spans="1:5" ht="39" customHeight="1" x14ac:dyDescent="0.3">
      <c r="A25" s="164" t="s">
        <v>772</v>
      </c>
      <c r="B25" s="105" t="s">
        <v>773</v>
      </c>
      <c r="C25" s="106">
        <v>1</v>
      </c>
      <c r="D25" s="57"/>
      <c r="E25" s="57"/>
    </row>
    <row r="26" spans="1:5" ht="39" customHeight="1" x14ac:dyDescent="0.3">
      <c r="A26" s="164" t="s">
        <v>730</v>
      </c>
      <c r="B26" s="105" t="s">
        <v>731</v>
      </c>
      <c r="C26" s="106">
        <v>0</v>
      </c>
      <c r="D26" s="57"/>
      <c r="E26" s="57"/>
    </row>
    <row r="27" spans="1:5" ht="39" customHeight="1" x14ac:dyDescent="0.3">
      <c r="A27" s="164" t="s">
        <v>732</v>
      </c>
      <c r="B27" s="105" t="s">
        <v>733</v>
      </c>
      <c r="C27" s="106">
        <v>2</v>
      </c>
      <c r="D27" s="57"/>
      <c r="E27" s="57"/>
    </row>
    <row r="28" spans="1:5" ht="39" customHeight="1" x14ac:dyDescent="0.3">
      <c r="A28" s="164" t="s">
        <v>875</v>
      </c>
      <c r="B28" s="105" t="s">
        <v>876</v>
      </c>
      <c r="C28" s="106">
        <v>0</v>
      </c>
      <c r="D28" s="57"/>
      <c r="E28" s="57"/>
    </row>
    <row r="29" spans="1:5" ht="39" customHeight="1" x14ac:dyDescent="0.3">
      <c r="A29" s="164" t="s">
        <v>566</v>
      </c>
      <c r="B29" s="105" t="s">
        <v>567</v>
      </c>
      <c r="C29" s="106">
        <v>1</v>
      </c>
      <c r="D29" s="57"/>
      <c r="E29" s="57"/>
    </row>
    <row r="30" spans="1:5" ht="39" customHeight="1" x14ac:dyDescent="0.3">
      <c r="A30" s="164" t="s">
        <v>317</v>
      </c>
      <c r="B30" s="105" t="s">
        <v>318</v>
      </c>
      <c r="C30" s="106">
        <v>0</v>
      </c>
      <c r="D30" s="57"/>
      <c r="E30" s="57"/>
    </row>
    <row r="31" spans="1:5" ht="39" customHeight="1" x14ac:dyDescent="0.3">
      <c r="A31" s="164" t="s">
        <v>829</v>
      </c>
      <c r="B31" s="105" t="s">
        <v>854</v>
      </c>
      <c r="C31" s="106">
        <v>25</v>
      </c>
      <c r="D31" s="57"/>
      <c r="E31" s="57"/>
    </row>
    <row r="32" spans="1:5" ht="39" customHeight="1" x14ac:dyDescent="0.3">
      <c r="A32" s="164" t="s">
        <v>719</v>
      </c>
      <c r="B32" s="105" t="s">
        <v>720</v>
      </c>
      <c r="C32" s="106">
        <v>10</v>
      </c>
      <c r="D32" s="57"/>
      <c r="E32" s="57"/>
    </row>
    <row r="33" spans="1:5" ht="39" customHeight="1" x14ac:dyDescent="0.3">
      <c r="A33" s="164" t="s">
        <v>721</v>
      </c>
      <c r="B33" s="105" t="s">
        <v>722</v>
      </c>
      <c r="C33" s="106">
        <v>0</v>
      </c>
      <c r="D33" s="57"/>
      <c r="E33" s="57"/>
    </row>
    <row r="34" spans="1:5" ht="39" customHeight="1" x14ac:dyDescent="0.3">
      <c r="A34" s="164" t="s">
        <v>723</v>
      </c>
      <c r="B34" s="105" t="s">
        <v>724</v>
      </c>
      <c r="C34" s="106">
        <v>0</v>
      </c>
      <c r="D34" s="57"/>
      <c r="E34" s="57"/>
    </row>
    <row r="35" spans="1:5" ht="39" customHeight="1" x14ac:dyDescent="0.3">
      <c r="A35" s="164" t="s">
        <v>879</v>
      </c>
      <c r="B35" s="105" t="s">
        <v>880</v>
      </c>
      <c r="C35" s="106">
        <v>0</v>
      </c>
      <c r="D35" s="57"/>
      <c r="E35" s="57"/>
    </row>
    <row r="36" spans="1:5" ht="39" customHeight="1" x14ac:dyDescent="0.3">
      <c r="A36" s="164" t="s">
        <v>474</v>
      </c>
      <c r="B36" s="105" t="s">
        <v>869</v>
      </c>
      <c r="C36" s="106">
        <v>36</v>
      </c>
      <c r="D36" s="57"/>
      <c r="E36" s="57"/>
    </row>
    <row r="37" spans="1:5" ht="39" customHeight="1" x14ac:dyDescent="0.3">
      <c r="A37" s="164" t="s">
        <v>492</v>
      </c>
      <c r="B37" s="105" t="s">
        <v>870</v>
      </c>
      <c r="C37" s="106">
        <v>9</v>
      </c>
      <c r="D37" s="57"/>
      <c r="E37" s="57"/>
    </row>
    <row r="38" spans="1:5" ht="39" customHeight="1" x14ac:dyDescent="0.3">
      <c r="A38" s="164" t="s">
        <v>627</v>
      </c>
      <c r="B38" s="105" t="s">
        <v>626</v>
      </c>
      <c r="C38" s="106">
        <v>7</v>
      </c>
      <c r="D38" s="57"/>
      <c r="E38" s="57"/>
    </row>
    <row r="39" spans="1:5" ht="39" customHeight="1" x14ac:dyDescent="0.3">
      <c r="A39" s="164" t="s">
        <v>640</v>
      </c>
      <c r="B39" s="105" t="s">
        <v>641</v>
      </c>
      <c r="C39" s="106">
        <v>32</v>
      </c>
      <c r="D39" s="57"/>
      <c r="E39" s="57"/>
    </row>
    <row r="40" spans="1:5" ht="39" customHeight="1" x14ac:dyDescent="0.3">
      <c r="A40" s="164" t="s">
        <v>738</v>
      </c>
      <c r="B40" s="105" t="s">
        <v>872</v>
      </c>
      <c r="C40" s="106">
        <v>13</v>
      </c>
      <c r="D40" s="57"/>
      <c r="E40" s="57"/>
    </row>
    <row r="41" spans="1:5" ht="39" customHeight="1" x14ac:dyDescent="0.3">
      <c r="A41" s="164" t="s">
        <v>856</v>
      </c>
      <c r="B41" s="105" t="s">
        <v>857</v>
      </c>
      <c r="C41" s="106">
        <v>1</v>
      </c>
      <c r="D41" s="57"/>
      <c r="E41" s="57"/>
    </row>
    <row r="42" spans="1:5" ht="39" customHeight="1" x14ac:dyDescent="0.3">
      <c r="A42" s="164" t="s">
        <v>863</v>
      </c>
      <c r="B42" s="105" t="s">
        <v>864</v>
      </c>
      <c r="C42" s="106">
        <v>0</v>
      </c>
      <c r="D42" s="57"/>
      <c r="E42" s="57"/>
    </row>
    <row r="43" spans="1:5" ht="39" customHeight="1" x14ac:dyDescent="0.3">
      <c r="A43" s="164" t="s">
        <v>541</v>
      </c>
      <c r="B43" s="105" t="s">
        <v>542</v>
      </c>
      <c r="C43" s="106">
        <v>0</v>
      </c>
      <c r="D43" s="57"/>
      <c r="E43" s="57"/>
    </row>
    <row r="44" spans="1:5" ht="39" customHeight="1" x14ac:dyDescent="0.3">
      <c r="A44" s="164" t="s">
        <v>407</v>
      </c>
      <c r="B44" s="105" t="s">
        <v>543</v>
      </c>
      <c r="C44" s="106">
        <v>3</v>
      </c>
      <c r="D44" s="57"/>
      <c r="E44" s="57"/>
    </row>
    <row r="45" spans="1:5" ht="39" customHeight="1" x14ac:dyDescent="0.3">
      <c r="A45" s="164" t="s">
        <v>539</v>
      </c>
      <c r="B45" s="105" t="s">
        <v>540</v>
      </c>
      <c r="C45" s="106">
        <v>22</v>
      </c>
      <c r="D45" s="57"/>
      <c r="E45" s="57"/>
    </row>
    <row r="46" spans="1:5" ht="39" customHeight="1" x14ac:dyDescent="0.3">
      <c r="A46" s="164" t="s">
        <v>609</v>
      </c>
      <c r="B46" s="105" t="s">
        <v>610</v>
      </c>
      <c r="C46" s="106">
        <v>1</v>
      </c>
      <c r="D46" s="57"/>
      <c r="E46" s="57"/>
    </row>
    <row r="47" spans="1:5" ht="39" customHeight="1" x14ac:dyDescent="0.3">
      <c r="A47" s="164" t="s">
        <v>706</v>
      </c>
      <c r="B47" s="105" t="s">
        <v>707</v>
      </c>
      <c r="C47" s="106">
        <v>24</v>
      </c>
      <c r="D47" s="57"/>
      <c r="E47" s="57"/>
    </row>
    <row r="48" spans="1:5" ht="39" customHeight="1" x14ac:dyDescent="0.3">
      <c r="A48" s="164" t="s">
        <v>221</v>
      </c>
      <c r="B48" s="105" t="s">
        <v>301</v>
      </c>
      <c r="C48" s="106">
        <v>8</v>
      </c>
      <c r="D48" s="57"/>
      <c r="E48" s="57"/>
    </row>
    <row r="49" spans="1:5" ht="39" customHeight="1" x14ac:dyDescent="0.3">
      <c r="A49" s="164" t="s">
        <v>511</v>
      </c>
      <c r="B49" s="105" t="s">
        <v>512</v>
      </c>
      <c r="C49" s="106">
        <v>1</v>
      </c>
      <c r="D49" s="57"/>
      <c r="E49" s="57"/>
    </row>
    <row r="50" spans="1:5" ht="42.75" customHeight="1" x14ac:dyDescent="0.3">
      <c r="A50" s="164" t="s">
        <v>766</v>
      </c>
      <c r="B50" s="105" t="s">
        <v>767</v>
      </c>
      <c r="C50" s="106">
        <v>1</v>
      </c>
      <c r="D50" s="57"/>
      <c r="E50" s="57"/>
    </row>
    <row r="51" spans="1:5" ht="42.75" customHeight="1" x14ac:dyDescent="0.3">
      <c r="A51" s="164" t="s">
        <v>787</v>
      </c>
      <c r="B51" s="105" t="s">
        <v>788</v>
      </c>
      <c r="C51" s="106">
        <v>0</v>
      </c>
      <c r="D51" s="57"/>
      <c r="E51" s="57"/>
    </row>
    <row r="52" spans="1:5" ht="42.75" customHeight="1" x14ac:dyDescent="0.3">
      <c r="A52" s="164" t="s">
        <v>475</v>
      </c>
      <c r="B52" s="105" t="s">
        <v>476</v>
      </c>
      <c r="C52" s="106">
        <v>24</v>
      </c>
      <c r="D52" s="57"/>
      <c r="E52" s="57"/>
    </row>
    <row r="53" spans="1:5" ht="42.75" customHeight="1" x14ac:dyDescent="0.3">
      <c r="A53" s="164" t="s">
        <v>796</v>
      </c>
      <c r="B53" s="105" t="s">
        <v>840</v>
      </c>
      <c r="C53" s="106">
        <v>22</v>
      </c>
      <c r="D53" s="57"/>
      <c r="E53" s="57"/>
    </row>
    <row r="54" spans="1:5" ht="42.75" customHeight="1" x14ac:dyDescent="0.3">
      <c r="A54" s="164" t="s">
        <v>846</v>
      </c>
      <c r="B54" s="105" t="s">
        <v>847</v>
      </c>
      <c r="C54" s="106">
        <v>5</v>
      </c>
      <c r="D54" s="57"/>
      <c r="E54" s="57"/>
    </row>
    <row r="55" spans="1:5" ht="39" customHeight="1" x14ac:dyDescent="0.3">
      <c r="A55" s="164" t="s">
        <v>783</v>
      </c>
      <c r="B55" s="105" t="s">
        <v>784</v>
      </c>
      <c r="C55" s="106">
        <v>9</v>
      </c>
      <c r="D55" s="57"/>
      <c r="E55" s="57"/>
    </row>
    <row r="56" spans="1:5" ht="42.6" customHeight="1" x14ac:dyDescent="0.3">
      <c r="A56" s="164" t="s">
        <v>764</v>
      </c>
      <c r="B56" s="105" t="s">
        <v>765</v>
      </c>
      <c r="C56" s="106">
        <v>0</v>
      </c>
      <c r="D56" s="57"/>
      <c r="E56" s="57"/>
    </row>
    <row r="57" spans="1:5" ht="42.75" customHeight="1" x14ac:dyDescent="0.3">
      <c r="A57" s="164" t="s">
        <v>397</v>
      </c>
      <c r="B57" s="105" t="s">
        <v>398</v>
      </c>
      <c r="C57" s="106">
        <v>0</v>
      </c>
      <c r="D57" s="57"/>
      <c r="E57" s="57"/>
    </row>
    <row r="58" spans="1:5" ht="39" customHeight="1" x14ac:dyDescent="0.3">
      <c r="A58" s="164" t="s">
        <v>642</v>
      </c>
      <c r="B58" s="105" t="s">
        <v>824</v>
      </c>
      <c r="C58" s="106">
        <v>0</v>
      </c>
      <c r="D58" s="57"/>
      <c r="E58" s="57"/>
    </row>
    <row r="59" spans="1:5" ht="39.6" customHeight="1" x14ac:dyDescent="0.3">
      <c r="A59" s="164" t="s">
        <v>516</v>
      </c>
      <c r="B59" s="105" t="s">
        <v>517</v>
      </c>
      <c r="C59" s="106">
        <v>0</v>
      </c>
      <c r="D59" s="57"/>
      <c r="E59" s="57"/>
    </row>
    <row r="60" spans="1:5" ht="39.6" customHeight="1" x14ac:dyDescent="0.3">
      <c r="A60" s="164" t="s">
        <v>742</v>
      </c>
      <c r="B60" s="105" t="s">
        <v>743</v>
      </c>
      <c r="C60" s="106">
        <v>0</v>
      </c>
      <c r="D60" s="57"/>
      <c r="E60" s="57"/>
    </row>
    <row r="61" spans="1:5" ht="39.6" customHeight="1" x14ac:dyDescent="0.3">
      <c r="A61" s="164" t="s">
        <v>774</v>
      </c>
      <c r="B61" s="105" t="s">
        <v>823</v>
      </c>
      <c r="C61" s="106">
        <v>1</v>
      </c>
      <c r="D61" s="57"/>
      <c r="E61" s="57"/>
    </row>
    <row r="62" spans="1:5" ht="39.6" customHeight="1" x14ac:dyDescent="0.3">
      <c r="A62" s="164" t="s">
        <v>762</v>
      </c>
      <c r="B62" s="105" t="s">
        <v>763</v>
      </c>
      <c r="C62" s="106">
        <v>30</v>
      </c>
      <c r="D62" s="57"/>
      <c r="E62" s="57"/>
    </row>
    <row r="63" spans="1:5" ht="39" customHeight="1" x14ac:dyDescent="0.3">
      <c r="A63" s="164" t="s">
        <v>614</v>
      </c>
      <c r="B63" s="105" t="s">
        <v>615</v>
      </c>
      <c r="C63" s="106">
        <v>0</v>
      </c>
      <c r="D63" s="57"/>
      <c r="E63" s="57"/>
    </row>
    <row r="64" spans="1:5" ht="39.6" customHeight="1" x14ac:dyDescent="0.3">
      <c r="A64" s="164" t="s">
        <v>604</v>
      </c>
      <c r="B64" s="105" t="s">
        <v>605</v>
      </c>
      <c r="C64" s="106">
        <v>26</v>
      </c>
      <c r="D64" s="57"/>
      <c r="E64" s="57"/>
    </row>
    <row r="65" spans="1:5" ht="39.6" customHeight="1" x14ac:dyDescent="0.3">
      <c r="A65" s="164" t="s">
        <v>841</v>
      </c>
      <c r="B65" s="105" t="s">
        <v>842</v>
      </c>
      <c r="C65" s="106">
        <v>20</v>
      </c>
      <c r="D65" s="57"/>
      <c r="E65" s="57"/>
    </row>
    <row r="66" spans="1:5" ht="39.6" customHeight="1" x14ac:dyDescent="0.3">
      <c r="A66" s="164" t="s">
        <v>690</v>
      </c>
      <c r="B66" s="105" t="s">
        <v>691</v>
      </c>
      <c r="C66" s="106">
        <v>11</v>
      </c>
      <c r="D66" s="57"/>
      <c r="E66" s="57"/>
    </row>
    <row r="67" spans="1:5" ht="39.6" customHeight="1" x14ac:dyDescent="0.3">
      <c r="A67" s="164" t="s">
        <v>594</v>
      </c>
      <c r="B67" s="105" t="s">
        <v>595</v>
      </c>
      <c r="C67" s="106">
        <v>0</v>
      </c>
      <c r="D67" s="57"/>
      <c r="E67" s="57"/>
    </row>
    <row r="68" spans="1:5" ht="39.6" customHeight="1" x14ac:dyDescent="0.3">
      <c r="A68" s="164" t="s">
        <v>602</v>
      </c>
      <c r="B68" s="105" t="s">
        <v>603</v>
      </c>
      <c r="C68" s="106">
        <v>0</v>
      </c>
      <c r="D68" s="57"/>
      <c r="E68" s="57"/>
    </row>
    <row r="69" spans="1:5" ht="39.6" customHeight="1" x14ac:dyDescent="0.3">
      <c r="A69" s="164" t="s">
        <v>775</v>
      </c>
      <c r="B69" s="105" t="s">
        <v>776</v>
      </c>
      <c r="C69" s="106">
        <v>0</v>
      </c>
      <c r="D69" s="57"/>
      <c r="E69" s="57"/>
    </row>
    <row r="70" spans="1:5" ht="39.6" customHeight="1" x14ac:dyDescent="0.3">
      <c r="A70" s="164" t="s">
        <v>777</v>
      </c>
      <c r="B70" s="105" t="s">
        <v>778</v>
      </c>
      <c r="C70" s="106">
        <v>0</v>
      </c>
      <c r="D70" s="57"/>
      <c r="E70" s="57"/>
    </row>
    <row r="71" spans="1:5" ht="39.6" customHeight="1" x14ac:dyDescent="0.3">
      <c r="A71" s="164" t="s">
        <v>611</v>
      </c>
      <c r="B71" s="105" t="s">
        <v>612</v>
      </c>
      <c r="C71" s="106">
        <v>7</v>
      </c>
      <c r="D71" s="57"/>
      <c r="E71" s="57"/>
    </row>
    <row r="72" spans="1:5" ht="39.6" customHeight="1" x14ac:dyDescent="0.3">
      <c r="A72" s="164" t="s">
        <v>628</v>
      </c>
      <c r="B72" s="105" t="s">
        <v>629</v>
      </c>
      <c r="C72" s="106">
        <v>80</v>
      </c>
      <c r="D72" s="57"/>
      <c r="E72" s="57"/>
    </row>
    <row r="73" spans="1:5" ht="39.6" customHeight="1" x14ac:dyDescent="0.3">
      <c r="A73" s="164" t="s">
        <v>455</v>
      </c>
      <c r="B73" s="105" t="s">
        <v>456</v>
      </c>
      <c r="C73" s="106">
        <v>0</v>
      </c>
      <c r="D73" s="57"/>
      <c r="E73" s="57"/>
    </row>
    <row r="74" spans="1:5" ht="39.6" customHeight="1" x14ac:dyDescent="0.3">
      <c r="A74" s="164" t="s">
        <v>643</v>
      </c>
      <c r="B74" s="105" t="s">
        <v>644</v>
      </c>
      <c r="C74" s="106">
        <v>202</v>
      </c>
      <c r="D74" s="57"/>
      <c r="E74" s="57"/>
    </row>
    <row r="75" spans="1:5" ht="39.6" customHeight="1" x14ac:dyDescent="0.3">
      <c r="A75" s="164" t="s">
        <v>645</v>
      </c>
      <c r="B75" s="105" t="s">
        <v>646</v>
      </c>
      <c r="C75" s="106">
        <v>0</v>
      </c>
      <c r="D75" s="57"/>
      <c r="E75" s="57"/>
    </row>
    <row r="76" spans="1:5" ht="39.6" customHeight="1" x14ac:dyDescent="0.3">
      <c r="A76" s="164" t="s">
        <v>843</v>
      </c>
      <c r="B76" s="105" t="s">
        <v>844</v>
      </c>
      <c r="C76" s="106">
        <v>0</v>
      </c>
      <c r="D76" s="57"/>
      <c r="E76" s="57"/>
    </row>
    <row r="77" spans="1:5" ht="39.6" customHeight="1" x14ac:dyDescent="0.3">
      <c r="A77" s="164" t="s">
        <v>618</v>
      </c>
      <c r="B77" s="105" t="s">
        <v>619</v>
      </c>
      <c r="C77" s="106">
        <v>0</v>
      </c>
      <c r="D77" s="57"/>
      <c r="E77" s="57"/>
    </row>
    <row r="78" spans="1:5" ht="39.6" customHeight="1" x14ac:dyDescent="0.3">
      <c r="A78" s="164" t="s">
        <v>779</v>
      </c>
      <c r="B78" s="105" t="s">
        <v>780</v>
      </c>
      <c r="C78" s="106">
        <v>0</v>
      </c>
      <c r="D78" s="57"/>
      <c r="E78" s="57"/>
    </row>
    <row r="79" spans="1:5" ht="39.6" customHeight="1" x14ac:dyDescent="0.3">
      <c r="A79" s="164" t="s">
        <v>18</v>
      </c>
      <c r="B79" s="105" t="s">
        <v>83</v>
      </c>
      <c r="C79" s="106">
        <v>0</v>
      </c>
      <c r="D79" s="57"/>
      <c r="E79" s="57"/>
    </row>
    <row r="80" spans="1:5" ht="39.6" customHeight="1" x14ac:dyDescent="0.3">
      <c r="A80" s="164" t="s">
        <v>413</v>
      </c>
      <c r="B80" s="105" t="s">
        <v>414</v>
      </c>
      <c r="C80" s="106">
        <v>0</v>
      </c>
      <c r="D80" s="57"/>
      <c r="E80" s="57"/>
    </row>
    <row r="81" spans="1:5" ht="39.6" customHeight="1" x14ac:dyDescent="0.3">
      <c r="A81" s="164" t="s">
        <v>867</v>
      </c>
      <c r="B81" s="105" t="s">
        <v>868</v>
      </c>
      <c r="C81" s="106">
        <v>0</v>
      </c>
      <c r="D81" s="57"/>
      <c r="E81" s="57"/>
    </row>
    <row r="82" spans="1:5" ht="39.6" customHeight="1" x14ac:dyDescent="0.3">
      <c r="A82" s="164" t="s">
        <v>176</v>
      </c>
      <c r="B82" s="105" t="s">
        <v>177</v>
      </c>
      <c r="C82" s="106">
        <v>0</v>
      </c>
      <c r="D82" s="57"/>
      <c r="E82" s="57"/>
    </row>
    <row r="83" spans="1:5" ht="39.6" customHeight="1" x14ac:dyDescent="0.3">
      <c r="A83" s="164" t="s">
        <v>590</v>
      </c>
      <c r="B83" s="105" t="s">
        <v>591</v>
      </c>
      <c r="C83" s="106">
        <v>6</v>
      </c>
      <c r="D83" s="57"/>
      <c r="E83" s="57"/>
    </row>
    <row r="84" spans="1:5" ht="39" customHeight="1" x14ac:dyDescent="0.3">
      <c r="A84" s="164" t="s">
        <v>592</v>
      </c>
      <c r="B84" s="105" t="s">
        <v>593</v>
      </c>
      <c r="C84" s="106">
        <v>0</v>
      </c>
      <c r="D84" s="57"/>
      <c r="E84" s="57"/>
    </row>
    <row r="85" spans="1:5" ht="39" customHeight="1" x14ac:dyDescent="0.3">
      <c r="A85" s="164" t="s">
        <v>537</v>
      </c>
      <c r="B85" s="105" t="s">
        <v>538</v>
      </c>
      <c r="C85" s="106">
        <v>29</v>
      </c>
      <c r="D85" s="57"/>
      <c r="E85" s="57"/>
    </row>
    <row r="86" spans="1:5" ht="39.6" customHeight="1" x14ac:dyDescent="0.3">
      <c r="A86" s="164" t="s">
        <v>650</v>
      </c>
      <c r="B86" s="105" t="s">
        <v>651</v>
      </c>
      <c r="C86" s="106">
        <v>0</v>
      </c>
      <c r="D86" s="57" t="s">
        <v>68</v>
      </c>
      <c r="E86" s="57"/>
    </row>
    <row r="87" spans="1:5" ht="39.6" customHeight="1" x14ac:dyDescent="0.3">
      <c r="A87" s="164" t="s">
        <v>791</v>
      </c>
      <c r="B87" s="105" t="s">
        <v>792</v>
      </c>
      <c r="C87" s="106">
        <v>20</v>
      </c>
      <c r="D87" s="57" t="s">
        <v>68</v>
      </c>
      <c r="E87" s="57"/>
    </row>
    <row r="88" spans="1:5" ht="39" customHeight="1" x14ac:dyDescent="0.3">
      <c r="A88" s="164" t="s">
        <v>572</v>
      </c>
      <c r="B88" s="105" t="s">
        <v>573</v>
      </c>
      <c r="C88" s="106">
        <v>21</v>
      </c>
      <c r="D88" s="57" t="s">
        <v>68</v>
      </c>
      <c r="E88" s="57"/>
    </row>
    <row r="89" spans="1:5" ht="39.6" customHeight="1" x14ac:dyDescent="0.3">
      <c r="A89" s="164" t="s">
        <v>734</v>
      </c>
      <c r="B89" s="105" t="s">
        <v>735</v>
      </c>
      <c r="C89" s="106">
        <v>0</v>
      </c>
      <c r="D89" s="57" t="s">
        <v>68</v>
      </c>
      <c r="E89" s="57"/>
    </row>
    <row r="90" spans="1:5" ht="39.6" customHeight="1" x14ac:dyDescent="0.3">
      <c r="A90" s="164" t="s">
        <v>816</v>
      </c>
      <c r="B90" s="105" t="s">
        <v>817</v>
      </c>
      <c r="C90" s="106">
        <v>9</v>
      </c>
      <c r="D90" s="57" t="s">
        <v>68</v>
      </c>
      <c r="E90" s="57"/>
    </row>
    <row r="91" spans="1:5" ht="39.6" customHeight="1" x14ac:dyDescent="0.3">
      <c r="A91" s="164" t="s">
        <v>793</v>
      </c>
      <c r="B91" s="105" t="s">
        <v>794</v>
      </c>
      <c r="C91" s="106">
        <v>0</v>
      </c>
      <c r="D91" s="57" t="s">
        <v>68</v>
      </c>
      <c r="E91" s="57"/>
    </row>
    <row r="92" spans="1:5" ht="39.6" customHeight="1" x14ac:dyDescent="0.3">
      <c r="A92" s="164" t="s">
        <v>494</v>
      </c>
      <c r="B92" s="105" t="s">
        <v>495</v>
      </c>
      <c r="C92" s="106">
        <v>3</v>
      </c>
      <c r="D92" s="57" t="s">
        <v>68</v>
      </c>
      <c r="E92" s="57"/>
    </row>
    <row r="93" spans="1:5" ht="39" customHeight="1" x14ac:dyDescent="0.3">
      <c r="A93" s="164" t="s">
        <v>827</v>
      </c>
      <c r="B93" s="105" t="s">
        <v>828</v>
      </c>
      <c r="C93" s="106">
        <v>0</v>
      </c>
      <c r="D93" s="57" t="s">
        <v>68</v>
      </c>
      <c r="E93" s="57"/>
    </row>
    <row r="94" spans="1:5" ht="39.6" customHeight="1" x14ac:dyDescent="0.3">
      <c r="A94" s="164" t="s">
        <v>797</v>
      </c>
      <c r="B94" s="105" t="s">
        <v>798</v>
      </c>
      <c r="C94" s="106">
        <v>16</v>
      </c>
      <c r="D94" s="57" t="s">
        <v>68</v>
      </c>
      <c r="E94" s="57"/>
    </row>
    <row r="95" spans="1:5" ht="39.6" customHeight="1" x14ac:dyDescent="0.3">
      <c r="A95" s="164" t="s">
        <v>562</v>
      </c>
      <c r="B95" s="105" t="s">
        <v>563</v>
      </c>
      <c r="C95" s="106">
        <v>30</v>
      </c>
      <c r="D95" s="57" t="s">
        <v>68</v>
      </c>
      <c r="E95" s="57"/>
    </row>
    <row r="96" spans="1:5" ht="39.6" customHeight="1" x14ac:dyDescent="0.3">
      <c r="A96" s="164" t="s">
        <v>736</v>
      </c>
      <c r="B96" s="105" t="s">
        <v>737</v>
      </c>
      <c r="C96" s="106">
        <v>8</v>
      </c>
      <c r="D96" s="57" t="s">
        <v>68</v>
      </c>
      <c r="E96" s="57"/>
    </row>
    <row r="97" spans="1:5" ht="39.6" customHeight="1" x14ac:dyDescent="0.3">
      <c r="A97" s="164" t="s">
        <v>852</v>
      </c>
      <c r="B97" s="105" t="s">
        <v>853</v>
      </c>
      <c r="C97" s="106">
        <v>0</v>
      </c>
      <c r="D97" s="57" t="s">
        <v>68</v>
      </c>
      <c r="E97" s="57"/>
    </row>
    <row r="98" spans="1:5" ht="39.6" customHeight="1" x14ac:dyDescent="0.3">
      <c r="A98" s="164" t="s">
        <v>564</v>
      </c>
      <c r="B98" s="105" t="s">
        <v>565</v>
      </c>
      <c r="C98" s="106">
        <v>7</v>
      </c>
      <c r="D98" s="57" t="s">
        <v>68</v>
      </c>
      <c r="E98" s="57"/>
    </row>
    <row r="99" spans="1:5" ht="39.6" customHeight="1" x14ac:dyDescent="0.3">
      <c r="A99" s="164" t="s">
        <v>830</v>
      </c>
      <c r="B99" s="105" t="s">
        <v>855</v>
      </c>
      <c r="C99" s="106">
        <v>14</v>
      </c>
      <c r="D99" s="57" t="s">
        <v>68</v>
      </c>
      <c r="E99" s="57"/>
    </row>
    <row r="100" spans="1:5" ht="39.6" customHeight="1" x14ac:dyDescent="0.3">
      <c r="A100" s="164" t="s">
        <v>820</v>
      </c>
      <c r="B100" s="105" t="s">
        <v>837</v>
      </c>
      <c r="C100" s="106">
        <v>5</v>
      </c>
      <c r="D100" s="57" t="s">
        <v>68</v>
      </c>
      <c r="E100" s="57"/>
    </row>
    <row r="101" spans="1:5" ht="39.6" customHeight="1" x14ac:dyDescent="0.3">
      <c r="A101" s="164" t="s">
        <v>485</v>
      </c>
      <c r="B101" s="105" t="s">
        <v>859</v>
      </c>
      <c r="C101" s="106">
        <v>37</v>
      </c>
      <c r="D101" s="57" t="s">
        <v>68</v>
      </c>
      <c r="E101" s="57"/>
    </row>
    <row r="102" spans="1:5" ht="39.6" customHeight="1" x14ac:dyDescent="0.3">
      <c r="A102" s="164" t="s">
        <v>672</v>
      </c>
      <c r="B102" s="105" t="s">
        <v>795</v>
      </c>
      <c r="C102" s="106">
        <v>0</v>
      </c>
      <c r="D102" s="57" t="s">
        <v>68</v>
      </c>
      <c r="E102" s="57" t="s">
        <v>67</v>
      </c>
    </row>
    <row r="103" spans="1:5" ht="39.6" customHeight="1" x14ac:dyDescent="0.3">
      <c r="A103" s="164" t="s">
        <v>673</v>
      </c>
      <c r="B103" s="105" t="s">
        <v>871</v>
      </c>
      <c r="C103" s="106">
        <v>0</v>
      </c>
      <c r="D103" s="57" t="s">
        <v>68</v>
      </c>
      <c r="E103" s="57"/>
    </row>
    <row r="104" spans="1:5" ht="39.6" customHeight="1" x14ac:dyDescent="0.3">
      <c r="A104" s="164" t="s">
        <v>877</v>
      </c>
      <c r="B104" s="105" t="s">
        <v>878</v>
      </c>
      <c r="C104" s="106">
        <v>0</v>
      </c>
      <c r="D104" s="57" t="s">
        <v>68</v>
      </c>
      <c r="E104" s="57"/>
    </row>
    <row r="105" spans="1:5" ht="39.6" customHeight="1" x14ac:dyDescent="0.3">
      <c r="A105" s="164" t="s">
        <v>838</v>
      </c>
      <c r="B105" s="105" t="s">
        <v>839</v>
      </c>
      <c r="C105" s="106">
        <v>0</v>
      </c>
      <c r="D105" s="57" t="s">
        <v>68</v>
      </c>
      <c r="E105" s="57" t="s">
        <v>67</v>
      </c>
    </row>
    <row r="106" spans="1:5" ht="39.6" customHeight="1" x14ac:dyDescent="0.3">
      <c r="A106" s="164" t="s">
        <v>739</v>
      </c>
      <c r="B106" s="105" t="s">
        <v>873</v>
      </c>
      <c r="C106" s="106">
        <v>9</v>
      </c>
      <c r="D106" s="57" t="s">
        <v>68</v>
      </c>
      <c r="E106" s="57"/>
    </row>
    <row r="107" spans="1:5" ht="39.6" customHeight="1" x14ac:dyDescent="0.3">
      <c r="A107" s="164" t="s">
        <v>544</v>
      </c>
      <c r="B107" s="105" t="s">
        <v>545</v>
      </c>
      <c r="C107" s="106">
        <v>25</v>
      </c>
      <c r="D107" s="57" t="s">
        <v>68</v>
      </c>
      <c r="E107" s="57"/>
    </row>
    <row r="108" spans="1:5" ht="39.6" customHeight="1" x14ac:dyDescent="0.3">
      <c r="A108" s="164" t="s">
        <v>521</v>
      </c>
      <c r="B108" s="105" t="s">
        <v>522</v>
      </c>
      <c r="C108" s="106">
        <v>131</v>
      </c>
      <c r="D108" s="57" t="s">
        <v>68</v>
      </c>
      <c r="E108" s="57"/>
    </row>
    <row r="109" spans="1:5" ht="39.6" customHeight="1" x14ac:dyDescent="0.3">
      <c r="A109" s="164" t="s">
        <v>848</v>
      </c>
      <c r="B109" s="105" t="s">
        <v>849</v>
      </c>
      <c r="C109" s="106">
        <v>10</v>
      </c>
      <c r="D109" s="57" t="s">
        <v>68</v>
      </c>
      <c r="E109" s="57"/>
    </row>
    <row r="110" spans="1:5" ht="39.6" customHeight="1" x14ac:dyDescent="0.3">
      <c r="A110" s="164" t="s">
        <v>616</v>
      </c>
      <c r="B110" s="105" t="s">
        <v>617</v>
      </c>
      <c r="C110" s="106">
        <v>0</v>
      </c>
      <c r="D110" s="57" t="s">
        <v>68</v>
      </c>
      <c r="E110" s="57" t="s">
        <v>67</v>
      </c>
    </row>
    <row r="111" spans="1:5" ht="39.6" customHeight="1" x14ac:dyDescent="0.3">
      <c r="A111" s="164" t="s">
        <v>740</v>
      </c>
      <c r="B111" s="105" t="s">
        <v>741</v>
      </c>
      <c r="C111" s="106">
        <v>45</v>
      </c>
      <c r="D111" s="57" t="s">
        <v>68</v>
      </c>
      <c r="E111" s="57"/>
    </row>
    <row r="112" spans="1:5" ht="39.6" customHeight="1" x14ac:dyDescent="0.3">
      <c r="A112" s="164" t="s">
        <v>523</v>
      </c>
      <c r="B112" s="105" t="s">
        <v>524</v>
      </c>
      <c r="C112" s="106">
        <v>52</v>
      </c>
      <c r="D112" s="57" t="s">
        <v>68</v>
      </c>
      <c r="E112" s="57"/>
    </row>
    <row r="113" spans="1:5" ht="39.6" customHeight="1" x14ac:dyDescent="0.3">
      <c r="A113" s="164" t="s">
        <v>584</v>
      </c>
      <c r="B113" s="105" t="s">
        <v>585</v>
      </c>
      <c r="C113" s="106">
        <v>0</v>
      </c>
      <c r="D113" s="57" t="s">
        <v>68</v>
      </c>
      <c r="E113" s="57" t="s">
        <v>67</v>
      </c>
    </row>
    <row r="114" spans="1:5" ht="39.6" customHeight="1" x14ac:dyDescent="0.3">
      <c r="A114" s="164" t="s">
        <v>509</v>
      </c>
      <c r="B114" s="105" t="s">
        <v>510</v>
      </c>
      <c r="C114" s="106">
        <v>164</v>
      </c>
      <c r="D114" s="57" t="s">
        <v>68</v>
      </c>
      <c r="E114" s="57"/>
    </row>
    <row r="115" spans="1:5" ht="39.6" customHeight="1" x14ac:dyDescent="0.3">
      <c r="A115" s="164" t="s">
        <v>725</v>
      </c>
      <c r="B115" s="105" t="s">
        <v>726</v>
      </c>
      <c r="C115" s="106">
        <v>9</v>
      </c>
      <c r="D115" s="57" t="s">
        <v>68</v>
      </c>
      <c r="E115" s="57"/>
    </row>
    <row r="116" spans="1:5" ht="39.6" customHeight="1" x14ac:dyDescent="0.3">
      <c r="A116" s="164" t="s">
        <v>831</v>
      </c>
      <c r="B116" s="105" t="s">
        <v>832</v>
      </c>
      <c r="C116" s="106">
        <v>0</v>
      </c>
      <c r="D116" s="57" t="s">
        <v>68</v>
      </c>
      <c r="E116" s="57"/>
    </row>
    <row r="117" spans="1:5" ht="39.6" customHeight="1" x14ac:dyDescent="0.3">
      <c r="A117" s="164" t="s">
        <v>665</v>
      </c>
      <c r="B117" s="105" t="s">
        <v>666</v>
      </c>
      <c r="C117" s="106">
        <v>88</v>
      </c>
      <c r="D117" s="57" t="s">
        <v>68</v>
      </c>
      <c r="E117" s="57"/>
    </row>
    <row r="118" spans="1:5" ht="39.6" customHeight="1" x14ac:dyDescent="0.3">
      <c r="A118" s="164" t="s">
        <v>220</v>
      </c>
      <c r="B118" s="105" t="s">
        <v>300</v>
      </c>
      <c r="C118" s="106">
        <v>3</v>
      </c>
      <c r="D118" s="57" t="s">
        <v>68</v>
      </c>
      <c r="E118" s="57"/>
    </row>
    <row r="119" spans="1:5" ht="39.6" customHeight="1" x14ac:dyDescent="0.3">
      <c r="A119" s="164" t="s">
        <v>807</v>
      </c>
      <c r="B119" s="105" t="s">
        <v>808</v>
      </c>
      <c r="C119" s="106">
        <v>2</v>
      </c>
      <c r="D119" s="57" t="s">
        <v>68</v>
      </c>
      <c r="E119" s="57"/>
    </row>
    <row r="120" spans="1:5" ht="39.6" customHeight="1" x14ac:dyDescent="0.3">
      <c r="A120" s="164" t="s">
        <v>717</v>
      </c>
      <c r="B120" s="105" t="s">
        <v>718</v>
      </c>
      <c r="C120" s="106">
        <v>21</v>
      </c>
      <c r="D120" s="57" t="s">
        <v>68</v>
      </c>
      <c r="E120" s="57"/>
    </row>
    <row r="121" spans="1:5" ht="39.6" customHeight="1" x14ac:dyDescent="0.3">
      <c r="A121" s="164" t="s">
        <v>505</v>
      </c>
      <c r="B121" s="105" t="s">
        <v>506</v>
      </c>
      <c r="C121" s="106">
        <v>67</v>
      </c>
      <c r="D121" s="57" t="s">
        <v>68</v>
      </c>
      <c r="E121" s="57"/>
    </row>
    <row r="122" spans="1:5" ht="39.6" customHeight="1" x14ac:dyDescent="0.3">
      <c r="A122" s="164" t="s">
        <v>568</v>
      </c>
      <c r="B122" s="105" t="s">
        <v>569</v>
      </c>
      <c r="C122" s="106">
        <v>14</v>
      </c>
      <c r="D122" s="57" t="s">
        <v>68</v>
      </c>
      <c r="E122" s="57"/>
    </row>
    <row r="123" spans="1:5" ht="39.6" customHeight="1" x14ac:dyDescent="0.3">
      <c r="A123" s="164" t="s">
        <v>477</v>
      </c>
      <c r="B123" s="105" t="s">
        <v>478</v>
      </c>
      <c r="C123" s="106">
        <v>6</v>
      </c>
      <c r="D123" s="57" t="s">
        <v>68</v>
      </c>
      <c r="E123" s="57"/>
    </row>
    <row r="124" spans="1:5" ht="39.6" customHeight="1" x14ac:dyDescent="0.3">
      <c r="A124" s="164" t="s">
        <v>811</v>
      </c>
      <c r="B124" s="105" t="s">
        <v>812</v>
      </c>
      <c r="C124" s="106">
        <v>19</v>
      </c>
      <c r="D124" s="57" t="s">
        <v>68</v>
      </c>
      <c r="E124" s="57"/>
    </row>
    <row r="125" spans="1:5" ht="39.6" customHeight="1" x14ac:dyDescent="0.3">
      <c r="A125" s="164" t="s">
        <v>500</v>
      </c>
      <c r="B125" s="105" t="s">
        <v>501</v>
      </c>
      <c r="C125" s="106">
        <v>0</v>
      </c>
      <c r="D125" s="57" t="s">
        <v>68</v>
      </c>
      <c r="E125" s="57" t="s">
        <v>67</v>
      </c>
    </row>
    <row r="126" spans="1:5" ht="39.6" customHeight="1" x14ac:dyDescent="0.3">
      <c r="A126" s="164" t="s">
        <v>187</v>
      </c>
      <c r="B126" s="105" t="s">
        <v>216</v>
      </c>
      <c r="C126" s="106">
        <v>65</v>
      </c>
      <c r="D126" s="57" t="s">
        <v>68</v>
      </c>
      <c r="E126" s="57"/>
    </row>
    <row r="127" spans="1:5" ht="39.6" customHeight="1" x14ac:dyDescent="0.3">
      <c r="A127" s="164" t="s">
        <v>833</v>
      </c>
      <c r="B127" s="105" t="s">
        <v>834</v>
      </c>
      <c r="C127" s="106">
        <v>38</v>
      </c>
      <c r="D127" s="57" t="s">
        <v>68</v>
      </c>
      <c r="E127" s="57"/>
    </row>
    <row r="128" spans="1:5" ht="39.6" customHeight="1" x14ac:dyDescent="0.3">
      <c r="A128" s="164" t="s">
        <v>803</v>
      </c>
      <c r="B128" s="105" t="s">
        <v>804</v>
      </c>
      <c r="C128" s="106">
        <v>8</v>
      </c>
      <c r="D128" s="57" t="s">
        <v>68</v>
      </c>
      <c r="E128" s="57"/>
    </row>
    <row r="129" spans="1:5" ht="39.6" customHeight="1" x14ac:dyDescent="0.3">
      <c r="A129" s="164" t="s">
        <v>630</v>
      </c>
      <c r="B129" s="105" t="s">
        <v>631</v>
      </c>
      <c r="C129" s="106">
        <v>0</v>
      </c>
      <c r="D129" s="57" t="s">
        <v>68</v>
      </c>
      <c r="E129" s="57"/>
    </row>
    <row r="130" spans="1:5" ht="39.6" customHeight="1" x14ac:dyDescent="0.3">
      <c r="A130" s="164" t="s">
        <v>116</v>
      </c>
      <c r="B130" s="105" t="s">
        <v>130</v>
      </c>
      <c r="C130" s="106">
        <v>0</v>
      </c>
      <c r="D130" s="57" t="s">
        <v>68</v>
      </c>
      <c r="E130" s="57"/>
    </row>
    <row r="131" spans="1:5" ht="39.6" customHeight="1" x14ac:dyDescent="0.3">
      <c r="A131" s="164" t="s">
        <v>226</v>
      </c>
      <c r="B131" s="105" t="s">
        <v>227</v>
      </c>
      <c r="C131" s="106">
        <v>54</v>
      </c>
      <c r="D131" s="57" t="s">
        <v>68</v>
      </c>
      <c r="E131" s="57"/>
    </row>
    <row r="132" spans="1:5" ht="39.6" customHeight="1" x14ac:dyDescent="0.3">
      <c r="A132" s="164" t="s">
        <v>674</v>
      </c>
      <c r="B132" s="105" t="s">
        <v>675</v>
      </c>
      <c r="C132" s="106">
        <v>0</v>
      </c>
      <c r="D132" s="57" t="s">
        <v>68</v>
      </c>
      <c r="E132" s="57" t="s">
        <v>67</v>
      </c>
    </row>
    <row r="133" spans="1:5" ht="39.6" customHeight="1" x14ac:dyDescent="0.3">
      <c r="A133" s="164" t="s">
        <v>393</v>
      </c>
      <c r="B133" s="105" t="s">
        <v>394</v>
      </c>
      <c r="C133" s="106">
        <v>252</v>
      </c>
      <c r="D133" s="57" t="s">
        <v>68</v>
      </c>
      <c r="E133" s="57"/>
    </row>
    <row r="134" spans="1:5" ht="39.6" customHeight="1" x14ac:dyDescent="0.3">
      <c r="A134" s="164" t="s">
        <v>486</v>
      </c>
      <c r="B134" s="105" t="s">
        <v>487</v>
      </c>
      <c r="C134" s="106">
        <v>0</v>
      </c>
      <c r="D134" s="57" t="s">
        <v>68</v>
      </c>
      <c r="E134" s="57" t="s">
        <v>67</v>
      </c>
    </row>
    <row r="135" spans="1:5" ht="39.6" customHeight="1" x14ac:dyDescent="0.3">
      <c r="A135" s="164" t="s">
        <v>310</v>
      </c>
      <c r="B135" s="105" t="s">
        <v>311</v>
      </c>
      <c r="C135" s="106">
        <v>11</v>
      </c>
      <c r="D135" s="57" t="s">
        <v>68</v>
      </c>
      <c r="E135" s="57"/>
    </row>
    <row r="136" spans="1:5" ht="39.6" customHeight="1" x14ac:dyDescent="0.3">
      <c r="A136" s="164" t="s">
        <v>399</v>
      </c>
      <c r="B136" s="105" t="s">
        <v>400</v>
      </c>
      <c r="C136" s="106">
        <v>155</v>
      </c>
      <c r="D136" s="57" t="s">
        <v>68</v>
      </c>
      <c r="E136" s="57"/>
    </row>
    <row r="137" spans="1:5" ht="39.6" customHeight="1" x14ac:dyDescent="0.3">
      <c r="A137" s="164" t="s">
        <v>488</v>
      </c>
      <c r="B137" s="105" t="s">
        <v>489</v>
      </c>
      <c r="C137" s="106">
        <v>0</v>
      </c>
      <c r="D137" s="57" t="s">
        <v>68</v>
      </c>
      <c r="E137" s="57" t="s">
        <v>67</v>
      </c>
    </row>
    <row r="138" spans="1:5" ht="39.6" customHeight="1" x14ac:dyDescent="0.3">
      <c r="A138" s="164" t="s">
        <v>463</v>
      </c>
      <c r="B138" s="105" t="s">
        <v>464</v>
      </c>
      <c r="C138" s="106">
        <v>13</v>
      </c>
      <c r="D138" s="57" t="s">
        <v>68</v>
      </c>
      <c r="E138" s="57"/>
    </row>
    <row r="139" spans="1:5" ht="39.6" customHeight="1" x14ac:dyDescent="0.3">
      <c r="A139" s="164" t="s">
        <v>218</v>
      </c>
      <c r="B139" s="105" t="s">
        <v>219</v>
      </c>
      <c r="C139" s="106">
        <v>40</v>
      </c>
      <c r="D139" s="57" t="s">
        <v>68</v>
      </c>
      <c r="E139" s="57"/>
    </row>
    <row r="140" spans="1:5" ht="39.6" customHeight="1" x14ac:dyDescent="0.3">
      <c r="A140" s="164" t="s">
        <v>667</v>
      </c>
      <c r="B140" s="105" t="s">
        <v>668</v>
      </c>
      <c r="C140" s="106">
        <v>4</v>
      </c>
      <c r="D140" s="57" t="s">
        <v>68</v>
      </c>
      <c r="E140" s="57"/>
    </row>
    <row r="141" spans="1:5" ht="39.6" customHeight="1" x14ac:dyDescent="0.3">
      <c r="A141" s="164" t="s">
        <v>662</v>
      </c>
      <c r="B141" s="105" t="s">
        <v>663</v>
      </c>
      <c r="C141" s="106">
        <v>2</v>
      </c>
      <c r="D141" s="57" t="s">
        <v>68</v>
      </c>
      <c r="E141" s="57"/>
    </row>
    <row r="142" spans="1:5" ht="39.6" customHeight="1" x14ac:dyDescent="0.3">
      <c r="A142" s="164" t="s">
        <v>209</v>
      </c>
      <c r="B142" s="105" t="s">
        <v>210</v>
      </c>
      <c r="C142" s="106">
        <v>21</v>
      </c>
      <c r="D142" s="57" t="s">
        <v>68</v>
      </c>
      <c r="E142" s="57"/>
    </row>
    <row r="143" spans="1:5" ht="39.6" customHeight="1" x14ac:dyDescent="0.3">
      <c r="A143" s="164" t="s">
        <v>835</v>
      </c>
      <c r="B143" s="105" t="s">
        <v>836</v>
      </c>
      <c r="C143" s="106">
        <v>21</v>
      </c>
      <c r="D143" s="57" t="s">
        <v>68</v>
      </c>
      <c r="E143" s="57"/>
    </row>
    <row r="144" spans="1:5" ht="39.6" customHeight="1" x14ac:dyDescent="0.3">
      <c r="A144" s="164" t="s">
        <v>228</v>
      </c>
      <c r="B144" s="105" t="s">
        <v>229</v>
      </c>
      <c r="C144" s="106">
        <v>15</v>
      </c>
      <c r="D144" s="57" t="s">
        <v>68</v>
      </c>
      <c r="E144" s="57"/>
    </row>
    <row r="145" spans="1:5" ht="39.6" customHeight="1" x14ac:dyDescent="0.3">
      <c r="A145" s="164" t="s">
        <v>124</v>
      </c>
      <c r="B145" s="105" t="s">
        <v>125</v>
      </c>
      <c r="C145" s="106">
        <v>20</v>
      </c>
      <c r="D145" s="57" t="s">
        <v>68</v>
      </c>
      <c r="E145" s="57"/>
    </row>
    <row r="146" spans="1:5" ht="39.6" customHeight="1" x14ac:dyDescent="0.3">
      <c r="A146" s="164" t="s">
        <v>369</v>
      </c>
      <c r="B146" s="105" t="s">
        <v>370</v>
      </c>
      <c r="C146" s="106">
        <v>15</v>
      </c>
      <c r="D146" s="57" t="s">
        <v>68</v>
      </c>
      <c r="E146" s="57"/>
    </row>
    <row r="147" spans="1:5" ht="39.6" customHeight="1" x14ac:dyDescent="0.3">
      <c r="A147" s="164" t="s">
        <v>850</v>
      </c>
      <c r="B147" s="105" t="s">
        <v>851</v>
      </c>
      <c r="C147" s="106">
        <v>10</v>
      </c>
      <c r="D147" s="57" t="s">
        <v>68</v>
      </c>
      <c r="E147" s="57"/>
    </row>
    <row r="148" spans="1:5" ht="39.6" customHeight="1" x14ac:dyDescent="0.3">
      <c r="A148" s="164" t="s">
        <v>801</v>
      </c>
      <c r="B148" s="105" t="s">
        <v>802</v>
      </c>
      <c r="C148" s="106">
        <v>0</v>
      </c>
      <c r="D148" s="57" t="s">
        <v>68</v>
      </c>
      <c r="E148" s="57"/>
    </row>
    <row r="149" spans="1:5" ht="39.6" customHeight="1" x14ac:dyDescent="0.3">
      <c r="A149" s="164" t="s">
        <v>744</v>
      </c>
      <c r="B149" s="105" t="s">
        <v>745</v>
      </c>
      <c r="C149" s="106">
        <v>13</v>
      </c>
      <c r="D149" s="57" t="s">
        <v>68</v>
      </c>
      <c r="E149" s="57"/>
    </row>
    <row r="150" spans="1:5" ht="39.6" customHeight="1" x14ac:dyDescent="0.3">
      <c r="A150" s="164" t="s">
        <v>806</v>
      </c>
      <c r="B150" s="105" t="s">
        <v>810</v>
      </c>
      <c r="C150" s="106">
        <v>1</v>
      </c>
      <c r="D150" s="57" t="s">
        <v>68</v>
      </c>
      <c r="E150" s="57"/>
    </row>
    <row r="151" spans="1:5" ht="39.6" customHeight="1" x14ac:dyDescent="0.3">
      <c r="A151" s="164" t="s">
        <v>575</v>
      </c>
      <c r="B151" s="105" t="s">
        <v>576</v>
      </c>
      <c r="C151" s="106">
        <v>9</v>
      </c>
      <c r="D151" s="57" t="s">
        <v>68</v>
      </c>
      <c r="E151" s="57"/>
    </row>
    <row r="152" spans="1:5" ht="39.6" customHeight="1" x14ac:dyDescent="0.3">
      <c r="A152" s="164" t="s">
        <v>818</v>
      </c>
      <c r="B152" s="105" t="s">
        <v>819</v>
      </c>
      <c r="C152" s="106">
        <v>27</v>
      </c>
      <c r="D152" s="57" t="s">
        <v>68</v>
      </c>
      <c r="E152" s="57"/>
    </row>
    <row r="153" spans="1:5" ht="39.6" customHeight="1" x14ac:dyDescent="0.3">
      <c r="A153" s="164" t="s">
        <v>660</v>
      </c>
      <c r="B153" s="105" t="s">
        <v>661</v>
      </c>
      <c r="C153" s="106">
        <v>5</v>
      </c>
      <c r="D153" s="57" t="s">
        <v>68</v>
      </c>
      <c r="E153" s="57"/>
    </row>
    <row r="154" spans="1:5" ht="39.6" customHeight="1" x14ac:dyDescent="0.3">
      <c r="A154" s="164" t="s">
        <v>712</v>
      </c>
      <c r="B154" s="105" t="s">
        <v>782</v>
      </c>
      <c r="C154" s="106">
        <v>27</v>
      </c>
      <c r="D154" s="57" t="s">
        <v>68</v>
      </c>
      <c r="E154" s="57"/>
    </row>
    <row r="155" spans="1:5" ht="39.6" customHeight="1" x14ac:dyDescent="0.3">
      <c r="A155" s="164" t="s">
        <v>746</v>
      </c>
      <c r="B155" s="105" t="s">
        <v>747</v>
      </c>
      <c r="C155" s="106">
        <v>60</v>
      </c>
      <c r="D155" s="57" t="s">
        <v>68</v>
      </c>
      <c r="E155" s="57"/>
    </row>
    <row r="156" spans="1:5" ht="39.6" customHeight="1" x14ac:dyDescent="0.3">
      <c r="A156" s="164" t="s">
        <v>189</v>
      </c>
      <c r="B156" s="105" t="s">
        <v>190</v>
      </c>
      <c r="C156" s="106">
        <v>145</v>
      </c>
      <c r="D156" s="57" t="s">
        <v>68</v>
      </c>
      <c r="E156" s="57"/>
    </row>
    <row r="157" spans="1:5" ht="39.6" customHeight="1" x14ac:dyDescent="0.3">
      <c r="A157" s="164" t="s">
        <v>748</v>
      </c>
      <c r="B157" s="105" t="s">
        <v>749</v>
      </c>
      <c r="C157" s="106">
        <v>100</v>
      </c>
      <c r="D157" s="57" t="s">
        <v>68</v>
      </c>
      <c r="E157" s="57"/>
    </row>
    <row r="158" spans="1:5" ht="39.6" customHeight="1" x14ac:dyDescent="0.3">
      <c r="A158" s="164" t="s">
        <v>582</v>
      </c>
      <c r="B158" s="105" t="s">
        <v>583</v>
      </c>
      <c r="C158" s="106">
        <v>0</v>
      </c>
      <c r="D158" s="57" t="s">
        <v>68</v>
      </c>
      <c r="E158" s="57"/>
    </row>
    <row r="159" spans="1:5" ht="39.6" customHeight="1" x14ac:dyDescent="0.3">
      <c r="A159" s="164" t="s">
        <v>750</v>
      </c>
      <c r="B159" s="105" t="s">
        <v>751</v>
      </c>
      <c r="C159" s="106">
        <v>8</v>
      </c>
      <c r="D159" s="57" t="s">
        <v>68</v>
      </c>
      <c r="E159" s="57"/>
    </row>
    <row r="160" spans="1:5" ht="39.6" customHeight="1" x14ac:dyDescent="0.3">
      <c r="A160" s="164" t="s">
        <v>752</v>
      </c>
      <c r="B160" s="105" t="s">
        <v>753</v>
      </c>
      <c r="C160" s="106">
        <v>4</v>
      </c>
      <c r="D160" s="57" t="s">
        <v>68</v>
      </c>
      <c r="E160" s="57"/>
    </row>
    <row r="161" spans="1:5" ht="39.6" customHeight="1" x14ac:dyDescent="0.3">
      <c r="A161" s="164" t="s">
        <v>865</v>
      </c>
      <c r="B161" s="105" t="s">
        <v>866</v>
      </c>
      <c r="C161" s="106">
        <v>0</v>
      </c>
      <c r="D161" s="57" t="s">
        <v>68</v>
      </c>
      <c r="E161" s="57"/>
    </row>
    <row r="162" spans="1:5" ht="39.6" customHeight="1" x14ac:dyDescent="0.3">
      <c r="A162" s="164" t="s">
        <v>577</v>
      </c>
      <c r="B162" s="105" t="s">
        <v>578</v>
      </c>
      <c r="C162" s="106">
        <v>30</v>
      </c>
      <c r="D162" s="57" t="s">
        <v>68</v>
      </c>
      <c r="E162" s="57"/>
    </row>
    <row r="163" spans="1:5" ht="39.6" customHeight="1" x14ac:dyDescent="0.3">
      <c r="A163" s="164" t="s">
        <v>624</v>
      </c>
      <c r="B163" s="105" t="s">
        <v>625</v>
      </c>
      <c r="C163" s="106">
        <v>22</v>
      </c>
      <c r="D163" s="57" t="s">
        <v>68</v>
      </c>
      <c r="E163" s="57"/>
    </row>
    <row r="164" spans="1:5" ht="39.6" customHeight="1" x14ac:dyDescent="0.3">
      <c r="A164" s="164" t="s">
        <v>507</v>
      </c>
      <c r="B164" s="105" t="s">
        <v>508</v>
      </c>
      <c r="C164" s="106">
        <v>53</v>
      </c>
      <c r="D164" s="57" t="s">
        <v>68</v>
      </c>
      <c r="E164" s="57"/>
    </row>
    <row r="165" spans="1:5" ht="39.6" customHeight="1" x14ac:dyDescent="0.3">
      <c r="A165" s="164" t="s">
        <v>703</v>
      </c>
      <c r="B165" s="105" t="s">
        <v>727</v>
      </c>
      <c r="C165" s="106">
        <v>8</v>
      </c>
      <c r="D165" s="57" t="s">
        <v>68</v>
      </c>
      <c r="E165" s="57"/>
    </row>
    <row r="166" spans="1:5" ht="39.6" customHeight="1" x14ac:dyDescent="0.3">
      <c r="A166" s="164" t="s">
        <v>728</v>
      </c>
      <c r="B166" s="105" t="s">
        <v>729</v>
      </c>
      <c r="C166" s="106">
        <v>19</v>
      </c>
      <c r="D166" s="57" t="s">
        <v>68</v>
      </c>
      <c r="E166" s="57"/>
    </row>
    <row r="167" spans="1:5" ht="39.6" customHeight="1" x14ac:dyDescent="0.3">
      <c r="A167" s="164" t="s">
        <v>586</v>
      </c>
      <c r="B167" s="105" t="s">
        <v>587</v>
      </c>
      <c r="C167" s="106">
        <v>8</v>
      </c>
      <c r="D167" s="57" t="s">
        <v>68</v>
      </c>
      <c r="E167" s="57"/>
    </row>
    <row r="168" spans="1:5" ht="39.6" customHeight="1" x14ac:dyDescent="0.3">
      <c r="A168" s="164" t="s">
        <v>579</v>
      </c>
      <c r="B168" s="105" t="s">
        <v>580</v>
      </c>
      <c r="C168" s="106">
        <v>9</v>
      </c>
      <c r="D168" s="57" t="s">
        <v>68</v>
      </c>
      <c r="E168" s="57"/>
    </row>
    <row r="169" spans="1:5" ht="39.6" customHeight="1" x14ac:dyDescent="0.3">
      <c r="A169" s="164" t="s">
        <v>403</v>
      </c>
      <c r="B169" s="105" t="s">
        <v>404</v>
      </c>
      <c r="C169" s="106">
        <v>4</v>
      </c>
      <c r="D169" s="57" t="s">
        <v>68</v>
      </c>
      <c r="E169" s="57"/>
    </row>
    <row r="170" spans="1:5" ht="39.6" customHeight="1" x14ac:dyDescent="0.3">
      <c r="A170" s="164" t="s">
        <v>336</v>
      </c>
      <c r="B170" s="105" t="s">
        <v>337</v>
      </c>
      <c r="C170" s="106">
        <v>14</v>
      </c>
      <c r="D170" s="57" t="s">
        <v>68</v>
      </c>
      <c r="E170" s="57"/>
    </row>
    <row r="171" spans="1:5" ht="39.6" customHeight="1" x14ac:dyDescent="0.3">
      <c r="A171" s="164" t="s">
        <v>525</v>
      </c>
      <c r="B171" s="105" t="s">
        <v>526</v>
      </c>
      <c r="C171" s="106">
        <v>1</v>
      </c>
      <c r="D171" s="57" t="s">
        <v>68</v>
      </c>
      <c r="E171" s="57"/>
    </row>
    <row r="172" spans="1:5" ht="39.6" customHeight="1" x14ac:dyDescent="0.3">
      <c r="A172" s="164" t="s">
        <v>527</v>
      </c>
      <c r="B172" s="105" t="s">
        <v>809</v>
      </c>
      <c r="C172" s="106">
        <v>4</v>
      </c>
      <c r="D172" s="57" t="s">
        <v>68</v>
      </c>
      <c r="E172" s="57"/>
    </row>
    <row r="173" spans="1:5" ht="39.6" customHeight="1" x14ac:dyDescent="0.3">
      <c r="A173" s="164" t="s">
        <v>480</v>
      </c>
      <c r="B173" s="105" t="s">
        <v>481</v>
      </c>
      <c r="C173" s="106">
        <v>93</v>
      </c>
      <c r="D173" s="57" t="s">
        <v>68</v>
      </c>
      <c r="E173" s="57"/>
    </row>
    <row r="174" spans="1:5" ht="39.6" customHeight="1" x14ac:dyDescent="0.3">
      <c r="A174" s="164" t="s">
        <v>482</v>
      </c>
      <c r="B174" s="105" t="s">
        <v>483</v>
      </c>
      <c r="C174" s="106">
        <v>10</v>
      </c>
      <c r="D174" s="57" t="s">
        <v>68</v>
      </c>
      <c r="E174" s="57"/>
    </row>
    <row r="175" spans="1:5" ht="39.6" customHeight="1" x14ac:dyDescent="0.3">
      <c r="A175" s="164" t="s">
        <v>371</v>
      </c>
      <c r="B175" s="105" t="s">
        <v>372</v>
      </c>
      <c r="C175" s="106">
        <v>50</v>
      </c>
      <c r="D175" s="57" t="s">
        <v>68</v>
      </c>
      <c r="E175" s="57"/>
    </row>
    <row r="176" spans="1:5" ht="39.6" customHeight="1" x14ac:dyDescent="0.3">
      <c r="A176" s="164" t="s">
        <v>373</v>
      </c>
      <c r="B176" s="105" t="s">
        <v>374</v>
      </c>
      <c r="C176" s="106">
        <v>18</v>
      </c>
      <c r="D176" s="57" t="s">
        <v>68</v>
      </c>
      <c r="E176" s="57"/>
    </row>
    <row r="177" spans="1:5" ht="39.6" customHeight="1" x14ac:dyDescent="0.3">
      <c r="A177" s="164" t="s">
        <v>377</v>
      </c>
      <c r="B177" s="105" t="s">
        <v>378</v>
      </c>
      <c r="C177" s="106">
        <v>0</v>
      </c>
      <c r="D177" s="57" t="s">
        <v>68</v>
      </c>
      <c r="E177" s="57"/>
    </row>
    <row r="178" spans="1:5" ht="39.6" customHeight="1" x14ac:dyDescent="0.3">
      <c r="A178" s="164" t="s">
        <v>552</v>
      </c>
      <c r="B178" s="105" t="s">
        <v>553</v>
      </c>
      <c r="C178" s="106">
        <v>46</v>
      </c>
      <c r="D178" s="57" t="s">
        <v>68</v>
      </c>
      <c r="E178" s="57"/>
    </row>
    <row r="179" spans="1:5" ht="39.6" customHeight="1" x14ac:dyDescent="0.3">
      <c r="A179" s="164" t="s">
        <v>652</v>
      </c>
      <c r="B179" s="105" t="s">
        <v>653</v>
      </c>
      <c r="C179" s="106">
        <v>262</v>
      </c>
      <c r="D179" s="57" t="s">
        <v>68</v>
      </c>
      <c r="E179" s="57"/>
    </row>
    <row r="180" spans="1:5" ht="39.6" customHeight="1" x14ac:dyDescent="0.3">
      <c r="A180" s="164" t="s">
        <v>669</v>
      </c>
      <c r="B180" s="105" t="s">
        <v>670</v>
      </c>
      <c r="C180" s="106">
        <v>23</v>
      </c>
      <c r="D180" s="57" t="s">
        <v>68</v>
      </c>
      <c r="E180" s="57"/>
    </row>
    <row r="181" spans="1:5" ht="39.6" customHeight="1" x14ac:dyDescent="0.3">
      <c r="A181" s="164" t="s">
        <v>758</v>
      </c>
      <c r="B181" s="105" t="s">
        <v>759</v>
      </c>
      <c r="C181" s="106">
        <v>121</v>
      </c>
      <c r="D181" s="57" t="s">
        <v>68</v>
      </c>
      <c r="E181" s="57"/>
    </row>
    <row r="182" spans="1:5" ht="39.6" customHeight="1" x14ac:dyDescent="0.3">
      <c r="A182" s="164" t="s">
        <v>262</v>
      </c>
      <c r="B182" s="105" t="s">
        <v>263</v>
      </c>
      <c r="C182" s="106">
        <v>202</v>
      </c>
      <c r="D182" s="57" t="s">
        <v>68</v>
      </c>
      <c r="E182" s="57"/>
    </row>
    <row r="183" spans="1:5" ht="39.6" customHeight="1" x14ac:dyDescent="0.3">
      <c r="A183" s="164" t="s">
        <v>496</v>
      </c>
      <c r="B183" s="105" t="s">
        <v>497</v>
      </c>
      <c r="C183" s="106">
        <v>0</v>
      </c>
      <c r="D183" s="57" t="s">
        <v>68</v>
      </c>
      <c r="E183" s="57" t="s">
        <v>67</v>
      </c>
    </row>
    <row r="184" spans="1:5" ht="39.6" customHeight="1" x14ac:dyDescent="0.3">
      <c r="A184" s="164" t="s">
        <v>596</v>
      </c>
      <c r="B184" s="105" t="s">
        <v>597</v>
      </c>
      <c r="C184" s="106">
        <v>17</v>
      </c>
      <c r="D184" s="57" t="s">
        <v>68</v>
      </c>
      <c r="E184" s="57"/>
    </row>
    <row r="185" spans="1:5" ht="39.6" customHeight="1" x14ac:dyDescent="0.3">
      <c r="A185" s="164" t="s">
        <v>760</v>
      </c>
      <c r="B185" s="105" t="s">
        <v>761</v>
      </c>
      <c r="C185" s="106">
        <v>42</v>
      </c>
      <c r="D185" s="57" t="s">
        <v>68</v>
      </c>
      <c r="E185" s="57"/>
    </row>
    <row r="186" spans="1:5" ht="39.6" customHeight="1" x14ac:dyDescent="0.3">
      <c r="A186" s="164" t="s">
        <v>647</v>
      </c>
      <c r="B186" s="105" t="s">
        <v>648</v>
      </c>
      <c r="C186" s="106">
        <v>15</v>
      </c>
      <c r="D186" s="57" t="s">
        <v>68</v>
      </c>
      <c r="E186" s="57"/>
    </row>
    <row r="187" spans="1:5" ht="39.6" customHeight="1" x14ac:dyDescent="0.3">
      <c r="A187" s="164" t="s">
        <v>789</v>
      </c>
      <c r="B187" s="105" t="s">
        <v>790</v>
      </c>
      <c r="C187" s="106">
        <v>5</v>
      </c>
      <c r="D187" s="57" t="s">
        <v>68</v>
      </c>
      <c r="E187" s="57"/>
    </row>
    <row r="188" spans="1:5" ht="39.6" customHeight="1" x14ac:dyDescent="0.3">
      <c r="A188" s="164" t="s">
        <v>548</v>
      </c>
      <c r="B188" s="105" t="s">
        <v>549</v>
      </c>
      <c r="C188" s="106">
        <v>33</v>
      </c>
      <c r="D188" s="57" t="s">
        <v>68</v>
      </c>
      <c r="E188" s="57"/>
    </row>
    <row r="189" spans="1:5" ht="39.6" customHeight="1" x14ac:dyDescent="0.3">
      <c r="A189" s="164" t="s">
        <v>821</v>
      </c>
      <c r="B189" s="105" t="s">
        <v>822</v>
      </c>
      <c r="C189" s="106">
        <v>0</v>
      </c>
      <c r="D189" s="57" t="s">
        <v>68</v>
      </c>
      <c r="E189" s="57"/>
    </row>
    <row r="190" spans="1:5" ht="39.6" customHeight="1" x14ac:dyDescent="0.3">
      <c r="A190" s="164" t="s">
        <v>754</v>
      </c>
      <c r="B190" s="105" t="s">
        <v>755</v>
      </c>
      <c r="C190" s="106">
        <v>0</v>
      </c>
      <c r="D190" s="57" t="s">
        <v>68</v>
      </c>
      <c r="E190" s="57"/>
    </row>
    <row r="191" spans="1:5" ht="39.6" customHeight="1" x14ac:dyDescent="0.3">
      <c r="A191" s="164" t="s">
        <v>799</v>
      </c>
      <c r="B191" s="105" t="s">
        <v>800</v>
      </c>
      <c r="C191" s="106">
        <v>12</v>
      </c>
      <c r="D191" s="57" t="s">
        <v>68</v>
      </c>
      <c r="E191" s="57"/>
    </row>
    <row r="192" spans="1:5" ht="39.6" customHeight="1" x14ac:dyDescent="0.3">
      <c r="A192" s="164" t="s">
        <v>620</v>
      </c>
      <c r="B192" s="105" t="s">
        <v>621</v>
      </c>
      <c r="C192" s="106">
        <v>25</v>
      </c>
      <c r="D192" s="57" t="s">
        <v>68</v>
      </c>
      <c r="E192" s="57"/>
    </row>
    <row r="193" spans="1:5" x14ac:dyDescent="0.3">
      <c r="A193" s="164" t="s">
        <v>175</v>
      </c>
      <c r="B193" s="105" t="s">
        <v>518</v>
      </c>
      <c r="C193" s="106">
        <v>17</v>
      </c>
      <c r="D193" s="57" t="s">
        <v>68</v>
      </c>
      <c r="E193" s="57"/>
    </row>
    <row r="194" spans="1:5" x14ac:dyDescent="0.3">
      <c r="A194" s="164" t="s">
        <v>133</v>
      </c>
      <c r="B194" s="105" t="s">
        <v>134</v>
      </c>
      <c r="C194" s="106">
        <v>54</v>
      </c>
      <c r="D194" s="57" t="s">
        <v>68</v>
      </c>
      <c r="E194" s="57"/>
    </row>
    <row r="195" spans="1:5" x14ac:dyDescent="0.3">
      <c r="A195" s="164" t="s">
        <v>117</v>
      </c>
      <c r="B195" s="105" t="s">
        <v>118</v>
      </c>
      <c r="C195" s="106">
        <v>34</v>
      </c>
      <c r="D195" s="57" t="s">
        <v>68</v>
      </c>
      <c r="E195" s="57"/>
    </row>
    <row r="196" spans="1:5" x14ac:dyDescent="0.3">
      <c r="A196" s="164" t="s">
        <v>338</v>
      </c>
      <c r="B196" s="105" t="s">
        <v>339</v>
      </c>
      <c r="C196" s="106">
        <v>35</v>
      </c>
      <c r="D196" s="57" t="s">
        <v>68</v>
      </c>
      <c r="E196" s="57"/>
    </row>
    <row r="197" spans="1:5" x14ac:dyDescent="0.3">
      <c r="A197" s="164" t="s">
        <v>340</v>
      </c>
      <c r="B197" s="105" t="s">
        <v>341</v>
      </c>
      <c r="C197" s="106">
        <v>56</v>
      </c>
      <c r="D197" s="57" t="s">
        <v>68</v>
      </c>
      <c r="E197" s="57"/>
    </row>
    <row r="198" spans="1:5" x14ac:dyDescent="0.3">
      <c r="A198" s="164" t="s">
        <v>28</v>
      </c>
      <c r="B198" s="105" t="s">
        <v>75</v>
      </c>
      <c r="C198" s="106">
        <v>79</v>
      </c>
      <c r="D198" s="57" t="s">
        <v>68</v>
      </c>
      <c r="E198" s="57"/>
    </row>
    <row r="199" spans="1:5" x14ac:dyDescent="0.3">
      <c r="A199" s="164" t="s">
        <v>119</v>
      </c>
      <c r="B199" s="105" t="s">
        <v>120</v>
      </c>
      <c r="C199" s="106">
        <v>31</v>
      </c>
      <c r="D199" s="57" t="s">
        <v>68</v>
      </c>
      <c r="E199" s="57"/>
    </row>
    <row r="200" spans="1:5" x14ac:dyDescent="0.3">
      <c r="A200" s="164" t="s">
        <v>242</v>
      </c>
      <c r="B200" s="105" t="s">
        <v>243</v>
      </c>
      <c r="C200" s="106">
        <v>83</v>
      </c>
      <c r="D200" s="57" t="s">
        <v>68</v>
      </c>
      <c r="E200" s="57"/>
    </row>
    <row r="201" spans="1:5" x14ac:dyDescent="0.3">
      <c r="A201" s="164" t="s">
        <v>89</v>
      </c>
      <c r="B201" s="105" t="s">
        <v>90</v>
      </c>
      <c r="C201" s="106">
        <v>21</v>
      </c>
      <c r="D201" s="57" t="s">
        <v>68</v>
      </c>
      <c r="E201" s="57"/>
    </row>
    <row r="202" spans="1:5" x14ac:dyDescent="0.3">
      <c r="A202" s="164" t="s">
        <v>546</v>
      </c>
      <c r="B202" s="105" t="s">
        <v>547</v>
      </c>
      <c r="C202" s="106">
        <v>27</v>
      </c>
      <c r="D202" s="57" t="s">
        <v>68</v>
      </c>
      <c r="E202" s="57"/>
    </row>
    <row r="203" spans="1:5" x14ac:dyDescent="0.3">
      <c r="A203" s="164" t="s">
        <v>676</v>
      </c>
      <c r="B203" s="105" t="s">
        <v>677</v>
      </c>
      <c r="C203" s="106">
        <v>0</v>
      </c>
      <c r="D203" s="57" t="s">
        <v>68</v>
      </c>
      <c r="E203" s="57" t="s">
        <v>67</v>
      </c>
    </row>
    <row r="204" spans="1:5" x14ac:dyDescent="0.3">
      <c r="A204" s="164" t="s">
        <v>280</v>
      </c>
      <c r="B204" s="105" t="s">
        <v>281</v>
      </c>
      <c r="C204" s="106">
        <v>11</v>
      </c>
      <c r="D204" s="57" t="s">
        <v>68</v>
      </c>
      <c r="E204" s="57"/>
    </row>
    <row r="205" spans="1:5" x14ac:dyDescent="0.3">
      <c r="A205" s="164" t="s">
        <v>156</v>
      </c>
      <c r="B205" s="105" t="s">
        <v>157</v>
      </c>
      <c r="C205" s="106">
        <v>2</v>
      </c>
      <c r="D205" s="57" t="s">
        <v>68</v>
      </c>
      <c r="E205" s="57"/>
    </row>
    <row r="206" spans="1:5" x14ac:dyDescent="0.3">
      <c r="A206" s="164" t="s">
        <v>283</v>
      </c>
      <c r="B206" s="105" t="s">
        <v>284</v>
      </c>
      <c r="C206" s="106">
        <v>44</v>
      </c>
      <c r="D206" s="57" t="s">
        <v>68</v>
      </c>
      <c r="E206" s="57"/>
    </row>
    <row r="207" spans="1:5" x14ac:dyDescent="0.3">
      <c r="A207" s="164" t="s">
        <v>503</v>
      </c>
      <c r="B207" s="105" t="s">
        <v>504</v>
      </c>
      <c r="C207" s="106">
        <v>83</v>
      </c>
      <c r="D207" s="57" t="s">
        <v>68</v>
      </c>
      <c r="E207" s="57"/>
    </row>
    <row r="208" spans="1:5" x14ac:dyDescent="0.3">
      <c r="A208" s="164" t="s">
        <v>671</v>
      </c>
      <c r="B208" s="105" t="s">
        <v>708</v>
      </c>
      <c r="C208" s="106">
        <v>0</v>
      </c>
      <c r="D208" s="57" t="s">
        <v>68</v>
      </c>
      <c r="E208" s="57"/>
    </row>
    <row r="209" spans="1:5" x14ac:dyDescent="0.3">
      <c r="A209" s="164" t="s">
        <v>704</v>
      </c>
      <c r="B209" s="105" t="s">
        <v>705</v>
      </c>
      <c r="C209" s="106">
        <v>30</v>
      </c>
      <c r="D209" s="57" t="s">
        <v>68</v>
      </c>
      <c r="E209" s="57"/>
    </row>
    <row r="210" spans="1:5" x14ac:dyDescent="0.3">
      <c r="A210" s="164" t="s">
        <v>588</v>
      </c>
      <c r="B210" s="105" t="s">
        <v>589</v>
      </c>
      <c r="C210" s="106">
        <v>33</v>
      </c>
      <c r="D210" s="57" t="s">
        <v>68</v>
      </c>
      <c r="E210" s="57"/>
    </row>
    <row r="211" spans="1:5" x14ac:dyDescent="0.3">
      <c r="A211" s="164" t="s">
        <v>756</v>
      </c>
      <c r="B211" s="105" t="s">
        <v>757</v>
      </c>
      <c r="C211" s="106">
        <v>0</v>
      </c>
      <c r="D211" s="57" t="s">
        <v>68</v>
      </c>
      <c r="E211" s="57"/>
    </row>
    <row r="212" spans="1:5" x14ac:dyDescent="0.3">
      <c r="A212" s="164" t="s">
        <v>556</v>
      </c>
      <c r="B212" s="105" t="s">
        <v>557</v>
      </c>
      <c r="C212" s="106">
        <v>85</v>
      </c>
      <c r="D212" s="57" t="s">
        <v>68</v>
      </c>
      <c r="E212" s="57"/>
    </row>
    <row r="213" spans="1:5" x14ac:dyDescent="0.3">
      <c r="A213" s="164" t="s">
        <v>613</v>
      </c>
      <c r="B213" s="105" t="s">
        <v>649</v>
      </c>
      <c r="C213" s="106">
        <v>0</v>
      </c>
      <c r="D213" s="57" t="s">
        <v>68</v>
      </c>
      <c r="E213" s="57" t="s">
        <v>67</v>
      </c>
    </row>
    <row r="214" spans="1:5" x14ac:dyDescent="0.3">
      <c r="A214" s="164" t="s">
        <v>471</v>
      </c>
      <c r="B214" s="105" t="s">
        <v>472</v>
      </c>
      <c r="C214" s="106">
        <v>55</v>
      </c>
      <c r="D214" s="57" t="s">
        <v>68</v>
      </c>
      <c r="E214" s="57"/>
    </row>
    <row r="215" spans="1:5" x14ac:dyDescent="0.3">
      <c r="A215" s="164" t="s">
        <v>181</v>
      </c>
      <c r="B215" s="105" t="s">
        <v>182</v>
      </c>
      <c r="C215" s="106">
        <v>43</v>
      </c>
      <c r="D215" s="57" t="s">
        <v>68</v>
      </c>
      <c r="E215" s="57"/>
    </row>
    <row r="216" spans="1:5" x14ac:dyDescent="0.3">
      <c r="A216" s="164" t="s">
        <v>678</v>
      </c>
      <c r="B216" s="105" t="s">
        <v>679</v>
      </c>
      <c r="C216" s="106">
        <v>0</v>
      </c>
      <c r="D216" s="57" t="s">
        <v>68</v>
      </c>
      <c r="E216" s="57" t="s">
        <v>67</v>
      </c>
    </row>
    <row r="217" spans="1:5" x14ac:dyDescent="0.3">
      <c r="A217" s="164" t="s">
        <v>570</v>
      </c>
      <c r="B217" s="105" t="s">
        <v>571</v>
      </c>
      <c r="C217" s="106">
        <v>20</v>
      </c>
      <c r="D217" s="57" t="s">
        <v>68</v>
      </c>
      <c r="E217" s="57"/>
    </row>
    <row r="218" spans="1:5" x14ac:dyDescent="0.3">
      <c r="A218" s="164" t="s">
        <v>202</v>
      </c>
      <c r="B218" s="105" t="s">
        <v>203</v>
      </c>
      <c r="C218" s="106">
        <v>0</v>
      </c>
      <c r="D218" s="57" t="s">
        <v>68</v>
      </c>
      <c r="E218" s="57"/>
    </row>
    <row r="219" spans="1:5" x14ac:dyDescent="0.3">
      <c r="A219" s="164" t="s">
        <v>204</v>
      </c>
      <c r="B219" s="105" t="s">
        <v>205</v>
      </c>
      <c r="C219" s="106">
        <v>0</v>
      </c>
      <c r="D219" s="57" t="s">
        <v>68</v>
      </c>
      <c r="E219" s="57"/>
    </row>
    <row r="220" spans="1:5" x14ac:dyDescent="0.3">
      <c r="A220" s="164" t="s">
        <v>143</v>
      </c>
      <c r="B220" s="105" t="s">
        <v>144</v>
      </c>
      <c r="C220" s="106">
        <v>94</v>
      </c>
      <c r="D220" s="57" t="s">
        <v>68</v>
      </c>
      <c r="E220" s="57"/>
    </row>
    <row r="221" spans="1:5" x14ac:dyDescent="0.3">
      <c r="A221" s="164" t="s">
        <v>682</v>
      </c>
      <c r="B221" s="105" t="s">
        <v>683</v>
      </c>
      <c r="C221" s="106">
        <v>0</v>
      </c>
      <c r="D221" s="57" t="s">
        <v>68</v>
      </c>
      <c r="E221" s="57" t="s">
        <v>67</v>
      </c>
    </row>
    <row r="222" spans="1:5" x14ac:dyDescent="0.3">
      <c r="A222" s="164" t="s">
        <v>84</v>
      </c>
      <c r="B222" s="105" t="s">
        <v>85</v>
      </c>
      <c r="C222" s="106">
        <v>69</v>
      </c>
      <c r="D222" s="57" t="s">
        <v>68</v>
      </c>
      <c r="E222" s="57"/>
    </row>
    <row r="223" spans="1:5" x14ac:dyDescent="0.3">
      <c r="A223" s="164" t="s">
        <v>684</v>
      </c>
      <c r="B223" s="105" t="s">
        <v>685</v>
      </c>
      <c r="C223" s="106">
        <v>0</v>
      </c>
      <c r="D223" s="57" t="s">
        <v>68</v>
      </c>
      <c r="E223" s="57" t="s">
        <v>67</v>
      </c>
    </row>
    <row r="224" spans="1:5" x14ac:dyDescent="0.3">
      <c r="A224" s="164" t="s">
        <v>160</v>
      </c>
      <c r="B224" s="105" t="s">
        <v>161</v>
      </c>
      <c r="C224" s="106">
        <v>1</v>
      </c>
      <c r="D224" s="57" t="s">
        <v>68</v>
      </c>
      <c r="E224" s="57"/>
    </row>
    <row r="225" spans="1:5" x14ac:dyDescent="0.3">
      <c r="A225" s="164" t="s">
        <v>162</v>
      </c>
      <c r="B225" s="105" t="s">
        <v>163</v>
      </c>
      <c r="C225" s="106">
        <v>4</v>
      </c>
      <c r="D225" s="57" t="s">
        <v>68</v>
      </c>
      <c r="E225" s="57"/>
    </row>
    <row r="226" spans="1:5" x14ac:dyDescent="0.3">
      <c r="A226" s="164" t="s">
        <v>183</v>
      </c>
      <c r="B226" s="105" t="s">
        <v>184</v>
      </c>
      <c r="C226" s="106">
        <v>0</v>
      </c>
      <c r="D226" s="57" t="s">
        <v>68</v>
      </c>
      <c r="E226" s="57"/>
    </row>
    <row r="227" spans="1:5" x14ac:dyDescent="0.3">
      <c r="A227" s="164" t="s">
        <v>815</v>
      </c>
      <c r="B227" s="105" t="s">
        <v>858</v>
      </c>
      <c r="C227" s="106">
        <v>155</v>
      </c>
      <c r="D227" s="57" t="s">
        <v>68</v>
      </c>
      <c r="E227" s="57"/>
    </row>
    <row r="228" spans="1:5" x14ac:dyDescent="0.3">
      <c r="A228" s="164" t="s">
        <v>81</v>
      </c>
      <c r="B228" s="105" t="s">
        <v>82</v>
      </c>
      <c r="C228" s="106">
        <v>0</v>
      </c>
      <c r="D228" s="57" t="s">
        <v>68</v>
      </c>
      <c r="E228" s="57"/>
    </row>
    <row r="229" spans="1:5" x14ac:dyDescent="0.3">
      <c r="A229" s="164" t="s">
        <v>490</v>
      </c>
      <c r="B229" s="105" t="s">
        <v>491</v>
      </c>
      <c r="C229" s="106">
        <v>0</v>
      </c>
      <c r="D229" s="57" t="s">
        <v>68</v>
      </c>
      <c r="E229" s="57" t="s">
        <v>67</v>
      </c>
    </row>
    <row r="230" spans="1:5" x14ac:dyDescent="0.3">
      <c r="A230" s="164" t="s">
        <v>391</v>
      </c>
      <c r="B230" s="105" t="s">
        <v>392</v>
      </c>
      <c r="C230" s="106">
        <v>7</v>
      </c>
      <c r="D230" s="57" t="s">
        <v>68</v>
      </c>
      <c r="E230" s="57"/>
    </row>
    <row r="231" spans="1:5" x14ac:dyDescent="0.3">
      <c r="A231" s="164" t="s">
        <v>113</v>
      </c>
      <c r="B231" s="105" t="s">
        <v>114</v>
      </c>
      <c r="C231" s="106">
        <v>80</v>
      </c>
      <c r="D231" s="57" t="s">
        <v>68</v>
      </c>
      <c r="E231" s="57"/>
    </row>
    <row r="232" spans="1:5" x14ac:dyDescent="0.3">
      <c r="A232" s="164" t="s">
        <v>127</v>
      </c>
      <c r="B232" s="105" t="s">
        <v>128</v>
      </c>
      <c r="C232" s="106">
        <v>82</v>
      </c>
      <c r="D232" s="57" t="s">
        <v>68</v>
      </c>
      <c r="E232" s="57"/>
    </row>
    <row r="233" spans="1:5" x14ac:dyDescent="0.3">
      <c r="A233" s="164" t="s">
        <v>692</v>
      </c>
      <c r="B233" s="105" t="s">
        <v>693</v>
      </c>
      <c r="C233" s="106">
        <v>0</v>
      </c>
      <c r="D233" s="57" t="s">
        <v>68</v>
      </c>
      <c r="E233" s="57"/>
    </row>
    <row r="234" spans="1:5" x14ac:dyDescent="0.3">
      <c r="A234" s="164" t="s">
        <v>694</v>
      </c>
      <c r="B234" s="105" t="s">
        <v>695</v>
      </c>
      <c r="C234" s="106">
        <v>0</v>
      </c>
      <c r="D234" s="57" t="s">
        <v>68</v>
      </c>
      <c r="E234" s="57"/>
    </row>
    <row r="235" spans="1:5" x14ac:dyDescent="0.3">
      <c r="A235" s="164" t="s">
        <v>696</v>
      </c>
      <c r="B235" s="105" t="s">
        <v>697</v>
      </c>
      <c r="C235" s="106">
        <v>0</v>
      </c>
      <c r="D235" s="57" t="s">
        <v>68</v>
      </c>
      <c r="E235" s="57"/>
    </row>
    <row r="236" spans="1:5" x14ac:dyDescent="0.3">
      <c r="A236" s="164" t="s">
        <v>698</v>
      </c>
      <c r="B236" s="105" t="s">
        <v>699</v>
      </c>
      <c r="C236" s="106">
        <v>0</v>
      </c>
      <c r="D236" s="57" t="s">
        <v>68</v>
      </c>
      <c r="E236" s="57"/>
    </row>
    <row r="237" spans="1:5" x14ac:dyDescent="0.3">
      <c r="A237" s="164" t="s">
        <v>700</v>
      </c>
      <c r="B237" s="105" t="s">
        <v>701</v>
      </c>
      <c r="C237" s="106">
        <v>0</v>
      </c>
      <c r="D237" s="57" t="s">
        <v>68</v>
      </c>
      <c r="E237" s="57"/>
    </row>
    <row r="238" spans="1:5" x14ac:dyDescent="0.3">
      <c r="A238" s="164" t="s">
        <v>825</v>
      </c>
      <c r="B238" s="105" t="s">
        <v>826</v>
      </c>
      <c r="C238" s="106">
        <v>17</v>
      </c>
      <c r="D238" s="57" t="s">
        <v>68</v>
      </c>
      <c r="E238" s="57"/>
    </row>
    <row r="239" spans="1:5" x14ac:dyDescent="0.3">
      <c r="A239" s="164" t="s">
        <v>453</v>
      </c>
      <c r="B239" s="105" t="s">
        <v>454</v>
      </c>
      <c r="C239" s="106">
        <v>0</v>
      </c>
      <c r="D239" s="57" t="s">
        <v>68</v>
      </c>
      <c r="E239" s="57"/>
    </row>
    <row r="240" spans="1:5" x14ac:dyDescent="0.3">
      <c r="A240" s="164" t="s">
        <v>195</v>
      </c>
      <c r="B240" s="105" t="s">
        <v>196</v>
      </c>
      <c r="C240" s="106">
        <v>0</v>
      </c>
      <c r="D240" s="57" t="s">
        <v>68</v>
      </c>
      <c r="E240" s="57"/>
    </row>
    <row r="241" spans="1:5" x14ac:dyDescent="0.3">
      <c r="A241" s="164" t="s">
        <v>715</v>
      </c>
      <c r="B241" s="105" t="s">
        <v>716</v>
      </c>
      <c r="C241" s="106">
        <v>0</v>
      </c>
      <c r="D241" s="57"/>
      <c r="E241" s="57"/>
    </row>
    <row r="242" spans="1:5" x14ac:dyDescent="0.3">
      <c r="A242" s="164" t="s">
        <v>713</v>
      </c>
      <c r="B242" s="105" t="s">
        <v>714</v>
      </c>
      <c r="C242" s="106">
        <v>0</v>
      </c>
      <c r="D242" s="57"/>
      <c r="E242" s="57"/>
    </row>
    <row r="243" spans="1:5" x14ac:dyDescent="0.3">
      <c r="A243" s="164" t="s">
        <v>622</v>
      </c>
      <c r="B243" s="105" t="s">
        <v>623</v>
      </c>
      <c r="C243" s="106">
        <v>0</v>
      </c>
      <c r="D243" s="57"/>
      <c r="E243" s="57"/>
    </row>
    <row r="244" spans="1:5" x14ac:dyDescent="0.3">
      <c r="A244" s="164" t="s">
        <v>657</v>
      </c>
      <c r="B244" s="105" t="s">
        <v>702</v>
      </c>
      <c r="C244" s="106">
        <v>0</v>
      </c>
      <c r="D244" s="57"/>
      <c r="E244" s="57"/>
    </row>
    <row r="245" spans="1:5" x14ac:dyDescent="0.3">
      <c r="A245" s="164" t="s">
        <v>680</v>
      </c>
      <c r="B245" s="105" t="s">
        <v>681</v>
      </c>
      <c r="C245" s="106">
        <v>0</v>
      </c>
      <c r="D245" s="57"/>
      <c r="E245" s="57"/>
    </row>
    <row r="246" spans="1:5" x14ac:dyDescent="0.3">
      <c r="A246" s="164" t="s">
        <v>528</v>
      </c>
      <c r="B246" s="105" t="s">
        <v>529</v>
      </c>
      <c r="C246" s="106">
        <v>0</v>
      </c>
      <c r="D246" s="57"/>
      <c r="E246" s="57"/>
    </row>
    <row r="247" spans="1:5" x14ac:dyDescent="0.3">
      <c r="A247" s="164" t="s">
        <v>530</v>
      </c>
      <c r="B247" s="105" t="s">
        <v>531</v>
      </c>
      <c r="C247" s="106">
        <v>0</v>
      </c>
      <c r="D247" s="57"/>
      <c r="E247" s="57"/>
    </row>
    <row r="248" spans="1:5" x14ac:dyDescent="0.3">
      <c r="A248" s="164" t="s">
        <v>382</v>
      </c>
      <c r="B248" s="105" t="s">
        <v>383</v>
      </c>
      <c r="C248" s="106">
        <v>0</v>
      </c>
      <c r="D248" s="57"/>
      <c r="E248" s="57"/>
    </row>
    <row r="249" spans="1:5" x14ac:dyDescent="0.3">
      <c r="A249" s="164" t="s">
        <v>532</v>
      </c>
      <c r="B249" s="105" t="s">
        <v>533</v>
      </c>
      <c r="C249" s="106">
        <v>0</v>
      </c>
      <c r="D249" s="57"/>
      <c r="E249" s="57"/>
    </row>
    <row r="250" spans="1:5" x14ac:dyDescent="0.3">
      <c r="A250" s="164" t="s">
        <v>304</v>
      </c>
      <c r="B250" s="105" t="s">
        <v>305</v>
      </c>
      <c r="C250" s="106">
        <v>0</v>
      </c>
      <c r="D250" s="57"/>
      <c r="E250" s="57"/>
    </row>
    <row r="251" spans="1:5" x14ac:dyDescent="0.3">
      <c r="A251" s="164" t="s">
        <v>145</v>
      </c>
      <c r="B251" s="105" t="s">
        <v>146</v>
      </c>
      <c r="C251" s="106">
        <v>0</v>
      </c>
      <c r="D251" s="57"/>
      <c r="E251" s="57"/>
    </row>
    <row r="252" spans="1:5" x14ac:dyDescent="0.3">
      <c r="A252" s="164" t="s">
        <v>437</v>
      </c>
      <c r="B252" s="105" t="s">
        <v>438</v>
      </c>
      <c r="C252" s="106">
        <v>0</v>
      </c>
      <c r="D252" s="57"/>
      <c r="E252" s="57"/>
    </row>
    <row r="253" spans="1:5" x14ac:dyDescent="0.3">
      <c r="A253" s="164" t="s">
        <v>439</v>
      </c>
      <c r="B253" s="105" t="s">
        <v>440</v>
      </c>
      <c r="C253" s="106">
        <v>0</v>
      </c>
      <c r="D253" s="57"/>
      <c r="E253" s="57"/>
    </row>
    <row r="254" spans="1:5" x14ac:dyDescent="0.3">
      <c r="A254" s="164" t="s">
        <v>441</v>
      </c>
      <c r="B254" s="105" t="s">
        <v>442</v>
      </c>
      <c r="C254" s="106">
        <v>0</v>
      </c>
      <c r="D254" s="57"/>
      <c r="E254" s="57"/>
    </row>
    <row r="255" spans="1:5" x14ac:dyDescent="0.3">
      <c r="A255" s="164" t="s">
        <v>443</v>
      </c>
      <c r="B255" s="105" t="s">
        <v>444</v>
      </c>
      <c r="C255" s="106">
        <v>0</v>
      </c>
      <c r="D255" s="57"/>
      <c r="E255" s="57"/>
    </row>
    <row r="256" spans="1:5" x14ac:dyDescent="0.3">
      <c r="A256" s="164" t="s">
        <v>445</v>
      </c>
      <c r="B256" s="105" t="s">
        <v>446</v>
      </c>
      <c r="C256" s="106">
        <v>0</v>
      </c>
      <c r="D256" s="57"/>
      <c r="E256" s="57"/>
    </row>
    <row r="257" spans="1:5" x14ac:dyDescent="0.3">
      <c r="A257" s="164" t="s">
        <v>498</v>
      </c>
      <c r="B257" s="105" t="s">
        <v>499</v>
      </c>
      <c r="C257" s="106">
        <v>0</v>
      </c>
      <c r="D257" s="57"/>
      <c r="E257" s="57"/>
    </row>
    <row r="258" spans="1:5" x14ac:dyDescent="0.3">
      <c r="A258" s="164" t="s">
        <v>686</v>
      </c>
      <c r="B258" s="105" t="s">
        <v>687</v>
      </c>
      <c r="C258" s="106">
        <v>0</v>
      </c>
      <c r="D258" s="57"/>
      <c r="E258" s="57"/>
    </row>
    <row r="259" spans="1:5" x14ac:dyDescent="0.3">
      <c r="A259" s="164" t="s">
        <v>688</v>
      </c>
      <c r="B259" s="105" t="s">
        <v>689</v>
      </c>
      <c r="C259" s="106">
        <v>0</v>
      </c>
      <c r="D259" s="57"/>
      <c r="E259" s="57"/>
    </row>
    <row r="260" spans="1:5" x14ac:dyDescent="0.3">
      <c r="A260" s="164" t="s">
        <v>534</v>
      </c>
      <c r="B260" s="105" t="s">
        <v>535</v>
      </c>
      <c r="C260" s="106">
        <v>0</v>
      </c>
      <c r="D260" s="57"/>
      <c r="E260" s="57"/>
    </row>
    <row r="261" spans="1:5" x14ac:dyDescent="0.3">
      <c r="A261" s="164" t="s">
        <v>860</v>
      </c>
      <c r="B261" s="105" t="s">
        <v>352</v>
      </c>
      <c r="C261" s="106">
        <v>0</v>
      </c>
      <c r="D261" s="57"/>
      <c r="E261" s="57"/>
    </row>
    <row r="57581" spans="1:5" x14ac:dyDescent="0.3">
      <c r="E57581" s="51"/>
    </row>
    <row r="57582" spans="1:5" x14ac:dyDescent="0.3">
      <c r="A57582" s="17">
        <v>1</v>
      </c>
      <c r="B57582" s="17" t="s">
        <v>20</v>
      </c>
      <c r="C57582" s="56"/>
      <c r="D57582" s="51"/>
      <c r="E57582" s="51"/>
    </row>
    <row r="57583" spans="1:5" x14ac:dyDescent="0.3">
      <c r="A57583" s="17">
        <v>2</v>
      </c>
      <c r="B57583" s="17" t="s">
        <v>19</v>
      </c>
      <c r="C57583" s="56"/>
      <c r="D57583" s="51"/>
      <c r="E57583" s="51"/>
    </row>
    <row r="57584" spans="1:5" x14ac:dyDescent="0.3">
      <c r="A57584" s="17">
        <v>3</v>
      </c>
      <c r="B57584" s="17" t="s">
        <v>21</v>
      </c>
      <c r="C57584" s="56"/>
      <c r="D57584" s="51"/>
      <c r="E57584" s="51"/>
    </row>
    <row r="57585" spans="1:5" x14ac:dyDescent="0.3">
      <c r="A57585" s="17">
        <v>4</v>
      </c>
      <c r="B57585" s="17" t="s">
        <v>22</v>
      </c>
      <c r="C57585" s="56"/>
      <c r="D57585" s="51"/>
      <c r="E57585" s="51"/>
    </row>
    <row r="57586" spans="1:5" x14ac:dyDescent="0.3">
      <c r="A57586" s="17">
        <v>5</v>
      </c>
      <c r="B57586" s="17" t="s">
        <v>23</v>
      </c>
      <c r="C57586" s="56"/>
      <c r="D57586" s="51"/>
      <c r="E57586" s="51"/>
    </row>
    <row r="57587" spans="1:5" x14ac:dyDescent="0.3">
      <c r="A57587" s="17">
        <v>6</v>
      </c>
      <c r="B57587" s="17" t="s">
        <v>24</v>
      </c>
      <c r="C57587" s="56"/>
      <c r="D57587" s="51"/>
      <c r="E57587" s="51"/>
    </row>
    <row r="57588" spans="1:5" x14ac:dyDescent="0.3">
      <c r="A57588" s="17">
        <v>7</v>
      </c>
      <c r="B57588" s="17" t="s">
        <v>27</v>
      </c>
      <c r="C57588" s="56"/>
      <c r="D57588" s="51"/>
    </row>
    <row r="58597" spans="1:2" x14ac:dyDescent="0.3">
      <c r="A58597" s="51"/>
      <c r="B58597" s="51"/>
    </row>
    <row r="58598" spans="1:2" x14ac:dyDescent="0.3">
      <c r="A58598" s="51"/>
      <c r="B58598" s="51"/>
    </row>
    <row r="58599" spans="1:2" x14ac:dyDescent="0.3">
      <c r="A58599" s="51"/>
      <c r="B58599" s="51"/>
    </row>
    <row r="58600" spans="1:2" x14ac:dyDescent="0.3">
      <c r="A58600" s="51"/>
      <c r="B58600" s="51"/>
    </row>
    <row r="58601" spans="1:2" x14ac:dyDescent="0.3">
      <c r="A58601" s="51"/>
      <c r="B58601" s="51"/>
    </row>
    <row r="58602" spans="1:2" x14ac:dyDescent="0.3">
      <c r="A58602" s="51"/>
      <c r="B58602" s="51"/>
    </row>
    <row r="58603" spans="1:2" x14ac:dyDescent="0.3">
      <c r="A58603" s="51"/>
      <c r="B58603" s="51"/>
    </row>
  </sheetData>
  <sortState xmlns:xlrd2="http://schemas.microsoft.com/office/spreadsheetml/2017/richdata2" ref="A3:E261">
    <sortCondition descending="1" ref="D3:D261"/>
  </sortState>
  <phoneticPr fontId="2"/>
  <pageMargins left="0.78740157480314965" right="0" top="0.78740157480314965" bottom="0.39370078740157483" header="0.51181102362204722" footer="0.51181102362204722"/>
  <pageSetup paperSize="9" scale="80" fitToHeight="4"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24"/>
    <pageSetUpPr fitToPage="1"/>
  </sheetPr>
  <dimension ref="A1:E39033"/>
  <sheetViews>
    <sheetView view="pageBreakPreview" zoomScale="40" zoomScaleNormal="40" zoomScaleSheetLayoutView="40" workbookViewId="0">
      <pane ySplit="2" topLeftCell="A46" activePane="bottomLeft" state="frozen"/>
      <selection pane="bottomLeft" activeCell="A95" sqref="A95:XFD140"/>
    </sheetView>
  </sheetViews>
  <sheetFormatPr defaultColWidth="36.625" defaultRowHeight="42" x14ac:dyDescent="0.4"/>
  <cols>
    <col min="1" max="1" width="25.625" style="101" customWidth="1"/>
    <col min="2" max="2" width="86.5" style="101" customWidth="1"/>
    <col min="3" max="3" width="9.875" style="102" customWidth="1"/>
    <col min="4" max="4" width="18.625" style="101" customWidth="1"/>
    <col min="5" max="5" width="5.5" style="17" customWidth="1"/>
    <col min="6" max="16384" width="36.625" style="51"/>
  </cols>
  <sheetData>
    <row r="1" spans="1:5" x14ac:dyDescent="0.3">
      <c r="A1" s="95"/>
      <c r="B1" s="96" t="s">
        <v>379</v>
      </c>
      <c r="C1" s="97"/>
      <c r="D1" s="98">
        <f ca="1">TODAY()</f>
        <v>45838</v>
      </c>
      <c r="E1" s="50"/>
    </row>
    <row r="2" spans="1:5" ht="40.5" customHeight="1" x14ac:dyDescent="0.4">
      <c r="A2" s="93" t="s">
        <v>16</v>
      </c>
      <c r="B2" s="93" t="s">
        <v>17</v>
      </c>
      <c r="C2" s="99" t="s">
        <v>26</v>
      </c>
      <c r="D2" s="100" t="str">
        <f ca="1">VLOOKUP(E2,$A$37691:$B$39895,2,0)</f>
        <v>月</v>
      </c>
      <c r="E2" s="54">
        <f ca="1">WEEKDAY(D1)</f>
        <v>2</v>
      </c>
    </row>
    <row r="3" spans="1:5" ht="39.6" customHeight="1" x14ac:dyDescent="0.3">
      <c r="A3" s="164" t="s">
        <v>650</v>
      </c>
      <c r="B3" s="105" t="s">
        <v>651</v>
      </c>
      <c r="C3" s="106">
        <v>0</v>
      </c>
      <c r="D3" s="57"/>
      <c r="E3" s="57"/>
    </row>
    <row r="4" spans="1:5" ht="39.6" customHeight="1" x14ac:dyDescent="0.3">
      <c r="A4" s="164" t="s">
        <v>791</v>
      </c>
      <c r="B4" s="105" t="s">
        <v>792</v>
      </c>
      <c r="C4" s="106">
        <v>20</v>
      </c>
      <c r="D4" s="57"/>
      <c r="E4" s="57"/>
    </row>
    <row r="5" spans="1:5" ht="39.6" customHeight="1" x14ac:dyDescent="0.3">
      <c r="A5" s="164" t="s">
        <v>572</v>
      </c>
      <c r="B5" s="105" t="s">
        <v>573</v>
      </c>
      <c r="C5" s="106">
        <v>21</v>
      </c>
      <c r="D5" s="57"/>
      <c r="E5" s="57"/>
    </row>
    <row r="6" spans="1:5" ht="39.6" customHeight="1" x14ac:dyDescent="0.3">
      <c r="A6" s="164" t="s">
        <v>734</v>
      </c>
      <c r="B6" s="105" t="s">
        <v>735</v>
      </c>
      <c r="C6" s="106">
        <v>0</v>
      </c>
      <c r="D6" s="57"/>
      <c r="E6" s="57"/>
    </row>
    <row r="7" spans="1:5" ht="39.6" customHeight="1" x14ac:dyDescent="0.3">
      <c r="A7" s="164" t="s">
        <v>816</v>
      </c>
      <c r="B7" s="105" t="s">
        <v>817</v>
      </c>
      <c r="C7" s="106">
        <v>9</v>
      </c>
      <c r="D7" s="57"/>
      <c r="E7" s="57"/>
    </row>
    <row r="8" spans="1:5" ht="39.6" customHeight="1" x14ac:dyDescent="0.3">
      <c r="A8" s="164" t="s">
        <v>793</v>
      </c>
      <c r="B8" s="105" t="s">
        <v>794</v>
      </c>
      <c r="C8" s="106">
        <v>0</v>
      </c>
      <c r="D8" s="57"/>
      <c r="E8" s="57"/>
    </row>
    <row r="9" spans="1:5" ht="39.6" customHeight="1" x14ac:dyDescent="0.3">
      <c r="A9" s="164" t="s">
        <v>494</v>
      </c>
      <c r="B9" s="105" t="s">
        <v>495</v>
      </c>
      <c r="C9" s="106">
        <v>3</v>
      </c>
      <c r="D9" s="57"/>
      <c r="E9" s="57"/>
    </row>
    <row r="10" spans="1:5" ht="39.6" customHeight="1" x14ac:dyDescent="0.3">
      <c r="A10" s="164" t="s">
        <v>827</v>
      </c>
      <c r="B10" s="105" t="s">
        <v>828</v>
      </c>
      <c r="C10" s="106">
        <v>0</v>
      </c>
      <c r="D10" s="57"/>
      <c r="E10" s="57"/>
    </row>
    <row r="11" spans="1:5" ht="39.6" customHeight="1" x14ac:dyDescent="0.3">
      <c r="A11" s="164" t="s">
        <v>797</v>
      </c>
      <c r="B11" s="105" t="s">
        <v>798</v>
      </c>
      <c r="C11" s="106">
        <v>16</v>
      </c>
      <c r="D11" s="57"/>
      <c r="E11" s="57"/>
    </row>
    <row r="12" spans="1:5" ht="39.6" customHeight="1" x14ac:dyDescent="0.3">
      <c r="A12" s="164" t="s">
        <v>562</v>
      </c>
      <c r="B12" s="105" t="s">
        <v>563</v>
      </c>
      <c r="C12" s="106">
        <v>30</v>
      </c>
      <c r="D12" s="57"/>
      <c r="E12" s="57"/>
    </row>
    <row r="13" spans="1:5" ht="39.6" customHeight="1" x14ac:dyDescent="0.3">
      <c r="A13" s="164" t="s">
        <v>736</v>
      </c>
      <c r="B13" s="105" t="s">
        <v>737</v>
      </c>
      <c r="C13" s="106">
        <v>8</v>
      </c>
      <c r="D13" s="57"/>
      <c r="E13" s="57"/>
    </row>
    <row r="14" spans="1:5" ht="39.6" customHeight="1" x14ac:dyDescent="0.3">
      <c r="A14" s="164" t="s">
        <v>852</v>
      </c>
      <c r="B14" s="105" t="s">
        <v>853</v>
      </c>
      <c r="C14" s="106">
        <v>0</v>
      </c>
      <c r="D14" s="57"/>
      <c r="E14" s="57"/>
    </row>
    <row r="15" spans="1:5" ht="39.6" customHeight="1" x14ac:dyDescent="0.3">
      <c r="A15" s="164" t="s">
        <v>564</v>
      </c>
      <c r="B15" s="105" t="s">
        <v>565</v>
      </c>
      <c r="C15" s="106">
        <v>7</v>
      </c>
      <c r="D15" s="57"/>
      <c r="E15" s="57"/>
    </row>
    <row r="16" spans="1:5" ht="39.6" customHeight="1" x14ac:dyDescent="0.3">
      <c r="A16" s="164" t="s">
        <v>830</v>
      </c>
      <c r="B16" s="105" t="s">
        <v>855</v>
      </c>
      <c r="C16" s="106">
        <v>14</v>
      </c>
      <c r="D16" s="57"/>
      <c r="E16" s="57"/>
    </row>
    <row r="17" spans="1:5" ht="39.6" customHeight="1" x14ac:dyDescent="0.3">
      <c r="A17" s="164" t="s">
        <v>820</v>
      </c>
      <c r="B17" s="105" t="s">
        <v>837</v>
      </c>
      <c r="C17" s="106">
        <v>5</v>
      </c>
      <c r="D17" s="57"/>
      <c r="E17" s="57"/>
    </row>
    <row r="18" spans="1:5" ht="39.6" customHeight="1" x14ac:dyDescent="0.3">
      <c r="A18" s="164" t="s">
        <v>485</v>
      </c>
      <c r="B18" s="105" t="s">
        <v>859</v>
      </c>
      <c r="C18" s="106">
        <v>37</v>
      </c>
      <c r="D18" s="57"/>
      <c r="E18" s="57"/>
    </row>
    <row r="19" spans="1:5" ht="39.6" customHeight="1" x14ac:dyDescent="0.3">
      <c r="A19" s="164" t="s">
        <v>673</v>
      </c>
      <c r="B19" s="105" t="s">
        <v>871</v>
      </c>
      <c r="C19" s="106">
        <v>0</v>
      </c>
      <c r="D19" s="57"/>
      <c r="E19" s="57"/>
    </row>
    <row r="20" spans="1:5" ht="39.6" customHeight="1" x14ac:dyDescent="0.3">
      <c r="A20" s="164" t="s">
        <v>877</v>
      </c>
      <c r="B20" s="105" t="s">
        <v>878</v>
      </c>
      <c r="C20" s="106">
        <v>0</v>
      </c>
      <c r="D20" s="57"/>
      <c r="E20" s="57"/>
    </row>
    <row r="21" spans="1:5" ht="39.6" customHeight="1" x14ac:dyDescent="0.3">
      <c r="A21" s="164" t="s">
        <v>739</v>
      </c>
      <c r="B21" s="105" t="s">
        <v>873</v>
      </c>
      <c r="C21" s="106">
        <v>9</v>
      </c>
      <c r="D21" s="57"/>
      <c r="E21" s="57"/>
    </row>
    <row r="22" spans="1:5" ht="39.6" customHeight="1" x14ac:dyDescent="0.3">
      <c r="A22" s="164" t="s">
        <v>544</v>
      </c>
      <c r="B22" s="105" t="s">
        <v>545</v>
      </c>
      <c r="C22" s="106">
        <v>25</v>
      </c>
      <c r="D22" s="57"/>
      <c r="E22" s="57"/>
    </row>
    <row r="23" spans="1:5" ht="39.6" customHeight="1" x14ac:dyDescent="0.3">
      <c r="A23" s="164" t="s">
        <v>521</v>
      </c>
      <c r="B23" s="105" t="s">
        <v>522</v>
      </c>
      <c r="C23" s="106">
        <v>131</v>
      </c>
      <c r="D23" s="57"/>
      <c r="E23" s="57"/>
    </row>
    <row r="24" spans="1:5" ht="39.6" customHeight="1" x14ac:dyDescent="0.3">
      <c r="A24" s="164" t="s">
        <v>848</v>
      </c>
      <c r="B24" s="105" t="s">
        <v>849</v>
      </c>
      <c r="C24" s="106">
        <v>10</v>
      </c>
      <c r="D24" s="57"/>
      <c r="E24" s="57"/>
    </row>
    <row r="25" spans="1:5" ht="39.6" customHeight="1" x14ac:dyDescent="0.3">
      <c r="A25" s="164" t="s">
        <v>740</v>
      </c>
      <c r="B25" s="105" t="s">
        <v>741</v>
      </c>
      <c r="C25" s="106">
        <v>45</v>
      </c>
      <c r="D25" s="57"/>
      <c r="E25" s="57"/>
    </row>
    <row r="26" spans="1:5" ht="39.6" customHeight="1" x14ac:dyDescent="0.3">
      <c r="A26" s="164" t="s">
        <v>523</v>
      </c>
      <c r="B26" s="105" t="s">
        <v>524</v>
      </c>
      <c r="C26" s="106">
        <v>52</v>
      </c>
      <c r="D26" s="57"/>
      <c r="E26" s="57"/>
    </row>
    <row r="27" spans="1:5" ht="39.6" customHeight="1" x14ac:dyDescent="0.3">
      <c r="A27" s="164" t="s">
        <v>509</v>
      </c>
      <c r="B27" s="105" t="s">
        <v>510</v>
      </c>
      <c r="C27" s="106">
        <v>164</v>
      </c>
      <c r="D27" s="57"/>
      <c r="E27" s="57"/>
    </row>
    <row r="28" spans="1:5" ht="39.6" customHeight="1" x14ac:dyDescent="0.3">
      <c r="A28" s="164" t="s">
        <v>725</v>
      </c>
      <c r="B28" s="105" t="s">
        <v>726</v>
      </c>
      <c r="C28" s="106">
        <v>9</v>
      </c>
      <c r="D28" s="57"/>
      <c r="E28" s="57"/>
    </row>
    <row r="29" spans="1:5" ht="39.6" customHeight="1" x14ac:dyDescent="0.3">
      <c r="A29" s="164" t="s">
        <v>831</v>
      </c>
      <c r="B29" s="105" t="s">
        <v>832</v>
      </c>
      <c r="C29" s="106">
        <v>0</v>
      </c>
      <c r="D29" s="57"/>
      <c r="E29" s="57"/>
    </row>
    <row r="30" spans="1:5" ht="39.6" customHeight="1" x14ac:dyDescent="0.3">
      <c r="A30" s="164" t="s">
        <v>665</v>
      </c>
      <c r="B30" s="105" t="s">
        <v>666</v>
      </c>
      <c r="C30" s="106">
        <v>88</v>
      </c>
      <c r="D30" s="57"/>
      <c r="E30" s="57"/>
    </row>
    <row r="31" spans="1:5" ht="39.6" customHeight="1" x14ac:dyDescent="0.3">
      <c r="A31" s="164" t="s">
        <v>220</v>
      </c>
      <c r="B31" s="105" t="s">
        <v>300</v>
      </c>
      <c r="C31" s="106">
        <v>3</v>
      </c>
      <c r="D31" s="57"/>
      <c r="E31" s="57"/>
    </row>
    <row r="32" spans="1:5" ht="39.6" customHeight="1" x14ac:dyDescent="0.3">
      <c r="A32" s="164" t="s">
        <v>807</v>
      </c>
      <c r="B32" s="105" t="s">
        <v>808</v>
      </c>
      <c r="C32" s="106">
        <v>2</v>
      </c>
      <c r="D32" s="57"/>
      <c r="E32" s="57"/>
    </row>
    <row r="33" spans="1:5" ht="39.6" customHeight="1" x14ac:dyDescent="0.3">
      <c r="A33" s="164" t="s">
        <v>717</v>
      </c>
      <c r="B33" s="105" t="s">
        <v>718</v>
      </c>
      <c r="C33" s="106">
        <v>21</v>
      </c>
      <c r="D33" s="57"/>
      <c r="E33" s="57"/>
    </row>
    <row r="34" spans="1:5" ht="39.6" customHeight="1" x14ac:dyDescent="0.3">
      <c r="A34" s="164" t="s">
        <v>505</v>
      </c>
      <c r="B34" s="105" t="s">
        <v>506</v>
      </c>
      <c r="C34" s="106">
        <v>67</v>
      </c>
      <c r="D34" s="57"/>
      <c r="E34" s="57"/>
    </row>
    <row r="35" spans="1:5" ht="39.6" customHeight="1" x14ac:dyDescent="0.3">
      <c r="A35" s="164" t="s">
        <v>568</v>
      </c>
      <c r="B35" s="105" t="s">
        <v>569</v>
      </c>
      <c r="C35" s="106">
        <v>14</v>
      </c>
      <c r="D35" s="57"/>
      <c r="E35" s="57"/>
    </row>
    <row r="36" spans="1:5" ht="39.6" customHeight="1" x14ac:dyDescent="0.3">
      <c r="A36" s="164" t="s">
        <v>477</v>
      </c>
      <c r="B36" s="105" t="s">
        <v>478</v>
      </c>
      <c r="C36" s="106">
        <v>6</v>
      </c>
      <c r="D36" s="57"/>
      <c r="E36" s="57"/>
    </row>
    <row r="37" spans="1:5" ht="39.6" customHeight="1" x14ac:dyDescent="0.3">
      <c r="A37" s="164" t="s">
        <v>811</v>
      </c>
      <c r="B37" s="105" t="s">
        <v>812</v>
      </c>
      <c r="C37" s="106">
        <v>19</v>
      </c>
      <c r="D37" s="57"/>
      <c r="E37" s="57"/>
    </row>
    <row r="38" spans="1:5" ht="39.6" customHeight="1" x14ac:dyDescent="0.3">
      <c r="A38" s="164" t="s">
        <v>187</v>
      </c>
      <c r="B38" s="105" t="s">
        <v>216</v>
      </c>
      <c r="C38" s="106">
        <v>65</v>
      </c>
      <c r="D38" s="57"/>
      <c r="E38" s="57"/>
    </row>
    <row r="39" spans="1:5" ht="39.6" customHeight="1" x14ac:dyDescent="0.3">
      <c r="A39" s="164" t="s">
        <v>833</v>
      </c>
      <c r="B39" s="105" t="s">
        <v>834</v>
      </c>
      <c r="C39" s="106">
        <v>38</v>
      </c>
      <c r="D39" s="57"/>
      <c r="E39" s="57"/>
    </row>
    <row r="40" spans="1:5" ht="39.6" customHeight="1" x14ac:dyDescent="0.3">
      <c r="A40" s="164" t="s">
        <v>803</v>
      </c>
      <c r="B40" s="105" t="s">
        <v>804</v>
      </c>
      <c r="C40" s="106">
        <v>8</v>
      </c>
      <c r="D40" s="57"/>
      <c r="E40" s="57"/>
    </row>
    <row r="41" spans="1:5" ht="39.6" customHeight="1" x14ac:dyDescent="0.3">
      <c r="A41" s="164" t="s">
        <v>630</v>
      </c>
      <c r="B41" s="105" t="s">
        <v>631</v>
      </c>
      <c r="C41" s="106">
        <v>0</v>
      </c>
      <c r="D41" s="57"/>
      <c r="E41" s="57"/>
    </row>
    <row r="42" spans="1:5" ht="39.6" customHeight="1" x14ac:dyDescent="0.3">
      <c r="A42" s="164" t="s">
        <v>116</v>
      </c>
      <c r="B42" s="105" t="s">
        <v>130</v>
      </c>
      <c r="C42" s="106">
        <v>0</v>
      </c>
      <c r="D42" s="57"/>
      <c r="E42" s="57"/>
    </row>
    <row r="43" spans="1:5" ht="39.6" customHeight="1" x14ac:dyDescent="0.3">
      <c r="A43" s="164" t="s">
        <v>226</v>
      </c>
      <c r="B43" s="105" t="s">
        <v>227</v>
      </c>
      <c r="C43" s="106">
        <v>54</v>
      </c>
      <c r="D43" s="57"/>
      <c r="E43" s="57"/>
    </row>
    <row r="44" spans="1:5" ht="39.6" customHeight="1" x14ac:dyDescent="0.3">
      <c r="A44" s="164" t="s">
        <v>393</v>
      </c>
      <c r="B44" s="105" t="s">
        <v>394</v>
      </c>
      <c r="C44" s="106">
        <v>252</v>
      </c>
      <c r="D44" s="57"/>
      <c r="E44" s="57"/>
    </row>
    <row r="45" spans="1:5" ht="39.6" customHeight="1" x14ac:dyDescent="0.3">
      <c r="A45" s="164" t="s">
        <v>310</v>
      </c>
      <c r="B45" s="105" t="s">
        <v>311</v>
      </c>
      <c r="C45" s="106">
        <v>11</v>
      </c>
      <c r="D45" s="57"/>
      <c r="E45" s="57"/>
    </row>
    <row r="46" spans="1:5" ht="39.6" customHeight="1" x14ac:dyDescent="0.3">
      <c r="A46" s="164" t="s">
        <v>399</v>
      </c>
      <c r="B46" s="105" t="s">
        <v>400</v>
      </c>
      <c r="C46" s="106">
        <v>155</v>
      </c>
      <c r="D46" s="57"/>
      <c r="E46" s="57"/>
    </row>
    <row r="47" spans="1:5" ht="39.6" customHeight="1" x14ac:dyDescent="0.3">
      <c r="A47" s="164" t="s">
        <v>463</v>
      </c>
      <c r="B47" s="105" t="s">
        <v>464</v>
      </c>
      <c r="C47" s="106">
        <v>13</v>
      </c>
      <c r="D47" s="57"/>
      <c r="E47" s="57"/>
    </row>
    <row r="48" spans="1:5" ht="39.6" customHeight="1" x14ac:dyDescent="0.3">
      <c r="A48" s="164" t="s">
        <v>218</v>
      </c>
      <c r="B48" s="105" t="s">
        <v>219</v>
      </c>
      <c r="C48" s="106">
        <v>40</v>
      </c>
      <c r="D48" s="57"/>
      <c r="E48" s="57"/>
    </row>
    <row r="49" spans="1:5" ht="39.6" customHeight="1" x14ac:dyDescent="0.3">
      <c r="A49" s="164" t="s">
        <v>667</v>
      </c>
      <c r="B49" s="105" t="s">
        <v>668</v>
      </c>
      <c r="C49" s="106">
        <v>4</v>
      </c>
      <c r="D49" s="57"/>
      <c r="E49" s="57"/>
    </row>
    <row r="50" spans="1:5" ht="39.6" customHeight="1" x14ac:dyDescent="0.3">
      <c r="A50" s="164" t="s">
        <v>662</v>
      </c>
      <c r="B50" s="105" t="s">
        <v>663</v>
      </c>
      <c r="C50" s="106">
        <v>2</v>
      </c>
      <c r="D50" s="57"/>
      <c r="E50" s="57"/>
    </row>
    <row r="51" spans="1:5" ht="39.6" customHeight="1" x14ac:dyDescent="0.3">
      <c r="A51" s="164" t="s">
        <v>209</v>
      </c>
      <c r="B51" s="105" t="s">
        <v>210</v>
      </c>
      <c r="C51" s="106">
        <v>21</v>
      </c>
      <c r="D51" s="57"/>
      <c r="E51" s="57"/>
    </row>
    <row r="52" spans="1:5" ht="39.6" customHeight="1" x14ac:dyDescent="0.3">
      <c r="A52" s="164" t="s">
        <v>835</v>
      </c>
      <c r="B52" s="105" t="s">
        <v>836</v>
      </c>
      <c r="C52" s="106">
        <v>21</v>
      </c>
      <c r="D52" s="57"/>
      <c r="E52" s="57"/>
    </row>
    <row r="53" spans="1:5" ht="39.6" customHeight="1" x14ac:dyDescent="0.3">
      <c r="A53" s="164" t="s">
        <v>228</v>
      </c>
      <c r="B53" s="105" t="s">
        <v>229</v>
      </c>
      <c r="C53" s="106">
        <v>15</v>
      </c>
      <c r="D53" s="57"/>
      <c r="E53" s="57"/>
    </row>
    <row r="54" spans="1:5" ht="39.6" customHeight="1" x14ac:dyDescent="0.3">
      <c r="A54" s="164" t="s">
        <v>124</v>
      </c>
      <c r="B54" s="105" t="s">
        <v>125</v>
      </c>
      <c r="C54" s="106">
        <v>20</v>
      </c>
      <c r="D54" s="57"/>
      <c r="E54" s="57"/>
    </row>
    <row r="55" spans="1:5" ht="39.6" customHeight="1" x14ac:dyDescent="0.3">
      <c r="A55" s="164" t="s">
        <v>369</v>
      </c>
      <c r="B55" s="105" t="s">
        <v>370</v>
      </c>
      <c r="C55" s="106">
        <v>15</v>
      </c>
      <c r="D55" s="57"/>
      <c r="E55" s="57"/>
    </row>
    <row r="56" spans="1:5" ht="39.6" customHeight="1" x14ac:dyDescent="0.3">
      <c r="A56" s="164" t="s">
        <v>850</v>
      </c>
      <c r="B56" s="105" t="s">
        <v>851</v>
      </c>
      <c r="C56" s="106">
        <v>10</v>
      </c>
      <c r="D56" s="57"/>
      <c r="E56" s="57"/>
    </row>
    <row r="57" spans="1:5" ht="39.6" customHeight="1" x14ac:dyDescent="0.3">
      <c r="A57" s="164" t="s">
        <v>801</v>
      </c>
      <c r="B57" s="105" t="s">
        <v>802</v>
      </c>
      <c r="C57" s="106">
        <v>0</v>
      </c>
      <c r="D57" s="57"/>
      <c r="E57" s="57"/>
    </row>
    <row r="58" spans="1:5" ht="39.6" customHeight="1" x14ac:dyDescent="0.3">
      <c r="A58" s="164" t="s">
        <v>744</v>
      </c>
      <c r="B58" s="105" t="s">
        <v>745</v>
      </c>
      <c r="C58" s="106">
        <v>13</v>
      </c>
      <c r="D58" s="57"/>
      <c r="E58" s="57"/>
    </row>
    <row r="59" spans="1:5" ht="39.6" customHeight="1" x14ac:dyDescent="0.3">
      <c r="A59" s="164" t="s">
        <v>806</v>
      </c>
      <c r="B59" s="105" t="s">
        <v>810</v>
      </c>
      <c r="C59" s="106">
        <v>1</v>
      </c>
      <c r="D59" s="57"/>
      <c r="E59" s="57"/>
    </row>
    <row r="60" spans="1:5" ht="39.6" customHeight="1" x14ac:dyDescent="0.3">
      <c r="A60" s="164" t="s">
        <v>575</v>
      </c>
      <c r="B60" s="105" t="s">
        <v>576</v>
      </c>
      <c r="C60" s="106">
        <v>9</v>
      </c>
      <c r="D60" s="57"/>
      <c r="E60" s="57"/>
    </row>
    <row r="61" spans="1:5" ht="39.6" customHeight="1" x14ac:dyDescent="0.3">
      <c r="A61" s="164" t="s">
        <v>818</v>
      </c>
      <c r="B61" s="105" t="s">
        <v>819</v>
      </c>
      <c r="C61" s="106">
        <v>27</v>
      </c>
      <c r="D61" s="57"/>
      <c r="E61" s="57"/>
    </row>
    <row r="62" spans="1:5" ht="39.6" customHeight="1" x14ac:dyDescent="0.3">
      <c r="A62" s="164" t="s">
        <v>660</v>
      </c>
      <c r="B62" s="105" t="s">
        <v>661</v>
      </c>
      <c r="C62" s="106">
        <v>5</v>
      </c>
      <c r="D62" s="57"/>
      <c r="E62" s="57"/>
    </row>
    <row r="63" spans="1:5" ht="39.6" customHeight="1" x14ac:dyDescent="0.3">
      <c r="A63" s="164" t="s">
        <v>712</v>
      </c>
      <c r="B63" s="105" t="s">
        <v>782</v>
      </c>
      <c r="C63" s="106">
        <v>27</v>
      </c>
      <c r="D63" s="57"/>
      <c r="E63" s="57"/>
    </row>
    <row r="64" spans="1:5" ht="39.6" customHeight="1" x14ac:dyDescent="0.3">
      <c r="A64" s="164" t="s">
        <v>746</v>
      </c>
      <c r="B64" s="105" t="s">
        <v>747</v>
      </c>
      <c r="C64" s="106">
        <v>60</v>
      </c>
      <c r="D64" s="57"/>
      <c r="E64" s="57"/>
    </row>
    <row r="65" spans="1:5" ht="39.6" customHeight="1" x14ac:dyDescent="0.3">
      <c r="A65" s="164" t="s">
        <v>189</v>
      </c>
      <c r="B65" s="105" t="s">
        <v>190</v>
      </c>
      <c r="C65" s="106">
        <v>145</v>
      </c>
      <c r="D65" s="57"/>
      <c r="E65" s="57"/>
    </row>
    <row r="66" spans="1:5" ht="39.6" customHeight="1" x14ac:dyDescent="0.3">
      <c r="A66" s="164" t="s">
        <v>748</v>
      </c>
      <c r="B66" s="105" t="s">
        <v>749</v>
      </c>
      <c r="C66" s="106">
        <v>100</v>
      </c>
      <c r="D66" s="57"/>
      <c r="E66" s="57"/>
    </row>
    <row r="67" spans="1:5" ht="39.6" customHeight="1" x14ac:dyDescent="0.3">
      <c r="A67" s="164" t="s">
        <v>582</v>
      </c>
      <c r="B67" s="105" t="s">
        <v>583</v>
      </c>
      <c r="C67" s="106">
        <v>0</v>
      </c>
      <c r="D67" s="57"/>
      <c r="E67" s="57"/>
    </row>
    <row r="68" spans="1:5" ht="39.6" customHeight="1" x14ac:dyDescent="0.3">
      <c r="A68" s="164" t="s">
        <v>750</v>
      </c>
      <c r="B68" s="105" t="s">
        <v>751</v>
      </c>
      <c r="C68" s="106">
        <v>8</v>
      </c>
      <c r="D68" s="57"/>
      <c r="E68" s="57"/>
    </row>
    <row r="69" spans="1:5" ht="39.6" customHeight="1" x14ac:dyDescent="0.3">
      <c r="A69" s="164" t="s">
        <v>752</v>
      </c>
      <c r="B69" s="105" t="s">
        <v>753</v>
      </c>
      <c r="C69" s="106">
        <v>4</v>
      </c>
      <c r="D69" s="57"/>
      <c r="E69" s="57"/>
    </row>
    <row r="70" spans="1:5" ht="39.6" customHeight="1" x14ac:dyDescent="0.3">
      <c r="A70" s="164" t="s">
        <v>865</v>
      </c>
      <c r="B70" s="105" t="s">
        <v>866</v>
      </c>
      <c r="C70" s="106">
        <v>0</v>
      </c>
      <c r="D70" s="57"/>
      <c r="E70" s="57"/>
    </row>
    <row r="71" spans="1:5" ht="39.6" customHeight="1" x14ac:dyDescent="0.3">
      <c r="A71" s="164" t="s">
        <v>577</v>
      </c>
      <c r="B71" s="105" t="s">
        <v>578</v>
      </c>
      <c r="C71" s="106">
        <v>30</v>
      </c>
      <c r="D71" s="57"/>
      <c r="E71" s="57"/>
    </row>
    <row r="72" spans="1:5" ht="39.6" customHeight="1" x14ac:dyDescent="0.3">
      <c r="A72" s="164" t="s">
        <v>624</v>
      </c>
      <c r="B72" s="105" t="s">
        <v>625</v>
      </c>
      <c r="C72" s="106">
        <v>22</v>
      </c>
      <c r="D72" s="57"/>
      <c r="E72" s="57"/>
    </row>
    <row r="73" spans="1:5" ht="39.6" customHeight="1" x14ac:dyDescent="0.3">
      <c r="A73" s="164" t="s">
        <v>507</v>
      </c>
      <c r="B73" s="105" t="s">
        <v>508</v>
      </c>
      <c r="C73" s="106">
        <v>53</v>
      </c>
      <c r="D73" s="57"/>
      <c r="E73" s="57"/>
    </row>
    <row r="74" spans="1:5" ht="39.6" customHeight="1" x14ac:dyDescent="0.3">
      <c r="A74" s="164" t="s">
        <v>703</v>
      </c>
      <c r="B74" s="105" t="s">
        <v>727</v>
      </c>
      <c r="C74" s="106">
        <v>8</v>
      </c>
      <c r="D74" s="57"/>
      <c r="E74" s="57"/>
    </row>
    <row r="75" spans="1:5" ht="39.6" customHeight="1" x14ac:dyDescent="0.3">
      <c r="A75" s="164" t="s">
        <v>728</v>
      </c>
      <c r="B75" s="105" t="s">
        <v>729</v>
      </c>
      <c r="C75" s="106">
        <v>19</v>
      </c>
      <c r="D75" s="57"/>
      <c r="E75" s="57"/>
    </row>
    <row r="76" spans="1:5" ht="39.6" customHeight="1" x14ac:dyDescent="0.3">
      <c r="A76" s="164" t="s">
        <v>586</v>
      </c>
      <c r="B76" s="105" t="s">
        <v>587</v>
      </c>
      <c r="C76" s="106">
        <v>8</v>
      </c>
      <c r="D76" s="57"/>
      <c r="E76" s="57"/>
    </row>
    <row r="77" spans="1:5" ht="39.6" customHeight="1" x14ac:dyDescent="0.3">
      <c r="A77" s="164" t="s">
        <v>579</v>
      </c>
      <c r="B77" s="105" t="s">
        <v>580</v>
      </c>
      <c r="C77" s="106">
        <v>9</v>
      </c>
      <c r="D77" s="57"/>
      <c r="E77" s="57"/>
    </row>
    <row r="78" spans="1:5" ht="39.6" customHeight="1" x14ac:dyDescent="0.3">
      <c r="A78" s="164" t="s">
        <v>403</v>
      </c>
      <c r="B78" s="105" t="s">
        <v>404</v>
      </c>
      <c r="C78" s="106">
        <v>4</v>
      </c>
      <c r="D78" s="57"/>
      <c r="E78" s="57"/>
    </row>
    <row r="79" spans="1:5" ht="39.6" customHeight="1" x14ac:dyDescent="0.3">
      <c r="A79" s="164" t="s">
        <v>336</v>
      </c>
      <c r="B79" s="105" t="s">
        <v>337</v>
      </c>
      <c r="C79" s="106">
        <v>14</v>
      </c>
      <c r="D79" s="57"/>
      <c r="E79" s="57"/>
    </row>
    <row r="80" spans="1:5" ht="39.6" customHeight="1" x14ac:dyDescent="0.3">
      <c r="A80" s="164" t="s">
        <v>525</v>
      </c>
      <c r="B80" s="105" t="s">
        <v>526</v>
      </c>
      <c r="C80" s="106">
        <v>1</v>
      </c>
      <c r="D80" s="57"/>
      <c r="E80" s="57"/>
    </row>
    <row r="81" spans="1:5" ht="39.6" customHeight="1" x14ac:dyDescent="0.3">
      <c r="A81" s="164" t="s">
        <v>527</v>
      </c>
      <c r="B81" s="105" t="s">
        <v>809</v>
      </c>
      <c r="C81" s="106">
        <v>4</v>
      </c>
      <c r="D81" s="57"/>
      <c r="E81" s="57"/>
    </row>
    <row r="82" spans="1:5" ht="39.6" customHeight="1" x14ac:dyDescent="0.3">
      <c r="A82" s="164" t="s">
        <v>480</v>
      </c>
      <c r="B82" s="105" t="s">
        <v>481</v>
      </c>
      <c r="C82" s="106">
        <v>93</v>
      </c>
      <c r="D82" s="57"/>
      <c r="E82" s="57"/>
    </row>
    <row r="83" spans="1:5" ht="39.6" customHeight="1" x14ac:dyDescent="0.3">
      <c r="A83" s="164" t="s">
        <v>482</v>
      </c>
      <c r="B83" s="105" t="s">
        <v>483</v>
      </c>
      <c r="C83" s="106">
        <v>10</v>
      </c>
      <c r="D83" s="57"/>
      <c r="E83" s="57"/>
    </row>
    <row r="84" spans="1:5" ht="39.6" customHeight="1" x14ac:dyDescent="0.3">
      <c r="A84" s="164" t="s">
        <v>371</v>
      </c>
      <c r="B84" s="105" t="s">
        <v>372</v>
      </c>
      <c r="C84" s="106">
        <v>50</v>
      </c>
      <c r="D84" s="57"/>
      <c r="E84" s="57"/>
    </row>
    <row r="85" spans="1:5" ht="39.6" customHeight="1" x14ac:dyDescent="0.3">
      <c r="A85" s="164" t="s">
        <v>373</v>
      </c>
      <c r="B85" s="105" t="s">
        <v>374</v>
      </c>
      <c r="C85" s="106">
        <v>18</v>
      </c>
      <c r="D85" s="57"/>
      <c r="E85" s="57"/>
    </row>
    <row r="86" spans="1:5" ht="39.6" customHeight="1" x14ac:dyDescent="0.3">
      <c r="A86" s="164" t="s">
        <v>377</v>
      </c>
      <c r="B86" s="105" t="s">
        <v>378</v>
      </c>
      <c r="C86" s="106">
        <v>0</v>
      </c>
      <c r="D86" s="57"/>
      <c r="E86" s="57"/>
    </row>
    <row r="87" spans="1:5" ht="39.6" customHeight="1" x14ac:dyDescent="0.3">
      <c r="A87" s="164" t="s">
        <v>552</v>
      </c>
      <c r="B87" s="105" t="s">
        <v>553</v>
      </c>
      <c r="C87" s="106">
        <v>46</v>
      </c>
      <c r="D87" s="57"/>
      <c r="E87" s="57"/>
    </row>
    <row r="88" spans="1:5" ht="39.6" customHeight="1" x14ac:dyDescent="0.3">
      <c r="A88" s="164" t="s">
        <v>652</v>
      </c>
      <c r="B88" s="105" t="s">
        <v>653</v>
      </c>
      <c r="C88" s="106">
        <v>262</v>
      </c>
      <c r="D88" s="57"/>
      <c r="E88" s="57"/>
    </row>
    <row r="89" spans="1:5" ht="39.6" customHeight="1" x14ac:dyDescent="0.3">
      <c r="A89" s="164" t="s">
        <v>669</v>
      </c>
      <c r="B89" s="105" t="s">
        <v>670</v>
      </c>
      <c r="C89" s="106">
        <v>23</v>
      </c>
      <c r="D89" s="57"/>
      <c r="E89" s="57"/>
    </row>
    <row r="90" spans="1:5" ht="39.6" customHeight="1" x14ac:dyDescent="0.3">
      <c r="A90" s="164" t="s">
        <v>758</v>
      </c>
      <c r="B90" s="105" t="s">
        <v>759</v>
      </c>
      <c r="C90" s="106">
        <v>121</v>
      </c>
      <c r="D90" s="57"/>
      <c r="E90" s="57"/>
    </row>
    <row r="91" spans="1:5" ht="39.6" customHeight="1" x14ac:dyDescent="0.3">
      <c r="A91" s="164" t="s">
        <v>262</v>
      </c>
      <c r="B91" s="105" t="s">
        <v>263</v>
      </c>
      <c r="C91" s="106">
        <v>202</v>
      </c>
      <c r="D91" s="57"/>
      <c r="E91" s="57"/>
    </row>
    <row r="92" spans="1:5" ht="39.6" customHeight="1" x14ac:dyDescent="0.3">
      <c r="A92" s="164" t="s">
        <v>596</v>
      </c>
      <c r="B92" s="105" t="s">
        <v>597</v>
      </c>
      <c r="C92" s="106">
        <v>17</v>
      </c>
      <c r="D92" s="57"/>
      <c r="E92" s="57"/>
    </row>
    <row r="93" spans="1:5" ht="39.6" customHeight="1" x14ac:dyDescent="0.3">
      <c r="A93" s="164" t="s">
        <v>760</v>
      </c>
      <c r="B93" s="105" t="s">
        <v>761</v>
      </c>
      <c r="C93" s="106">
        <v>42</v>
      </c>
      <c r="D93" s="57"/>
      <c r="E93" s="57"/>
    </row>
    <row r="94" spans="1:5" ht="39.6" customHeight="1" x14ac:dyDescent="0.3">
      <c r="A94" s="164" t="s">
        <v>647</v>
      </c>
      <c r="B94" s="105" t="s">
        <v>648</v>
      </c>
      <c r="C94" s="106">
        <v>15</v>
      </c>
      <c r="D94" s="57"/>
      <c r="E94" s="57"/>
    </row>
    <row r="95" spans="1:5" ht="39.6" customHeight="1" x14ac:dyDescent="0.3">
      <c r="A95" s="164" t="s">
        <v>789</v>
      </c>
      <c r="B95" s="105" t="s">
        <v>790</v>
      </c>
      <c r="C95" s="106">
        <v>5</v>
      </c>
      <c r="D95" s="57"/>
      <c r="E95" s="57"/>
    </row>
    <row r="96" spans="1:5" ht="39.6" customHeight="1" x14ac:dyDescent="0.3">
      <c r="A96" s="164" t="s">
        <v>548</v>
      </c>
      <c r="B96" s="105" t="s">
        <v>549</v>
      </c>
      <c r="C96" s="106">
        <v>33</v>
      </c>
      <c r="D96" s="57"/>
      <c r="E96" s="57"/>
    </row>
    <row r="97" spans="1:5" ht="39.6" customHeight="1" x14ac:dyDescent="0.3">
      <c r="A97" s="164" t="s">
        <v>821</v>
      </c>
      <c r="B97" s="105" t="s">
        <v>822</v>
      </c>
      <c r="C97" s="106">
        <v>0</v>
      </c>
      <c r="D97" s="57"/>
      <c r="E97" s="57"/>
    </row>
    <row r="98" spans="1:5" ht="39.6" customHeight="1" x14ac:dyDescent="0.3">
      <c r="A98" s="164" t="s">
        <v>754</v>
      </c>
      <c r="B98" s="105" t="s">
        <v>755</v>
      </c>
      <c r="C98" s="106">
        <v>0</v>
      </c>
      <c r="D98" s="57"/>
      <c r="E98" s="57"/>
    </row>
    <row r="99" spans="1:5" ht="39.6" customHeight="1" x14ac:dyDescent="0.3">
      <c r="A99" s="164" t="s">
        <v>799</v>
      </c>
      <c r="B99" s="105" t="s">
        <v>800</v>
      </c>
      <c r="C99" s="106">
        <v>12</v>
      </c>
      <c r="D99" s="57"/>
      <c r="E99" s="57"/>
    </row>
    <row r="100" spans="1:5" ht="39.6" customHeight="1" x14ac:dyDescent="0.3">
      <c r="A100" s="164" t="s">
        <v>620</v>
      </c>
      <c r="B100" s="105" t="s">
        <v>621</v>
      </c>
      <c r="C100" s="106">
        <v>25</v>
      </c>
      <c r="D100" s="57"/>
      <c r="E100" s="57"/>
    </row>
    <row r="101" spans="1:5" ht="39.6" customHeight="1" x14ac:dyDescent="0.3">
      <c r="A101" s="164" t="s">
        <v>175</v>
      </c>
      <c r="B101" s="105" t="s">
        <v>518</v>
      </c>
      <c r="C101" s="106">
        <v>17</v>
      </c>
      <c r="D101" s="57"/>
      <c r="E101" s="57"/>
    </row>
    <row r="102" spans="1:5" ht="39.6" customHeight="1" x14ac:dyDescent="0.3">
      <c r="A102" s="164" t="s">
        <v>133</v>
      </c>
      <c r="B102" s="105" t="s">
        <v>134</v>
      </c>
      <c r="C102" s="106">
        <v>54</v>
      </c>
      <c r="D102" s="57"/>
      <c r="E102" s="57"/>
    </row>
    <row r="103" spans="1:5" ht="39.6" customHeight="1" x14ac:dyDescent="0.3">
      <c r="A103" s="164" t="s">
        <v>117</v>
      </c>
      <c r="B103" s="105" t="s">
        <v>118</v>
      </c>
      <c r="C103" s="106">
        <v>34</v>
      </c>
      <c r="D103" s="57"/>
      <c r="E103" s="57"/>
    </row>
    <row r="104" spans="1:5" ht="39.6" customHeight="1" x14ac:dyDescent="0.3">
      <c r="A104" s="164" t="s">
        <v>338</v>
      </c>
      <c r="B104" s="105" t="s">
        <v>339</v>
      </c>
      <c r="C104" s="106">
        <v>35</v>
      </c>
      <c r="D104" s="57"/>
      <c r="E104" s="57"/>
    </row>
    <row r="105" spans="1:5" ht="39.6" customHeight="1" x14ac:dyDescent="0.3">
      <c r="A105" s="164" t="s">
        <v>340</v>
      </c>
      <c r="B105" s="105" t="s">
        <v>341</v>
      </c>
      <c r="C105" s="106">
        <v>56</v>
      </c>
      <c r="D105" s="57"/>
      <c r="E105" s="57"/>
    </row>
    <row r="106" spans="1:5" ht="39.6" customHeight="1" x14ac:dyDescent="0.3">
      <c r="A106" s="164" t="s">
        <v>28</v>
      </c>
      <c r="B106" s="105" t="s">
        <v>75</v>
      </c>
      <c r="C106" s="106">
        <v>79</v>
      </c>
      <c r="D106" s="57"/>
      <c r="E106" s="57"/>
    </row>
    <row r="107" spans="1:5" ht="39.6" customHeight="1" x14ac:dyDescent="0.3">
      <c r="A107" s="164" t="s">
        <v>119</v>
      </c>
      <c r="B107" s="105" t="s">
        <v>120</v>
      </c>
      <c r="C107" s="106">
        <v>31</v>
      </c>
      <c r="D107" s="57"/>
      <c r="E107" s="57"/>
    </row>
    <row r="108" spans="1:5" ht="39.6" customHeight="1" x14ac:dyDescent="0.3">
      <c r="A108" s="164" t="s">
        <v>242</v>
      </c>
      <c r="B108" s="105" t="s">
        <v>243</v>
      </c>
      <c r="C108" s="106">
        <v>83</v>
      </c>
      <c r="D108" s="57"/>
      <c r="E108" s="57"/>
    </row>
    <row r="109" spans="1:5" ht="39.6" customHeight="1" x14ac:dyDescent="0.3">
      <c r="A109" s="164" t="s">
        <v>89</v>
      </c>
      <c r="B109" s="105" t="s">
        <v>90</v>
      </c>
      <c r="C109" s="106">
        <v>21</v>
      </c>
      <c r="D109" s="57"/>
      <c r="E109" s="57"/>
    </row>
    <row r="110" spans="1:5" ht="39.6" customHeight="1" x14ac:dyDescent="0.3">
      <c r="A110" s="164" t="s">
        <v>546</v>
      </c>
      <c r="B110" s="105" t="s">
        <v>547</v>
      </c>
      <c r="C110" s="106">
        <v>27</v>
      </c>
      <c r="D110" s="57"/>
      <c r="E110" s="57"/>
    </row>
    <row r="111" spans="1:5" ht="39.6" customHeight="1" x14ac:dyDescent="0.3">
      <c r="A111" s="164" t="s">
        <v>280</v>
      </c>
      <c r="B111" s="105" t="s">
        <v>281</v>
      </c>
      <c r="C111" s="106">
        <v>11</v>
      </c>
      <c r="D111" s="57"/>
      <c r="E111" s="57"/>
    </row>
    <row r="112" spans="1:5" ht="39.6" customHeight="1" x14ac:dyDescent="0.3">
      <c r="A112" s="164" t="s">
        <v>156</v>
      </c>
      <c r="B112" s="105" t="s">
        <v>157</v>
      </c>
      <c r="C112" s="106">
        <v>2</v>
      </c>
      <c r="D112" s="57"/>
      <c r="E112" s="57"/>
    </row>
    <row r="113" spans="1:5" ht="39.6" customHeight="1" x14ac:dyDescent="0.3">
      <c r="A113" s="164" t="s">
        <v>283</v>
      </c>
      <c r="B113" s="105" t="s">
        <v>284</v>
      </c>
      <c r="C113" s="106">
        <v>44</v>
      </c>
      <c r="D113" s="57"/>
      <c r="E113" s="57"/>
    </row>
    <row r="114" spans="1:5" ht="39.6" customHeight="1" x14ac:dyDescent="0.3">
      <c r="A114" s="164" t="s">
        <v>503</v>
      </c>
      <c r="B114" s="105" t="s">
        <v>504</v>
      </c>
      <c r="C114" s="106">
        <v>83</v>
      </c>
      <c r="D114" s="57"/>
      <c r="E114" s="57"/>
    </row>
    <row r="115" spans="1:5" ht="39.6" customHeight="1" x14ac:dyDescent="0.3">
      <c r="A115" s="164" t="s">
        <v>671</v>
      </c>
      <c r="B115" s="105" t="s">
        <v>708</v>
      </c>
      <c r="C115" s="106">
        <v>0</v>
      </c>
      <c r="D115" s="57"/>
      <c r="E115" s="57"/>
    </row>
    <row r="116" spans="1:5" ht="39.6" customHeight="1" x14ac:dyDescent="0.3">
      <c r="A116" s="164" t="s">
        <v>704</v>
      </c>
      <c r="B116" s="105" t="s">
        <v>705</v>
      </c>
      <c r="C116" s="106">
        <v>30</v>
      </c>
      <c r="D116" s="57"/>
      <c r="E116" s="57"/>
    </row>
    <row r="117" spans="1:5" ht="39.6" customHeight="1" x14ac:dyDescent="0.3">
      <c r="A117" s="164" t="s">
        <v>588</v>
      </c>
      <c r="B117" s="105" t="s">
        <v>589</v>
      </c>
      <c r="C117" s="106">
        <v>33</v>
      </c>
      <c r="D117" s="57"/>
      <c r="E117" s="57"/>
    </row>
    <row r="118" spans="1:5" ht="39.6" customHeight="1" x14ac:dyDescent="0.3">
      <c r="A118" s="164" t="s">
        <v>756</v>
      </c>
      <c r="B118" s="105" t="s">
        <v>757</v>
      </c>
      <c r="C118" s="106">
        <v>0</v>
      </c>
      <c r="D118" s="57"/>
      <c r="E118" s="57"/>
    </row>
    <row r="119" spans="1:5" ht="39.6" customHeight="1" x14ac:dyDescent="0.3">
      <c r="A119" s="164" t="s">
        <v>556</v>
      </c>
      <c r="B119" s="105" t="s">
        <v>557</v>
      </c>
      <c r="C119" s="106">
        <v>85</v>
      </c>
      <c r="D119" s="57"/>
      <c r="E119" s="57"/>
    </row>
    <row r="120" spans="1:5" ht="39.6" customHeight="1" x14ac:dyDescent="0.3">
      <c r="A120" s="164" t="s">
        <v>471</v>
      </c>
      <c r="B120" s="105" t="s">
        <v>472</v>
      </c>
      <c r="C120" s="106">
        <v>55</v>
      </c>
      <c r="D120" s="57"/>
      <c r="E120" s="57"/>
    </row>
    <row r="121" spans="1:5" ht="39.6" customHeight="1" x14ac:dyDescent="0.3">
      <c r="A121" s="164" t="s">
        <v>181</v>
      </c>
      <c r="B121" s="105" t="s">
        <v>182</v>
      </c>
      <c r="C121" s="106">
        <v>43</v>
      </c>
      <c r="D121" s="57"/>
      <c r="E121" s="57"/>
    </row>
    <row r="122" spans="1:5" ht="39.6" customHeight="1" x14ac:dyDescent="0.3">
      <c r="A122" s="164" t="s">
        <v>570</v>
      </c>
      <c r="B122" s="105" t="s">
        <v>571</v>
      </c>
      <c r="C122" s="106">
        <v>20</v>
      </c>
      <c r="D122" s="57"/>
      <c r="E122" s="57"/>
    </row>
    <row r="123" spans="1:5" ht="39.6" customHeight="1" x14ac:dyDescent="0.3">
      <c r="A123" s="164" t="s">
        <v>202</v>
      </c>
      <c r="B123" s="105" t="s">
        <v>203</v>
      </c>
      <c r="C123" s="106">
        <v>0</v>
      </c>
      <c r="D123" s="57"/>
      <c r="E123" s="57"/>
    </row>
    <row r="124" spans="1:5" ht="39.6" customHeight="1" x14ac:dyDescent="0.3">
      <c r="A124" s="164" t="s">
        <v>204</v>
      </c>
      <c r="B124" s="105" t="s">
        <v>205</v>
      </c>
      <c r="C124" s="106">
        <v>0</v>
      </c>
      <c r="D124" s="57"/>
      <c r="E124" s="57"/>
    </row>
    <row r="125" spans="1:5" ht="39.6" customHeight="1" x14ac:dyDescent="0.3">
      <c r="A125" s="164" t="s">
        <v>143</v>
      </c>
      <c r="B125" s="105" t="s">
        <v>144</v>
      </c>
      <c r="C125" s="106">
        <v>94</v>
      </c>
      <c r="D125" s="57"/>
      <c r="E125" s="57"/>
    </row>
    <row r="126" spans="1:5" ht="39.6" customHeight="1" x14ac:dyDescent="0.3">
      <c r="A126" s="164" t="s">
        <v>84</v>
      </c>
      <c r="B126" s="105" t="s">
        <v>85</v>
      </c>
      <c r="C126" s="106">
        <v>69</v>
      </c>
      <c r="D126" s="57"/>
      <c r="E126" s="57"/>
    </row>
    <row r="127" spans="1:5" ht="39.6" customHeight="1" x14ac:dyDescent="0.3">
      <c r="A127" s="164" t="s">
        <v>160</v>
      </c>
      <c r="B127" s="105" t="s">
        <v>161</v>
      </c>
      <c r="C127" s="106">
        <v>1</v>
      </c>
      <c r="D127" s="57"/>
      <c r="E127" s="57"/>
    </row>
    <row r="128" spans="1:5" ht="39.6" customHeight="1" x14ac:dyDescent="0.3">
      <c r="A128" s="164" t="s">
        <v>162</v>
      </c>
      <c r="B128" s="105" t="s">
        <v>163</v>
      </c>
      <c r="C128" s="106">
        <v>4</v>
      </c>
      <c r="D128" s="57"/>
      <c r="E128" s="57"/>
    </row>
    <row r="129" spans="1:5" ht="39.6" customHeight="1" x14ac:dyDescent="0.3">
      <c r="A129" s="164" t="s">
        <v>183</v>
      </c>
      <c r="B129" s="105" t="s">
        <v>184</v>
      </c>
      <c r="C129" s="106">
        <v>0</v>
      </c>
      <c r="D129" s="57"/>
      <c r="E129" s="57"/>
    </row>
    <row r="130" spans="1:5" ht="39.6" customHeight="1" x14ac:dyDescent="0.3">
      <c r="A130" s="164" t="s">
        <v>815</v>
      </c>
      <c r="B130" s="105" t="s">
        <v>858</v>
      </c>
      <c r="C130" s="106">
        <v>155</v>
      </c>
      <c r="D130" s="57"/>
      <c r="E130" s="57"/>
    </row>
    <row r="131" spans="1:5" ht="39.6" customHeight="1" x14ac:dyDescent="0.3">
      <c r="A131" s="164" t="s">
        <v>81</v>
      </c>
      <c r="B131" s="105" t="s">
        <v>82</v>
      </c>
      <c r="C131" s="106">
        <v>0</v>
      </c>
      <c r="D131" s="57"/>
      <c r="E131" s="57"/>
    </row>
    <row r="132" spans="1:5" ht="39.6" customHeight="1" x14ac:dyDescent="0.3">
      <c r="A132" s="164" t="s">
        <v>391</v>
      </c>
      <c r="B132" s="105" t="s">
        <v>392</v>
      </c>
      <c r="C132" s="106">
        <v>7</v>
      </c>
      <c r="D132" s="57"/>
      <c r="E132" s="57"/>
    </row>
    <row r="133" spans="1:5" ht="39.6" customHeight="1" x14ac:dyDescent="0.3">
      <c r="A133" s="164" t="s">
        <v>113</v>
      </c>
      <c r="B133" s="105" t="s">
        <v>114</v>
      </c>
      <c r="C133" s="106">
        <v>80</v>
      </c>
      <c r="D133" s="57"/>
      <c r="E133" s="57"/>
    </row>
    <row r="134" spans="1:5" ht="39.6" customHeight="1" x14ac:dyDescent="0.3">
      <c r="A134" s="164" t="s">
        <v>127</v>
      </c>
      <c r="B134" s="105" t="s">
        <v>128</v>
      </c>
      <c r="C134" s="106">
        <v>82</v>
      </c>
      <c r="D134" s="57"/>
      <c r="E134" s="57"/>
    </row>
    <row r="135" spans="1:5" ht="39.6" customHeight="1" x14ac:dyDescent="0.3">
      <c r="A135" s="164" t="s">
        <v>692</v>
      </c>
      <c r="B135" s="105" t="s">
        <v>693</v>
      </c>
      <c r="C135" s="106">
        <v>0</v>
      </c>
      <c r="D135" s="57"/>
      <c r="E135" s="57"/>
    </row>
    <row r="136" spans="1:5" ht="39.6" customHeight="1" x14ac:dyDescent="0.3">
      <c r="A136" s="164" t="s">
        <v>694</v>
      </c>
      <c r="B136" s="105" t="s">
        <v>695</v>
      </c>
      <c r="C136" s="106">
        <v>0</v>
      </c>
      <c r="D136" s="57"/>
      <c r="E136" s="57"/>
    </row>
    <row r="137" spans="1:5" ht="39.6" customHeight="1" x14ac:dyDescent="0.3">
      <c r="A137" s="164" t="s">
        <v>696</v>
      </c>
      <c r="B137" s="105" t="s">
        <v>697</v>
      </c>
      <c r="C137" s="106">
        <v>0</v>
      </c>
      <c r="D137" s="57"/>
      <c r="E137" s="57"/>
    </row>
    <row r="138" spans="1:5" ht="39.6" customHeight="1" x14ac:dyDescent="0.3">
      <c r="A138" s="164" t="s">
        <v>698</v>
      </c>
      <c r="B138" s="105" t="s">
        <v>699</v>
      </c>
      <c r="C138" s="106">
        <v>0</v>
      </c>
      <c r="D138" s="57"/>
      <c r="E138" s="57"/>
    </row>
    <row r="139" spans="1:5" ht="39.6" customHeight="1" x14ac:dyDescent="0.3">
      <c r="A139" s="164" t="s">
        <v>700</v>
      </c>
      <c r="B139" s="105" t="s">
        <v>701</v>
      </c>
      <c r="C139" s="106">
        <v>0</v>
      </c>
      <c r="D139" s="57"/>
      <c r="E139" s="57"/>
    </row>
    <row r="140" spans="1:5" ht="39.6" customHeight="1" x14ac:dyDescent="0.3">
      <c r="A140" s="164" t="s">
        <v>825</v>
      </c>
      <c r="B140" s="105" t="s">
        <v>826</v>
      </c>
      <c r="C140" s="106">
        <v>17</v>
      </c>
      <c r="D140" s="57"/>
      <c r="E140" s="57"/>
    </row>
    <row r="37691" spans="1:5" x14ac:dyDescent="0.4">
      <c r="A37691" s="101">
        <v>1</v>
      </c>
      <c r="B37691" s="101" t="s">
        <v>20</v>
      </c>
      <c r="C37691" s="94"/>
      <c r="D37691" s="94"/>
      <c r="E37691" s="51"/>
    </row>
    <row r="37692" spans="1:5" x14ac:dyDescent="0.4">
      <c r="A37692" s="101">
        <v>2</v>
      </c>
      <c r="B37692" s="101" t="s">
        <v>19</v>
      </c>
      <c r="C37692" s="94"/>
      <c r="D37692" s="94"/>
      <c r="E37692" s="51"/>
    </row>
    <row r="37693" spans="1:5" x14ac:dyDescent="0.4">
      <c r="A37693" s="101">
        <v>3</v>
      </c>
      <c r="B37693" s="101" t="s">
        <v>21</v>
      </c>
      <c r="C37693" s="94"/>
      <c r="D37693" s="94"/>
      <c r="E37693" s="51"/>
    </row>
    <row r="37694" spans="1:5" x14ac:dyDescent="0.4">
      <c r="A37694" s="101">
        <v>4</v>
      </c>
      <c r="B37694" s="101" t="s">
        <v>22</v>
      </c>
      <c r="C37694" s="94"/>
      <c r="D37694" s="94"/>
      <c r="E37694" s="51"/>
    </row>
    <row r="37695" spans="1:5" x14ac:dyDescent="0.4">
      <c r="A37695" s="101">
        <v>5</v>
      </c>
      <c r="B37695" s="101" t="s">
        <v>23</v>
      </c>
      <c r="C37695" s="94"/>
      <c r="D37695" s="94"/>
      <c r="E37695" s="51"/>
    </row>
    <row r="37696" spans="1:5" x14ac:dyDescent="0.4">
      <c r="A37696" s="101">
        <v>6</v>
      </c>
      <c r="B37696" s="101" t="s">
        <v>24</v>
      </c>
      <c r="C37696" s="94"/>
      <c r="D37696" s="94"/>
      <c r="E37696" s="51"/>
    </row>
    <row r="37697" spans="1:5" x14ac:dyDescent="0.4">
      <c r="A37697" s="101">
        <v>7</v>
      </c>
      <c r="B37697" s="101" t="s">
        <v>27</v>
      </c>
      <c r="C37697" s="94"/>
      <c r="D37697" s="94"/>
      <c r="E37697" s="51"/>
    </row>
    <row r="39027" spans="1:2" x14ac:dyDescent="0.4">
      <c r="A39027" s="94"/>
      <c r="B39027" s="94"/>
    </row>
    <row r="39028" spans="1:2" x14ac:dyDescent="0.4">
      <c r="A39028" s="94"/>
      <c r="B39028" s="94"/>
    </row>
    <row r="39029" spans="1:2" x14ac:dyDescent="0.4">
      <c r="A39029" s="94"/>
      <c r="B39029" s="94"/>
    </row>
    <row r="39030" spans="1:2" x14ac:dyDescent="0.4">
      <c r="A39030" s="94"/>
      <c r="B39030" s="94"/>
    </row>
    <row r="39031" spans="1:2" x14ac:dyDescent="0.4">
      <c r="A39031" s="94"/>
      <c r="B39031" s="94"/>
    </row>
    <row r="39032" spans="1:2" x14ac:dyDescent="0.4">
      <c r="A39032" s="94"/>
      <c r="B39032" s="94"/>
    </row>
    <row r="39033" spans="1:2" x14ac:dyDescent="0.4">
      <c r="A39033" s="94"/>
      <c r="B39033" s="94"/>
    </row>
  </sheetData>
  <sortState xmlns:xlrd2="http://schemas.microsoft.com/office/spreadsheetml/2017/richdata2" ref="A3:E140">
    <sortCondition ref="E3:E140"/>
  </sortState>
  <phoneticPr fontId="2"/>
  <pageMargins left="0.78740157480314965" right="0" top="0.39370078740157483" bottom="0.39370078740157483" header="0.51181102362204722" footer="0.51181102362204722"/>
  <pageSetup paperSize="9" scale="69" fitToHeight="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3"/>
    <pageSetUpPr fitToPage="1"/>
  </sheetPr>
  <dimension ref="A1:CB20"/>
  <sheetViews>
    <sheetView zoomScale="70" zoomScaleNormal="70" workbookViewId="0">
      <pane xSplit="3" ySplit="2" topLeftCell="D3" activePane="bottomRight" state="frozen"/>
      <selection pane="topRight" activeCell="D1" sqref="D1"/>
      <selection pane="bottomLeft" activeCell="A3" sqref="A3"/>
      <selection pane="bottomRight" activeCell="AW25" sqref="B1:AW25"/>
    </sheetView>
  </sheetViews>
  <sheetFormatPr defaultColWidth="9" defaultRowHeight="13.5" x14ac:dyDescent="0.15"/>
  <cols>
    <col min="1" max="1" width="4.25" style="20" customWidth="1"/>
    <col min="2" max="2" width="26.5" style="58" customWidth="1"/>
    <col min="3" max="3" width="2.5" style="20" hidden="1" customWidth="1"/>
    <col min="4" max="6" width="3.75" style="58" customWidth="1"/>
    <col min="7" max="9" width="3.75" style="20" customWidth="1"/>
    <col min="10" max="12" width="3.75" style="58" customWidth="1"/>
    <col min="13" max="43" width="3.75" style="20" customWidth="1"/>
    <col min="44" max="48" width="3.875" style="20" customWidth="1"/>
    <col min="49" max="50" width="3.75" style="20" customWidth="1"/>
    <col min="51" max="53" width="3.875" style="20" customWidth="1"/>
    <col min="54" max="16384" width="9" style="20"/>
  </cols>
  <sheetData>
    <row r="1" spans="1:80" s="22" customFormat="1" ht="20.45" customHeight="1" x14ac:dyDescent="0.15">
      <c r="A1" s="20"/>
      <c r="B1" s="112" t="s">
        <v>449</v>
      </c>
      <c r="C1" s="58"/>
      <c r="D1" s="58"/>
      <c r="E1" s="20"/>
      <c r="F1" s="20"/>
      <c r="G1" s="20"/>
      <c r="H1" s="20"/>
      <c r="I1" s="58"/>
      <c r="J1" s="20"/>
      <c r="K1" s="58"/>
      <c r="L1" s="58"/>
    </row>
    <row r="2" spans="1:80" s="109" customFormat="1" ht="56.25" x14ac:dyDescent="0.15">
      <c r="A2" s="107" t="s">
        <v>16</v>
      </c>
      <c r="B2" s="107" t="s">
        <v>17</v>
      </c>
      <c r="C2" s="107" t="s">
        <v>59</v>
      </c>
      <c r="D2" s="107" t="s">
        <v>99</v>
      </c>
      <c r="E2" s="107" t="s">
        <v>230</v>
      </c>
      <c r="F2" s="107" t="s">
        <v>166</v>
      </c>
      <c r="G2" s="107" t="s">
        <v>320</v>
      </c>
      <c r="H2" s="107" t="s">
        <v>148</v>
      </c>
      <c r="I2" s="107" t="s">
        <v>192</v>
      </c>
      <c r="J2" s="107" t="s">
        <v>167</v>
      </c>
      <c r="K2" s="107" t="s">
        <v>193</v>
      </c>
      <c r="L2" s="107" t="s">
        <v>199</v>
      </c>
      <c r="M2" s="107" t="s">
        <v>138</v>
      </c>
      <c r="N2" s="107" t="s">
        <v>126</v>
      </c>
      <c r="O2" s="107" t="s">
        <v>321</v>
      </c>
      <c r="P2" s="107" t="s">
        <v>136</v>
      </c>
      <c r="Q2" s="107" t="s">
        <v>172</v>
      </c>
      <c r="R2" s="107" t="s">
        <v>170</v>
      </c>
      <c r="S2" s="107" t="s">
        <v>174</v>
      </c>
      <c r="T2" s="107" t="s">
        <v>185</v>
      </c>
      <c r="U2" s="107" t="s">
        <v>129</v>
      </c>
      <c r="V2" s="107" t="s">
        <v>149</v>
      </c>
      <c r="W2" s="107" t="s">
        <v>109</v>
      </c>
      <c r="X2" s="107" t="s">
        <v>173</v>
      </c>
      <c r="Y2" s="107" t="s">
        <v>155</v>
      </c>
      <c r="Z2" s="107" t="s">
        <v>151</v>
      </c>
      <c r="AA2" s="107" t="s">
        <v>121</v>
      </c>
      <c r="AB2" s="107" t="s">
        <v>137</v>
      </c>
      <c r="AC2" s="107" t="s">
        <v>86</v>
      </c>
      <c r="AD2" s="107" t="s">
        <v>122</v>
      </c>
      <c r="AE2" s="107" t="s">
        <v>168</v>
      </c>
      <c r="AF2" s="107" t="s">
        <v>111</v>
      </c>
      <c r="AG2" s="107" t="s">
        <v>87</v>
      </c>
      <c r="AH2" s="107" t="s">
        <v>179</v>
      </c>
      <c r="AI2" s="107" t="s">
        <v>194</v>
      </c>
      <c r="AJ2" s="107" t="s">
        <v>123</v>
      </c>
      <c r="AK2" s="107" t="s">
        <v>110</v>
      </c>
      <c r="AL2" s="107" t="s">
        <v>139</v>
      </c>
      <c r="AM2" s="107" t="s">
        <v>112</v>
      </c>
      <c r="AN2" s="107" t="s">
        <v>169</v>
      </c>
      <c r="AO2" s="107" t="s">
        <v>158</v>
      </c>
      <c r="AP2" s="107" t="s">
        <v>186</v>
      </c>
      <c r="AQ2" s="107" t="s">
        <v>198</v>
      </c>
      <c r="AR2" s="107" t="s">
        <v>142</v>
      </c>
      <c r="AS2" s="107" t="s">
        <v>154</v>
      </c>
      <c r="AT2" s="107" t="s">
        <v>115</v>
      </c>
      <c r="AU2" s="107" t="s">
        <v>213</v>
      </c>
      <c r="AV2" s="116" t="s">
        <v>231</v>
      </c>
      <c r="AW2" s="120"/>
      <c r="AX2" s="108"/>
      <c r="AY2" s="108"/>
      <c r="AZ2" s="108"/>
      <c r="BA2" s="108"/>
      <c r="BB2" s="108"/>
      <c r="BC2" s="108"/>
      <c r="BD2" s="108"/>
      <c r="BE2" s="108"/>
      <c r="BF2" s="108"/>
      <c r="BG2" s="108"/>
      <c r="BH2" s="108"/>
      <c r="BI2" s="108"/>
      <c r="BJ2" s="108"/>
      <c r="BK2" s="108"/>
      <c r="BL2" s="108"/>
      <c r="BM2" s="108"/>
      <c r="BN2" s="108"/>
      <c r="BO2" s="108"/>
      <c r="BP2" s="108"/>
      <c r="BQ2" s="108"/>
      <c r="BR2" s="108"/>
      <c r="BS2" s="108"/>
      <c r="BT2" s="108"/>
      <c r="BU2" s="108"/>
      <c r="BV2" s="108"/>
      <c r="BW2" s="108"/>
      <c r="BX2" s="108"/>
      <c r="BY2" s="108"/>
      <c r="BZ2" s="108"/>
      <c r="CA2" s="108"/>
      <c r="CB2" s="108"/>
    </row>
    <row r="3" spans="1:80" s="22" customFormat="1" ht="34.5" x14ac:dyDescent="0.2">
      <c r="A3" s="148" t="s">
        <v>432</v>
      </c>
      <c r="B3" s="130" t="s">
        <v>433</v>
      </c>
      <c r="C3" s="111" t="s">
        <v>69</v>
      </c>
      <c r="D3" s="111"/>
      <c r="E3" s="111"/>
      <c r="F3" s="111"/>
      <c r="G3" s="111"/>
      <c r="H3" s="111"/>
      <c r="I3" s="111"/>
      <c r="J3" s="111"/>
      <c r="K3" s="111"/>
      <c r="L3" s="111"/>
      <c r="M3" s="111"/>
      <c r="N3" s="111"/>
      <c r="O3" s="111"/>
      <c r="P3" s="111"/>
      <c r="Q3" s="111"/>
      <c r="R3" s="111"/>
      <c r="S3" s="111"/>
      <c r="T3" s="111"/>
      <c r="U3" s="111"/>
      <c r="V3" s="111"/>
      <c r="W3" s="111"/>
      <c r="X3" s="111"/>
      <c r="Y3" s="111"/>
      <c r="Z3" s="111">
        <v>1</v>
      </c>
      <c r="AA3" s="111"/>
      <c r="AB3" s="111"/>
      <c r="AC3" s="111"/>
      <c r="AD3" s="111"/>
      <c r="AE3" s="111"/>
      <c r="AF3" s="111"/>
      <c r="AG3" s="111"/>
      <c r="AH3" s="111"/>
      <c r="AI3" s="111"/>
      <c r="AJ3" s="111"/>
      <c r="AK3" s="111"/>
      <c r="AL3" s="111"/>
      <c r="AM3" s="111"/>
      <c r="AN3" s="111"/>
      <c r="AO3" s="111"/>
      <c r="AP3" s="111"/>
      <c r="AQ3" s="111"/>
      <c r="AR3" s="111"/>
      <c r="AS3" s="111"/>
      <c r="AT3" s="111"/>
      <c r="AU3" s="111"/>
      <c r="AV3" s="151"/>
      <c r="AW3" s="154">
        <v>1</v>
      </c>
      <c r="AX3"/>
      <c r="AY3"/>
      <c r="AZ3"/>
      <c r="BA3"/>
      <c r="BB3"/>
      <c r="BC3"/>
      <c r="BD3"/>
      <c r="BE3"/>
      <c r="BF3"/>
      <c r="BG3"/>
      <c r="BH3"/>
      <c r="BI3"/>
      <c r="BJ3"/>
      <c r="BK3"/>
      <c r="BL3"/>
      <c r="BM3"/>
      <c r="BN3"/>
      <c r="BO3"/>
      <c r="BP3"/>
      <c r="BQ3"/>
      <c r="BR3"/>
      <c r="BS3"/>
      <c r="BT3"/>
      <c r="BU3"/>
      <c r="BV3"/>
      <c r="BW3"/>
      <c r="BX3"/>
      <c r="BY3"/>
      <c r="BZ3"/>
      <c r="CA3"/>
      <c r="CB3"/>
    </row>
    <row r="4" spans="1:80" s="114" customFormat="1" ht="34.5" x14ac:dyDescent="0.2">
      <c r="A4" s="149" t="s">
        <v>415</v>
      </c>
      <c r="B4" s="131" t="s">
        <v>416</v>
      </c>
      <c r="C4" s="119" t="s">
        <v>69</v>
      </c>
      <c r="D4" s="119"/>
      <c r="E4" s="119"/>
      <c r="F4" s="119"/>
      <c r="G4" s="119"/>
      <c r="H4" s="119"/>
      <c r="I4" s="119"/>
      <c r="J4" s="119"/>
      <c r="K4" s="119">
        <v>1</v>
      </c>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52"/>
      <c r="AW4" s="155">
        <v>1</v>
      </c>
      <c r="AX4" s="113"/>
      <c r="AY4" s="113"/>
      <c r="AZ4" s="113"/>
      <c r="BA4" s="113"/>
      <c r="BB4" s="113"/>
      <c r="BC4" s="113"/>
      <c r="BD4" s="113"/>
      <c r="BE4" s="113"/>
      <c r="BF4" s="113"/>
      <c r="BG4" s="113"/>
      <c r="BH4" s="113"/>
      <c r="BI4" s="113"/>
      <c r="BJ4" s="113"/>
      <c r="BK4" s="113"/>
      <c r="BL4" s="113"/>
      <c r="BM4" s="113"/>
      <c r="BN4" s="113"/>
      <c r="BO4" s="113"/>
      <c r="BP4" s="113"/>
      <c r="BQ4" s="113"/>
      <c r="BR4" s="113"/>
      <c r="BS4" s="113"/>
      <c r="BT4" s="113"/>
      <c r="BU4" s="113"/>
      <c r="BV4" s="113"/>
      <c r="BW4" s="113"/>
      <c r="BX4" s="113"/>
      <c r="BY4" s="113"/>
      <c r="BZ4" s="113"/>
      <c r="CA4" s="113"/>
      <c r="CB4" s="113"/>
    </row>
    <row r="5" spans="1:80" s="22" customFormat="1" ht="34.5" x14ac:dyDescent="0.2">
      <c r="A5" s="148" t="s">
        <v>428</v>
      </c>
      <c r="B5" s="130" t="s">
        <v>429</v>
      </c>
      <c r="C5" s="111" t="s">
        <v>69</v>
      </c>
      <c r="D5" s="111"/>
      <c r="E5" s="111"/>
      <c r="F5" s="111"/>
      <c r="G5" s="111"/>
      <c r="H5" s="111"/>
      <c r="I5" s="111">
        <v>1</v>
      </c>
      <c r="J5" s="111"/>
      <c r="K5" s="111"/>
      <c r="L5" s="111"/>
      <c r="M5" s="111"/>
      <c r="N5" s="111"/>
      <c r="O5" s="111"/>
      <c r="P5" s="111">
        <v>1</v>
      </c>
      <c r="Q5" s="111"/>
      <c r="R5" s="111"/>
      <c r="S5" s="111"/>
      <c r="T5" s="111"/>
      <c r="U5" s="111"/>
      <c r="V5" s="111"/>
      <c r="W5" s="111"/>
      <c r="X5" s="111"/>
      <c r="Y5" s="111"/>
      <c r="Z5" s="111"/>
      <c r="AA5" s="111"/>
      <c r="AB5" s="111"/>
      <c r="AC5" s="111"/>
      <c r="AD5" s="111"/>
      <c r="AE5" s="111"/>
      <c r="AF5" s="111"/>
      <c r="AG5" s="111"/>
      <c r="AH5" s="111"/>
      <c r="AI5" s="111"/>
      <c r="AJ5" s="111"/>
      <c r="AK5" s="111"/>
      <c r="AL5" s="111"/>
      <c r="AM5" s="111"/>
      <c r="AN5" s="111"/>
      <c r="AO5" s="111"/>
      <c r="AP5" s="111"/>
      <c r="AQ5" s="111"/>
      <c r="AR5" s="111"/>
      <c r="AS5" s="111"/>
      <c r="AT5" s="111"/>
      <c r="AU5" s="111"/>
      <c r="AV5" s="151">
        <v>1</v>
      </c>
      <c r="AW5" s="154">
        <v>3</v>
      </c>
      <c r="AX5"/>
      <c r="AY5"/>
      <c r="AZ5"/>
      <c r="BA5"/>
      <c r="BB5"/>
      <c r="BC5"/>
      <c r="BD5"/>
      <c r="BE5"/>
      <c r="BF5"/>
      <c r="BG5"/>
      <c r="BH5"/>
      <c r="BI5"/>
      <c r="BJ5"/>
      <c r="BK5"/>
      <c r="BL5"/>
      <c r="BM5"/>
      <c r="BN5"/>
      <c r="BO5"/>
      <c r="BP5"/>
      <c r="BQ5"/>
      <c r="BR5"/>
      <c r="BS5"/>
      <c r="BT5"/>
      <c r="BU5"/>
      <c r="BV5"/>
      <c r="BW5"/>
      <c r="BX5"/>
      <c r="BY5"/>
      <c r="BZ5"/>
      <c r="CA5"/>
      <c r="CB5"/>
    </row>
    <row r="6" spans="1:80" s="114" customFormat="1" ht="34.5" x14ac:dyDescent="0.2">
      <c r="A6" s="149" t="s">
        <v>211</v>
      </c>
      <c r="B6" s="131" t="s">
        <v>212</v>
      </c>
      <c r="C6" s="119" t="s">
        <v>69</v>
      </c>
      <c r="D6" s="119">
        <v>1</v>
      </c>
      <c r="E6" s="119"/>
      <c r="F6" s="119"/>
      <c r="G6" s="119"/>
      <c r="H6" s="119"/>
      <c r="I6" s="119"/>
      <c r="J6" s="119"/>
      <c r="K6" s="119"/>
      <c r="L6" s="119"/>
      <c r="M6" s="119"/>
      <c r="N6" s="119"/>
      <c r="O6" s="119">
        <v>1</v>
      </c>
      <c r="P6" s="119"/>
      <c r="Q6" s="119"/>
      <c r="R6" s="119"/>
      <c r="S6" s="119"/>
      <c r="T6" s="119"/>
      <c r="U6" s="119"/>
      <c r="V6" s="119"/>
      <c r="W6" s="119"/>
      <c r="X6" s="119"/>
      <c r="Y6" s="119"/>
      <c r="Z6" s="119"/>
      <c r="AA6" s="119"/>
      <c r="AB6" s="119"/>
      <c r="AC6" s="119">
        <v>1</v>
      </c>
      <c r="AD6" s="119"/>
      <c r="AE6" s="119"/>
      <c r="AF6" s="119"/>
      <c r="AG6" s="119"/>
      <c r="AH6" s="119"/>
      <c r="AI6" s="119"/>
      <c r="AJ6" s="119"/>
      <c r="AK6" s="119"/>
      <c r="AL6" s="119"/>
      <c r="AM6" s="119"/>
      <c r="AN6" s="119"/>
      <c r="AO6" s="119">
        <v>1</v>
      </c>
      <c r="AP6" s="119"/>
      <c r="AQ6" s="119"/>
      <c r="AR6" s="119"/>
      <c r="AS6" s="119"/>
      <c r="AT6" s="119"/>
      <c r="AU6" s="119"/>
      <c r="AV6" s="152"/>
      <c r="AW6" s="155">
        <v>4</v>
      </c>
      <c r="AX6" s="113"/>
      <c r="AY6" s="113"/>
      <c r="AZ6" s="113"/>
      <c r="BA6" s="113"/>
      <c r="BB6" s="113"/>
      <c r="BC6" s="113"/>
      <c r="BD6" s="113"/>
      <c r="BE6" s="113"/>
      <c r="BF6" s="113"/>
      <c r="BG6" s="113"/>
      <c r="BH6" s="113"/>
      <c r="BI6" s="113"/>
      <c r="BJ6" s="113"/>
      <c r="BK6" s="113"/>
      <c r="BL6" s="113"/>
      <c r="BM6" s="113"/>
      <c r="BN6" s="113"/>
      <c r="BO6" s="113"/>
      <c r="BP6" s="113"/>
      <c r="BQ6" s="113"/>
      <c r="BR6" s="113"/>
      <c r="BS6" s="113"/>
      <c r="BT6" s="113"/>
      <c r="BU6" s="113"/>
      <c r="BV6" s="113"/>
      <c r="BW6" s="113"/>
      <c r="BX6" s="113"/>
      <c r="BY6" s="113"/>
      <c r="BZ6" s="113"/>
      <c r="CA6" s="113"/>
      <c r="CB6" s="113"/>
    </row>
    <row r="7" spans="1:80" s="22" customFormat="1" ht="34.5" x14ac:dyDescent="0.2">
      <c r="A7" s="148" t="s">
        <v>342</v>
      </c>
      <c r="B7" s="130" t="s">
        <v>343</v>
      </c>
      <c r="C7" s="111" t="s">
        <v>69</v>
      </c>
      <c r="D7" s="111"/>
      <c r="E7" s="111"/>
      <c r="F7" s="111"/>
      <c r="G7" s="111"/>
      <c r="H7" s="111"/>
      <c r="I7" s="111"/>
      <c r="J7" s="111"/>
      <c r="K7" s="111"/>
      <c r="L7" s="111"/>
      <c r="M7" s="111"/>
      <c r="N7" s="111"/>
      <c r="O7" s="111"/>
      <c r="P7" s="111"/>
      <c r="Q7" s="111"/>
      <c r="R7" s="111"/>
      <c r="S7" s="111"/>
      <c r="T7" s="111"/>
      <c r="U7" s="111"/>
      <c r="V7" s="111"/>
      <c r="W7" s="111"/>
      <c r="X7" s="111"/>
      <c r="Y7" s="111"/>
      <c r="Z7" s="111"/>
      <c r="AA7" s="111"/>
      <c r="AB7" s="111"/>
      <c r="AC7" s="111">
        <v>1</v>
      </c>
      <c r="AD7" s="111"/>
      <c r="AE7" s="111"/>
      <c r="AF7" s="111"/>
      <c r="AG7" s="111"/>
      <c r="AH7" s="111"/>
      <c r="AI7" s="111"/>
      <c r="AJ7" s="111"/>
      <c r="AK7" s="111"/>
      <c r="AL7" s="111"/>
      <c r="AM7" s="111"/>
      <c r="AN7" s="111"/>
      <c r="AO7" s="111"/>
      <c r="AP7" s="111"/>
      <c r="AQ7" s="111"/>
      <c r="AR7" s="111"/>
      <c r="AS7" s="111"/>
      <c r="AT7" s="111"/>
      <c r="AU7" s="111"/>
      <c r="AV7" s="151"/>
      <c r="AW7" s="154">
        <v>1</v>
      </c>
      <c r="AX7"/>
      <c r="AY7"/>
      <c r="AZ7"/>
      <c r="BA7"/>
      <c r="BB7"/>
      <c r="BC7"/>
      <c r="BD7"/>
      <c r="BE7"/>
      <c r="BF7"/>
      <c r="BG7"/>
      <c r="BH7"/>
      <c r="BI7"/>
      <c r="BJ7"/>
      <c r="BK7"/>
      <c r="BL7"/>
      <c r="BM7"/>
      <c r="BN7"/>
      <c r="BO7"/>
      <c r="BP7"/>
      <c r="BQ7"/>
      <c r="BR7"/>
      <c r="BS7"/>
      <c r="BT7"/>
      <c r="BU7"/>
      <c r="BV7"/>
      <c r="BW7"/>
      <c r="BX7"/>
      <c r="BY7"/>
      <c r="BZ7"/>
      <c r="CA7"/>
      <c r="CB7"/>
    </row>
    <row r="8" spans="1:80" s="114" customFormat="1" ht="34.5" x14ac:dyDescent="0.2">
      <c r="A8" s="149" t="s">
        <v>251</v>
      </c>
      <c r="B8" s="131" t="s">
        <v>252</v>
      </c>
      <c r="C8" s="119" t="s">
        <v>69</v>
      </c>
      <c r="D8" s="119"/>
      <c r="E8" s="119"/>
      <c r="F8" s="119"/>
      <c r="G8" s="119"/>
      <c r="H8" s="119"/>
      <c r="I8" s="119"/>
      <c r="J8" s="119"/>
      <c r="K8" s="119">
        <v>1</v>
      </c>
      <c r="L8" s="119">
        <v>1</v>
      </c>
      <c r="M8" s="119"/>
      <c r="N8" s="119"/>
      <c r="O8" s="119"/>
      <c r="P8" s="119"/>
      <c r="Q8" s="119"/>
      <c r="R8" s="119"/>
      <c r="S8" s="119"/>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119"/>
      <c r="AT8" s="119"/>
      <c r="AU8" s="119"/>
      <c r="AV8" s="152"/>
      <c r="AW8" s="155">
        <v>2</v>
      </c>
      <c r="AX8" s="113"/>
      <c r="AY8" s="113"/>
      <c r="AZ8" s="113"/>
      <c r="BA8" s="113"/>
      <c r="BB8" s="113"/>
      <c r="BC8" s="113"/>
      <c r="BD8" s="113"/>
      <c r="BE8" s="113"/>
      <c r="BF8" s="113"/>
      <c r="BG8" s="113"/>
      <c r="BH8" s="113"/>
      <c r="BI8" s="113"/>
      <c r="BJ8" s="113"/>
      <c r="BK8" s="113"/>
      <c r="BL8" s="113"/>
      <c r="BM8" s="113"/>
      <c r="BN8" s="113"/>
      <c r="BO8" s="113"/>
      <c r="BP8" s="113"/>
      <c r="BQ8" s="113"/>
      <c r="BR8" s="113"/>
      <c r="BS8" s="113"/>
      <c r="BT8" s="113"/>
      <c r="BU8" s="113"/>
      <c r="BV8" s="113"/>
      <c r="BW8" s="113"/>
      <c r="BX8" s="113"/>
      <c r="BY8" s="113"/>
      <c r="BZ8" s="113"/>
      <c r="CA8" s="113"/>
      <c r="CB8" s="113"/>
    </row>
    <row r="9" spans="1:80" s="22" customFormat="1" ht="34.5" x14ac:dyDescent="0.2">
      <c r="A9" s="148" t="s">
        <v>407</v>
      </c>
      <c r="B9" s="130" t="s">
        <v>408</v>
      </c>
      <c r="C9" s="111" t="s">
        <v>69</v>
      </c>
      <c r="D9" s="111"/>
      <c r="E9" s="111"/>
      <c r="F9" s="111"/>
      <c r="G9" s="111"/>
      <c r="H9" s="111"/>
      <c r="I9" s="111"/>
      <c r="J9" s="111"/>
      <c r="K9" s="111"/>
      <c r="L9" s="111"/>
      <c r="M9" s="111"/>
      <c r="N9" s="111"/>
      <c r="O9" s="111"/>
      <c r="P9" s="111"/>
      <c r="Q9" s="111"/>
      <c r="R9" s="111"/>
      <c r="S9" s="111"/>
      <c r="T9" s="111"/>
      <c r="U9" s="111"/>
      <c r="V9" s="111"/>
      <c r="W9" s="111"/>
      <c r="X9" s="111"/>
      <c r="Y9" s="111"/>
      <c r="Z9" s="111"/>
      <c r="AA9" s="111"/>
      <c r="AB9" s="111"/>
      <c r="AC9" s="111"/>
      <c r="AD9" s="111"/>
      <c r="AE9" s="111"/>
      <c r="AF9" s="111"/>
      <c r="AG9" s="111"/>
      <c r="AH9" s="111"/>
      <c r="AI9" s="111"/>
      <c r="AJ9" s="111"/>
      <c r="AK9" s="111"/>
      <c r="AL9" s="111"/>
      <c r="AM9" s="111"/>
      <c r="AN9" s="111"/>
      <c r="AO9" s="111"/>
      <c r="AP9" s="111">
        <v>1</v>
      </c>
      <c r="AQ9" s="111"/>
      <c r="AR9" s="111"/>
      <c r="AS9" s="111"/>
      <c r="AT9" s="111"/>
      <c r="AU9" s="111"/>
      <c r="AV9" s="151"/>
      <c r="AW9" s="154">
        <v>1</v>
      </c>
      <c r="AX9"/>
      <c r="AY9"/>
      <c r="AZ9"/>
      <c r="BA9"/>
      <c r="BB9"/>
      <c r="BC9"/>
      <c r="BD9"/>
      <c r="BE9"/>
      <c r="BF9"/>
      <c r="BG9"/>
      <c r="BH9"/>
      <c r="BI9"/>
      <c r="BJ9"/>
      <c r="BK9"/>
      <c r="BL9"/>
      <c r="BM9"/>
      <c r="BN9"/>
      <c r="BO9"/>
      <c r="BP9"/>
      <c r="BQ9"/>
      <c r="BR9"/>
      <c r="BS9"/>
      <c r="BT9"/>
      <c r="BU9"/>
      <c r="BV9"/>
      <c r="BW9"/>
      <c r="BX9"/>
      <c r="BY9"/>
      <c r="BZ9"/>
      <c r="CA9"/>
      <c r="CB9"/>
    </row>
    <row r="10" spans="1:80" s="114" customFormat="1" ht="34.5" x14ac:dyDescent="0.2">
      <c r="A10" s="149" t="s">
        <v>221</v>
      </c>
      <c r="B10" s="131" t="s">
        <v>301</v>
      </c>
      <c r="C10" s="119" t="s">
        <v>69</v>
      </c>
      <c r="D10" s="119"/>
      <c r="E10" s="119"/>
      <c r="F10" s="119"/>
      <c r="G10" s="119"/>
      <c r="H10" s="119"/>
      <c r="I10" s="119"/>
      <c r="J10" s="119"/>
      <c r="K10" s="119"/>
      <c r="L10" s="119"/>
      <c r="M10" s="119"/>
      <c r="N10" s="119"/>
      <c r="O10" s="119"/>
      <c r="P10" s="119"/>
      <c r="Q10" s="119"/>
      <c r="R10" s="119"/>
      <c r="S10" s="119"/>
      <c r="T10" s="119"/>
      <c r="U10" s="119"/>
      <c r="V10" s="119"/>
      <c r="W10" s="119"/>
      <c r="X10" s="119"/>
      <c r="Y10" s="119">
        <v>1</v>
      </c>
      <c r="Z10" s="119"/>
      <c r="AA10" s="119">
        <v>1</v>
      </c>
      <c r="AB10" s="119">
        <v>1</v>
      </c>
      <c r="AC10" s="119"/>
      <c r="AD10" s="119"/>
      <c r="AE10" s="119"/>
      <c r="AF10" s="119"/>
      <c r="AG10" s="119"/>
      <c r="AH10" s="119"/>
      <c r="AI10" s="119"/>
      <c r="AJ10" s="119"/>
      <c r="AK10" s="119"/>
      <c r="AL10" s="119"/>
      <c r="AM10" s="119"/>
      <c r="AN10" s="119"/>
      <c r="AO10" s="119"/>
      <c r="AP10" s="119"/>
      <c r="AQ10" s="119"/>
      <c r="AR10" s="119"/>
      <c r="AS10" s="119"/>
      <c r="AT10" s="119"/>
      <c r="AU10" s="119"/>
      <c r="AV10" s="152"/>
      <c r="AW10" s="155">
        <v>3</v>
      </c>
      <c r="AX10" s="113"/>
      <c r="AY10" s="113"/>
      <c r="AZ10" s="113"/>
      <c r="BA10" s="113"/>
      <c r="BB10" s="113"/>
      <c r="BC10" s="113"/>
      <c r="BD10" s="113"/>
      <c r="BE10" s="113"/>
      <c r="BF10" s="113"/>
      <c r="BG10" s="113"/>
      <c r="BH10" s="113"/>
      <c r="BI10" s="113"/>
      <c r="BJ10" s="113"/>
      <c r="BK10" s="113"/>
      <c r="BL10" s="113"/>
      <c r="BM10" s="113"/>
      <c r="BN10" s="113"/>
      <c r="BO10" s="113"/>
      <c r="BP10" s="113"/>
      <c r="BQ10" s="113"/>
      <c r="BR10" s="113"/>
      <c r="BS10" s="113"/>
      <c r="BT10" s="113"/>
      <c r="BU10" s="113"/>
      <c r="BV10" s="113"/>
      <c r="BW10" s="113"/>
      <c r="BX10" s="113"/>
      <c r="BY10" s="113"/>
      <c r="BZ10" s="113"/>
      <c r="CA10" s="113"/>
      <c r="CB10" s="113"/>
    </row>
    <row r="11" spans="1:80" s="22" customFormat="1" ht="34.5" x14ac:dyDescent="0.2">
      <c r="A11" s="148" t="s">
        <v>380</v>
      </c>
      <c r="B11" s="130" t="s">
        <v>381</v>
      </c>
      <c r="C11" s="111" t="s">
        <v>69</v>
      </c>
      <c r="D11" s="111">
        <v>1</v>
      </c>
      <c r="E11" s="111"/>
      <c r="F11" s="111"/>
      <c r="G11" s="111"/>
      <c r="H11" s="111">
        <v>1</v>
      </c>
      <c r="I11" s="111"/>
      <c r="J11" s="111"/>
      <c r="K11" s="111"/>
      <c r="L11" s="111"/>
      <c r="M11" s="111"/>
      <c r="N11" s="111"/>
      <c r="O11" s="111"/>
      <c r="P11" s="111"/>
      <c r="Q11" s="111"/>
      <c r="R11" s="111"/>
      <c r="S11" s="111"/>
      <c r="T11" s="111"/>
      <c r="U11" s="111">
        <v>1</v>
      </c>
      <c r="V11" s="111">
        <v>1</v>
      </c>
      <c r="W11" s="111">
        <v>1</v>
      </c>
      <c r="X11" s="111"/>
      <c r="Y11" s="111"/>
      <c r="Z11" s="111"/>
      <c r="AA11" s="111"/>
      <c r="AB11" s="111"/>
      <c r="AC11" s="111"/>
      <c r="AD11" s="111"/>
      <c r="AE11" s="111">
        <v>1</v>
      </c>
      <c r="AF11" s="111"/>
      <c r="AG11" s="111"/>
      <c r="AH11" s="111"/>
      <c r="AI11" s="111"/>
      <c r="AJ11" s="111">
        <v>1</v>
      </c>
      <c r="AK11" s="111"/>
      <c r="AL11" s="111">
        <v>1</v>
      </c>
      <c r="AM11" s="111">
        <v>2</v>
      </c>
      <c r="AN11" s="111"/>
      <c r="AO11" s="111">
        <v>1</v>
      </c>
      <c r="AP11" s="111">
        <v>1</v>
      </c>
      <c r="AQ11" s="111"/>
      <c r="AR11" s="111"/>
      <c r="AS11" s="111">
        <v>1</v>
      </c>
      <c r="AT11" s="111">
        <v>1</v>
      </c>
      <c r="AU11" s="111"/>
      <c r="AV11" s="151">
        <v>1</v>
      </c>
      <c r="AW11" s="154">
        <v>15</v>
      </c>
      <c r="AX11"/>
      <c r="AY11"/>
      <c r="AZ11"/>
      <c r="BA11"/>
      <c r="BB11"/>
      <c r="BC11"/>
      <c r="BD11"/>
      <c r="BE11"/>
      <c r="BF11"/>
      <c r="BG11"/>
      <c r="BH11"/>
      <c r="BI11"/>
      <c r="BJ11"/>
      <c r="BK11"/>
      <c r="BL11"/>
      <c r="BM11"/>
      <c r="BN11"/>
      <c r="BO11"/>
      <c r="BP11"/>
      <c r="BQ11"/>
      <c r="BR11"/>
      <c r="BS11"/>
      <c r="BT11"/>
      <c r="BU11"/>
      <c r="BV11"/>
      <c r="BW11"/>
      <c r="BX11"/>
      <c r="BY11"/>
      <c r="BZ11"/>
      <c r="CA11"/>
      <c r="CB11"/>
    </row>
    <row r="12" spans="1:80" s="114" customFormat="1" ht="34.5" x14ac:dyDescent="0.2">
      <c r="A12" s="149" t="s">
        <v>236</v>
      </c>
      <c r="B12" s="131" t="s">
        <v>237</v>
      </c>
      <c r="C12" s="119" t="s">
        <v>69</v>
      </c>
      <c r="D12" s="119"/>
      <c r="E12" s="119"/>
      <c r="F12" s="119"/>
      <c r="G12" s="119"/>
      <c r="H12" s="119"/>
      <c r="I12" s="119"/>
      <c r="J12" s="119"/>
      <c r="K12" s="119"/>
      <c r="L12" s="119"/>
      <c r="M12" s="119"/>
      <c r="N12" s="119"/>
      <c r="O12" s="119"/>
      <c r="P12" s="119"/>
      <c r="Q12" s="119"/>
      <c r="R12" s="119"/>
      <c r="S12" s="119"/>
      <c r="T12" s="119"/>
      <c r="U12" s="119"/>
      <c r="V12" s="119"/>
      <c r="W12" s="119">
        <v>1</v>
      </c>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52"/>
      <c r="AW12" s="155">
        <v>1</v>
      </c>
      <c r="AX12" s="113"/>
      <c r="AY12" s="113"/>
      <c r="AZ12" s="113"/>
      <c r="BA12" s="113"/>
      <c r="BB12" s="113"/>
      <c r="BC12" s="113"/>
      <c r="BD12" s="113"/>
      <c r="BE12" s="113"/>
      <c r="BF12" s="113"/>
      <c r="BG12" s="113"/>
      <c r="BH12" s="113"/>
      <c r="BI12" s="113"/>
      <c r="BJ12" s="113"/>
      <c r="BK12" s="113"/>
      <c r="BL12" s="113"/>
      <c r="BM12" s="113"/>
      <c r="BN12" s="113"/>
      <c r="BO12" s="113"/>
      <c r="BP12" s="113"/>
      <c r="BQ12" s="113"/>
      <c r="BR12" s="113"/>
      <c r="BS12" s="113"/>
      <c r="BT12" s="113"/>
      <c r="BU12" s="113"/>
      <c r="BV12" s="113"/>
      <c r="BW12" s="113"/>
      <c r="BX12" s="113"/>
      <c r="BY12" s="113"/>
      <c r="BZ12" s="113"/>
      <c r="CA12" s="113"/>
      <c r="CB12" s="113"/>
    </row>
    <row r="13" spans="1:80" s="22" customFormat="1" ht="34.5" x14ac:dyDescent="0.2">
      <c r="A13" s="148" t="s">
        <v>347</v>
      </c>
      <c r="B13" s="130" t="s">
        <v>436</v>
      </c>
      <c r="C13" s="111" t="s">
        <v>69</v>
      </c>
      <c r="D13" s="111"/>
      <c r="E13" s="111"/>
      <c r="F13" s="111"/>
      <c r="G13" s="111"/>
      <c r="H13" s="111"/>
      <c r="I13" s="111"/>
      <c r="J13" s="111"/>
      <c r="K13" s="111"/>
      <c r="L13" s="111"/>
      <c r="M13" s="111">
        <v>1</v>
      </c>
      <c r="N13" s="111"/>
      <c r="O13" s="111"/>
      <c r="P13" s="111"/>
      <c r="Q13" s="111">
        <v>1</v>
      </c>
      <c r="R13" s="111">
        <v>1</v>
      </c>
      <c r="S13" s="111"/>
      <c r="T13" s="111"/>
      <c r="U13" s="111"/>
      <c r="V13" s="111"/>
      <c r="W13" s="111">
        <v>1</v>
      </c>
      <c r="X13" s="111"/>
      <c r="Y13" s="111"/>
      <c r="Z13" s="111"/>
      <c r="AA13" s="111"/>
      <c r="AB13" s="111"/>
      <c r="AC13" s="111"/>
      <c r="AD13" s="111"/>
      <c r="AE13" s="111">
        <v>1</v>
      </c>
      <c r="AF13" s="111"/>
      <c r="AG13" s="111"/>
      <c r="AH13" s="111"/>
      <c r="AI13" s="111"/>
      <c r="AJ13" s="111"/>
      <c r="AK13" s="111"/>
      <c r="AL13" s="111">
        <v>1</v>
      </c>
      <c r="AM13" s="111"/>
      <c r="AN13" s="111"/>
      <c r="AO13" s="111"/>
      <c r="AP13" s="111"/>
      <c r="AQ13" s="111"/>
      <c r="AR13" s="111">
        <v>1</v>
      </c>
      <c r="AS13" s="111">
        <v>1</v>
      </c>
      <c r="AT13" s="111"/>
      <c r="AU13" s="111"/>
      <c r="AV13" s="151"/>
      <c r="AW13" s="154">
        <v>8</v>
      </c>
      <c r="AX13"/>
      <c r="AY13"/>
      <c r="AZ13"/>
      <c r="BA13"/>
      <c r="BB13"/>
      <c r="BC13"/>
      <c r="BD13"/>
      <c r="BE13"/>
      <c r="BF13"/>
      <c r="BG13"/>
      <c r="BH13"/>
      <c r="BI13"/>
      <c r="BJ13"/>
      <c r="BK13"/>
      <c r="BL13"/>
      <c r="BM13"/>
      <c r="BN13"/>
      <c r="BO13"/>
      <c r="BP13"/>
      <c r="BQ13"/>
      <c r="BR13"/>
      <c r="BS13"/>
      <c r="BT13"/>
      <c r="BU13"/>
      <c r="BV13"/>
      <c r="BW13"/>
      <c r="BX13"/>
      <c r="BY13"/>
      <c r="BZ13"/>
      <c r="CA13"/>
      <c r="CB13"/>
    </row>
    <row r="14" spans="1:80" s="114" customFormat="1" ht="35.25" thickBot="1" x14ac:dyDescent="0.25">
      <c r="A14" s="150" t="s">
        <v>246</v>
      </c>
      <c r="B14" s="132" t="s">
        <v>247</v>
      </c>
      <c r="C14" s="128" t="s">
        <v>69</v>
      </c>
      <c r="D14" s="128"/>
      <c r="E14" s="128"/>
      <c r="F14" s="128"/>
      <c r="G14" s="128"/>
      <c r="H14" s="128"/>
      <c r="I14" s="128"/>
      <c r="J14" s="128"/>
      <c r="K14" s="128"/>
      <c r="L14" s="128"/>
      <c r="M14" s="128"/>
      <c r="N14" s="128"/>
      <c r="O14" s="128"/>
      <c r="P14" s="128"/>
      <c r="Q14" s="128"/>
      <c r="R14" s="128"/>
      <c r="S14" s="128"/>
      <c r="T14" s="128"/>
      <c r="U14" s="128"/>
      <c r="V14" s="128"/>
      <c r="W14" s="128"/>
      <c r="X14" s="128"/>
      <c r="Y14" s="128"/>
      <c r="Z14" s="128">
        <v>1</v>
      </c>
      <c r="AA14" s="128"/>
      <c r="AB14" s="128"/>
      <c r="AC14" s="128">
        <v>1</v>
      </c>
      <c r="AD14" s="128"/>
      <c r="AE14" s="128"/>
      <c r="AF14" s="128"/>
      <c r="AG14" s="128"/>
      <c r="AH14" s="128"/>
      <c r="AI14" s="128"/>
      <c r="AJ14" s="128"/>
      <c r="AK14" s="128"/>
      <c r="AL14" s="128"/>
      <c r="AM14" s="128"/>
      <c r="AN14" s="128"/>
      <c r="AO14" s="128"/>
      <c r="AP14" s="128"/>
      <c r="AQ14" s="128"/>
      <c r="AR14" s="128"/>
      <c r="AS14" s="128"/>
      <c r="AT14" s="128"/>
      <c r="AU14" s="128"/>
      <c r="AV14" s="153"/>
      <c r="AW14" s="156">
        <v>2</v>
      </c>
      <c r="AX14" s="113"/>
      <c r="AY14" s="113"/>
      <c r="AZ14" s="113"/>
      <c r="BA14" s="113"/>
      <c r="BB14" s="113"/>
      <c r="BC14" s="113"/>
      <c r="BD14" s="113"/>
      <c r="BE14" s="113"/>
      <c r="BF14" s="113"/>
      <c r="BG14" s="113"/>
      <c r="BH14" s="113"/>
      <c r="BI14" s="113"/>
      <c r="BJ14" s="113"/>
      <c r="BK14" s="113"/>
      <c r="BL14" s="113"/>
      <c r="BM14" s="113"/>
      <c r="BN14" s="113"/>
      <c r="BO14" s="113"/>
      <c r="BP14" s="113"/>
      <c r="BQ14" s="113"/>
      <c r="BR14" s="113"/>
      <c r="BS14" s="113"/>
      <c r="BT14" s="113"/>
      <c r="BU14" s="113"/>
      <c r="BV14" s="113"/>
      <c r="BW14" s="113"/>
      <c r="BX14" s="113"/>
      <c r="BY14" s="113"/>
      <c r="BZ14" s="113"/>
      <c r="CA14" s="113"/>
      <c r="CB14" s="113"/>
    </row>
    <row r="15" spans="1:80" s="109" customFormat="1" ht="56.25" x14ac:dyDescent="0.15">
      <c r="A15" s="123" t="s">
        <v>16</v>
      </c>
      <c r="B15" s="123" t="s">
        <v>17</v>
      </c>
      <c r="C15" s="123" t="s">
        <v>59</v>
      </c>
      <c r="D15" s="123" t="s">
        <v>99</v>
      </c>
      <c r="E15" s="123" t="s">
        <v>230</v>
      </c>
      <c r="F15" s="123" t="s">
        <v>166</v>
      </c>
      <c r="G15" s="123" t="s">
        <v>320</v>
      </c>
      <c r="H15" s="123" t="s">
        <v>148</v>
      </c>
      <c r="I15" s="123" t="s">
        <v>192</v>
      </c>
      <c r="J15" s="123" t="s">
        <v>167</v>
      </c>
      <c r="K15" s="123" t="s">
        <v>193</v>
      </c>
      <c r="L15" s="123" t="s">
        <v>199</v>
      </c>
      <c r="M15" s="123" t="s">
        <v>138</v>
      </c>
      <c r="N15" s="123" t="s">
        <v>126</v>
      </c>
      <c r="O15" s="123" t="s">
        <v>321</v>
      </c>
      <c r="P15" s="123" t="s">
        <v>136</v>
      </c>
      <c r="Q15" s="123" t="s">
        <v>172</v>
      </c>
      <c r="R15" s="123" t="s">
        <v>170</v>
      </c>
      <c r="S15" s="123" t="s">
        <v>174</v>
      </c>
      <c r="T15" s="123" t="s">
        <v>185</v>
      </c>
      <c r="U15" s="123" t="s">
        <v>129</v>
      </c>
      <c r="V15" s="123" t="s">
        <v>149</v>
      </c>
      <c r="W15" s="123" t="s">
        <v>109</v>
      </c>
      <c r="X15" s="123" t="s">
        <v>173</v>
      </c>
      <c r="Y15" s="123" t="s">
        <v>155</v>
      </c>
      <c r="Z15" s="123" t="s">
        <v>151</v>
      </c>
      <c r="AA15" s="123" t="s">
        <v>121</v>
      </c>
      <c r="AB15" s="123" t="s">
        <v>137</v>
      </c>
      <c r="AC15" s="123" t="s">
        <v>86</v>
      </c>
      <c r="AD15" s="123" t="s">
        <v>122</v>
      </c>
      <c r="AE15" s="123" t="s">
        <v>168</v>
      </c>
      <c r="AF15" s="123" t="s">
        <v>111</v>
      </c>
      <c r="AG15" s="123" t="s">
        <v>87</v>
      </c>
      <c r="AH15" s="123" t="s">
        <v>179</v>
      </c>
      <c r="AI15" s="123" t="s">
        <v>194</v>
      </c>
      <c r="AJ15" s="123" t="s">
        <v>123</v>
      </c>
      <c r="AK15" s="123" t="s">
        <v>110</v>
      </c>
      <c r="AL15" s="123" t="s">
        <v>139</v>
      </c>
      <c r="AM15" s="123" t="s">
        <v>112</v>
      </c>
      <c r="AN15" s="123" t="s">
        <v>169</v>
      </c>
      <c r="AO15" s="123" t="s">
        <v>158</v>
      </c>
      <c r="AP15" s="123" t="s">
        <v>186</v>
      </c>
      <c r="AQ15" s="123" t="s">
        <v>198</v>
      </c>
      <c r="AR15" s="123" t="s">
        <v>142</v>
      </c>
      <c r="AS15" s="123" t="s">
        <v>154</v>
      </c>
      <c r="AT15" s="123" t="s">
        <v>115</v>
      </c>
      <c r="AU15" s="123" t="s">
        <v>213</v>
      </c>
      <c r="AV15" s="124" t="s">
        <v>231</v>
      </c>
      <c r="AW15" s="125"/>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row>
    <row r="16" spans="1:80" s="114" customFormat="1" ht="24.75" customHeight="1" x14ac:dyDescent="0.2">
      <c r="A16" s="149"/>
      <c r="B16" s="119" t="s">
        <v>131</v>
      </c>
      <c r="C16" s="119"/>
      <c r="D16" s="119">
        <f t="shared" ref="D16:AW16" si="0">SUM(D3:D14)</f>
        <v>2</v>
      </c>
      <c r="E16" s="119">
        <f t="shared" si="0"/>
        <v>0</v>
      </c>
      <c r="F16" s="119">
        <f t="shared" si="0"/>
        <v>0</v>
      </c>
      <c r="G16" s="119">
        <f t="shared" si="0"/>
        <v>0</v>
      </c>
      <c r="H16" s="119">
        <f t="shared" si="0"/>
        <v>1</v>
      </c>
      <c r="I16" s="119">
        <f t="shared" si="0"/>
        <v>1</v>
      </c>
      <c r="J16" s="119">
        <f t="shared" si="0"/>
        <v>0</v>
      </c>
      <c r="K16" s="119">
        <f t="shared" si="0"/>
        <v>2</v>
      </c>
      <c r="L16" s="119">
        <f t="shared" si="0"/>
        <v>1</v>
      </c>
      <c r="M16" s="119">
        <f t="shared" si="0"/>
        <v>1</v>
      </c>
      <c r="N16" s="119">
        <f t="shared" si="0"/>
        <v>0</v>
      </c>
      <c r="O16" s="119">
        <f t="shared" si="0"/>
        <v>1</v>
      </c>
      <c r="P16" s="119">
        <f t="shared" si="0"/>
        <v>1</v>
      </c>
      <c r="Q16" s="119">
        <f t="shared" si="0"/>
        <v>1</v>
      </c>
      <c r="R16" s="119">
        <f t="shared" si="0"/>
        <v>1</v>
      </c>
      <c r="S16" s="119">
        <f t="shared" si="0"/>
        <v>0</v>
      </c>
      <c r="T16" s="119">
        <f t="shared" si="0"/>
        <v>0</v>
      </c>
      <c r="U16" s="119">
        <f t="shared" si="0"/>
        <v>1</v>
      </c>
      <c r="V16" s="119">
        <f t="shared" si="0"/>
        <v>1</v>
      </c>
      <c r="W16" s="119">
        <f t="shared" si="0"/>
        <v>3</v>
      </c>
      <c r="X16" s="119">
        <f t="shared" si="0"/>
        <v>0</v>
      </c>
      <c r="Y16" s="119">
        <f t="shared" si="0"/>
        <v>1</v>
      </c>
      <c r="Z16" s="119">
        <f t="shared" si="0"/>
        <v>2</v>
      </c>
      <c r="AA16" s="119">
        <f t="shared" si="0"/>
        <v>1</v>
      </c>
      <c r="AB16" s="119">
        <f t="shared" si="0"/>
        <v>1</v>
      </c>
      <c r="AC16" s="119">
        <f t="shared" si="0"/>
        <v>3</v>
      </c>
      <c r="AD16" s="119">
        <f t="shared" si="0"/>
        <v>0</v>
      </c>
      <c r="AE16" s="119">
        <f t="shared" si="0"/>
        <v>2</v>
      </c>
      <c r="AF16" s="119">
        <f t="shared" si="0"/>
        <v>0</v>
      </c>
      <c r="AG16" s="119">
        <f t="shared" si="0"/>
        <v>0</v>
      </c>
      <c r="AH16" s="119">
        <f t="shared" si="0"/>
        <v>0</v>
      </c>
      <c r="AI16" s="119">
        <f t="shared" si="0"/>
        <v>0</v>
      </c>
      <c r="AJ16" s="119">
        <f t="shared" si="0"/>
        <v>1</v>
      </c>
      <c r="AK16" s="119">
        <f t="shared" si="0"/>
        <v>0</v>
      </c>
      <c r="AL16" s="119">
        <f t="shared" si="0"/>
        <v>2</v>
      </c>
      <c r="AM16" s="119">
        <f t="shared" si="0"/>
        <v>2</v>
      </c>
      <c r="AN16" s="119">
        <f t="shared" si="0"/>
        <v>0</v>
      </c>
      <c r="AO16" s="119">
        <f t="shared" si="0"/>
        <v>2</v>
      </c>
      <c r="AP16" s="119">
        <f t="shared" si="0"/>
        <v>2</v>
      </c>
      <c r="AQ16" s="119">
        <f t="shared" si="0"/>
        <v>0</v>
      </c>
      <c r="AR16" s="119">
        <f t="shared" si="0"/>
        <v>1</v>
      </c>
      <c r="AS16" s="119">
        <f t="shared" si="0"/>
        <v>2</v>
      </c>
      <c r="AT16" s="119">
        <f t="shared" si="0"/>
        <v>1</v>
      </c>
      <c r="AU16" s="119">
        <f t="shared" si="0"/>
        <v>0</v>
      </c>
      <c r="AV16" s="152">
        <f t="shared" si="0"/>
        <v>2</v>
      </c>
      <c r="AW16" s="155">
        <f t="shared" si="0"/>
        <v>42</v>
      </c>
      <c r="AX16" s="113"/>
      <c r="AY16" s="113"/>
      <c r="AZ16" s="113"/>
      <c r="BA16" s="113"/>
      <c r="BB16" s="113"/>
      <c r="BC16" s="113"/>
      <c r="BD16" s="113"/>
      <c r="BE16" s="113"/>
      <c r="BF16" s="113"/>
      <c r="BG16" s="113"/>
      <c r="BH16" s="113"/>
      <c r="BI16" s="113"/>
      <c r="BJ16" s="113"/>
      <c r="BK16" s="113"/>
      <c r="BL16" s="113"/>
      <c r="BM16" s="113"/>
      <c r="BN16" s="113"/>
      <c r="BO16" s="113"/>
      <c r="BP16" s="113"/>
      <c r="BQ16" s="113"/>
      <c r="BR16" s="113"/>
      <c r="BS16" s="113"/>
      <c r="BT16" s="113"/>
      <c r="BU16" s="113"/>
      <c r="BV16" s="113"/>
      <c r="BW16" s="113"/>
      <c r="BX16" s="113"/>
      <c r="BY16" s="113"/>
      <c r="BZ16" s="113"/>
      <c r="CA16" s="113"/>
      <c r="CB16" s="113"/>
    </row>
    <row r="17" spans="1:80" s="114" customFormat="1" ht="24.75" customHeight="1" x14ac:dyDescent="0.2">
      <c r="A17" s="149"/>
      <c r="B17" s="119" t="s">
        <v>450</v>
      </c>
      <c r="C17" s="119"/>
      <c r="D17" s="119"/>
      <c r="E17" s="119"/>
      <c r="F17" s="119"/>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52"/>
      <c r="AW17" s="155"/>
      <c r="AX17" s="113"/>
      <c r="AY17" s="113"/>
      <c r="AZ17" s="113"/>
      <c r="BA17" s="113"/>
      <c r="BB17" s="113"/>
      <c r="BC17" s="113"/>
      <c r="BD17" s="113"/>
      <c r="BE17" s="113"/>
      <c r="BF17" s="113"/>
      <c r="BG17" s="113"/>
      <c r="BH17" s="113"/>
      <c r="BI17" s="113"/>
      <c r="BJ17" s="113"/>
      <c r="BK17" s="113"/>
      <c r="BL17" s="113"/>
      <c r="BM17" s="113"/>
      <c r="BN17" s="113"/>
      <c r="BO17" s="113"/>
      <c r="BP17" s="113"/>
      <c r="BQ17" s="113"/>
      <c r="BR17" s="113"/>
      <c r="BS17" s="113"/>
      <c r="BT17" s="113"/>
      <c r="BU17" s="113"/>
      <c r="BV17" s="113"/>
      <c r="BW17" s="113"/>
      <c r="BX17" s="113"/>
      <c r="BY17" s="113"/>
      <c r="BZ17" s="113"/>
      <c r="CA17" s="113"/>
      <c r="CB17" s="113"/>
    </row>
    <row r="18" spans="1:80" s="22" customFormat="1" ht="24.75" customHeight="1" x14ac:dyDescent="0.2">
      <c r="A18" s="148"/>
      <c r="B18" s="111" t="s">
        <v>132</v>
      </c>
      <c r="C18" s="111"/>
      <c r="D18" s="111"/>
      <c r="E18" s="111"/>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51"/>
      <c r="AW18" s="154"/>
      <c r="AX18"/>
      <c r="AY18"/>
      <c r="AZ18"/>
      <c r="BA18"/>
      <c r="BB18"/>
      <c r="BC18"/>
      <c r="BD18"/>
      <c r="BE18"/>
      <c r="BF18"/>
      <c r="BG18"/>
      <c r="BH18"/>
      <c r="BI18"/>
      <c r="BJ18"/>
      <c r="BK18"/>
      <c r="BL18"/>
      <c r="BM18"/>
      <c r="BN18"/>
      <c r="BO18"/>
      <c r="BP18"/>
      <c r="BQ18"/>
      <c r="BR18"/>
      <c r="BS18"/>
      <c r="BT18"/>
      <c r="BU18"/>
      <c r="BV18"/>
      <c r="BW18"/>
      <c r="BX18"/>
      <c r="BY18"/>
      <c r="BZ18"/>
      <c r="CA18"/>
      <c r="CB18"/>
    </row>
    <row r="20" spans="1:80" x14ac:dyDescent="0.15">
      <c r="B20" s="71" t="s">
        <v>101</v>
      </c>
    </row>
  </sheetData>
  <sortState xmlns:xlrd2="http://schemas.microsoft.com/office/spreadsheetml/2017/richdata2" ref="A3:HX18">
    <sortCondition descending="1" ref="C3:C18"/>
  </sortState>
  <phoneticPr fontId="2"/>
  <pageMargins left="0.78740157480314965" right="0" top="0.78740157480314965" bottom="0.19685039370078741" header="0" footer="0"/>
  <pageSetup paperSize="12" scale="86"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43"/>
    <pageSetUpPr fitToPage="1"/>
  </sheetPr>
  <dimension ref="A1:CB161"/>
  <sheetViews>
    <sheetView zoomScale="70" zoomScaleNormal="70" workbookViewId="0">
      <pane ySplit="3" topLeftCell="A10" activePane="bottomLeft" state="frozen"/>
      <selection pane="bottomLeft" activeCell="AL8" sqref="AL8"/>
    </sheetView>
  </sheetViews>
  <sheetFormatPr defaultColWidth="9" defaultRowHeight="13.5" x14ac:dyDescent="0.15"/>
  <cols>
    <col min="1" max="1" width="4.25" style="20" customWidth="1"/>
    <col min="2" max="2" width="42.125" style="58" customWidth="1"/>
    <col min="3" max="3" width="2.5" style="20" hidden="1" customWidth="1"/>
    <col min="4" max="4" width="4.25" style="20" customWidth="1"/>
    <col min="5" max="7" width="4.375" style="58" customWidth="1"/>
    <col min="8" max="9" width="4.375" style="20" customWidth="1"/>
    <col min="10" max="12" width="4.375" style="58" customWidth="1"/>
    <col min="13" max="36" width="4.375" style="20" customWidth="1"/>
    <col min="37" max="37" width="4.875" style="20" customWidth="1"/>
    <col min="38" max="46" width="3.75" style="20" customWidth="1"/>
    <col min="47" max="50" width="3.875" style="20" customWidth="1"/>
    <col min="51" max="51" width="5.125" style="20" customWidth="1"/>
    <col min="52" max="53" width="3.75" style="20" customWidth="1"/>
    <col min="54" max="54" width="3.875" style="20" customWidth="1"/>
    <col min="55" max="55" width="3.75" style="20" customWidth="1"/>
    <col min="56" max="56" width="5.5" style="20" customWidth="1"/>
    <col min="57" max="16384" width="9" style="20"/>
  </cols>
  <sheetData>
    <row r="1" spans="1:80" s="22" customFormat="1" ht="20.45" customHeight="1" x14ac:dyDescent="0.15">
      <c r="A1" s="20"/>
      <c r="B1" s="112" t="s">
        <v>451</v>
      </c>
      <c r="C1" s="58"/>
      <c r="D1" s="20"/>
      <c r="F1" s="20"/>
      <c r="H1" s="20"/>
      <c r="N1" s="58"/>
      <c r="P1" s="20"/>
      <c r="Q1" s="58"/>
      <c r="AA1" s="58"/>
      <c r="AD1" s="58"/>
      <c r="AH1" s="58"/>
      <c r="AI1" s="20"/>
    </row>
    <row r="2" spans="1:80" s="109" customFormat="1" ht="33.75" x14ac:dyDescent="0.15">
      <c r="A2" s="110"/>
      <c r="B2" s="110"/>
      <c r="C2" s="110"/>
      <c r="D2" s="107" t="s">
        <v>88</v>
      </c>
      <c r="E2" s="107" t="s">
        <v>88</v>
      </c>
      <c r="F2" s="107" t="s">
        <v>88</v>
      </c>
      <c r="G2" s="107" t="s">
        <v>88</v>
      </c>
      <c r="H2" s="117" t="s">
        <v>88</v>
      </c>
      <c r="I2" s="115" t="s">
        <v>171</v>
      </c>
      <c r="J2" s="107" t="s">
        <v>171</v>
      </c>
      <c r="K2" s="107" t="s">
        <v>171</v>
      </c>
      <c r="L2" s="107" t="s">
        <v>171</v>
      </c>
      <c r="M2" s="107" t="s">
        <v>171</v>
      </c>
      <c r="N2" s="107" t="s">
        <v>171</v>
      </c>
      <c r="O2" s="107" t="s">
        <v>171</v>
      </c>
      <c r="P2" s="107" t="s">
        <v>171</v>
      </c>
      <c r="Q2" s="107" t="s">
        <v>171</v>
      </c>
      <c r="R2" s="117" t="s">
        <v>171</v>
      </c>
      <c r="S2" s="115" t="s">
        <v>359</v>
      </c>
      <c r="T2" s="107" t="s">
        <v>164</v>
      </c>
      <c r="U2" s="107" t="s">
        <v>164</v>
      </c>
      <c r="V2" s="107" t="s">
        <v>164</v>
      </c>
      <c r="W2" s="107" t="s">
        <v>164</v>
      </c>
      <c r="X2" s="107" t="s">
        <v>164</v>
      </c>
      <c r="Y2" s="107" t="s">
        <v>164</v>
      </c>
      <c r="Z2" s="107" t="s">
        <v>420</v>
      </c>
      <c r="AA2" s="107" t="s">
        <v>165</v>
      </c>
      <c r="AB2" s="107" t="s">
        <v>165</v>
      </c>
      <c r="AC2" s="107" t="s">
        <v>165</v>
      </c>
      <c r="AD2" s="107" t="s">
        <v>165</v>
      </c>
      <c r="AE2" s="116" t="s">
        <v>165</v>
      </c>
      <c r="AF2" s="120"/>
      <c r="AG2" s="108"/>
      <c r="AH2" s="108"/>
      <c r="AI2" s="108"/>
      <c r="AJ2" s="108"/>
      <c r="AK2" s="108"/>
      <c r="AL2" s="108"/>
      <c r="AM2" s="108"/>
      <c r="AN2" s="108"/>
      <c r="AO2" s="108"/>
      <c r="AP2" s="108"/>
      <c r="AQ2" s="108"/>
      <c r="AR2" s="108"/>
      <c r="AS2" s="108"/>
      <c r="AT2" s="108"/>
      <c r="AU2" s="108"/>
      <c r="AV2" s="108"/>
      <c r="AW2" s="108"/>
      <c r="AX2" s="108"/>
      <c r="AY2" s="108"/>
      <c r="AZ2" s="108"/>
      <c r="BA2" s="108"/>
      <c r="BB2" s="108"/>
      <c r="BC2" s="108"/>
      <c r="BD2" s="108"/>
      <c r="BE2" s="108"/>
      <c r="BF2" s="108"/>
      <c r="BG2" s="108"/>
      <c r="BH2" s="108"/>
      <c r="BI2" s="108"/>
      <c r="BJ2" s="108"/>
      <c r="BK2" s="108"/>
      <c r="BL2" s="108"/>
      <c r="BM2" s="108"/>
      <c r="BN2" s="108"/>
      <c r="BO2" s="108"/>
      <c r="BP2" s="108"/>
      <c r="BQ2" s="108"/>
      <c r="BR2" s="108"/>
      <c r="BS2" s="108"/>
      <c r="BT2" s="108"/>
      <c r="BU2" s="108"/>
      <c r="BV2" s="108"/>
      <c r="BW2" s="108"/>
      <c r="BX2" s="108"/>
      <c r="BY2" s="108"/>
      <c r="BZ2" s="108"/>
      <c r="CA2" s="108"/>
      <c r="CB2" s="108"/>
    </row>
    <row r="3" spans="1:80" s="109" customFormat="1" ht="56.25" x14ac:dyDescent="0.15">
      <c r="A3" s="107" t="s">
        <v>16</v>
      </c>
      <c r="B3" s="107" t="s">
        <v>17</v>
      </c>
      <c r="C3" s="107" t="s">
        <v>59</v>
      </c>
      <c r="D3" s="107" t="s">
        <v>147</v>
      </c>
      <c r="E3" s="107" t="s">
        <v>106</v>
      </c>
      <c r="F3" s="107" t="s">
        <v>206</v>
      </c>
      <c r="G3" s="107" t="s">
        <v>277</v>
      </c>
      <c r="H3" s="117" t="s">
        <v>427</v>
      </c>
      <c r="I3" s="115" t="s">
        <v>361</v>
      </c>
      <c r="J3" s="107" t="s">
        <v>362</v>
      </c>
      <c r="K3" s="107" t="s">
        <v>363</v>
      </c>
      <c r="L3" s="107" t="s">
        <v>364</v>
      </c>
      <c r="M3" s="107" t="s">
        <v>426</v>
      </c>
      <c r="N3" s="107" t="s">
        <v>365</v>
      </c>
      <c r="O3" s="107" t="s">
        <v>366</v>
      </c>
      <c r="P3" s="107" t="s">
        <v>367</v>
      </c>
      <c r="Q3" s="107" t="s">
        <v>425</v>
      </c>
      <c r="R3" s="117" t="s">
        <v>233</v>
      </c>
      <c r="S3" s="115" t="s">
        <v>368</v>
      </c>
      <c r="T3" s="107" t="s">
        <v>360</v>
      </c>
      <c r="U3" s="107" t="s">
        <v>423</v>
      </c>
      <c r="V3" s="107" t="s">
        <v>180</v>
      </c>
      <c r="W3" s="107" t="s">
        <v>232</v>
      </c>
      <c r="X3" s="107" t="s">
        <v>447</v>
      </c>
      <c r="Y3" s="107" t="s">
        <v>346</v>
      </c>
      <c r="Z3" s="107" t="s">
        <v>448</v>
      </c>
      <c r="AA3" s="107" t="s">
        <v>135</v>
      </c>
      <c r="AB3" s="107" t="s">
        <v>276</v>
      </c>
      <c r="AC3" s="107" t="s">
        <v>178</v>
      </c>
      <c r="AD3" s="107" t="s">
        <v>275</v>
      </c>
      <c r="AE3" s="116" t="s">
        <v>424</v>
      </c>
      <c r="AF3" s="120"/>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row>
    <row r="4" spans="1:80" s="22" customFormat="1" ht="19.5" customHeight="1" x14ac:dyDescent="0.2">
      <c r="A4" s="148" t="s">
        <v>430</v>
      </c>
      <c r="B4" s="111" t="s">
        <v>431</v>
      </c>
      <c r="C4" s="111" t="s">
        <v>69</v>
      </c>
      <c r="D4" s="111"/>
      <c r="E4" s="111">
        <v>1</v>
      </c>
      <c r="F4" s="111"/>
      <c r="G4" s="111"/>
      <c r="H4" s="159"/>
      <c r="I4" s="157"/>
      <c r="J4" s="111"/>
      <c r="K4" s="111"/>
      <c r="L4" s="111">
        <v>1</v>
      </c>
      <c r="M4" s="111"/>
      <c r="N4" s="111"/>
      <c r="O4" s="111"/>
      <c r="P4" s="111">
        <v>1</v>
      </c>
      <c r="Q4" s="111"/>
      <c r="R4" s="159"/>
      <c r="S4" s="157"/>
      <c r="T4" s="111">
        <v>3</v>
      </c>
      <c r="U4" s="111"/>
      <c r="V4" s="111"/>
      <c r="W4" s="111"/>
      <c r="X4" s="111"/>
      <c r="Y4" s="111"/>
      <c r="Z4" s="111"/>
      <c r="AA4" s="111"/>
      <c r="AB4" s="111"/>
      <c r="AC4" s="111"/>
      <c r="AD4" s="111"/>
      <c r="AE4" s="151"/>
      <c r="AF4" s="154">
        <v>6</v>
      </c>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row>
    <row r="5" spans="1:80" s="114" customFormat="1" ht="19.5" customHeight="1" x14ac:dyDescent="0.2">
      <c r="A5" s="149" t="s">
        <v>432</v>
      </c>
      <c r="B5" s="119" t="s">
        <v>433</v>
      </c>
      <c r="C5" s="119" t="s">
        <v>69</v>
      </c>
      <c r="D5" s="119"/>
      <c r="E5" s="119"/>
      <c r="F5" s="119"/>
      <c r="G5" s="119"/>
      <c r="H5" s="160"/>
      <c r="I5" s="158">
        <v>1</v>
      </c>
      <c r="J5" s="119"/>
      <c r="K5" s="119"/>
      <c r="L5" s="119"/>
      <c r="M5" s="119"/>
      <c r="N5" s="119"/>
      <c r="O5" s="119"/>
      <c r="P5" s="119"/>
      <c r="Q5" s="119"/>
      <c r="R5" s="160"/>
      <c r="S5" s="158"/>
      <c r="T5" s="119"/>
      <c r="U5" s="119"/>
      <c r="V5" s="119"/>
      <c r="W5" s="119"/>
      <c r="X5" s="119"/>
      <c r="Y5" s="119"/>
      <c r="Z5" s="119"/>
      <c r="AA5" s="119"/>
      <c r="AB5" s="119"/>
      <c r="AC5" s="119"/>
      <c r="AD5" s="119"/>
      <c r="AE5" s="152"/>
      <c r="AF5" s="155">
        <v>1</v>
      </c>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13"/>
      <c r="BI5" s="113"/>
      <c r="BJ5" s="113"/>
      <c r="BK5" s="113"/>
      <c r="BL5" s="113"/>
      <c r="BM5" s="113"/>
      <c r="BN5" s="113"/>
      <c r="BO5" s="113"/>
      <c r="BP5" s="113"/>
      <c r="BQ5" s="113"/>
      <c r="BR5" s="113"/>
      <c r="BS5" s="113"/>
      <c r="BT5" s="113"/>
      <c r="BU5" s="113"/>
      <c r="BV5" s="113"/>
      <c r="BW5" s="113"/>
      <c r="BX5" s="113"/>
      <c r="BY5" s="113"/>
      <c r="BZ5" s="113"/>
      <c r="CA5" s="113"/>
      <c r="CB5" s="113"/>
    </row>
    <row r="6" spans="1:80" s="22" customFormat="1" ht="19.5" customHeight="1" x14ac:dyDescent="0.2">
      <c r="A6" s="148" t="s">
        <v>390</v>
      </c>
      <c r="B6" s="111" t="s">
        <v>396</v>
      </c>
      <c r="C6" s="111" t="s">
        <v>69</v>
      </c>
      <c r="D6" s="111"/>
      <c r="E6" s="111"/>
      <c r="F6" s="111"/>
      <c r="G6" s="111"/>
      <c r="H6" s="159"/>
      <c r="I6" s="157"/>
      <c r="J6" s="111"/>
      <c r="K6" s="111"/>
      <c r="L6" s="111"/>
      <c r="M6" s="111"/>
      <c r="N6" s="111"/>
      <c r="O6" s="111"/>
      <c r="P6" s="111"/>
      <c r="Q6" s="111"/>
      <c r="R6" s="159"/>
      <c r="S6" s="157"/>
      <c r="T6" s="111"/>
      <c r="U6" s="111"/>
      <c r="V6" s="111">
        <v>1</v>
      </c>
      <c r="W6" s="111"/>
      <c r="X6" s="111"/>
      <c r="Y6" s="111"/>
      <c r="Z6" s="111"/>
      <c r="AA6" s="111"/>
      <c r="AB6" s="111"/>
      <c r="AC6" s="111"/>
      <c r="AD6" s="111"/>
      <c r="AE6" s="151"/>
      <c r="AF6" s="154">
        <v>1</v>
      </c>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row>
    <row r="7" spans="1:80" s="114" customFormat="1" ht="19.5" customHeight="1" x14ac:dyDescent="0.2">
      <c r="A7" s="149" t="s">
        <v>254</v>
      </c>
      <c r="B7" s="119" t="s">
        <v>255</v>
      </c>
      <c r="C7" s="119" t="s">
        <v>69</v>
      </c>
      <c r="D7" s="119"/>
      <c r="E7" s="119">
        <v>1</v>
      </c>
      <c r="F7" s="119"/>
      <c r="G7" s="119"/>
      <c r="H7" s="160"/>
      <c r="I7" s="158"/>
      <c r="J7" s="119"/>
      <c r="K7" s="119"/>
      <c r="L7" s="119"/>
      <c r="M7" s="119"/>
      <c r="N7" s="119"/>
      <c r="O7" s="119"/>
      <c r="P7" s="119"/>
      <c r="Q7" s="119"/>
      <c r="R7" s="160"/>
      <c r="S7" s="158"/>
      <c r="T7" s="119"/>
      <c r="U7" s="119"/>
      <c r="V7" s="119"/>
      <c r="W7" s="119"/>
      <c r="X7" s="119"/>
      <c r="Y7" s="119"/>
      <c r="Z7" s="119"/>
      <c r="AA7" s="119"/>
      <c r="AB7" s="119"/>
      <c r="AC7" s="119"/>
      <c r="AD7" s="119"/>
      <c r="AE7" s="152"/>
      <c r="AF7" s="155">
        <v>1</v>
      </c>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c r="BS7" s="113"/>
      <c r="BT7" s="113"/>
      <c r="BU7" s="113"/>
      <c r="BV7" s="113"/>
      <c r="BW7" s="113"/>
      <c r="BX7" s="113"/>
      <c r="BY7" s="113"/>
      <c r="BZ7" s="113"/>
      <c r="CA7" s="113"/>
      <c r="CB7" s="113"/>
    </row>
    <row r="8" spans="1:80" s="22" customFormat="1" ht="19.5" customHeight="1" x14ac:dyDescent="0.2">
      <c r="A8" s="148" t="s">
        <v>316</v>
      </c>
      <c r="B8" s="111" t="s">
        <v>319</v>
      </c>
      <c r="C8" s="111" t="s">
        <v>69</v>
      </c>
      <c r="D8" s="111"/>
      <c r="E8" s="111"/>
      <c r="F8" s="111"/>
      <c r="G8" s="111"/>
      <c r="H8" s="159"/>
      <c r="I8" s="157"/>
      <c r="J8" s="111"/>
      <c r="K8" s="111"/>
      <c r="L8" s="111"/>
      <c r="M8" s="111"/>
      <c r="N8" s="111"/>
      <c r="O8" s="111"/>
      <c r="P8" s="111"/>
      <c r="Q8" s="111"/>
      <c r="R8" s="159"/>
      <c r="S8" s="157"/>
      <c r="T8" s="111"/>
      <c r="U8" s="111"/>
      <c r="V8" s="111"/>
      <c r="W8" s="111"/>
      <c r="X8" s="111"/>
      <c r="Y8" s="111"/>
      <c r="Z8" s="111">
        <v>1</v>
      </c>
      <c r="AA8" s="111"/>
      <c r="AB8" s="111"/>
      <c r="AC8" s="111"/>
      <c r="AD8" s="111"/>
      <c r="AE8" s="151"/>
      <c r="AF8" s="154">
        <v>1</v>
      </c>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row>
    <row r="9" spans="1:80" s="114" customFormat="1" ht="19.5" customHeight="1" x14ac:dyDescent="0.2">
      <c r="A9" s="149" t="s">
        <v>244</v>
      </c>
      <c r="B9" s="119" t="s">
        <v>248</v>
      </c>
      <c r="C9" s="119" t="s">
        <v>69</v>
      </c>
      <c r="D9" s="119"/>
      <c r="E9" s="119"/>
      <c r="F9" s="119"/>
      <c r="G9" s="119"/>
      <c r="H9" s="160"/>
      <c r="I9" s="158"/>
      <c r="J9" s="119"/>
      <c r="K9" s="119"/>
      <c r="L9" s="119"/>
      <c r="M9" s="119"/>
      <c r="N9" s="119"/>
      <c r="O9" s="119"/>
      <c r="P9" s="119"/>
      <c r="Q9" s="119"/>
      <c r="R9" s="160"/>
      <c r="S9" s="158"/>
      <c r="T9" s="119">
        <v>2</v>
      </c>
      <c r="U9" s="119"/>
      <c r="V9" s="119"/>
      <c r="W9" s="119"/>
      <c r="X9" s="119"/>
      <c r="Y9" s="119"/>
      <c r="Z9" s="119"/>
      <c r="AA9" s="119"/>
      <c r="AB9" s="119"/>
      <c r="AC9" s="119"/>
      <c r="AD9" s="119"/>
      <c r="AE9" s="152"/>
      <c r="AF9" s="155">
        <v>2</v>
      </c>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c r="BS9" s="113"/>
      <c r="BT9" s="113"/>
      <c r="BU9" s="113"/>
      <c r="BV9" s="113"/>
      <c r="BW9" s="113"/>
      <c r="BX9" s="113"/>
      <c r="BY9" s="113"/>
      <c r="BZ9" s="113"/>
      <c r="CA9" s="113"/>
      <c r="CB9" s="113"/>
    </row>
    <row r="10" spans="1:80" s="22" customFormat="1" ht="19.5" customHeight="1" x14ac:dyDescent="0.2">
      <c r="A10" s="148" t="s">
        <v>418</v>
      </c>
      <c r="B10" s="111" t="s">
        <v>419</v>
      </c>
      <c r="C10" s="111" t="s">
        <v>69</v>
      </c>
      <c r="D10" s="111"/>
      <c r="E10" s="111"/>
      <c r="F10" s="111"/>
      <c r="G10" s="111"/>
      <c r="H10" s="159"/>
      <c r="I10" s="157"/>
      <c r="J10" s="111"/>
      <c r="K10" s="111"/>
      <c r="L10" s="111"/>
      <c r="M10" s="111"/>
      <c r="N10" s="111"/>
      <c r="O10" s="111"/>
      <c r="P10" s="111"/>
      <c r="Q10" s="111"/>
      <c r="R10" s="159"/>
      <c r="S10" s="157"/>
      <c r="T10" s="111">
        <v>1</v>
      </c>
      <c r="U10" s="111"/>
      <c r="V10" s="111"/>
      <c r="W10" s="111"/>
      <c r="X10" s="111"/>
      <c r="Y10" s="111"/>
      <c r="Z10" s="111"/>
      <c r="AA10" s="111"/>
      <c r="AB10" s="111"/>
      <c r="AC10" s="111"/>
      <c r="AD10" s="111"/>
      <c r="AE10" s="151"/>
      <c r="AF10" s="154">
        <v>1</v>
      </c>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row>
    <row r="11" spans="1:80" s="114" customFormat="1" ht="19.5" customHeight="1" x14ac:dyDescent="0.2">
      <c r="A11" s="149" t="s">
        <v>434</v>
      </c>
      <c r="B11" s="119" t="s">
        <v>435</v>
      </c>
      <c r="C11" s="119" t="s">
        <v>69</v>
      </c>
      <c r="D11" s="119"/>
      <c r="E11" s="119"/>
      <c r="F11" s="119"/>
      <c r="G11" s="119"/>
      <c r="H11" s="160"/>
      <c r="I11" s="158"/>
      <c r="J11" s="119"/>
      <c r="K11" s="119"/>
      <c r="L11" s="119">
        <v>1</v>
      </c>
      <c r="M11" s="119"/>
      <c r="N11" s="119"/>
      <c r="O11" s="119"/>
      <c r="P11" s="119"/>
      <c r="Q11" s="119"/>
      <c r="R11" s="160"/>
      <c r="S11" s="158"/>
      <c r="T11" s="119"/>
      <c r="U11" s="119"/>
      <c r="V11" s="119"/>
      <c r="W11" s="119"/>
      <c r="X11" s="119"/>
      <c r="Y11" s="119"/>
      <c r="Z11" s="119"/>
      <c r="AA11" s="119"/>
      <c r="AB11" s="119"/>
      <c r="AC11" s="119"/>
      <c r="AD11" s="119"/>
      <c r="AE11" s="152"/>
      <c r="AF11" s="155">
        <v>1</v>
      </c>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row>
    <row r="12" spans="1:80" s="22" customFormat="1" ht="19.5" customHeight="1" x14ac:dyDescent="0.2">
      <c r="A12" s="148" t="s">
        <v>415</v>
      </c>
      <c r="B12" s="111" t="s">
        <v>416</v>
      </c>
      <c r="C12" s="111" t="s">
        <v>69</v>
      </c>
      <c r="D12" s="111"/>
      <c r="E12" s="111"/>
      <c r="F12" s="111"/>
      <c r="G12" s="111"/>
      <c r="H12" s="159"/>
      <c r="I12" s="157"/>
      <c r="J12" s="111"/>
      <c r="K12" s="111"/>
      <c r="L12" s="111"/>
      <c r="M12" s="111"/>
      <c r="N12" s="111"/>
      <c r="O12" s="111"/>
      <c r="P12" s="111"/>
      <c r="Q12" s="111"/>
      <c r="R12" s="159"/>
      <c r="S12" s="157"/>
      <c r="T12" s="111">
        <v>2</v>
      </c>
      <c r="U12" s="111">
        <v>1</v>
      </c>
      <c r="V12" s="111"/>
      <c r="W12" s="111"/>
      <c r="X12" s="111"/>
      <c r="Y12" s="111"/>
      <c r="Z12" s="111"/>
      <c r="AA12" s="111"/>
      <c r="AB12" s="111"/>
      <c r="AC12" s="111"/>
      <c r="AD12" s="111"/>
      <c r="AE12" s="151"/>
      <c r="AF12" s="154">
        <v>3</v>
      </c>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row>
    <row r="13" spans="1:80" s="114" customFormat="1" ht="19.5" customHeight="1" x14ac:dyDescent="0.2">
      <c r="A13" s="149" t="s">
        <v>428</v>
      </c>
      <c r="B13" s="119" t="s">
        <v>429</v>
      </c>
      <c r="C13" s="119" t="s">
        <v>69</v>
      </c>
      <c r="D13" s="119"/>
      <c r="E13" s="119"/>
      <c r="F13" s="119"/>
      <c r="G13" s="119"/>
      <c r="H13" s="160"/>
      <c r="I13" s="158"/>
      <c r="J13" s="119"/>
      <c r="K13" s="119"/>
      <c r="L13" s="119"/>
      <c r="M13" s="119"/>
      <c r="N13" s="119"/>
      <c r="O13" s="119"/>
      <c r="P13" s="119"/>
      <c r="Q13" s="119"/>
      <c r="R13" s="160">
        <v>1</v>
      </c>
      <c r="S13" s="158"/>
      <c r="T13" s="119"/>
      <c r="U13" s="119"/>
      <c r="V13" s="119"/>
      <c r="W13" s="119"/>
      <c r="X13" s="119"/>
      <c r="Y13" s="119"/>
      <c r="Z13" s="119">
        <v>1</v>
      </c>
      <c r="AA13" s="119"/>
      <c r="AB13" s="119"/>
      <c r="AC13" s="119"/>
      <c r="AD13" s="119"/>
      <c r="AE13" s="152"/>
      <c r="AF13" s="155">
        <v>2</v>
      </c>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c r="BS13" s="113"/>
      <c r="BT13" s="113"/>
      <c r="BU13" s="113"/>
      <c r="BV13" s="113"/>
      <c r="BW13" s="113"/>
      <c r="BX13" s="113"/>
      <c r="BY13" s="113"/>
      <c r="BZ13" s="113"/>
      <c r="CA13" s="113"/>
      <c r="CB13" s="113"/>
    </row>
    <row r="14" spans="1:80" s="22" customFormat="1" ht="19.5" customHeight="1" x14ac:dyDescent="0.2">
      <c r="A14" s="148" t="s">
        <v>211</v>
      </c>
      <c r="B14" s="111" t="s">
        <v>212</v>
      </c>
      <c r="C14" s="111" t="s">
        <v>69</v>
      </c>
      <c r="D14" s="111"/>
      <c r="E14" s="111"/>
      <c r="F14" s="111"/>
      <c r="G14" s="111"/>
      <c r="H14" s="159"/>
      <c r="I14" s="157"/>
      <c r="J14" s="111"/>
      <c r="K14" s="111"/>
      <c r="L14" s="111"/>
      <c r="M14" s="111"/>
      <c r="N14" s="111"/>
      <c r="O14" s="111"/>
      <c r="P14" s="111"/>
      <c r="Q14" s="111"/>
      <c r="R14" s="159"/>
      <c r="S14" s="157">
        <v>4</v>
      </c>
      <c r="T14" s="111"/>
      <c r="U14" s="111"/>
      <c r="V14" s="111"/>
      <c r="W14" s="111"/>
      <c r="X14" s="111"/>
      <c r="Y14" s="111"/>
      <c r="Z14" s="111"/>
      <c r="AA14" s="111"/>
      <c r="AB14" s="111"/>
      <c r="AC14" s="111"/>
      <c r="AD14" s="111"/>
      <c r="AE14" s="151"/>
      <c r="AF14" s="154">
        <v>4</v>
      </c>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row>
    <row r="15" spans="1:80" s="114" customFormat="1" ht="19.5" customHeight="1" x14ac:dyDescent="0.2">
      <c r="A15" s="149" t="s">
        <v>234</v>
      </c>
      <c r="B15" s="119" t="s">
        <v>235</v>
      </c>
      <c r="C15" s="119" t="s">
        <v>69</v>
      </c>
      <c r="D15" s="119"/>
      <c r="E15" s="119"/>
      <c r="F15" s="119"/>
      <c r="G15" s="119"/>
      <c r="H15" s="160"/>
      <c r="I15" s="158"/>
      <c r="J15" s="119"/>
      <c r="K15" s="119"/>
      <c r="L15" s="119"/>
      <c r="M15" s="119"/>
      <c r="N15" s="119"/>
      <c r="O15" s="119"/>
      <c r="P15" s="119"/>
      <c r="Q15" s="119"/>
      <c r="R15" s="160"/>
      <c r="S15" s="158"/>
      <c r="T15" s="119"/>
      <c r="U15" s="119"/>
      <c r="V15" s="119"/>
      <c r="W15" s="119"/>
      <c r="X15" s="119"/>
      <c r="Y15" s="119"/>
      <c r="Z15" s="119"/>
      <c r="AA15" s="119"/>
      <c r="AB15" s="119"/>
      <c r="AC15" s="119"/>
      <c r="AD15" s="119"/>
      <c r="AE15" s="152">
        <v>1</v>
      </c>
      <c r="AF15" s="155">
        <v>1</v>
      </c>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3"/>
      <c r="BM15" s="113"/>
      <c r="BN15" s="113"/>
      <c r="BO15" s="113"/>
      <c r="BP15" s="113"/>
      <c r="BQ15" s="113"/>
      <c r="BR15" s="113"/>
      <c r="BS15" s="113"/>
      <c r="BT15" s="113"/>
      <c r="BU15" s="113"/>
      <c r="BV15" s="113"/>
      <c r="BW15" s="113"/>
      <c r="BX15" s="113"/>
      <c r="BY15" s="113"/>
      <c r="BZ15" s="113"/>
      <c r="CA15" s="113"/>
      <c r="CB15" s="113"/>
    </row>
    <row r="16" spans="1:80" s="22" customFormat="1" ht="19.5" customHeight="1" x14ac:dyDescent="0.2">
      <c r="A16" s="148" t="s">
        <v>342</v>
      </c>
      <c r="B16" s="111" t="s">
        <v>343</v>
      </c>
      <c r="C16" s="111" t="s">
        <v>69</v>
      </c>
      <c r="D16" s="111"/>
      <c r="E16" s="111">
        <v>2</v>
      </c>
      <c r="F16" s="111"/>
      <c r="G16" s="111"/>
      <c r="H16" s="159"/>
      <c r="I16" s="157"/>
      <c r="J16" s="111"/>
      <c r="K16" s="111"/>
      <c r="L16" s="111"/>
      <c r="M16" s="111"/>
      <c r="N16" s="111"/>
      <c r="O16" s="111"/>
      <c r="P16" s="111"/>
      <c r="Q16" s="111"/>
      <c r="R16" s="159"/>
      <c r="S16" s="157"/>
      <c r="T16" s="111"/>
      <c r="U16" s="111"/>
      <c r="V16" s="111"/>
      <c r="W16" s="111"/>
      <c r="X16" s="111"/>
      <c r="Y16" s="111"/>
      <c r="Z16" s="111"/>
      <c r="AA16" s="111">
        <v>3</v>
      </c>
      <c r="AB16" s="111"/>
      <c r="AC16" s="111"/>
      <c r="AD16" s="111"/>
      <c r="AE16" s="151"/>
      <c r="AF16" s="154">
        <v>5</v>
      </c>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row>
    <row r="17" spans="1:80" s="114" customFormat="1" ht="19.5" customHeight="1" x14ac:dyDescent="0.2">
      <c r="A17" s="149" t="s">
        <v>251</v>
      </c>
      <c r="B17" s="119" t="s">
        <v>252</v>
      </c>
      <c r="C17" s="119" t="s">
        <v>69</v>
      </c>
      <c r="D17" s="119"/>
      <c r="E17" s="119"/>
      <c r="F17" s="119"/>
      <c r="G17" s="119"/>
      <c r="H17" s="160"/>
      <c r="I17" s="158"/>
      <c r="J17" s="119">
        <v>1</v>
      </c>
      <c r="K17" s="119"/>
      <c r="L17" s="119"/>
      <c r="M17" s="119"/>
      <c r="N17" s="119"/>
      <c r="O17" s="119"/>
      <c r="P17" s="119"/>
      <c r="Q17" s="119"/>
      <c r="R17" s="160"/>
      <c r="S17" s="158"/>
      <c r="T17" s="119"/>
      <c r="U17" s="119"/>
      <c r="V17" s="119"/>
      <c r="W17" s="119"/>
      <c r="X17" s="119"/>
      <c r="Y17" s="119"/>
      <c r="Z17" s="119"/>
      <c r="AA17" s="119"/>
      <c r="AB17" s="119"/>
      <c r="AC17" s="119"/>
      <c r="AD17" s="119"/>
      <c r="AE17" s="152"/>
      <c r="AF17" s="155">
        <v>1</v>
      </c>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c r="BS17" s="113"/>
      <c r="BT17" s="113"/>
      <c r="BU17" s="113"/>
      <c r="BV17" s="113"/>
      <c r="BW17" s="113"/>
      <c r="BX17" s="113"/>
      <c r="BY17" s="113"/>
      <c r="BZ17" s="113"/>
      <c r="CA17" s="113"/>
      <c r="CB17" s="113"/>
    </row>
    <row r="18" spans="1:80" s="22" customFormat="1" ht="19.5" customHeight="1" x14ac:dyDescent="0.2">
      <c r="A18" s="148" t="s">
        <v>308</v>
      </c>
      <c r="B18" s="111" t="s">
        <v>309</v>
      </c>
      <c r="C18" s="111" t="s">
        <v>69</v>
      </c>
      <c r="D18" s="111"/>
      <c r="E18" s="111"/>
      <c r="F18" s="111"/>
      <c r="G18" s="111"/>
      <c r="H18" s="159"/>
      <c r="I18" s="157"/>
      <c r="J18" s="111"/>
      <c r="K18" s="111"/>
      <c r="L18" s="111"/>
      <c r="M18" s="111"/>
      <c r="N18" s="111"/>
      <c r="O18" s="111"/>
      <c r="P18" s="111"/>
      <c r="Q18" s="111"/>
      <c r="R18" s="159"/>
      <c r="S18" s="157"/>
      <c r="T18" s="111"/>
      <c r="U18" s="111"/>
      <c r="V18" s="111"/>
      <c r="W18" s="111"/>
      <c r="X18" s="111"/>
      <c r="Y18" s="111"/>
      <c r="Z18" s="111"/>
      <c r="AA18" s="111"/>
      <c r="AB18" s="111"/>
      <c r="AC18" s="111">
        <v>2</v>
      </c>
      <c r="AD18" s="111"/>
      <c r="AE18" s="151"/>
      <c r="AF18" s="154">
        <v>2</v>
      </c>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row>
    <row r="19" spans="1:80" s="114" customFormat="1" ht="19.5" customHeight="1" x14ac:dyDescent="0.2">
      <c r="A19" s="149" t="s">
        <v>221</v>
      </c>
      <c r="B19" s="119" t="s">
        <v>301</v>
      </c>
      <c r="C19" s="119" t="s">
        <v>69</v>
      </c>
      <c r="D19" s="119"/>
      <c r="E19" s="119"/>
      <c r="F19" s="119"/>
      <c r="G19" s="119"/>
      <c r="H19" s="160"/>
      <c r="I19" s="158">
        <v>2</v>
      </c>
      <c r="J19" s="119"/>
      <c r="K19" s="119"/>
      <c r="L19" s="119"/>
      <c r="M19" s="119"/>
      <c r="N19" s="119"/>
      <c r="O19" s="119"/>
      <c r="P19" s="119">
        <v>1</v>
      </c>
      <c r="Q19" s="119"/>
      <c r="R19" s="160"/>
      <c r="S19" s="158"/>
      <c r="T19" s="119"/>
      <c r="U19" s="119"/>
      <c r="V19" s="119">
        <v>1</v>
      </c>
      <c r="W19" s="119"/>
      <c r="X19" s="119"/>
      <c r="Y19" s="119"/>
      <c r="Z19" s="119"/>
      <c r="AA19" s="119">
        <v>3</v>
      </c>
      <c r="AB19" s="119"/>
      <c r="AC19" s="119"/>
      <c r="AD19" s="119"/>
      <c r="AE19" s="152"/>
      <c r="AF19" s="155">
        <v>7</v>
      </c>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c r="BS19" s="113"/>
      <c r="BT19" s="113"/>
      <c r="BU19" s="113"/>
      <c r="BV19" s="113"/>
      <c r="BW19" s="113"/>
      <c r="BX19" s="113"/>
      <c r="BY19" s="113"/>
      <c r="BZ19" s="113"/>
      <c r="CA19" s="113"/>
      <c r="CB19" s="113"/>
    </row>
    <row r="20" spans="1:80" s="22" customFormat="1" ht="19.5" customHeight="1" x14ac:dyDescent="0.2">
      <c r="A20" s="148" t="s">
        <v>380</v>
      </c>
      <c r="B20" s="111" t="s">
        <v>381</v>
      </c>
      <c r="C20" s="111" t="s">
        <v>69</v>
      </c>
      <c r="D20" s="111"/>
      <c r="E20" s="111"/>
      <c r="F20" s="111"/>
      <c r="G20" s="111"/>
      <c r="H20" s="159"/>
      <c r="I20" s="157"/>
      <c r="J20" s="111"/>
      <c r="K20" s="111"/>
      <c r="L20" s="111"/>
      <c r="M20" s="111"/>
      <c r="N20" s="111"/>
      <c r="O20" s="111"/>
      <c r="P20" s="111"/>
      <c r="Q20" s="111"/>
      <c r="R20" s="159"/>
      <c r="S20" s="157"/>
      <c r="T20" s="111">
        <v>3</v>
      </c>
      <c r="U20" s="111"/>
      <c r="V20" s="111"/>
      <c r="W20" s="111"/>
      <c r="X20" s="111"/>
      <c r="Y20" s="111"/>
      <c r="Z20" s="111"/>
      <c r="AA20" s="111"/>
      <c r="AB20" s="111"/>
      <c r="AC20" s="111"/>
      <c r="AD20" s="111"/>
      <c r="AE20" s="151"/>
      <c r="AF20" s="154">
        <v>3</v>
      </c>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row>
    <row r="21" spans="1:80" s="114" customFormat="1" ht="19.5" customHeight="1" x14ac:dyDescent="0.2">
      <c r="A21" s="149" t="s">
        <v>388</v>
      </c>
      <c r="B21" s="119" t="s">
        <v>389</v>
      </c>
      <c r="C21" s="119" t="s">
        <v>69</v>
      </c>
      <c r="D21" s="119"/>
      <c r="E21" s="119"/>
      <c r="F21" s="119"/>
      <c r="G21" s="119"/>
      <c r="H21" s="160"/>
      <c r="I21" s="158"/>
      <c r="J21" s="119"/>
      <c r="K21" s="119"/>
      <c r="L21" s="119"/>
      <c r="M21" s="119"/>
      <c r="N21" s="119"/>
      <c r="O21" s="119"/>
      <c r="P21" s="119"/>
      <c r="Q21" s="119"/>
      <c r="R21" s="160"/>
      <c r="S21" s="158"/>
      <c r="T21" s="119"/>
      <c r="U21" s="119"/>
      <c r="V21" s="119"/>
      <c r="W21" s="119"/>
      <c r="X21" s="119"/>
      <c r="Y21" s="119"/>
      <c r="Z21" s="119"/>
      <c r="AA21" s="119"/>
      <c r="AB21" s="119"/>
      <c r="AC21" s="119">
        <v>1</v>
      </c>
      <c r="AD21" s="119"/>
      <c r="AE21" s="152">
        <v>1</v>
      </c>
      <c r="AF21" s="155">
        <v>2</v>
      </c>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c r="BS21" s="113"/>
      <c r="BT21" s="113"/>
      <c r="BU21" s="113"/>
      <c r="BV21" s="113"/>
      <c r="BW21" s="113"/>
      <c r="BX21" s="113"/>
      <c r="BY21" s="113"/>
      <c r="BZ21" s="113"/>
      <c r="CA21" s="113"/>
      <c r="CB21" s="113"/>
    </row>
    <row r="22" spans="1:80" s="22" customFormat="1" ht="19.5" customHeight="1" x14ac:dyDescent="0.2">
      <c r="A22" s="148" t="s">
        <v>207</v>
      </c>
      <c r="B22" s="111" t="s">
        <v>208</v>
      </c>
      <c r="C22" s="111" t="s">
        <v>69</v>
      </c>
      <c r="D22" s="111"/>
      <c r="E22" s="111"/>
      <c r="F22" s="111"/>
      <c r="G22" s="111"/>
      <c r="H22" s="159"/>
      <c r="I22" s="157"/>
      <c r="J22" s="111"/>
      <c r="K22" s="111"/>
      <c r="L22" s="111"/>
      <c r="M22" s="111"/>
      <c r="N22" s="111"/>
      <c r="O22" s="111"/>
      <c r="P22" s="111"/>
      <c r="Q22" s="111"/>
      <c r="R22" s="159"/>
      <c r="S22" s="157"/>
      <c r="T22" s="111">
        <v>1</v>
      </c>
      <c r="U22" s="111"/>
      <c r="V22" s="111"/>
      <c r="W22" s="111"/>
      <c r="X22" s="111"/>
      <c r="Y22" s="111"/>
      <c r="Z22" s="111"/>
      <c r="AA22" s="111">
        <v>2</v>
      </c>
      <c r="AB22" s="111"/>
      <c r="AC22" s="111"/>
      <c r="AD22" s="111"/>
      <c r="AE22" s="151"/>
      <c r="AF22" s="154">
        <v>3</v>
      </c>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row>
    <row r="23" spans="1:80" s="114" customFormat="1" ht="19.5" customHeight="1" x14ac:dyDescent="0.2">
      <c r="A23" s="149" t="s">
        <v>326</v>
      </c>
      <c r="B23" s="119" t="s">
        <v>327</v>
      </c>
      <c r="C23" s="119" t="s">
        <v>69</v>
      </c>
      <c r="D23" s="119"/>
      <c r="E23" s="119"/>
      <c r="F23" s="119"/>
      <c r="G23" s="119"/>
      <c r="H23" s="160"/>
      <c r="I23" s="158"/>
      <c r="J23" s="119"/>
      <c r="K23" s="119"/>
      <c r="L23" s="119"/>
      <c r="M23" s="119"/>
      <c r="N23" s="119"/>
      <c r="O23" s="119"/>
      <c r="P23" s="119"/>
      <c r="Q23" s="119"/>
      <c r="R23" s="160"/>
      <c r="S23" s="158"/>
      <c r="T23" s="119"/>
      <c r="U23" s="119"/>
      <c r="V23" s="119"/>
      <c r="W23" s="119"/>
      <c r="X23" s="119"/>
      <c r="Y23" s="119"/>
      <c r="Z23" s="119"/>
      <c r="AA23" s="119"/>
      <c r="AB23" s="119"/>
      <c r="AC23" s="119">
        <v>1</v>
      </c>
      <c r="AD23" s="119"/>
      <c r="AE23" s="152"/>
      <c r="AF23" s="155">
        <v>1</v>
      </c>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row>
    <row r="24" spans="1:80" s="22" customFormat="1" ht="19.5" customHeight="1" x14ac:dyDescent="0.2">
      <c r="A24" s="148" t="s">
        <v>236</v>
      </c>
      <c r="B24" s="111" t="s">
        <v>237</v>
      </c>
      <c r="C24" s="111" t="s">
        <v>69</v>
      </c>
      <c r="D24" s="111"/>
      <c r="E24" s="111"/>
      <c r="F24" s="111"/>
      <c r="G24" s="111"/>
      <c r="H24" s="159"/>
      <c r="I24" s="157"/>
      <c r="J24" s="111"/>
      <c r="K24" s="111"/>
      <c r="L24" s="111"/>
      <c r="M24" s="111"/>
      <c r="N24" s="111"/>
      <c r="O24" s="111"/>
      <c r="P24" s="111"/>
      <c r="Q24" s="111"/>
      <c r="R24" s="159"/>
      <c r="S24" s="157"/>
      <c r="T24" s="111"/>
      <c r="U24" s="111"/>
      <c r="V24" s="111"/>
      <c r="W24" s="111"/>
      <c r="X24" s="111"/>
      <c r="Y24" s="111">
        <v>1</v>
      </c>
      <c r="Z24" s="111">
        <v>1</v>
      </c>
      <c r="AA24" s="111"/>
      <c r="AB24" s="111"/>
      <c r="AC24" s="111"/>
      <c r="AD24" s="111"/>
      <c r="AE24" s="151"/>
      <c r="AF24" s="154">
        <v>2</v>
      </c>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row>
    <row r="25" spans="1:80" s="114" customFormat="1" ht="19.5" customHeight="1" x14ac:dyDescent="0.2">
      <c r="A25" s="149" t="s">
        <v>273</v>
      </c>
      <c r="B25" s="119" t="s">
        <v>274</v>
      </c>
      <c r="C25" s="119" t="s">
        <v>69</v>
      </c>
      <c r="D25" s="119"/>
      <c r="E25" s="119"/>
      <c r="F25" s="119"/>
      <c r="G25" s="119"/>
      <c r="H25" s="160"/>
      <c r="I25" s="158"/>
      <c r="J25" s="119"/>
      <c r="K25" s="119"/>
      <c r="L25" s="119"/>
      <c r="M25" s="119"/>
      <c r="N25" s="119"/>
      <c r="O25" s="119"/>
      <c r="P25" s="119"/>
      <c r="Q25" s="119"/>
      <c r="R25" s="160"/>
      <c r="S25" s="158"/>
      <c r="T25" s="119"/>
      <c r="U25" s="119"/>
      <c r="V25" s="119"/>
      <c r="W25" s="119"/>
      <c r="X25" s="119"/>
      <c r="Y25" s="119"/>
      <c r="Z25" s="119"/>
      <c r="AA25" s="119"/>
      <c r="AB25" s="119"/>
      <c r="AC25" s="119"/>
      <c r="AD25" s="119"/>
      <c r="AE25" s="152">
        <v>1</v>
      </c>
      <c r="AF25" s="155">
        <v>1</v>
      </c>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row>
    <row r="26" spans="1:80" s="22" customFormat="1" ht="19.5" customHeight="1" x14ac:dyDescent="0.2">
      <c r="A26" s="148" t="s">
        <v>397</v>
      </c>
      <c r="B26" s="111" t="s">
        <v>398</v>
      </c>
      <c r="C26" s="111" t="s">
        <v>69</v>
      </c>
      <c r="D26" s="111"/>
      <c r="E26" s="111"/>
      <c r="F26" s="111"/>
      <c r="G26" s="111"/>
      <c r="H26" s="159"/>
      <c r="I26" s="157"/>
      <c r="J26" s="111"/>
      <c r="K26" s="111"/>
      <c r="L26" s="111"/>
      <c r="M26" s="111"/>
      <c r="N26" s="111"/>
      <c r="O26" s="111"/>
      <c r="P26" s="111"/>
      <c r="Q26" s="111"/>
      <c r="R26" s="159"/>
      <c r="S26" s="157">
        <v>1</v>
      </c>
      <c r="T26" s="111"/>
      <c r="U26" s="111"/>
      <c r="V26" s="111"/>
      <c r="W26" s="111"/>
      <c r="X26" s="111"/>
      <c r="Y26" s="111"/>
      <c r="Z26" s="111"/>
      <c r="AA26" s="111"/>
      <c r="AB26" s="111"/>
      <c r="AC26" s="111"/>
      <c r="AD26" s="111"/>
      <c r="AE26" s="151"/>
      <c r="AF26" s="154">
        <v>1</v>
      </c>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row>
    <row r="27" spans="1:80" s="114" customFormat="1" ht="19.5" customHeight="1" x14ac:dyDescent="0.2">
      <c r="A27" s="149" t="s">
        <v>386</v>
      </c>
      <c r="B27" s="119" t="s">
        <v>387</v>
      </c>
      <c r="C27" s="119" t="s">
        <v>69</v>
      </c>
      <c r="D27" s="119"/>
      <c r="E27" s="119"/>
      <c r="F27" s="119"/>
      <c r="G27" s="119"/>
      <c r="H27" s="160"/>
      <c r="I27" s="158"/>
      <c r="J27" s="119"/>
      <c r="K27" s="119"/>
      <c r="L27" s="119"/>
      <c r="M27" s="119"/>
      <c r="N27" s="119"/>
      <c r="O27" s="119"/>
      <c r="P27" s="119"/>
      <c r="Q27" s="119"/>
      <c r="R27" s="160"/>
      <c r="S27" s="158"/>
      <c r="T27" s="119"/>
      <c r="U27" s="119"/>
      <c r="V27" s="119"/>
      <c r="W27" s="119"/>
      <c r="X27" s="119"/>
      <c r="Y27" s="119">
        <v>1</v>
      </c>
      <c r="Z27" s="119"/>
      <c r="AA27" s="119"/>
      <c r="AB27" s="119"/>
      <c r="AC27" s="119"/>
      <c r="AD27" s="119"/>
      <c r="AE27" s="152"/>
      <c r="AF27" s="155">
        <v>1</v>
      </c>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row>
    <row r="28" spans="1:80" s="22" customFormat="1" ht="19.5" customHeight="1" x14ac:dyDescent="0.2">
      <c r="A28" s="148" t="s">
        <v>401</v>
      </c>
      <c r="B28" s="111" t="s">
        <v>402</v>
      </c>
      <c r="C28" s="111" t="s">
        <v>69</v>
      </c>
      <c r="D28" s="111"/>
      <c r="E28" s="111"/>
      <c r="F28" s="111"/>
      <c r="G28" s="111"/>
      <c r="H28" s="159"/>
      <c r="I28" s="157"/>
      <c r="J28" s="111"/>
      <c r="K28" s="111"/>
      <c r="L28" s="111"/>
      <c r="M28" s="111"/>
      <c r="N28" s="111"/>
      <c r="O28" s="111"/>
      <c r="P28" s="111"/>
      <c r="Q28" s="111"/>
      <c r="R28" s="159"/>
      <c r="S28" s="157"/>
      <c r="T28" s="111">
        <v>2</v>
      </c>
      <c r="U28" s="111"/>
      <c r="V28" s="111"/>
      <c r="W28" s="111"/>
      <c r="X28" s="111"/>
      <c r="Y28" s="111"/>
      <c r="Z28" s="111"/>
      <c r="AA28" s="111"/>
      <c r="AB28" s="111"/>
      <c r="AC28" s="111"/>
      <c r="AD28" s="111"/>
      <c r="AE28" s="151"/>
      <c r="AF28" s="154">
        <v>2</v>
      </c>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row>
    <row r="29" spans="1:80" s="114" customFormat="1" ht="19.5" customHeight="1" x14ac:dyDescent="0.2">
      <c r="A29" s="149" t="s">
        <v>421</v>
      </c>
      <c r="B29" s="119" t="s">
        <v>422</v>
      </c>
      <c r="C29" s="119" t="s">
        <v>69</v>
      </c>
      <c r="D29" s="119"/>
      <c r="E29" s="119"/>
      <c r="F29" s="119"/>
      <c r="G29" s="119"/>
      <c r="H29" s="160"/>
      <c r="I29" s="158"/>
      <c r="J29" s="119"/>
      <c r="K29" s="119"/>
      <c r="L29" s="119"/>
      <c r="M29" s="119"/>
      <c r="N29" s="119"/>
      <c r="O29" s="119"/>
      <c r="P29" s="119"/>
      <c r="Q29" s="119"/>
      <c r="R29" s="160"/>
      <c r="S29" s="158"/>
      <c r="T29" s="119"/>
      <c r="U29" s="119"/>
      <c r="V29" s="119"/>
      <c r="W29" s="119"/>
      <c r="X29" s="119"/>
      <c r="Y29" s="119"/>
      <c r="Z29" s="119"/>
      <c r="AA29" s="119"/>
      <c r="AB29" s="119"/>
      <c r="AC29" s="119">
        <v>1</v>
      </c>
      <c r="AD29" s="119"/>
      <c r="AE29" s="152"/>
      <c r="AF29" s="155">
        <v>1</v>
      </c>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row>
    <row r="30" spans="1:80" s="22" customFormat="1" ht="19.5" customHeight="1" x14ac:dyDescent="0.2">
      <c r="A30" s="148" t="s">
        <v>375</v>
      </c>
      <c r="B30" s="111" t="s">
        <v>376</v>
      </c>
      <c r="C30" s="111" t="s">
        <v>69</v>
      </c>
      <c r="D30" s="111"/>
      <c r="E30" s="111"/>
      <c r="F30" s="111"/>
      <c r="G30" s="111"/>
      <c r="H30" s="159"/>
      <c r="I30" s="157"/>
      <c r="J30" s="111"/>
      <c r="K30" s="111"/>
      <c r="L30" s="111"/>
      <c r="M30" s="111"/>
      <c r="N30" s="111"/>
      <c r="O30" s="111"/>
      <c r="P30" s="111"/>
      <c r="Q30" s="111"/>
      <c r="R30" s="159"/>
      <c r="S30" s="157"/>
      <c r="T30" s="111"/>
      <c r="U30" s="111"/>
      <c r="V30" s="111"/>
      <c r="W30" s="111"/>
      <c r="X30" s="111"/>
      <c r="Y30" s="111"/>
      <c r="Z30" s="111"/>
      <c r="AA30" s="111"/>
      <c r="AB30" s="111"/>
      <c r="AC30" s="111">
        <v>1</v>
      </c>
      <c r="AD30" s="111"/>
      <c r="AE30" s="151"/>
      <c r="AF30" s="154">
        <v>1</v>
      </c>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row>
    <row r="31" spans="1:80" s="114" customFormat="1" ht="19.5" customHeight="1" x14ac:dyDescent="0.2">
      <c r="A31" s="149" t="s">
        <v>347</v>
      </c>
      <c r="B31" s="119" t="s">
        <v>436</v>
      </c>
      <c r="C31" s="119" t="s">
        <v>69</v>
      </c>
      <c r="D31" s="119"/>
      <c r="E31" s="119">
        <v>1</v>
      </c>
      <c r="F31" s="119"/>
      <c r="G31" s="119"/>
      <c r="H31" s="160"/>
      <c r="I31" s="158"/>
      <c r="J31" s="119"/>
      <c r="K31" s="119"/>
      <c r="L31" s="119"/>
      <c r="M31" s="119"/>
      <c r="N31" s="119"/>
      <c r="O31" s="119"/>
      <c r="P31" s="119"/>
      <c r="Q31" s="119"/>
      <c r="R31" s="160"/>
      <c r="S31" s="158"/>
      <c r="T31" s="119">
        <v>2</v>
      </c>
      <c r="U31" s="119"/>
      <c r="V31" s="119"/>
      <c r="W31" s="119"/>
      <c r="X31" s="119"/>
      <c r="Y31" s="119"/>
      <c r="Z31" s="119"/>
      <c r="AA31" s="119"/>
      <c r="AB31" s="119"/>
      <c r="AC31" s="119"/>
      <c r="AD31" s="119"/>
      <c r="AE31" s="152"/>
      <c r="AF31" s="155">
        <v>3</v>
      </c>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row>
    <row r="32" spans="1:80" s="22" customFormat="1" ht="19.5" customHeight="1" x14ac:dyDescent="0.2">
      <c r="A32" s="148" t="s">
        <v>246</v>
      </c>
      <c r="B32" s="111" t="s">
        <v>247</v>
      </c>
      <c r="C32" s="111" t="s">
        <v>69</v>
      </c>
      <c r="D32" s="111">
        <v>1</v>
      </c>
      <c r="E32" s="111"/>
      <c r="F32" s="111"/>
      <c r="G32" s="111"/>
      <c r="H32" s="159"/>
      <c r="I32" s="157"/>
      <c r="J32" s="111"/>
      <c r="K32" s="111"/>
      <c r="L32" s="111"/>
      <c r="M32" s="111"/>
      <c r="N32" s="111"/>
      <c r="O32" s="111"/>
      <c r="P32" s="111">
        <v>1</v>
      </c>
      <c r="Q32" s="111"/>
      <c r="R32" s="159">
        <v>1</v>
      </c>
      <c r="S32" s="157"/>
      <c r="T32" s="111">
        <v>1</v>
      </c>
      <c r="U32" s="111"/>
      <c r="V32" s="111"/>
      <c r="W32" s="111"/>
      <c r="X32" s="111"/>
      <c r="Y32" s="111"/>
      <c r="Z32" s="111"/>
      <c r="AA32" s="111"/>
      <c r="AB32" s="111"/>
      <c r="AC32" s="111"/>
      <c r="AD32" s="111"/>
      <c r="AE32" s="151"/>
      <c r="AF32" s="154">
        <v>4</v>
      </c>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row>
    <row r="33" spans="1:80" s="114" customFormat="1" ht="19.5" customHeight="1" x14ac:dyDescent="0.2">
      <c r="A33" s="149" t="s">
        <v>256</v>
      </c>
      <c r="B33" s="119" t="s">
        <v>257</v>
      </c>
      <c r="C33" s="119" t="s">
        <v>69</v>
      </c>
      <c r="D33" s="119"/>
      <c r="E33" s="119"/>
      <c r="F33" s="119"/>
      <c r="G33" s="119"/>
      <c r="H33" s="160"/>
      <c r="I33" s="158"/>
      <c r="J33" s="119"/>
      <c r="K33" s="119"/>
      <c r="L33" s="119"/>
      <c r="M33" s="119"/>
      <c r="N33" s="119"/>
      <c r="O33" s="119"/>
      <c r="P33" s="119"/>
      <c r="Q33" s="119"/>
      <c r="R33" s="160"/>
      <c r="S33" s="158"/>
      <c r="T33" s="119"/>
      <c r="U33" s="119"/>
      <c r="V33" s="119"/>
      <c r="W33" s="119"/>
      <c r="X33" s="119"/>
      <c r="Y33" s="119"/>
      <c r="Z33" s="119"/>
      <c r="AA33" s="119">
        <v>2</v>
      </c>
      <c r="AB33" s="119"/>
      <c r="AC33" s="119"/>
      <c r="AD33" s="119"/>
      <c r="AE33" s="152"/>
      <c r="AF33" s="155">
        <v>2</v>
      </c>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row>
    <row r="34" spans="1:80" s="22" customFormat="1" ht="19.5" customHeight="1" x14ac:dyDescent="0.2">
      <c r="A34" s="148" t="s">
        <v>405</v>
      </c>
      <c r="B34" s="111" t="s">
        <v>406</v>
      </c>
      <c r="C34" s="111" t="s">
        <v>69</v>
      </c>
      <c r="D34" s="111"/>
      <c r="E34" s="111"/>
      <c r="F34" s="111"/>
      <c r="G34" s="111"/>
      <c r="H34" s="159"/>
      <c r="I34" s="157"/>
      <c r="J34" s="111"/>
      <c r="K34" s="111"/>
      <c r="L34" s="111"/>
      <c r="M34" s="111"/>
      <c r="N34" s="111"/>
      <c r="O34" s="111"/>
      <c r="P34" s="111"/>
      <c r="Q34" s="111"/>
      <c r="R34" s="159"/>
      <c r="S34" s="157"/>
      <c r="T34" s="111"/>
      <c r="U34" s="111"/>
      <c r="V34" s="111"/>
      <c r="W34" s="111"/>
      <c r="X34" s="111"/>
      <c r="Y34" s="111"/>
      <c r="Z34" s="111"/>
      <c r="AA34" s="111"/>
      <c r="AB34" s="111"/>
      <c r="AC34" s="111">
        <v>2</v>
      </c>
      <c r="AD34" s="111"/>
      <c r="AE34" s="151"/>
      <c r="AF34" s="154">
        <v>2</v>
      </c>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row>
    <row r="35" spans="1:80" s="114" customFormat="1" ht="19.5" customHeight="1" x14ac:dyDescent="0.2">
      <c r="A35" s="149" t="s">
        <v>18</v>
      </c>
      <c r="B35" s="119" t="s">
        <v>83</v>
      </c>
      <c r="C35" s="119" t="s">
        <v>69</v>
      </c>
      <c r="D35" s="119"/>
      <c r="E35" s="119"/>
      <c r="F35" s="119"/>
      <c r="G35" s="119"/>
      <c r="H35" s="160"/>
      <c r="I35" s="158"/>
      <c r="J35" s="119">
        <v>1</v>
      </c>
      <c r="K35" s="119">
        <v>1</v>
      </c>
      <c r="L35" s="119">
        <v>1</v>
      </c>
      <c r="M35" s="119"/>
      <c r="N35" s="119"/>
      <c r="O35" s="119"/>
      <c r="P35" s="119"/>
      <c r="Q35" s="119"/>
      <c r="R35" s="160"/>
      <c r="S35" s="158"/>
      <c r="T35" s="119">
        <v>1</v>
      </c>
      <c r="U35" s="119"/>
      <c r="V35" s="119"/>
      <c r="W35" s="119"/>
      <c r="X35" s="119"/>
      <c r="Y35" s="119"/>
      <c r="Z35" s="119">
        <v>1</v>
      </c>
      <c r="AA35" s="119"/>
      <c r="AB35" s="119"/>
      <c r="AC35" s="119"/>
      <c r="AD35" s="119"/>
      <c r="AE35" s="152"/>
      <c r="AF35" s="155">
        <v>5</v>
      </c>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row>
    <row r="36" spans="1:80" s="22" customFormat="1" ht="19.5" customHeight="1" x14ac:dyDescent="0.2">
      <c r="A36" s="148" t="s">
        <v>413</v>
      </c>
      <c r="B36" s="111" t="s">
        <v>414</v>
      </c>
      <c r="C36" s="111" t="s">
        <v>69</v>
      </c>
      <c r="D36" s="111"/>
      <c r="E36" s="111"/>
      <c r="F36" s="111"/>
      <c r="G36" s="111"/>
      <c r="H36" s="159"/>
      <c r="I36" s="157"/>
      <c r="J36" s="111"/>
      <c r="K36" s="111"/>
      <c r="L36" s="111"/>
      <c r="M36" s="111"/>
      <c r="N36" s="111"/>
      <c r="O36" s="111"/>
      <c r="P36" s="111"/>
      <c r="Q36" s="111"/>
      <c r="R36" s="159"/>
      <c r="S36" s="157"/>
      <c r="T36" s="111"/>
      <c r="U36" s="111"/>
      <c r="V36" s="111"/>
      <c r="W36" s="111"/>
      <c r="X36" s="111">
        <v>1</v>
      </c>
      <c r="Y36" s="111"/>
      <c r="Z36" s="111"/>
      <c r="AA36" s="111"/>
      <c r="AB36" s="111"/>
      <c r="AC36" s="111"/>
      <c r="AD36" s="111"/>
      <c r="AE36" s="151"/>
      <c r="AF36" s="154">
        <v>1</v>
      </c>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row>
    <row r="37" spans="1:80" s="114" customFormat="1" ht="19.5" customHeight="1" thickBot="1" x14ac:dyDescent="0.25">
      <c r="A37" s="150" t="s">
        <v>176</v>
      </c>
      <c r="B37" s="128" t="s">
        <v>177</v>
      </c>
      <c r="C37" s="128" t="s">
        <v>69</v>
      </c>
      <c r="D37" s="128"/>
      <c r="E37" s="128"/>
      <c r="F37" s="128"/>
      <c r="G37" s="128"/>
      <c r="H37" s="161">
        <v>1</v>
      </c>
      <c r="I37" s="162"/>
      <c r="J37" s="128"/>
      <c r="K37" s="128"/>
      <c r="L37" s="128"/>
      <c r="M37" s="128"/>
      <c r="N37" s="128"/>
      <c r="O37" s="128"/>
      <c r="P37" s="128"/>
      <c r="Q37" s="128"/>
      <c r="R37" s="161"/>
      <c r="S37" s="162"/>
      <c r="T37" s="128"/>
      <c r="U37" s="128"/>
      <c r="V37" s="128"/>
      <c r="W37" s="128"/>
      <c r="X37" s="128"/>
      <c r="Y37" s="128"/>
      <c r="Z37" s="128"/>
      <c r="AA37" s="128"/>
      <c r="AB37" s="128"/>
      <c r="AC37" s="128"/>
      <c r="AD37" s="128"/>
      <c r="AE37" s="153"/>
      <c r="AF37" s="156">
        <v>1</v>
      </c>
      <c r="AG37" s="113"/>
      <c r="AH37" s="113"/>
      <c r="AI37" s="113"/>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row>
    <row r="38" spans="1:80" s="109" customFormat="1" ht="56.25" x14ac:dyDescent="0.15">
      <c r="A38" s="123" t="s">
        <v>16</v>
      </c>
      <c r="B38" s="123" t="s">
        <v>17</v>
      </c>
      <c r="C38" s="123" t="s">
        <v>59</v>
      </c>
      <c r="D38" s="123" t="s">
        <v>147</v>
      </c>
      <c r="E38" s="123" t="s">
        <v>106</v>
      </c>
      <c r="F38" s="123" t="s">
        <v>206</v>
      </c>
      <c r="G38" s="123" t="s">
        <v>277</v>
      </c>
      <c r="H38" s="127" t="s">
        <v>427</v>
      </c>
      <c r="I38" s="126" t="s">
        <v>361</v>
      </c>
      <c r="J38" s="123" t="s">
        <v>362</v>
      </c>
      <c r="K38" s="123" t="s">
        <v>363</v>
      </c>
      <c r="L38" s="123" t="s">
        <v>364</v>
      </c>
      <c r="M38" s="123" t="s">
        <v>426</v>
      </c>
      <c r="N38" s="123" t="s">
        <v>365</v>
      </c>
      <c r="O38" s="123" t="s">
        <v>366</v>
      </c>
      <c r="P38" s="123" t="s">
        <v>367</v>
      </c>
      <c r="Q38" s="123" t="s">
        <v>425</v>
      </c>
      <c r="R38" s="127" t="s">
        <v>233</v>
      </c>
      <c r="S38" s="126" t="s">
        <v>368</v>
      </c>
      <c r="T38" s="123" t="s">
        <v>360</v>
      </c>
      <c r="U38" s="123" t="s">
        <v>423</v>
      </c>
      <c r="V38" s="123" t="s">
        <v>180</v>
      </c>
      <c r="W38" s="123" t="s">
        <v>232</v>
      </c>
      <c r="X38" s="123" t="s">
        <v>447</v>
      </c>
      <c r="Y38" s="123" t="s">
        <v>346</v>
      </c>
      <c r="Z38" s="123" t="s">
        <v>448</v>
      </c>
      <c r="AA38" s="123" t="s">
        <v>135</v>
      </c>
      <c r="AB38" s="123" t="s">
        <v>276</v>
      </c>
      <c r="AC38" s="123" t="s">
        <v>178</v>
      </c>
      <c r="AD38" s="123" t="s">
        <v>275</v>
      </c>
      <c r="AE38" s="124" t="s">
        <v>424</v>
      </c>
      <c r="AF38" s="125"/>
      <c r="AG38" s="108"/>
      <c r="AH38" s="108"/>
      <c r="AI38" s="108"/>
      <c r="AJ38" s="108"/>
      <c r="AK38" s="108"/>
      <c r="AL38" s="108"/>
      <c r="AM38" s="108"/>
      <c r="AN38" s="108"/>
      <c r="AO38" s="108"/>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8"/>
      <c r="BO38" s="108"/>
      <c r="BP38" s="108"/>
      <c r="BQ38" s="108"/>
      <c r="BR38" s="108"/>
      <c r="BS38" s="108"/>
      <c r="BT38" s="108"/>
      <c r="BU38" s="108"/>
      <c r="BV38" s="108"/>
      <c r="BW38" s="108"/>
      <c r="BX38" s="108"/>
      <c r="BY38" s="108"/>
      <c r="BZ38" s="108"/>
      <c r="CA38" s="108"/>
      <c r="CB38" s="108"/>
    </row>
    <row r="39" spans="1:80" s="114" customFormat="1" ht="24.75" customHeight="1" x14ac:dyDescent="0.2">
      <c r="A39" s="149"/>
      <c r="B39" s="119" t="s">
        <v>131</v>
      </c>
      <c r="C39" s="119"/>
      <c r="D39" s="119">
        <f>SUM(D4:D37)</f>
        <v>1</v>
      </c>
      <c r="E39" s="119">
        <f t="shared" ref="E39:AF39" si="0">SUM(E4:E37)</f>
        <v>5</v>
      </c>
      <c r="F39" s="119">
        <f t="shared" si="0"/>
        <v>0</v>
      </c>
      <c r="G39" s="119">
        <f t="shared" si="0"/>
        <v>0</v>
      </c>
      <c r="H39" s="160">
        <f t="shared" si="0"/>
        <v>1</v>
      </c>
      <c r="I39" s="158">
        <f t="shared" si="0"/>
        <v>3</v>
      </c>
      <c r="J39" s="119">
        <f t="shared" si="0"/>
        <v>2</v>
      </c>
      <c r="K39" s="119">
        <f t="shared" si="0"/>
        <v>1</v>
      </c>
      <c r="L39" s="119">
        <f t="shared" si="0"/>
        <v>3</v>
      </c>
      <c r="M39" s="119">
        <f t="shared" si="0"/>
        <v>0</v>
      </c>
      <c r="N39" s="119">
        <f t="shared" si="0"/>
        <v>0</v>
      </c>
      <c r="O39" s="119">
        <f t="shared" si="0"/>
        <v>0</v>
      </c>
      <c r="P39" s="119">
        <f t="shared" si="0"/>
        <v>3</v>
      </c>
      <c r="Q39" s="119">
        <f t="shared" si="0"/>
        <v>0</v>
      </c>
      <c r="R39" s="160">
        <f t="shared" si="0"/>
        <v>2</v>
      </c>
      <c r="S39" s="158">
        <f t="shared" si="0"/>
        <v>5</v>
      </c>
      <c r="T39" s="119">
        <f t="shared" si="0"/>
        <v>18</v>
      </c>
      <c r="U39" s="119">
        <f t="shared" si="0"/>
        <v>1</v>
      </c>
      <c r="V39" s="119">
        <f t="shared" si="0"/>
        <v>2</v>
      </c>
      <c r="W39" s="119">
        <f t="shared" si="0"/>
        <v>0</v>
      </c>
      <c r="X39" s="119">
        <f t="shared" si="0"/>
        <v>1</v>
      </c>
      <c r="Y39" s="119">
        <f>SUM(Y4:Y37)</f>
        <v>2</v>
      </c>
      <c r="Z39" s="119">
        <f t="shared" si="0"/>
        <v>4</v>
      </c>
      <c r="AA39" s="119">
        <f t="shared" si="0"/>
        <v>10</v>
      </c>
      <c r="AB39" s="119">
        <f t="shared" si="0"/>
        <v>0</v>
      </c>
      <c r="AC39" s="119">
        <f t="shared" si="0"/>
        <v>8</v>
      </c>
      <c r="AD39" s="119">
        <f>SUM(AD4:AD37)</f>
        <v>0</v>
      </c>
      <c r="AE39" s="152">
        <f>SUM(AE4:AE37)</f>
        <v>3</v>
      </c>
      <c r="AF39" s="155">
        <f t="shared" si="0"/>
        <v>75</v>
      </c>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row>
    <row r="40" spans="1:80" s="114" customFormat="1" ht="24.75" customHeight="1" x14ac:dyDescent="0.2">
      <c r="A40" s="149"/>
      <c r="B40" s="119" t="s">
        <v>191</v>
      </c>
      <c r="C40" s="119"/>
      <c r="D40" s="119"/>
      <c r="E40" s="119"/>
      <c r="F40" s="119"/>
      <c r="G40" s="119"/>
      <c r="H40" s="160"/>
      <c r="I40" s="158"/>
      <c r="J40" s="119"/>
      <c r="K40" s="119"/>
      <c r="L40" s="119"/>
      <c r="M40" s="119"/>
      <c r="N40" s="119"/>
      <c r="O40" s="119"/>
      <c r="P40" s="119"/>
      <c r="Q40" s="119"/>
      <c r="R40" s="160"/>
      <c r="S40" s="158"/>
      <c r="T40" s="119"/>
      <c r="U40" s="119"/>
      <c r="V40" s="119"/>
      <c r="W40" s="119"/>
      <c r="X40" s="119"/>
      <c r="Y40" s="119"/>
      <c r="Z40" s="119"/>
      <c r="AA40" s="119"/>
      <c r="AB40" s="119"/>
      <c r="AC40" s="119"/>
      <c r="AD40" s="119"/>
      <c r="AE40" s="152"/>
      <c r="AF40" s="155"/>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c r="BS40" s="113"/>
      <c r="BT40" s="113"/>
      <c r="BU40" s="113"/>
      <c r="BV40" s="113"/>
      <c r="BW40" s="113"/>
      <c r="BX40" s="113"/>
      <c r="BY40" s="113"/>
      <c r="BZ40" s="113"/>
      <c r="CA40" s="113"/>
      <c r="CB40" s="113"/>
    </row>
    <row r="41" spans="1:80" s="22" customFormat="1" ht="24.75" customHeight="1" x14ac:dyDescent="0.2">
      <c r="A41" s="148"/>
      <c r="B41" s="111" t="s">
        <v>132</v>
      </c>
      <c r="C41" s="111"/>
      <c r="D41" s="111"/>
      <c r="E41" s="111"/>
      <c r="F41" s="111"/>
      <c r="G41" s="111"/>
      <c r="H41" s="159"/>
      <c r="I41" s="157"/>
      <c r="J41" s="111"/>
      <c r="K41" s="111"/>
      <c r="L41" s="111"/>
      <c r="M41" s="111"/>
      <c r="N41" s="111"/>
      <c r="O41" s="111"/>
      <c r="P41" s="111"/>
      <c r="Q41" s="111"/>
      <c r="R41" s="159"/>
      <c r="S41" s="157"/>
      <c r="T41" s="111"/>
      <c r="U41" s="111"/>
      <c r="V41" s="111"/>
      <c r="W41" s="111"/>
      <c r="X41" s="111"/>
      <c r="Y41" s="111"/>
      <c r="Z41" s="111"/>
      <c r="AA41" s="111"/>
      <c r="AB41" s="111"/>
      <c r="AC41" s="111"/>
      <c r="AD41" s="111"/>
      <c r="AE41" s="151"/>
      <c r="AF41" s="154"/>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row>
    <row r="42" spans="1:80" x14ac:dyDescent="0.15">
      <c r="F42" s="20"/>
      <c r="G42" s="20"/>
      <c r="J42" s="20"/>
      <c r="K42" s="20"/>
      <c r="O42" s="58"/>
      <c r="T42" s="58"/>
      <c r="U42" s="58"/>
      <c r="AA42" s="58"/>
    </row>
    <row r="43" spans="1:80" x14ac:dyDescent="0.15">
      <c r="F43" s="20"/>
      <c r="G43" s="20"/>
      <c r="J43" s="20"/>
      <c r="K43" s="20"/>
      <c r="O43" s="58"/>
      <c r="T43" s="58"/>
      <c r="U43" s="58"/>
      <c r="AA43" s="58"/>
    </row>
    <row r="44" spans="1:80" x14ac:dyDescent="0.15">
      <c r="B44" s="71" t="s">
        <v>101</v>
      </c>
      <c r="F44" s="20"/>
      <c r="G44" s="20"/>
      <c r="J44" s="20"/>
      <c r="K44" s="20"/>
      <c r="O44" s="58"/>
      <c r="T44" s="58"/>
      <c r="U44" s="58"/>
      <c r="AA44" s="58"/>
    </row>
    <row r="45" spans="1:80" x14ac:dyDescent="0.15">
      <c r="F45" s="20"/>
      <c r="G45" s="20"/>
      <c r="J45" s="20"/>
      <c r="K45" s="20"/>
      <c r="O45" s="58"/>
      <c r="T45" s="58"/>
      <c r="U45" s="58"/>
      <c r="AA45" s="58"/>
    </row>
    <row r="46" spans="1:80" x14ac:dyDescent="0.15">
      <c r="F46" s="20"/>
      <c r="G46" s="20"/>
      <c r="J46" s="20"/>
      <c r="K46" s="20"/>
      <c r="O46" s="58"/>
      <c r="T46" s="58"/>
      <c r="U46" s="58"/>
      <c r="AA46" s="58"/>
    </row>
    <row r="47" spans="1:80" x14ac:dyDescent="0.15">
      <c r="F47" s="20"/>
      <c r="G47" s="20"/>
      <c r="J47" s="20"/>
      <c r="K47" s="20"/>
      <c r="O47" s="58"/>
      <c r="T47" s="58"/>
      <c r="U47" s="58"/>
      <c r="AA47" s="58"/>
    </row>
    <row r="48" spans="1:80" x14ac:dyDescent="0.15">
      <c r="F48" s="20"/>
      <c r="G48" s="20"/>
      <c r="J48" s="20"/>
      <c r="K48" s="20"/>
      <c r="O48" s="58"/>
      <c r="T48" s="58"/>
      <c r="U48" s="58"/>
      <c r="AA48" s="58"/>
    </row>
    <row r="49" spans="6:27" x14ac:dyDescent="0.15">
      <c r="F49" s="20"/>
      <c r="G49" s="20"/>
      <c r="J49" s="20"/>
      <c r="K49" s="20"/>
      <c r="O49" s="58"/>
      <c r="T49" s="58"/>
      <c r="U49" s="58"/>
      <c r="AA49" s="58"/>
    </row>
    <row r="50" spans="6:27" x14ac:dyDescent="0.15">
      <c r="F50" s="20"/>
      <c r="G50" s="20"/>
      <c r="J50" s="20"/>
      <c r="K50" s="20"/>
      <c r="O50" s="58"/>
      <c r="T50" s="58"/>
      <c r="U50" s="58"/>
      <c r="AA50" s="58"/>
    </row>
    <row r="51" spans="6:27" x14ac:dyDescent="0.15">
      <c r="F51" s="20"/>
      <c r="G51" s="20"/>
      <c r="J51" s="20"/>
      <c r="K51" s="20"/>
      <c r="O51" s="58"/>
      <c r="T51" s="58"/>
      <c r="U51" s="58"/>
      <c r="AA51" s="58"/>
    </row>
    <row r="52" spans="6:27" x14ac:dyDescent="0.15">
      <c r="F52" s="20"/>
      <c r="G52" s="20"/>
      <c r="J52" s="20"/>
      <c r="K52" s="20"/>
      <c r="O52" s="58"/>
      <c r="T52" s="58"/>
      <c r="U52" s="58"/>
      <c r="AA52" s="58"/>
    </row>
    <row r="53" spans="6:27" x14ac:dyDescent="0.15">
      <c r="F53" s="20"/>
      <c r="G53" s="20"/>
      <c r="J53" s="20"/>
      <c r="K53" s="20"/>
      <c r="O53" s="58"/>
      <c r="T53" s="58"/>
      <c r="U53" s="58"/>
      <c r="AA53" s="58"/>
    </row>
    <row r="54" spans="6:27" x14ac:dyDescent="0.15">
      <c r="F54" s="20"/>
      <c r="G54" s="20"/>
      <c r="J54" s="20"/>
      <c r="K54" s="20"/>
      <c r="O54" s="58"/>
      <c r="T54" s="58"/>
      <c r="U54" s="58"/>
      <c r="AA54" s="58"/>
    </row>
    <row r="55" spans="6:27" x14ac:dyDescent="0.15">
      <c r="F55" s="20"/>
      <c r="G55" s="20"/>
      <c r="J55" s="20"/>
      <c r="K55" s="20"/>
      <c r="O55" s="58"/>
      <c r="T55" s="58"/>
      <c r="U55" s="58"/>
      <c r="AA55" s="58"/>
    </row>
    <row r="56" spans="6:27" x14ac:dyDescent="0.15">
      <c r="F56" s="20"/>
      <c r="G56" s="20"/>
      <c r="J56" s="20"/>
      <c r="K56" s="20"/>
      <c r="O56" s="58"/>
      <c r="T56" s="58"/>
      <c r="U56" s="58"/>
      <c r="AA56" s="58"/>
    </row>
    <row r="57" spans="6:27" x14ac:dyDescent="0.15">
      <c r="F57" s="20"/>
      <c r="G57" s="20"/>
      <c r="J57" s="20"/>
      <c r="K57" s="20"/>
      <c r="O57" s="58"/>
      <c r="T57" s="58"/>
      <c r="U57" s="58"/>
      <c r="AA57" s="58"/>
    </row>
    <row r="58" spans="6:27" x14ac:dyDescent="0.15">
      <c r="F58" s="20"/>
      <c r="G58" s="20"/>
      <c r="J58" s="20"/>
      <c r="K58" s="20"/>
      <c r="O58" s="58"/>
      <c r="T58" s="58"/>
      <c r="U58" s="58"/>
      <c r="AA58" s="58"/>
    </row>
    <row r="59" spans="6:27" x14ac:dyDescent="0.15">
      <c r="F59" s="20"/>
      <c r="G59" s="20"/>
      <c r="J59" s="20"/>
      <c r="K59" s="20"/>
      <c r="O59" s="58"/>
      <c r="T59" s="58"/>
      <c r="U59" s="58"/>
      <c r="AA59" s="58"/>
    </row>
    <row r="60" spans="6:27" x14ac:dyDescent="0.15">
      <c r="F60" s="20"/>
      <c r="G60" s="20"/>
      <c r="J60" s="20"/>
      <c r="K60" s="20"/>
      <c r="O60" s="58"/>
      <c r="T60" s="58"/>
      <c r="U60" s="58"/>
      <c r="AA60" s="58"/>
    </row>
    <row r="61" spans="6:27" x14ac:dyDescent="0.15">
      <c r="F61" s="20"/>
      <c r="G61" s="20"/>
      <c r="J61" s="20"/>
      <c r="K61" s="20"/>
      <c r="O61" s="58"/>
      <c r="T61" s="58"/>
      <c r="U61" s="58"/>
      <c r="AA61" s="58"/>
    </row>
    <row r="62" spans="6:27" x14ac:dyDescent="0.15">
      <c r="F62" s="20"/>
      <c r="G62" s="20"/>
      <c r="J62" s="20"/>
      <c r="K62" s="20"/>
      <c r="O62" s="58"/>
      <c r="T62" s="58"/>
      <c r="U62" s="58"/>
      <c r="AA62" s="58"/>
    </row>
    <row r="63" spans="6:27" x14ac:dyDescent="0.15">
      <c r="F63" s="20"/>
      <c r="G63" s="20"/>
      <c r="J63" s="20"/>
      <c r="K63" s="20"/>
      <c r="O63" s="58"/>
      <c r="T63" s="58"/>
      <c r="U63" s="58"/>
      <c r="AA63" s="58"/>
    </row>
    <row r="64" spans="6:27" x14ac:dyDescent="0.15">
      <c r="F64" s="20"/>
      <c r="G64" s="20"/>
      <c r="J64" s="20"/>
      <c r="K64" s="20"/>
      <c r="O64" s="58"/>
      <c r="T64" s="58"/>
      <c r="U64" s="58"/>
      <c r="AA64" s="58"/>
    </row>
    <row r="65" spans="6:27" x14ac:dyDescent="0.15">
      <c r="F65" s="20"/>
      <c r="G65" s="20"/>
      <c r="J65" s="20"/>
      <c r="K65" s="20"/>
      <c r="O65" s="58"/>
      <c r="T65" s="58"/>
      <c r="U65" s="58"/>
      <c r="AA65" s="58"/>
    </row>
    <row r="66" spans="6:27" x14ac:dyDescent="0.15">
      <c r="F66" s="20"/>
      <c r="G66" s="20"/>
      <c r="J66" s="20"/>
      <c r="K66" s="20"/>
      <c r="O66" s="58"/>
      <c r="T66" s="58"/>
      <c r="U66" s="58"/>
      <c r="AA66" s="58"/>
    </row>
    <row r="67" spans="6:27" x14ac:dyDescent="0.15">
      <c r="F67" s="20"/>
      <c r="G67" s="20"/>
      <c r="J67" s="20"/>
      <c r="K67" s="20"/>
      <c r="O67" s="58"/>
      <c r="T67" s="58"/>
      <c r="U67" s="58"/>
      <c r="AA67" s="58"/>
    </row>
    <row r="68" spans="6:27" x14ac:dyDescent="0.15">
      <c r="F68" s="20"/>
      <c r="G68" s="20"/>
      <c r="J68" s="20"/>
      <c r="K68" s="20"/>
      <c r="O68" s="58"/>
      <c r="T68" s="58"/>
      <c r="U68" s="58"/>
      <c r="AA68" s="58"/>
    </row>
    <row r="69" spans="6:27" x14ac:dyDescent="0.15">
      <c r="F69" s="20"/>
      <c r="G69" s="20"/>
      <c r="J69" s="20"/>
      <c r="K69" s="20"/>
      <c r="O69" s="58"/>
      <c r="T69" s="58"/>
      <c r="U69" s="58"/>
      <c r="AA69" s="58"/>
    </row>
    <row r="70" spans="6:27" x14ac:dyDescent="0.15">
      <c r="F70" s="20"/>
      <c r="G70" s="20"/>
      <c r="I70" s="58"/>
      <c r="J70" s="20"/>
      <c r="K70" s="20"/>
      <c r="M70" s="58"/>
      <c r="N70" s="58"/>
      <c r="T70" s="58"/>
    </row>
    <row r="71" spans="6:27" x14ac:dyDescent="0.15">
      <c r="F71" s="20"/>
      <c r="G71" s="20"/>
      <c r="I71" s="58"/>
      <c r="J71" s="20"/>
      <c r="K71" s="20"/>
      <c r="M71" s="58"/>
      <c r="N71" s="58"/>
      <c r="T71" s="58"/>
    </row>
    <row r="72" spans="6:27" x14ac:dyDescent="0.15">
      <c r="F72" s="20"/>
      <c r="G72" s="20"/>
      <c r="I72" s="58"/>
      <c r="J72" s="20"/>
      <c r="K72" s="20"/>
      <c r="M72" s="58"/>
      <c r="N72" s="58"/>
      <c r="T72" s="58"/>
    </row>
    <row r="73" spans="6:27" x14ac:dyDescent="0.15">
      <c r="F73" s="20"/>
      <c r="G73" s="20"/>
      <c r="I73" s="58"/>
      <c r="J73" s="20"/>
      <c r="K73" s="20"/>
      <c r="M73" s="58"/>
      <c r="N73" s="58"/>
      <c r="T73" s="58"/>
    </row>
    <row r="74" spans="6:27" x14ac:dyDescent="0.15">
      <c r="F74" s="20"/>
      <c r="G74" s="20"/>
      <c r="I74" s="58"/>
      <c r="J74" s="20"/>
      <c r="K74" s="20"/>
      <c r="M74" s="58"/>
      <c r="N74" s="58"/>
      <c r="T74" s="58"/>
    </row>
    <row r="75" spans="6:27" x14ac:dyDescent="0.15">
      <c r="F75" s="20"/>
      <c r="G75" s="20"/>
      <c r="I75" s="58"/>
      <c r="J75" s="20"/>
      <c r="K75" s="20"/>
      <c r="M75" s="58"/>
      <c r="N75" s="58"/>
      <c r="T75" s="58"/>
    </row>
    <row r="76" spans="6:27" x14ac:dyDescent="0.15">
      <c r="F76" s="20"/>
      <c r="G76" s="20"/>
      <c r="I76" s="58"/>
      <c r="J76" s="20"/>
      <c r="K76" s="20"/>
      <c r="M76" s="58"/>
      <c r="N76" s="58"/>
      <c r="T76" s="58"/>
    </row>
    <row r="77" spans="6:27" x14ac:dyDescent="0.15">
      <c r="F77" s="20"/>
      <c r="G77" s="20"/>
      <c r="I77" s="58"/>
      <c r="J77" s="20"/>
      <c r="K77" s="20"/>
      <c r="M77" s="58"/>
      <c r="N77" s="58"/>
      <c r="T77" s="58"/>
    </row>
    <row r="78" spans="6:27" x14ac:dyDescent="0.15">
      <c r="F78" s="20"/>
      <c r="G78" s="20"/>
      <c r="I78" s="58"/>
      <c r="J78" s="20"/>
      <c r="K78" s="20"/>
      <c r="M78" s="58"/>
      <c r="N78" s="58"/>
      <c r="T78" s="58"/>
    </row>
    <row r="79" spans="6:27" x14ac:dyDescent="0.15">
      <c r="F79" s="20"/>
      <c r="G79" s="20"/>
      <c r="I79" s="58"/>
      <c r="J79" s="20"/>
      <c r="K79" s="20"/>
      <c r="M79" s="58"/>
      <c r="N79" s="58"/>
      <c r="T79" s="58"/>
    </row>
    <row r="80" spans="6:27" x14ac:dyDescent="0.15">
      <c r="F80" s="20"/>
      <c r="G80" s="20"/>
      <c r="I80" s="58"/>
      <c r="J80" s="20"/>
      <c r="K80" s="20"/>
      <c r="M80" s="58"/>
      <c r="N80" s="58"/>
      <c r="T80" s="58"/>
    </row>
    <row r="81" spans="6:20" x14ac:dyDescent="0.15">
      <c r="F81" s="20"/>
      <c r="G81" s="20"/>
      <c r="I81" s="58"/>
      <c r="J81" s="20"/>
      <c r="K81" s="20"/>
      <c r="M81" s="58"/>
      <c r="N81" s="58"/>
      <c r="T81" s="58"/>
    </row>
    <row r="82" spans="6:20" x14ac:dyDescent="0.15">
      <c r="F82" s="20"/>
      <c r="G82" s="20"/>
      <c r="I82" s="58"/>
      <c r="J82" s="20"/>
      <c r="K82" s="20"/>
      <c r="M82" s="58"/>
      <c r="N82" s="58"/>
      <c r="T82" s="58"/>
    </row>
    <row r="83" spans="6:20" x14ac:dyDescent="0.15">
      <c r="F83" s="20"/>
      <c r="G83" s="20"/>
      <c r="I83" s="58"/>
      <c r="J83" s="20"/>
      <c r="K83" s="20"/>
      <c r="M83" s="58"/>
      <c r="N83" s="58"/>
      <c r="T83" s="58"/>
    </row>
    <row r="84" spans="6:20" x14ac:dyDescent="0.15">
      <c r="F84" s="20"/>
      <c r="G84" s="20"/>
      <c r="I84" s="58"/>
      <c r="J84" s="20"/>
      <c r="K84" s="20"/>
      <c r="M84" s="58"/>
      <c r="N84" s="58"/>
      <c r="T84" s="58"/>
    </row>
    <row r="85" spans="6:20" x14ac:dyDescent="0.15">
      <c r="F85" s="20"/>
      <c r="G85" s="20"/>
      <c r="I85" s="58"/>
      <c r="J85" s="20"/>
      <c r="K85" s="20"/>
      <c r="M85" s="58"/>
      <c r="N85" s="58"/>
      <c r="T85" s="58"/>
    </row>
    <row r="86" spans="6:20" x14ac:dyDescent="0.15">
      <c r="F86" s="20"/>
      <c r="G86" s="20"/>
      <c r="I86" s="58"/>
      <c r="J86" s="20"/>
      <c r="K86" s="20"/>
      <c r="M86" s="58"/>
      <c r="N86" s="58"/>
      <c r="T86" s="58"/>
    </row>
    <row r="87" spans="6:20" x14ac:dyDescent="0.15">
      <c r="F87" s="20"/>
      <c r="G87" s="20"/>
      <c r="I87" s="58"/>
      <c r="J87" s="20"/>
      <c r="K87" s="20"/>
      <c r="M87" s="58"/>
      <c r="N87" s="58"/>
      <c r="T87" s="58"/>
    </row>
    <row r="88" spans="6:20" x14ac:dyDescent="0.15">
      <c r="F88" s="20"/>
      <c r="G88" s="20"/>
      <c r="I88" s="58"/>
      <c r="J88" s="20"/>
      <c r="K88" s="20"/>
      <c r="M88" s="58"/>
      <c r="N88" s="58"/>
      <c r="T88" s="58"/>
    </row>
    <row r="89" spans="6:20" x14ac:dyDescent="0.15">
      <c r="F89" s="20"/>
      <c r="G89" s="20"/>
      <c r="I89" s="58"/>
      <c r="J89" s="20"/>
      <c r="K89" s="20"/>
      <c r="M89" s="58"/>
      <c r="N89" s="58"/>
      <c r="T89" s="58"/>
    </row>
    <row r="90" spans="6:20" x14ac:dyDescent="0.15">
      <c r="F90" s="20"/>
      <c r="G90" s="20"/>
      <c r="I90" s="58"/>
      <c r="J90" s="20"/>
      <c r="K90" s="20"/>
      <c r="M90" s="58"/>
      <c r="N90" s="58"/>
      <c r="T90" s="58"/>
    </row>
    <row r="91" spans="6:20" x14ac:dyDescent="0.15">
      <c r="F91" s="20"/>
      <c r="G91" s="20"/>
      <c r="I91" s="58"/>
      <c r="J91" s="20"/>
      <c r="K91" s="20"/>
      <c r="M91" s="58"/>
      <c r="N91" s="58"/>
      <c r="T91" s="58"/>
    </row>
    <row r="92" spans="6:20" x14ac:dyDescent="0.15">
      <c r="F92" s="20"/>
      <c r="G92" s="20"/>
      <c r="I92" s="58"/>
      <c r="J92" s="20"/>
      <c r="K92" s="20"/>
      <c r="M92" s="58"/>
      <c r="N92" s="58"/>
      <c r="T92" s="58"/>
    </row>
    <row r="93" spans="6:20" x14ac:dyDescent="0.15">
      <c r="F93" s="20"/>
      <c r="G93" s="20"/>
      <c r="I93" s="58"/>
      <c r="J93" s="20"/>
      <c r="K93" s="20"/>
      <c r="M93" s="58"/>
      <c r="N93" s="58"/>
      <c r="T93" s="58"/>
    </row>
    <row r="94" spans="6:20" x14ac:dyDescent="0.15">
      <c r="F94" s="20"/>
      <c r="G94" s="20"/>
      <c r="I94" s="58"/>
      <c r="J94" s="20"/>
      <c r="K94" s="20"/>
      <c r="M94" s="58"/>
      <c r="N94" s="58"/>
      <c r="T94" s="58"/>
    </row>
    <row r="95" spans="6:20" x14ac:dyDescent="0.15">
      <c r="F95" s="20"/>
      <c r="G95" s="20"/>
      <c r="I95" s="58"/>
      <c r="J95" s="20"/>
      <c r="K95" s="20"/>
      <c r="M95" s="58"/>
      <c r="N95" s="58"/>
      <c r="T95" s="58"/>
    </row>
    <row r="96" spans="6:20" x14ac:dyDescent="0.15">
      <c r="F96" s="20"/>
      <c r="G96" s="20"/>
      <c r="I96" s="58"/>
      <c r="J96" s="20"/>
      <c r="K96" s="20"/>
      <c r="M96" s="58"/>
      <c r="N96" s="58"/>
      <c r="T96" s="58"/>
    </row>
    <row r="97" spans="6:20" x14ac:dyDescent="0.15">
      <c r="F97" s="20"/>
      <c r="G97" s="20"/>
      <c r="I97" s="58"/>
      <c r="J97" s="20"/>
      <c r="K97" s="20"/>
      <c r="M97" s="58"/>
      <c r="N97" s="58"/>
      <c r="T97" s="58"/>
    </row>
    <row r="98" spans="6:20" x14ac:dyDescent="0.15">
      <c r="F98" s="20"/>
      <c r="G98" s="20"/>
      <c r="I98" s="58"/>
      <c r="J98" s="20"/>
      <c r="K98" s="20"/>
      <c r="M98" s="58"/>
      <c r="N98" s="58"/>
      <c r="T98" s="58"/>
    </row>
    <row r="99" spans="6:20" x14ac:dyDescent="0.15">
      <c r="F99" s="20"/>
      <c r="G99" s="20"/>
      <c r="I99" s="58"/>
      <c r="J99" s="20"/>
      <c r="K99" s="20"/>
      <c r="M99" s="58"/>
      <c r="N99" s="58"/>
      <c r="T99" s="58"/>
    </row>
    <row r="100" spans="6:20" x14ac:dyDescent="0.15">
      <c r="F100" s="20"/>
      <c r="G100" s="20"/>
      <c r="I100" s="58"/>
      <c r="J100" s="20"/>
      <c r="K100" s="20"/>
      <c r="M100" s="58"/>
      <c r="N100" s="58"/>
      <c r="T100" s="58"/>
    </row>
    <row r="101" spans="6:20" x14ac:dyDescent="0.15">
      <c r="F101" s="20"/>
      <c r="G101" s="20"/>
      <c r="I101" s="58"/>
      <c r="J101" s="20"/>
      <c r="K101" s="20"/>
      <c r="M101" s="58"/>
      <c r="N101" s="58"/>
      <c r="T101" s="58"/>
    </row>
    <row r="102" spans="6:20" x14ac:dyDescent="0.15">
      <c r="F102" s="20"/>
      <c r="G102" s="20"/>
      <c r="I102" s="58"/>
      <c r="J102" s="20"/>
      <c r="K102" s="20"/>
      <c r="M102" s="58"/>
      <c r="N102" s="58"/>
      <c r="T102" s="58"/>
    </row>
    <row r="103" spans="6:20" x14ac:dyDescent="0.15">
      <c r="F103" s="20"/>
      <c r="G103" s="20"/>
      <c r="I103" s="58"/>
      <c r="J103" s="20"/>
      <c r="K103" s="20"/>
      <c r="M103" s="58"/>
      <c r="N103" s="58"/>
      <c r="T103" s="58"/>
    </row>
    <row r="104" spans="6:20" x14ac:dyDescent="0.15">
      <c r="F104" s="20"/>
      <c r="G104" s="20"/>
      <c r="I104" s="58"/>
      <c r="J104" s="20"/>
      <c r="K104" s="20"/>
      <c r="M104" s="58"/>
      <c r="N104" s="58"/>
      <c r="T104" s="58"/>
    </row>
    <row r="105" spans="6:20" x14ac:dyDescent="0.15">
      <c r="F105" s="20"/>
      <c r="G105" s="20"/>
      <c r="I105" s="58"/>
      <c r="J105" s="20"/>
      <c r="K105" s="20"/>
      <c r="M105" s="58"/>
      <c r="N105" s="58"/>
      <c r="T105" s="58"/>
    </row>
    <row r="106" spans="6:20" x14ac:dyDescent="0.15">
      <c r="F106" s="20"/>
      <c r="G106" s="20"/>
      <c r="I106" s="58"/>
      <c r="J106" s="20"/>
      <c r="K106" s="20"/>
      <c r="M106" s="58"/>
      <c r="N106" s="58"/>
      <c r="T106" s="58"/>
    </row>
    <row r="107" spans="6:20" x14ac:dyDescent="0.15">
      <c r="F107" s="20"/>
      <c r="G107" s="20"/>
      <c r="I107" s="58"/>
      <c r="J107" s="20"/>
      <c r="K107" s="20"/>
      <c r="M107" s="58"/>
      <c r="N107" s="58"/>
      <c r="T107" s="58"/>
    </row>
    <row r="108" spans="6:20" x14ac:dyDescent="0.15">
      <c r="F108" s="20"/>
      <c r="G108" s="20"/>
      <c r="I108" s="58"/>
      <c r="J108" s="20"/>
      <c r="K108" s="20"/>
      <c r="M108" s="58"/>
      <c r="N108" s="58"/>
      <c r="T108" s="58"/>
    </row>
    <row r="109" spans="6:20" x14ac:dyDescent="0.15">
      <c r="F109" s="20"/>
      <c r="G109" s="20"/>
      <c r="I109" s="58"/>
      <c r="J109" s="20"/>
      <c r="K109" s="20"/>
      <c r="M109" s="58"/>
      <c r="N109" s="58"/>
      <c r="T109" s="58"/>
    </row>
    <row r="110" spans="6:20" x14ac:dyDescent="0.15">
      <c r="F110" s="20"/>
      <c r="G110" s="20"/>
      <c r="I110" s="58"/>
      <c r="J110" s="20"/>
      <c r="K110" s="20"/>
      <c r="M110" s="58"/>
      <c r="N110" s="58"/>
      <c r="T110" s="58"/>
    </row>
    <row r="111" spans="6:20" x14ac:dyDescent="0.15">
      <c r="F111" s="20"/>
      <c r="G111" s="20"/>
      <c r="I111" s="58"/>
      <c r="J111" s="20"/>
      <c r="K111" s="20"/>
      <c r="M111" s="58"/>
      <c r="N111" s="58"/>
      <c r="T111" s="58"/>
    </row>
    <row r="112" spans="6:20" x14ac:dyDescent="0.15">
      <c r="F112" s="20"/>
      <c r="G112" s="20"/>
      <c r="I112" s="58"/>
      <c r="J112" s="20"/>
      <c r="K112" s="20"/>
      <c r="M112" s="58"/>
      <c r="N112" s="58"/>
      <c r="T112" s="58"/>
    </row>
    <row r="113" spans="6:20" x14ac:dyDescent="0.15">
      <c r="F113" s="20"/>
      <c r="G113" s="20"/>
      <c r="I113" s="58"/>
      <c r="J113" s="20"/>
      <c r="K113" s="20"/>
      <c r="M113" s="58"/>
      <c r="N113" s="58"/>
      <c r="T113" s="58"/>
    </row>
    <row r="114" spans="6:20" x14ac:dyDescent="0.15">
      <c r="F114" s="20"/>
      <c r="G114" s="20"/>
      <c r="I114" s="58"/>
      <c r="J114" s="20"/>
      <c r="K114" s="20"/>
      <c r="M114" s="58"/>
      <c r="N114" s="58"/>
      <c r="T114" s="58"/>
    </row>
    <row r="115" spans="6:20" x14ac:dyDescent="0.15">
      <c r="F115" s="20"/>
      <c r="G115" s="20"/>
      <c r="I115" s="58"/>
      <c r="J115" s="20"/>
      <c r="K115" s="20"/>
      <c r="M115" s="58"/>
      <c r="N115" s="58"/>
      <c r="T115" s="58"/>
    </row>
    <row r="116" spans="6:20" x14ac:dyDescent="0.15">
      <c r="F116" s="20"/>
      <c r="G116" s="20"/>
      <c r="I116" s="58"/>
      <c r="J116" s="20"/>
      <c r="K116" s="20"/>
      <c r="M116" s="58"/>
      <c r="N116" s="58"/>
      <c r="T116" s="58"/>
    </row>
    <row r="117" spans="6:20" x14ac:dyDescent="0.15">
      <c r="F117" s="20"/>
      <c r="G117" s="20"/>
      <c r="I117" s="58"/>
      <c r="J117" s="20"/>
      <c r="K117" s="20"/>
      <c r="M117" s="58"/>
      <c r="N117" s="58"/>
      <c r="T117" s="58"/>
    </row>
    <row r="118" spans="6:20" x14ac:dyDescent="0.15">
      <c r="F118" s="20"/>
      <c r="G118" s="20"/>
      <c r="I118" s="58"/>
      <c r="J118" s="20"/>
      <c r="K118" s="20"/>
      <c r="M118" s="58"/>
      <c r="N118" s="58"/>
      <c r="T118" s="58"/>
    </row>
    <row r="119" spans="6:20" x14ac:dyDescent="0.15">
      <c r="F119" s="20"/>
      <c r="G119" s="20"/>
      <c r="I119" s="58"/>
      <c r="J119" s="20"/>
      <c r="K119" s="20"/>
      <c r="M119" s="58"/>
      <c r="N119" s="58"/>
      <c r="T119" s="58"/>
    </row>
    <row r="120" spans="6:20" x14ac:dyDescent="0.15">
      <c r="F120" s="20"/>
      <c r="G120" s="20"/>
      <c r="I120" s="58"/>
      <c r="J120" s="20"/>
      <c r="K120" s="20"/>
      <c r="M120" s="58"/>
      <c r="N120" s="58"/>
      <c r="T120" s="58"/>
    </row>
    <row r="121" spans="6:20" x14ac:dyDescent="0.15">
      <c r="F121" s="20"/>
      <c r="G121" s="20"/>
      <c r="I121" s="58"/>
      <c r="J121" s="20"/>
      <c r="K121" s="20"/>
      <c r="M121" s="58"/>
      <c r="N121" s="58"/>
      <c r="T121" s="58"/>
    </row>
    <row r="122" spans="6:20" x14ac:dyDescent="0.15">
      <c r="F122" s="20"/>
      <c r="G122" s="20"/>
      <c r="I122" s="58"/>
      <c r="J122" s="20"/>
      <c r="K122" s="20"/>
      <c r="M122" s="58"/>
      <c r="N122" s="58"/>
      <c r="T122" s="58"/>
    </row>
    <row r="123" spans="6:20" x14ac:dyDescent="0.15">
      <c r="F123" s="20"/>
      <c r="G123" s="20"/>
      <c r="I123" s="58"/>
      <c r="J123" s="20"/>
      <c r="K123" s="20"/>
      <c r="M123" s="58"/>
      <c r="N123" s="58"/>
      <c r="T123" s="58"/>
    </row>
    <row r="124" spans="6:20" x14ac:dyDescent="0.15">
      <c r="F124" s="20"/>
      <c r="G124" s="20"/>
      <c r="I124" s="58"/>
      <c r="J124" s="20"/>
      <c r="K124" s="20"/>
      <c r="M124" s="58"/>
      <c r="N124" s="58"/>
      <c r="T124" s="58"/>
    </row>
    <row r="125" spans="6:20" x14ac:dyDescent="0.15">
      <c r="F125" s="20"/>
      <c r="G125" s="20"/>
      <c r="I125" s="58"/>
      <c r="J125" s="20"/>
      <c r="K125" s="20"/>
      <c r="M125" s="58"/>
      <c r="N125" s="58"/>
      <c r="T125" s="58"/>
    </row>
    <row r="126" spans="6:20" x14ac:dyDescent="0.15">
      <c r="F126" s="20"/>
      <c r="G126" s="20"/>
      <c r="I126" s="58"/>
      <c r="J126" s="20"/>
      <c r="K126" s="20"/>
      <c r="M126" s="58"/>
      <c r="N126" s="58"/>
      <c r="T126" s="58"/>
    </row>
    <row r="127" spans="6:20" x14ac:dyDescent="0.15">
      <c r="F127" s="20"/>
      <c r="G127" s="20"/>
      <c r="I127" s="58"/>
      <c r="J127" s="20"/>
      <c r="K127" s="20"/>
      <c r="M127" s="58"/>
      <c r="N127" s="58"/>
      <c r="T127" s="58"/>
    </row>
    <row r="128" spans="6:20" x14ac:dyDescent="0.15">
      <c r="F128" s="20"/>
      <c r="G128" s="20"/>
      <c r="I128" s="58"/>
      <c r="J128" s="20"/>
      <c r="K128" s="20"/>
      <c r="M128" s="58"/>
      <c r="N128" s="58"/>
      <c r="T128" s="58"/>
    </row>
    <row r="129" spans="6:20" x14ac:dyDescent="0.15">
      <c r="F129" s="20"/>
      <c r="G129" s="20"/>
      <c r="I129" s="58"/>
      <c r="J129" s="20"/>
      <c r="K129" s="20"/>
      <c r="M129" s="58"/>
      <c r="N129" s="58"/>
      <c r="T129" s="58"/>
    </row>
    <row r="130" spans="6:20" x14ac:dyDescent="0.15">
      <c r="F130" s="20"/>
      <c r="G130" s="20"/>
      <c r="I130" s="58"/>
      <c r="J130" s="20"/>
      <c r="K130" s="20"/>
      <c r="M130" s="58"/>
      <c r="N130" s="58"/>
      <c r="T130" s="58"/>
    </row>
    <row r="131" spans="6:20" x14ac:dyDescent="0.15">
      <c r="F131" s="20"/>
      <c r="G131" s="20"/>
      <c r="I131" s="58"/>
      <c r="J131" s="20"/>
      <c r="K131" s="20"/>
      <c r="M131" s="58"/>
      <c r="N131" s="58"/>
      <c r="T131" s="58"/>
    </row>
    <row r="132" spans="6:20" x14ac:dyDescent="0.15">
      <c r="F132" s="20"/>
      <c r="G132" s="20"/>
      <c r="I132" s="58"/>
      <c r="J132" s="20"/>
      <c r="K132" s="20"/>
      <c r="M132" s="58"/>
      <c r="N132" s="58"/>
      <c r="T132" s="58"/>
    </row>
    <row r="133" spans="6:20" x14ac:dyDescent="0.15">
      <c r="F133" s="20"/>
      <c r="G133" s="20"/>
      <c r="I133" s="58"/>
      <c r="J133" s="20"/>
      <c r="K133" s="20"/>
      <c r="M133" s="58"/>
      <c r="N133" s="58"/>
      <c r="T133" s="58"/>
    </row>
    <row r="134" spans="6:20" x14ac:dyDescent="0.15">
      <c r="F134" s="20"/>
      <c r="G134" s="20"/>
      <c r="I134" s="58"/>
      <c r="J134" s="20"/>
      <c r="K134" s="20"/>
      <c r="M134" s="58"/>
      <c r="N134" s="58"/>
      <c r="T134" s="58"/>
    </row>
    <row r="135" spans="6:20" x14ac:dyDescent="0.15">
      <c r="F135" s="20"/>
      <c r="G135" s="20"/>
      <c r="I135" s="58"/>
      <c r="J135" s="20"/>
      <c r="K135" s="20"/>
      <c r="M135" s="58"/>
      <c r="N135" s="58"/>
      <c r="T135" s="58"/>
    </row>
    <row r="136" spans="6:20" x14ac:dyDescent="0.15">
      <c r="F136" s="20"/>
      <c r="G136" s="20"/>
      <c r="I136" s="58"/>
      <c r="J136" s="20"/>
      <c r="K136" s="20"/>
      <c r="M136" s="58"/>
      <c r="N136" s="58"/>
      <c r="T136" s="58"/>
    </row>
    <row r="137" spans="6:20" x14ac:dyDescent="0.15">
      <c r="F137" s="20"/>
      <c r="G137" s="20"/>
      <c r="I137" s="58"/>
      <c r="J137" s="20"/>
      <c r="K137" s="20"/>
      <c r="M137" s="58"/>
      <c r="N137" s="58"/>
      <c r="T137" s="58"/>
    </row>
    <row r="138" spans="6:20" x14ac:dyDescent="0.15">
      <c r="F138" s="20"/>
      <c r="G138" s="20"/>
      <c r="I138" s="58"/>
      <c r="J138" s="20"/>
      <c r="K138" s="20"/>
      <c r="M138" s="58"/>
      <c r="N138" s="58"/>
      <c r="T138" s="58"/>
    </row>
    <row r="139" spans="6:20" x14ac:dyDescent="0.15">
      <c r="F139" s="20"/>
      <c r="G139" s="20"/>
      <c r="I139" s="58"/>
      <c r="J139" s="20"/>
      <c r="K139" s="20"/>
      <c r="M139" s="58"/>
      <c r="N139" s="58"/>
      <c r="T139" s="58"/>
    </row>
    <row r="140" spans="6:20" x14ac:dyDescent="0.15">
      <c r="F140" s="20"/>
      <c r="G140" s="20"/>
      <c r="I140" s="58"/>
      <c r="J140" s="20"/>
      <c r="K140" s="20"/>
      <c r="M140" s="58"/>
      <c r="N140" s="58"/>
      <c r="T140" s="58"/>
    </row>
    <row r="141" spans="6:20" x14ac:dyDescent="0.15">
      <c r="F141" s="20"/>
      <c r="G141" s="20"/>
      <c r="I141" s="58"/>
      <c r="J141" s="20"/>
      <c r="K141" s="20"/>
      <c r="M141" s="58"/>
      <c r="N141" s="58"/>
      <c r="T141" s="58"/>
    </row>
    <row r="142" spans="6:20" x14ac:dyDescent="0.15">
      <c r="F142" s="20"/>
      <c r="G142" s="20"/>
      <c r="I142" s="58"/>
      <c r="J142" s="20"/>
      <c r="K142" s="20"/>
      <c r="M142" s="58"/>
      <c r="N142" s="58"/>
      <c r="T142" s="58"/>
    </row>
    <row r="143" spans="6:20" x14ac:dyDescent="0.15">
      <c r="F143" s="20"/>
      <c r="G143" s="20"/>
      <c r="I143" s="58"/>
      <c r="J143" s="20"/>
      <c r="K143" s="20"/>
      <c r="M143" s="58"/>
      <c r="N143" s="58"/>
      <c r="T143" s="58"/>
    </row>
    <row r="144" spans="6:20" x14ac:dyDescent="0.15">
      <c r="F144" s="20"/>
      <c r="G144" s="20"/>
      <c r="I144" s="58"/>
      <c r="J144" s="20"/>
      <c r="K144" s="20"/>
      <c r="M144" s="58"/>
      <c r="N144" s="58"/>
      <c r="T144" s="58"/>
    </row>
    <row r="145" spans="6:20" x14ac:dyDescent="0.15">
      <c r="F145" s="20"/>
      <c r="G145" s="20"/>
      <c r="I145" s="58"/>
      <c r="J145" s="20"/>
      <c r="K145" s="20"/>
      <c r="M145" s="58"/>
      <c r="N145" s="58"/>
      <c r="T145" s="58"/>
    </row>
    <row r="146" spans="6:20" x14ac:dyDescent="0.15">
      <c r="F146" s="20"/>
      <c r="G146" s="20"/>
      <c r="I146" s="58"/>
      <c r="J146" s="20"/>
      <c r="K146" s="20"/>
      <c r="M146" s="58"/>
      <c r="N146" s="58"/>
      <c r="T146" s="58"/>
    </row>
    <row r="147" spans="6:20" x14ac:dyDescent="0.15">
      <c r="F147" s="20"/>
      <c r="G147" s="20"/>
      <c r="I147" s="58"/>
      <c r="J147" s="20"/>
      <c r="K147" s="20"/>
      <c r="M147" s="58"/>
      <c r="N147" s="58"/>
      <c r="T147" s="58"/>
    </row>
    <row r="148" spans="6:20" x14ac:dyDescent="0.15">
      <c r="F148" s="20"/>
      <c r="G148" s="20"/>
      <c r="I148" s="58"/>
      <c r="J148" s="20"/>
      <c r="K148" s="20"/>
      <c r="M148" s="58"/>
      <c r="N148" s="58"/>
      <c r="T148" s="58"/>
    </row>
    <row r="149" spans="6:20" x14ac:dyDescent="0.15">
      <c r="F149" s="20"/>
      <c r="G149" s="20"/>
      <c r="I149" s="58"/>
      <c r="J149" s="20"/>
      <c r="K149" s="20"/>
      <c r="M149" s="58"/>
      <c r="N149" s="58"/>
      <c r="T149" s="58"/>
    </row>
    <row r="150" spans="6:20" x14ac:dyDescent="0.15">
      <c r="F150" s="20"/>
      <c r="G150" s="20"/>
      <c r="I150" s="58"/>
      <c r="J150" s="20"/>
      <c r="K150" s="20"/>
      <c r="M150" s="58"/>
      <c r="N150" s="58"/>
      <c r="T150" s="58"/>
    </row>
    <row r="151" spans="6:20" x14ac:dyDescent="0.15">
      <c r="F151" s="20"/>
      <c r="G151" s="20"/>
      <c r="I151" s="58"/>
      <c r="J151" s="20"/>
      <c r="K151" s="20"/>
      <c r="M151" s="58"/>
      <c r="N151" s="58"/>
      <c r="T151" s="58"/>
    </row>
    <row r="152" spans="6:20" x14ac:dyDescent="0.15">
      <c r="F152" s="20"/>
      <c r="G152" s="20"/>
      <c r="I152" s="58"/>
      <c r="J152" s="20"/>
      <c r="K152" s="20"/>
      <c r="M152" s="58"/>
      <c r="N152" s="58"/>
      <c r="T152" s="58"/>
    </row>
    <row r="153" spans="6:20" x14ac:dyDescent="0.15">
      <c r="F153" s="20"/>
      <c r="G153" s="20"/>
      <c r="I153" s="58"/>
      <c r="J153" s="20"/>
      <c r="K153" s="20"/>
      <c r="M153" s="58"/>
      <c r="N153" s="58"/>
      <c r="T153" s="58"/>
    </row>
    <row r="154" spans="6:20" x14ac:dyDescent="0.15">
      <c r="F154" s="20"/>
      <c r="G154" s="20"/>
      <c r="I154" s="58"/>
      <c r="J154" s="20"/>
      <c r="K154" s="20"/>
      <c r="M154" s="58"/>
      <c r="N154" s="58"/>
      <c r="T154" s="58"/>
    </row>
    <row r="155" spans="6:20" x14ac:dyDescent="0.15">
      <c r="F155" s="20"/>
      <c r="G155" s="20"/>
      <c r="I155" s="58"/>
      <c r="J155" s="20"/>
      <c r="K155" s="20"/>
      <c r="M155" s="58"/>
      <c r="N155" s="58"/>
      <c r="T155" s="58"/>
    </row>
    <row r="156" spans="6:20" x14ac:dyDescent="0.15">
      <c r="F156" s="20"/>
      <c r="G156" s="20"/>
      <c r="I156" s="58"/>
      <c r="J156" s="20"/>
      <c r="K156" s="20"/>
      <c r="M156" s="58"/>
      <c r="N156" s="58"/>
      <c r="T156" s="58"/>
    </row>
    <row r="157" spans="6:20" x14ac:dyDescent="0.15">
      <c r="F157" s="20"/>
      <c r="G157" s="20"/>
      <c r="I157" s="58"/>
      <c r="J157" s="20"/>
      <c r="K157" s="20"/>
      <c r="M157" s="58"/>
      <c r="N157" s="58"/>
      <c r="T157" s="58"/>
    </row>
    <row r="158" spans="6:20" x14ac:dyDescent="0.15">
      <c r="F158" s="20"/>
      <c r="G158" s="20"/>
      <c r="I158" s="58"/>
      <c r="J158" s="20"/>
      <c r="K158" s="20"/>
      <c r="M158" s="58"/>
      <c r="N158" s="58"/>
      <c r="T158" s="58"/>
    </row>
    <row r="159" spans="6:20" x14ac:dyDescent="0.15">
      <c r="F159" s="20"/>
      <c r="G159" s="20"/>
      <c r="I159" s="58"/>
      <c r="J159" s="20"/>
      <c r="K159" s="20"/>
      <c r="M159" s="58"/>
      <c r="N159" s="58"/>
      <c r="T159" s="58"/>
    </row>
    <row r="160" spans="6:20" x14ac:dyDescent="0.15">
      <c r="F160" s="20"/>
      <c r="G160" s="20"/>
      <c r="I160" s="58"/>
      <c r="J160" s="20"/>
      <c r="K160" s="20"/>
      <c r="M160" s="58"/>
      <c r="N160" s="58"/>
      <c r="T160" s="58"/>
    </row>
    <row r="161" spans="6:20" x14ac:dyDescent="0.15">
      <c r="F161" s="20"/>
      <c r="G161" s="20"/>
      <c r="I161" s="58"/>
      <c r="J161" s="20"/>
      <c r="K161" s="20"/>
      <c r="M161" s="58"/>
      <c r="N161" s="58"/>
      <c r="T161" s="58"/>
    </row>
  </sheetData>
  <sortState xmlns:xlrd2="http://schemas.microsoft.com/office/spreadsheetml/2017/richdata2" columnSort="1" ref="D1:AC161">
    <sortCondition ref="D2:AC2"/>
  </sortState>
  <phoneticPr fontId="2"/>
  <pageMargins left="0.78740157480314965" right="0" top="0.78740157480314965" bottom="0.19685039370078741" header="0" footer="0"/>
  <pageSetup paperSize="12" scale="76"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43"/>
    <pageSetUpPr fitToPage="1"/>
  </sheetPr>
  <dimension ref="B1:AL13"/>
  <sheetViews>
    <sheetView workbookViewId="0">
      <selection activeCell="L38" sqref="L38"/>
    </sheetView>
  </sheetViews>
  <sheetFormatPr defaultColWidth="9" defaultRowHeight="13.5" x14ac:dyDescent="0.15"/>
  <cols>
    <col min="1" max="1" width="4.25" style="20" customWidth="1"/>
    <col min="2" max="2" width="23.875" style="58" customWidth="1"/>
    <col min="3" max="3" width="10.75" style="20" customWidth="1"/>
    <col min="4" max="4" width="9.875" style="20" customWidth="1"/>
    <col min="5" max="8" width="9.5" style="58" customWidth="1"/>
    <col min="9" max="9" width="9.5" style="20" customWidth="1"/>
    <col min="10" max="12" width="9.5" style="58" customWidth="1"/>
    <col min="13" max="13" width="7" style="58" customWidth="1"/>
    <col min="14" max="14" width="9.5" style="20" customWidth="1"/>
    <col min="15" max="15" width="9.5" style="58" customWidth="1"/>
    <col min="16" max="25" width="3.75" style="58" customWidth="1"/>
    <col min="26" max="27" width="3.75" style="20" customWidth="1"/>
    <col min="28" max="28" width="3.75" style="58" customWidth="1"/>
    <col min="29" max="29" width="3.75" style="20" customWidth="1"/>
    <col min="30" max="32" width="3.75" style="58" customWidth="1"/>
    <col min="33" max="35" width="3.75" style="20" customWidth="1"/>
    <col min="36" max="38" width="3.75" style="58" customWidth="1"/>
    <col min="39" max="60" width="3.75" style="20" customWidth="1"/>
    <col min="61" max="16384" width="9" style="20"/>
  </cols>
  <sheetData>
    <row r="1" spans="3:38" x14ac:dyDescent="0.15">
      <c r="I1" s="58"/>
      <c r="N1" s="58"/>
      <c r="X1" s="20"/>
      <c r="Y1" s="20"/>
      <c r="AA1" s="58"/>
      <c r="AB1" s="20"/>
      <c r="AC1" s="58"/>
      <c r="AF1" s="20"/>
      <c r="AI1" s="58"/>
      <c r="AL1" s="20"/>
    </row>
    <row r="2" spans="3:38" x14ac:dyDescent="0.15">
      <c r="I2" s="58"/>
      <c r="N2" s="58"/>
      <c r="O2" s="71" t="s">
        <v>101</v>
      </c>
      <c r="P2" s="70"/>
      <c r="Q2" s="70"/>
      <c r="R2" s="70"/>
      <c r="S2" s="70"/>
      <c r="T2" s="70"/>
      <c r="X2" s="20"/>
      <c r="Y2" s="20"/>
      <c r="AA2" s="58"/>
      <c r="AB2" s="20"/>
      <c r="AC2" s="58"/>
      <c r="AF2" s="20"/>
      <c r="AI2" s="58"/>
      <c r="AL2" s="20"/>
    </row>
    <row r="4" spans="3:38" ht="17.25" x14ac:dyDescent="0.2">
      <c r="F4" s="183"/>
      <c r="G4" s="183"/>
      <c r="H4" s="183"/>
      <c r="I4" s="183"/>
    </row>
    <row r="5" spans="3:38" ht="17.25" x14ac:dyDescent="0.2">
      <c r="F5" s="183"/>
      <c r="G5" s="183"/>
      <c r="H5" s="183"/>
      <c r="I5" s="69"/>
    </row>
    <row r="7" spans="3:38" x14ac:dyDescent="0.15">
      <c r="C7" s="70"/>
    </row>
    <row r="8" spans="3:38" x14ac:dyDescent="0.15">
      <c r="C8" s="71" t="s">
        <v>101</v>
      </c>
    </row>
    <row r="12" spans="3:38" x14ac:dyDescent="0.15">
      <c r="C12" s="58"/>
    </row>
    <row r="13" spans="3:38" x14ac:dyDescent="0.15">
      <c r="C13" s="58"/>
    </row>
  </sheetData>
  <mergeCells count="2">
    <mergeCell ref="F4:I4"/>
    <mergeCell ref="F5:H5"/>
  </mergeCells>
  <phoneticPr fontId="2"/>
  <pageMargins left="0.78740157480314965" right="0" top="0.78740157480314965" bottom="0.19685039370078741" header="0" footer="0"/>
  <pageSetup paperSize="9" scale="67"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DBINFO"/>
  <dimension ref="A1:D12"/>
  <sheetViews>
    <sheetView workbookViewId="0">
      <selection activeCell="I8" sqref="I8"/>
    </sheetView>
  </sheetViews>
  <sheetFormatPr defaultColWidth="9" defaultRowHeight="11.25" x14ac:dyDescent="0.15"/>
  <cols>
    <col min="1" max="1" width="13.875" style="4" customWidth="1"/>
    <col min="2" max="2" width="27.75" style="4" customWidth="1"/>
    <col min="3" max="3" width="67.875" style="4" bestFit="1" customWidth="1"/>
    <col min="4" max="16384" width="9" style="1"/>
  </cols>
  <sheetData>
    <row r="1" spans="1:4" x14ac:dyDescent="0.15">
      <c r="A1" s="9"/>
      <c r="B1" s="9"/>
      <c r="C1" s="9"/>
    </row>
    <row r="2" spans="1:4" x14ac:dyDescent="0.15">
      <c r="A2" s="10" t="s">
        <v>6</v>
      </c>
      <c r="B2" s="13" t="s">
        <v>140</v>
      </c>
      <c r="C2" s="12"/>
    </row>
    <row r="3" spans="1:4" x14ac:dyDescent="0.15">
      <c r="A3" s="10" t="s">
        <v>7</v>
      </c>
      <c r="B3" s="13" t="s">
        <v>150</v>
      </c>
      <c r="C3" s="12"/>
    </row>
    <row r="4" spans="1:4" x14ac:dyDescent="0.15">
      <c r="A4" s="10" t="s">
        <v>8</v>
      </c>
      <c r="B4" s="13" t="s">
        <v>31</v>
      </c>
      <c r="C4" s="12"/>
    </row>
    <row r="5" spans="1:4" x14ac:dyDescent="0.15">
      <c r="A5" s="10" t="s">
        <v>9</v>
      </c>
      <c r="B5" s="13" t="s">
        <v>141</v>
      </c>
      <c r="C5" s="12"/>
    </row>
    <row r="6" spans="1:4" x14ac:dyDescent="0.15">
      <c r="A6" s="9"/>
      <c r="B6" s="10"/>
      <c r="C6" s="9"/>
    </row>
    <row r="7" spans="1:4" x14ac:dyDescent="0.15">
      <c r="A7" s="11" t="s">
        <v>10</v>
      </c>
      <c r="B7" s="11" t="s">
        <v>11</v>
      </c>
      <c r="C7" s="11" t="s">
        <v>12</v>
      </c>
    </row>
    <row r="8" spans="1:4" ht="236.25" x14ac:dyDescent="0.15">
      <c r="A8" s="2">
        <v>1</v>
      </c>
      <c r="B8" s="3" t="s">
        <v>0</v>
      </c>
      <c r="C8" s="3" t="s">
        <v>34</v>
      </c>
      <c r="D8" s="23"/>
    </row>
    <row r="9" spans="1:4" ht="180" x14ac:dyDescent="0.15">
      <c r="A9" s="2">
        <v>2</v>
      </c>
      <c r="B9" s="3" t="s">
        <v>1</v>
      </c>
      <c r="C9" s="3" t="s">
        <v>15</v>
      </c>
    </row>
    <row r="10" spans="1:4" ht="213.75" x14ac:dyDescent="0.15">
      <c r="A10" s="2">
        <v>3</v>
      </c>
      <c r="B10" s="3" t="s">
        <v>2</v>
      </c>
      <c r="C10" s="3" t="s">
        <v>35</v>
      </c>
      <c r="D10" s="23"/>
    </row>
    <row r="11" spans="1:4" ht="56.25" x14ac:dyDescent="0.15">
      <c r="A11" s="2">
        <v>4</v>
      </c>
      <c r="B11" s="3" t="s">
        <v>33</v>
      </c>
      <c r="C11" s="3" t="s">
        <v>32</v>
      </c>
    </row>
    <row r="12" spans="1:4" x14ac:dyDescent="0.15">
      <c r="A12" s="2">
        <v>99</v>
      </c>
      <c r="B12" s="2" t="s">
        <v>13</v>
      </c>
      <c r="C12" s="2" t="s">
        <v>14</v>
      </c>
    </row>
  </sheetData>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tDBINFO.DBAccessTest_Click">
                <anchor moveWithCells="1">
                  <from>
                    <xdr:col>2</xdr:col>
                    <xdr:colOff>904875</xdr:colOff>
                    <xdr:row>2</xdr:row>
                    <xdr:rowOff>0</xdr:rowOff>
                  </from>
                  <to>
                    <xdr:col>2</xdr:col>
                    <xdr:colOff>2647950</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I66"/>
  <sheetViews>
    <sheetView topLeftCell="A26" workbookViewId="0">
      <selection activeCell="I2" sqref="A2:I44"/>
    </sheetView>
  </sheetViews>
  <sheetFormatPr defaultRowHeight="13.5" x14ac:dyDescent="0.15"/>
  <cols>
    <col min="2" max="2" width="31.625" customWidth="1"/>
  </cols>
  <sheetData>
    <row r="1" spans="1:9" x14ac:dyDescent="0.15">
      <c r="A1" t="s">
        <v>348</v>
      </c>
      <c r="B1" t="s">
        <v>70</v>
      </c>
      <c r="C1" t="s">
        <v>71</v>
      </c>
      <c r="D1" t="s">
        <v>72</v>
      </c>
      <c r="E1" t="s">
        <v>16</v>
      </c>
      <c r="F1" t="s">
        <v>17</v>
      </c>
      <c r="G1" t="s">
        <v>349</v>
      </c>
      <c r="H1" t="s">
        <v>354</v>
      </c>
      <c r="I1" t="s">
        <v>353</v>
      </c>
    </row>
    <row r="2" spans="1:9" ht="135" x14ac:dyDescent="0.15">
      <c r="A2">
        <v>2556</v>
      </c>
      <c r="B2" t="s">
        <v>296</v>
      </c>
      <c r="C2" t="s">
        <v>297</v>
      </c>
      <c r="D2" t="s">
        <v>299</v>
      </c>
      <c r="E2" t="s">
        <v>282</v>
      </c>
      <c r="F2" s="133" t="s">
        <v>356</v>
      </c>
      <c r="G2">
        <v>1</v>
      </c>
      <c r="H2" t="s">
        <v>282</v>
      </c>
      <c r="I2" t="e">
        <f>VLOOKUP(テーブル46[[#This Row],[商品コード2]],'[2]出荷予定表＆ご注文用紙'!$F$12:$F$144,2,0)</f>
        <v>#N/A</v>
      </c>
    </row>
    <row r="3" spans="1:9" ht="121.5" x14ac:dyDescent="0.15">
      <c r="A3">
        <v>2556</v>
      </c>
      <c r="B3" t="s">
        <v>296</v>
      </c>
      <c r="C3" t="s">
        <v>297</v>
      </c>
      <c r="D3" t="s">
        <v>299</v>
      </c>
      <c r="E3" t="s">
        <v>253</v>
      </c>
      <c r="F3" s="133" t="s">
        <v>357</v>
      </c>
      <c r="G3">
        <v>1</v>
      </c>
      <c r="H3" t="s">
        <v>253</v>
      </c>
      <c r="I3" t="e">
        <f>VLOOKUP(テーブル46[[#This Row],[商品コード2]],'[2]出荷予定表＆ご注文用紙'!$F$12:$F$144,2,0)</f>
        <v>#N/A</v>
      </c>
    </row>
    <row r="4" spans="1:9" ht="148.5" x14ac:dyDescent="0.15">
      <c r="A4">
        <v>2556</v>
      </c>
      <c r="B4" t="s">
        <v>296</v>
      </c>
      <c r="C4" t="s">
        <v>297</v>
      </c>
      <c r="D4" t="s">
        <v>299</v>
      </c>
      <c r="E4" t="s">
        <v>245</v>
      </c>
      <c r="F4" s="133" t="s">
        <v>355</v>
      </c>
      <c r="G4">
        <v>1</v>
      </c>
      <c r="H4" t="s">
        <v>245</v>
      </c>
      <c r="I4" t="e">
        <f>VLOOKUP(テーブル46[[#This Row],[商品コード2]],'[2]出荷予定表＆ご注文用紙'!$F$12:$F$144,2,0)</f>
        <v>#N/A</v>
      </c>
    </row>
    <row r="5" spans="1:9" x14ac:dyDescent="0.15">
      <c r="A5">
        <v>2556</v>
      </c>
      <c r="B5" t="s">
        <v>296</v>
      </c>
      <c r="C5" t="s">
        <v>297</v>
      </c>
      <c r="D5" t="s">
        <v>299</v>
      </c>
      <c r="E5" t="s">
        <v>152</v>
      </c>
      <c r="F5" t="s">
        <v>153</v>
      </c>
      <c r="G5">
        <v>10</v>
      </c>
      <c r="H5" t="s">
        <v>152</v>
      </c>
      <c r="I5" t="e">
        <f>VLOOKUP(テーブル46[[#This Row],[商品コード2]],'[2]出荷予定表＆ご注文用紙'!$F$12:$F$144,2,0)</f>
        <v>#N/A</v>
      </c>
    </row>
    <row r="6" spans="1:9" x14ac:dyDescent="0.15">
      <c r="A6">
        <v>2556</v>
      </c>
      <c r="B6" t="s">
        <v>296</v>
      </c>
      <c r="C6" t="s">
        <v>297</v>
      </c>
      <c r="D6" t="s">
        <v>299</v>
      </c>
      <c r="E6" t="s">
        <v>238</v>
      </c>
      <c r="F6" t="s">
        <v>239</v>
      </c>
      <c r="G6">
        <v>5</v>
      </c>
      <c r="H6" t="s">
        <v>238</v>
      </c>
      <c r="I6" t="e">
        <f>VLOOKUP(テーブル46[[#This Row],[商品コード2]],'[2]出荷予定表＆ご注文用紙'!$F$12:$F$144,2,0)</f>
        <v>#N/A</v>
      </c>
    </row>
    <row r="7" spans="1:9" x14ac:dyDescent="0.15">
      <c r="A7">
        <v>2556</v>
      </c>
      <c r="B7" t="s">
        <v>296</v>
      </c>
      <c r="C7" t="s">
        <v>297</v>
      </c>
      <c r="D7" t="s">
        <v>299</v>
      </c>
      <c r="E7" t="s">
        <v>258</v>
      </c>
      <c r="F7" t="s">
        <v>259</v>
      </c>
      <c r="G7">
        <v>3</v>
      </c>
      <c r="H7" t="s">
        <v>258</v>
      </c>
      <c r="I7" t="e">
        <f>VLOOKUP(テーブル46[[#This Row],[商品コード2]],'[2]出荷予定表＆ご注文用紙'!$F$12:$F$144,2,0)</f>
        <v>#N/A</v>
      </c>
    </row>
    <row r="8" spans="1:9" x14ac:dyDescent="0.15">
      <c r="A8">
        <v>2556</v>
      </c>
      <c r="B8" t="s">
        <v>296</v>
      </c>
      <c r="C8" t="s">
        <v>297</v>
      </c>
      <c r="D8" t="s">
        <v>299</v>
      </c>
      <c r="E8" t="s">
        <v>224</v>
      </c>
      <c r="F8" t="s">
        <v>225</v>
      </c>
      <c r="G8">
        <v>5</v>
      </c>
      <c r="H8" t="s">
        <v>224</v>
      </c>
      <c r="I8" t="e">
        <f>VLOOKUP(テーブル46[[#This Row],[商品コード2]],'[2]出荷予定表＆ご注文用紙'!$F$12:$F$144,2,0)</f>
        <v>#N/A</v>
      </c>
    </row>
    <row r="9" spans="1:9" x14ac:dyDescent="0.15">
      <c r="A9">
        <v>2556</v>
      </c>
      <c r="B9" t="s">
        <v>296</v>
      </c>
      <c r="C9" t="s">
        <v>297</v>
      </c>
      <c r="D9" t="s">
        <v>299</v>
      </c>
      <c r="E9" t="s">
        <v>187</v>
      </c>
      <c r="F9" t="s">
        <v>216</v>
      </c>
      <c r="G9">
        <v>2</v>
      </c>
      <c r="H9" t="s">
        <v>187</v>
      </c>
      <c r="I9" t="e">
        <f>VLOOKUP(テーブル46[[#This Row],[商品コード2]],'[2]出荷予定表＆ご注文用紙'!$F$12:$F$144,2,0)</f>
        <v>#N/A</v>
      </c>
    </row>
    <row r="10" spans="1:9" x14ac:dyDescent="0.15">
      <c r="A10">
        <v>2556</v>
      </c>
      <c r="B10" t="s">
        <v>296</v>
      </c>
      <c r="C10" t="s">
        <v>297</v>
      </c>
      <c r="D10" t="s">
        <v>299</v>
      </c>
      <c r="E10" t="s">
        <v>336</v>
      </c>
      <c r="F10" t="s">
        <v>337</v>
      </c>
      <c r="G10">
        <v>5</v>
      </c>
      <c r="H10" t="s">
        <v>336</v>
      </c>
      <c r="I10" t="e">
        <f>VLOOKUP(テーブル46[[#This Row],[商品コード2]],'[2]出荷予定表＆ご注文用紙'!$F$12:$F$144,2,0)</f>
        <v>#N/A</v>
      </c>
    </row>
    <row r="11" spans="1:9" x14ac:dyDescent="0.15">
      <c r="A11">
        <v>2556</v>
      </c>
      <c r="B11" t="s">
        <v>296</v>
      </c>
      <c r="C11" t="s">
        <v>297</v>
      </c>
      <c r="D11" t="s">
        <v>299</v>
      </c>
      <c r="E11" t="s">
        <v>334</v>
      </c>
      <c r="F11" t="s">
        <v>335</v>
      </c>
      <c r="G11">
        <v>5</v>
      </c>
      <c r="H11" t="s">
        <v>334</v>
      </c>
      <c r="I11" t="e">
        <f>VLOOKUP(テーブル46[[#This Row],[商品コード2]],'[2]出荷予定表＆ご注文用紙'!$F$12:$F$144,2,0)</f>
        <v>#N/A</v>
      </c>
    </row>
    <row r="12" spans="1:9" x14ac:dyDescent="0.15">
      <c r="A12">
        <v>2556</v>
      </c>
      <c r="B12" t="s">
        <v>296</v>
      </c>
      <c r="C12" t="s">
        <v>297</v>
      </c>
      <c r="D12" t="s">
        <v>299</v>
      </c>
      <c r="E12" t="s">
        <v>312</v>
      </c>
      <c r="F12" t="s">
        <v>313</v>
      </c>
      <c r="G12">
        <v>8</v>
      </c>
      <c r="H12" t="s">
        <v>312</v>
      </c>
      <c r="I12" t="e">
        <f>VLOOKUP(テーブル46[[#This Row],[商品コード2]],'[2]出荷予定表＆ご注文用紙'!$F$12:$F$144,2,0)</f>
        <v>#N/A</v>
      </c>
    </row>
    <row r="13" spans="1:9" x14ac:dyDescent="0.15">
      <c r="A13">
        <v>2556</v>
      </c>
      <c r="B13" t="s">
        <v>296</v>
      </c>
      <c r="C13" t="s">
        <v>297</v>
      </c>
      <c r="D13" t="s">
        <v>299</v>
      </c>
      <c r="E13" t="s">
        <v>324</v>
      </c>
      <c r="F13" t="s">
        <v>325</v>
      </c>
      <c r="G13">
        <v>3</v>
      </c>
      <c r="H13" t="s">
        <v>324</v>
      </c>
      <c r="I13" t="e">
        <f>VLOOKUP(テーブル46[[#This Row],[商品コード2]],'[2]出荷予定表＆ご注文用紙'!$F$12:$F$144,2,0)</f>
        <v>#N/A</v>
      </c>
    </row>
    <row r="14" spans="1:9" x14ac:dyDescent="0.15">
      <c r="A14">
        <v>2556</v>
      </c>
      <c r="B14" t="s">
        <v>296</v>
      </c>
      <c r="C14" t="s">
        <v>297</v>
      </c>
      <c r="D14" t="s">
        <v>299</v>
      </c>
      <c r="E14" t="s">
        <v>249</v>
      </c>
      <c r="F14" t="s">
        <v>250</v>
      </c>
      <c r="G14">
        <v>3</v>
      </c>
      <c r="H14" t="s">
        <v>249</v>
      </c>
      <c r="I14" t="e">
        <f>VLOOKUP(テーブル46[[#This Row],[商品コード2]],'[2]出荷予定表＆ご注文用紙'!$F$12:$F$144,2,0)</f>
        <v>#N/A</v>
      </c>
    </row>
    <row r="15" spans="1:9" x14ac:dyDescent="0.15">
      <c r="A15">
        <v>2556</v>
      </c>
      <c r="B15" t="s">
        <v>296</v>
      </c>
      <c r="C15" t="s">
        <v>297</v>
      </c>
      <c r="D15" t="s">
        <v>299</v>
      </c>
      <c r="E15" t="s">
        <v>330</v>
      </c>
      <c r="F15" t="s">
        <v>331</v>
      </c>
      <c r="G15">
        <v>3</v>
      </c>
      <c r="H15" t="s">
        <v>330</v>
      </c>
      <c r="I15" t="e">
        <f>VLOOKUP(テーブル46[[#This Row],[商品コード2]],'[2]出荷予定表＆ご注文用紙'!$F$12:$F$144,2,0)</f>
        <v>#N/A</v>
      </c>
    </row>
    <row r="16" spans="1:9" x14ac:dyDescent="0.15">
      <c r="A16">
        <v>2556</v>
      </c>
      <c r="B16" t="s">
        <v>296</v>
      </c>
      <c r="C16" t="s">
        <v>297</v>
      </c>
      <c r="D16" t="s">
        <v>299</v>
      </c>
      <c r="E16" t="s">
        <v>79</v>
      </c>
      <c r="F16" t="s">
        <v>80</v>
      </c>
      <c r="G16">
        <v>3</v>
      </c>
      <c r="H16" t="s">
        <v>79</v>
      </c>
      <c r="I16" t="e">
        <f>VLOOKUP(テーブル46[[#This Row],[商品コード2]],'[2]出荷予定表＆ご注文用紙'!$F$12:$F$144,2,0)</f>
        <v>#N/A</v>
      </c>
    </row>
    <row r="17" spans="1:9" x14ac:dyDescent="0.15">
      <c r="A17">
        <v>2556</v>
      </c>
      <c r="B17" t="s">
        <v>296</v>
      </c>
      <c r="C17" t="s">
        <v>297</v>
      </c>
      <c r="D17" t="s">
        <v>299</v>
      </c>
      <c r="E17" t="s">
        <v>220</v>
      </c>
      <c r="F17" t="s">
        <v>300</v>
      </c>
      <c r="G17">
        <v>5</v>
      </c>
      <c r="H17" t="s">
        <v>220</v>
      </c>
      <c r="I17" t="e">
        <f>VLOOKUP(テーブル46[[#This Row],[商品コード2]],'[2]出荷予定表＆ご注文用紙'!$F$12:$F$144,2,0)</f>
        <v>#N/A</v>
      </c>
    </row>
    <row r="18" spans="1:9" x14ac:dyDescent="0.15">
      <c r="A18">
        <v>2556</v>
      </c>
      <c r="B18" t="s">
        <v>296</v>
      </c>
      <c r="C18" t="s">
        <v>297</v>
      </c>
      <c r="D18" t="s">
        <v>299</v>
      </c>
      <c r="E18" t="s">
        <v>338</v>
      </c>
      <c r="F18" t="s">
        <v>339</v>
      </c>
      <c r="G18">
        <v>3</v>
      </c>
      <c r="H18" t="s">
        <v>338</v>
      </c>
      <c r="I18" t="e">
        <f>VLOOKUP(テーブル46[[#This Row],[商品コード2]],'[2]出荷予定表＆ご注文用紙'!$F$12:$F$144,2,0)</f>
        <v>#N/A</v>
      </c>
    </row>
    <row r="19" spans="1:9" x14ac:dyDescent="0.15">
      <c r="A19">
        <v>2556</v>
      </c>
      <c r="B19" t="s">
        <v>296</v>
      </c>
      <c r="C19" t="s">
        <v>297</v>
      </c>
      <c r="D19" t="s">
        <v>299</v>
      </c>
      <c r="E19" t="s">
        <v>200</v>
      </c>
      <c r="F19" t="s">
        <v>201</v>
      </c>
      <c r="G19">
        <v>2</v>
      </c>
      <c r="H19" t="s">
        <v>200</v>
      </c>
      <c r="I19" t="e">
        <f>VLOOKUP(テーブル46[[#This Row],[商品コード2]],'[2]出荷予定表＆ご注文用紙'!$F$12:$F$144,2,0)</f>
        <v>#N/A</v>
      </c>
    </row>
    <row r="20" spans="1:9" x14ac:dyDescent="0.15">
      <c r="A20">
        <v>2556</v>
      </c>
      <c r="B20" t="s">
        <v>296</v>
      </c>
      <c r="C20" t="s">
        <v>297</v>
      </c>
      <c r="D20" t="s">
        <v>299</v>
      </c>
      <c r="E20" t="s">
        <v>214</v>
      </c>
      <c r="F20" t="s">
        <v>215</v>
      </c>
      <c r="G20">
        <v>2</v>
      </c>
      <c r="H20" t="s">
        <v>214</v>
      </c>
      <c r="I20" t="e">
        <f>VLOOKUP(テーブル46[[#This Row],[商品コード2]],'[2]出荷予定表＆ご注文用紙'!$F$12:$F$144,2,0)</f>
        <v>#N/A</v>
      </c>
    </row>
    <row r="21" spans="1:9" x14ac:dyDescent="0.15">
      <c r="A21">
        <v>2556</v>
      </c>
      <c r="B21" t="s">
        <v>296</v>
      </c>
      <c r="C21" t="s">
        <v>297</v>
      </c>
      <c r="D21" t="s">
        <v>299</v>
      </c>
      <c r="E21" t="s">
        <v>332</v>
      </c>
      <c r="F21" t="s">
        <v>333</v>
      </c>
      <c r="G21">
        <v>3</v>
      </c>
      <c r="H21" t="s">
        <v>332</v>
      </c>
      <c r="I21" t="e">
        <f>VLOOKUP(テーブル46[[#This Row],[商品コード2]],'[2]出荷予定表＆ご注文用紙'!$F$12:$F$144,2,0)</f>
        <v>#N/A</v>
      </c>
    </row>
    <row r="22" spans="1:9" x14ac:dyDescent="0.15">
      <c r="A22">
        <v>2556</v>
      </c>
      <c r="B22" t="s">
        <v>296</v>
      </c>
      <c r="C22" t="s">
        <v>297</v>
      </c>
      <c r="D22" t="s">
        <v>299</v>
      </c>
      <c r="E22" t="s">
        <v>222</v>
      </c>
      <c r="F22" t="s">
        <v>223</v>
      </c>
      <c r="G22">
        <v>5</v>
      </c>
      <c r="H22" t="s">
        <v>222</v>
      </c>
      <c r="I22" t="e">
        <f>VLOOKUP(テーブル46[[#This Row],[商品コード2]],'[2]出荷予定表＆ご注文用紙'!$F$12:$F$144,2,0)</f>
        <v>#N/A</v>
      </c>
    </row>
    <row r="23" spans="1:9" x14ac:dyDescent="0.15">
      <c r="A23">
        <v>2556</v>
      </c>
      <c r="B23" t="s">
        <v>296</v>
      </c>
      <c r="C23" t="s">
        <v>297</v>
      </c>
      <c r="D23" t="s">
        <v>299</v>
      </c>
      <c r="E23" t="s">
        <v>189</v>
      </c>
      <c r="F23" t="s">
        <v>190</v>
      </c>
      <c r="G23">
        <v>8</v>
      </c>
      <c r="H23" t="s">
        <v>189</v>
      </c>
      <c r="I23" t="e">
        <f>VLOOKUP(テーブル46[[#This Row],[商品コード2]],'[2]出荷予定表＆ご注文用紙'!$F$12:$F$144,2,0)</f>
        <v>#N/A</v>
      </c>
    </row>
    <row r="24" spans="1:9" x14ac:dyDescent="0.15">
      <c r="A24">
        <v>2556</v>
      </c>
      <c r="B24" t="s">
        <v>296</v>
      </c>
      <c r="C24" t="s">
        <v>297</v>
      </c>
      <c r="D24" t="s">
        <v>299</v>
      </c>
      <c r="E24" t="s">
        <v>188</v>
      </c>
      <c r="F24" t="s">
        <v>217</v>
      </c>
      <c r="G24">
        <v>2</v>
      </c>
      <c r="H24" t="s">
        <v>188</v>
      </c>
      <c r="I24" t="e">
        <f>VLOOKUP(テーブル46[[#This Row],[商品コード2]],'[2]出荷予定表＆ご注文用紙'!$F$12:$F$144,2,0)</f>
        <v>#N/A</v>
      </c>
    </row>
    <row r="25" spans="1:9" x14ac:dyDescent="0.15">
      <c r="A25">
        <v>2556</v>
      </c>
      <c r="B25" t="s">
        <v>296</v>
      </c>
      <c r="C25" t="s">
        <v>297</v>
      </c>
      <c r="D25" t="s">
        <v>299</v>
      </c>
      <c r="E25" t="s">
        <v>260</v>
      </c>
      <c r="F25" t="s">
        <v>261</v>
      </c>
      <c r="G25">
        <v>3</v>
      </c>
      <c r="H25" t="s">
        <v>260</v>
      </c>
      <c r="I25" t="e">
        <f>VLOOKUP(テーブル46[[#This Row],[商品コード2]],'[2]出荷予定表＆ご注文用紙'!$F$12:$F$144,2,0)</f>
        <v>#N/A</v>
      </c>
    </row>
    <row r="26" spans="1:9" x14ac:dyDescent="0.15">
      <c r="A26">
        <v>2556</v>
      </c>
      <c r="B26" t="s">
        <v>296</v>
      </c>
      <c r="C26" t="s">
        <v>297</v>
      </c>
      <c r="D26" t="s">
        <v>299</v>
      </c>
      <c r="E26" t="s">
        <v>181</v>
      </c>
      <c r="F26" t="s">
        <v>182</v>
      </c>
      <c r="G26">
        <v>3</v>
      </c>
      <c r="H26" t="s">
        <v>181</v>
      </c>
      <c r="I26" t="e">
        <f>VLOOKUP(テーブル46[[#This Row],[商品コード2]],'[2]出荷予定表＆ご注文用紙'!$F$12:$F$144,2,0)</f>
        <v>#N/A</v>
      </c>
    </row>
    <row r="27" spans="1:9" x14ac:dyDescent="0.15">
      <c r="A27">
        <v>2556</v>
      </c>
      <c r="B27" t="s">
        <v>296</v>
      </c>
      <c r="C27" t="s">
        <v>297</v>
      </c>
      <c r="D27" t="s">
        <v>299</v>
      </c>
      <c r="E27" t="s">
        <v>262</v>
      </c>
      <c r="F27" t="s">
        <v>263</v>
      </c>
      <c r="G27">
        <v>3</v>
      </c>
      <c r="H27" t="s">
        <v>262</v>
      </c>
      <c r="I27" t="e">
        <f>VLOOKUP(テーブル46[[#This Row],[商品コード2]],'[2]出荷予定表＆ご注文用紙'!$F$12:$F$144,2,0)</f>
        <v>#N/A</v>
      </c>
    </row>
    <row r="28" spans="1:9" x14ac:dyDescent="0.15">
      <c r="A28">
        <v>2556</v>
      </c>
      <c r="B28" t="s">
        <v>296</v>
      </c>
      <c r="C28" t="s">
        <v>297</v>
      </c>
      <c r="D28" t="s">
        <v>299</v>
      </c>
      <c r="E28" t="s">
        <v>240</v>
      </c>
      <c r="F28" t="s">
        <v>241</v>
      </c>
      <c r="G28">
        <v>5</v>
      </c>
      <c r="H28" t="s">
        <v>240</v>
      </c>
      <c r="I28" t="e">
        <f>VLOOKUP(テーブル46[[#This Row],[商品コード2]],'[2]出荷予定表＆ご注文用紙'!$F$12:$F$144,2,0)</f>
        <v>#N/A</v>
      </c>
    </row>
    <row r="29" spans="1:9" x14ac:dyDescent="0.15">
      <c r="A29">
        <v>2556</v>
      </c>
      <c r="B29" t="s">
        <v>296</v>
      </c>
      <c r="C29" t="s">
        <v>297</v>
      </c>
      <c r="D29" t="s">
        <v>299</v>
      </c>
      <c r="E29" t="s">
        <v>322</v>
      </c>
      <c r="F29" t="s">
        <v>323</v>
      </c>
      <c r="G29">
        <v>5</v>
      </c>
      <c r="H29" t="s">
        <v>322</v>
      </c>
      <c r="I29" t="e">
        <f>VLOOKUP(テーブル46[[#This Row],[商品コード2]],'[2]出荷予定表＆ご注文用紙'!$F$12:$F$144,2,0)</f>
        <v>#N/A</v>
      </c>
    </row>
    <row r="30" spans="1:9" x14ac:dyDescent="0.15">
      <c r="A30">
        <v>2556</v>
      </c>
      <c r="B30" t="s">
        <v>296</v>
      </c>
      <c r="C30" t="s">
        <v>297</v>
      </c>
      <c r="D30" t="s">
        <v>299</v>
      </c>
      <c r="E30" t="s">
        <v>228</v>
      </c>
      <c r="F30" t="s">
        <v>229</v>
      </c>
      <c r="G30">
        <v>5</v>
      </c>
      <c r="H30" t="s">
        <v>228</v>
      </c>
      <c r="I30" t="e">
        <f>VLOOKUP(テーブル46[[#This Row],[商品コード2]],'[2]出荷予定表＆ご注文用紙'!$F$12:$F$144,2,0)</f>
        <v>#N/A</v>
      </c>
    </row>
    <row r="31" spans="1:9" x14ac:dyDescent="0.15">
      <c r="A31">
        <v>2556</v>
      </c>
      <c r="B31" t="s">
        <v>296</v>
      </c>
      <c r="C31" t="s">
        <v>297</v>
      </c>
      <c r="D31" t="s">
        <v>299</v>
      </c>
      <c r="E31" t="s">
        <v>314</v>
      </c>
      <c r="F31" t="s">
        <v>315</v>
      </c>
      <c r="G31">
        <v>8</v>
      </c>
      <c r="H31" t="s">
        <v>314</v>
      </c>
      <c r="I31" t="e">
        <f>VLOOKUP(テーブル46[[#This Row],[商品コード2]],'[2]出荷予定表＆ご注文用紙'!$F$12:$F$144,2,0)</f>
        <v>#N/A</v>
      </c>
    </row>
    <row r="32" spans="1:9" x14ac:dyDescent="0.15">
      <c r="A32">
        <v>2556</v>
      </c>
      <c r="B32" t="s">
        <v>296</v>
      </c>
      <c r="C32" t="s">
        <v>297</v>
      </c>
      <c r="D32" t="s">
        <v>299</v>
      </c>
      <c r="E32" t="s">
        <v>218</v>
      </c>
      <c r="F32" t="s">
        <v>219</v>
      </c>
      <c r="G32">
        <v>3</v>
      </c>
      <c r="H32" t="s">
        <v>218</v>
      </c>
      <c r="I32" t="e">
        <f>VLOOKUP(テーブル46[[#This Row],[商品コード2]],'[2]出荷予定表＆ご注文用紙'!$F$12:$F$144,2,0)</f>
        <v>#N/A</v>
      </c>
    </row>
    <row r="33" spans="1:9" x14ac:dyDescent="0.15">
      <c r="A33">
        <v>2556</v>
      </c>
      <c r="B33" t="s">
        <v>296</v>
      </c>
      <c r="C33" t="s">
        <v>297</v>
      </c>
      <c r="D33" t="s">
        <v>299</v>
      </c>
      <c r="E33" t="s">
        <v>226</v>
      </c>
      <c r="F33" t="s">
        <v>227</v>
      </c>
      <c r="G33">
        <v>3</v>
      </c>
      <c r="H33" t="s">
        <v>226</v>
      </c>
      <c r="I33" t="e">
        <f>VLOOKUP(テーブル46[[#This Row],[商品コード2]],'[2]出荷予定表＆ご注文用紙'!$F$12:$F$144,2,0)</f>
        <v>#N/A</v>
      </c>
    </row>
    <row r="34" spans="1:9" x14ac:dyDescent="0.15">
      <c r="A34">
        <v>2556</v>
      </c>
      <c r="B34" t="s">
        <v>296</v>
      </c>
      <c r="C34" t="s">
        <v>297</v>
      </c>
      <c r="D34" t="s">
        <v>299</v>
      </c>
      <c r="E34" t="s">
        <v>283</v>
      </c>
      <c r="F34" t="s">
        <v>284</v>
      </c>
      <c r="G34">
        <v>3</v>
      </c>
      <c r="H34" t="s">
        <v>283</v>
      </c>
      <c r="I34" t="e">
        <f>VLOOKUP(テーブル46[[#This Row],[商品コード2]],'[2]出荷予定表＆ご注文用紙'!$F$12:$F$144,2,0)</f>
        <v>#N/A</v>
      </c>
    </row>
    <row r="35" spans="1:9" x14ac:dyDescent="0.15">
      <c r="A35">
        <v>2556</v>
      </c>
      <c r="B35" t="s">
        <v>296</v>
      </c>
      <c r="C35" t="s">
        <v>297</v>
      </c>
      <c r="D35" t="s">
        <v>299</v>
      </c>
      <c r="E35" t="s">
        <v>344</v>
      </c>
      <c r="F35" t="s">
        <v>345</v>
      </c>
      <c r="G35">
        <v>5</v>
      </c>
      <c r="H35" t="s">
        <v>344</v>
      </c>
      <c r="I35">
        <v>228</v>
      </c>
    </row>
    <row r="36" spans="1:9" x14ac:dyDescent="0.15">
      <c r="A36">
        <v>2556</v>
      </c>
      <c r="B36" t="s">
        <v>296</v>
      </c>
      <c r="C36" t="s">
        <v>297</v>
      </c>
      <c r="D36" t="s">
        <v>299</v>
      </c>
      <c r="E36" t="s">
        <v>328</v>
      </c>
      <c r="F36" t="s">
        <v>329</v>
      </c>
      <c r="G36">
        <v>5</v>
      </c>
      <c r="H36" t="s">
        <v>328</v>
      </c>
      <c r="I36" t="e">
        <f>VLOOKUP(テーブル46[[#This Row],[商品コード2]],'[2]出荷予定表＆ご注文用紙'!$F$12:$F$144,2,0)</f>
        <v>#N/A</v>
      </c>
    </row>
    <row r="37" spans="1:9" x14ac:dyDescent="0.15">
      <c r="A37">
        <v>2556</v>
      </c>
      <c r="B37" t="s">
        <v>296</v>
      </c>
      <c r="C37" t="s">
        <v>297</v>
      </c>
      <c r="D37" t="s">
        <v>299</v>
      </c>
      <c r="E37" t="s">
        <v>280</v>
      </c>
      <c r="F37" t="s">
        <v>281</v>
      </c>
      <c r="G37">
        <v>2</v>
      </c>
      <c r="H37" t="s">
        <v>280</v>
      </c>
      <c r="I37" t="e">
        <f>VLOOKUP(テーブル46[[#This Row],[商品コード2]],'[2]出荷予定表＆ご注文用紙'!$F$12:$F$144,2,0)</f>
        <v>#N/A</v>
      </c>
    </row>
    <row r="38" spans="1:9" x14ac:dyDescent="0.15">
      <c r="A38">
        <v>2556</v>
      </c>
      <c r="B38" t="s">
        <v>296</v>
      </c>
      <c r="C38" t="s">
        <v>297</v>
      </c>
      <c r="D38" t="s">
        <v>299</v>
      </c>
      <c r="E38" t="s">
        <v>89</v>
      </c>
      <c r="F38" t="s">
        <v>90</v>
      </c>
      <c r="G38">
        <v>3</v>
      </c>
      <c r="H38" t="s">
        <v>89</v>
      </c>
      <c r="I38" t="e">
        <f>VLOOKUP(テーブル46[[#This Row],[商品コード2]],'[2]出荷予定表＆ご注文用紙'!$F$12:$F$144,2,0)</f>
        <v>#N/A</v>
      </c>
    </row>
    <row r="39" spans="1:9" x14ac:dyDescent="0.15">
      <c r="A39">
        <v>2556</v>
      </c>
      <c r="B39" t="s">
        <v>296</v>
      </c>
      <c r="C39" t="s">
        <v>297</v>
      </c>
      <c r="D39" t="s">
        <v>299</v>
      </c>
      <c r="E39" t="s">
        <v>278</v>
      </c>
      <c r="F39" t="s">
        <v>279</v>
      </c>
      <c r="G39">
        <v>5</v>
      </c>
      <c r="H39" t="s">
        <v>278</v>
      </c>
      <c r="I39" t="e">
        <f>VLOOKUP(テーブル46[[#This Row],[商品コード2]],'[2]出荷予定表＆ご注文用紙'!$F$12:$F$144,2,0)</f>
        <v>#N/A</v>
      </c>
    </row>
    <row r="40" spans="1:9" x14ac:dyDescent="0.15">
      <c r="A40">
        <v>2556</v>
      </c>
      <c r="B40" t="s">
        <v>296</v>
      </c>
      <c r="C40" t="s">
        <v>297</v>
      </c>
      <c r="D40" t="s">
        <v>299</v>
      </c>
      <c r="E40" t="s">
        <v>81</v>
      </c>
      <c r="F40" t="s">
        <v>82</v>
      </c>
      <c r="G40">
        <v>2</v>
      </c>
      <c r="H40" t="s">
        <v>81</v>
      </c>
      <c r="I40" t="e">
        <f>VLOOKUP(テーブル46[[#This Row],[商品コード2]],'[2]出荷予定表＆ご注文用紙'!$F$12:$F$144,2,0)</f>
        <v>#N/A</v>
      </c>
    </row>
    <row r="41" spans="1:9" x14ac:dyDescent="0.15">
      <c r="A41">
        <v>2556</v>
      </c>
      <c r="B41" t="s">
        <v>296</v>
      </c>
      <c r="C41" t="s">
        <v>297</v>
      </c>
      <c r="D41" t="s">
        <v>299</v>
      </c>
      <c r="E41" t="s">
        <v>242</v>
      </c>
      <c r="F41" t="s">
        <v>243</v>
      </c>
      <c r="G41">
        <v>3</v>
      </c>
      <c r="H41" t="s">
        <v>242</v>
      </c>
      <c r="I41" t="e">
        <f>VLOOKUP(テーブル46[[#This Row],[商品コード2]],'[2]出荷予定表＆ご注文用紙'!$F$12:$F$144,2,0)</f>
        <v>#N/A</v>
      </c>
    </row>
    <row r="42" spans="1:9" x14ac:dyDescent="0.15">
      <c r="A42">
        <v>2556</v>
      </c>
      <c r="B42" t="s">
        <v>296</v>
      </c>
      <c r="C42" t="s">
        <v>297</v>
      </c>
      <c r="D42" t="s">
        <v>299</v>
      </c>
      <c r="E42" t="s">
        <v>133</v>
      </c>
      <c r="F42" t="s">
        <v>134</v>
      </c>
      <c r="G42">
        <v>5</v>
      </c>
      <c r="H42" t="s">
        <v>133</v>
      </c>
      <c r="I42" t="e">
        <f>VLOOKUP(テーブル46[[#This Row],[商品コード2]],'[2]出荷予定表＆ご注文用紙'!$F$12:$F$144,2,0)</f>
        <v>#N/A</v>
      </c>
    </row>
    <row r="43" spans="1:9" x14ac:dyDescent="0.15">
      <c r="A43">
        <v>2556</v>
      </c>
      <c r="B43" t="s">
        <v>296</v>
      </c>
      <c r="C43" t="s">
        <v>297</v>
      </c>
      <c r="D43" t="s">
        <v>299</v>
      </c>
      <c r="E43" t="s">
        <v>160</v>
      </c>
      <c r="F43" t="s">
        <v>161</v>
      </c>
      <c r="G43">
        <v>5</v>
      </c>
      <c r="H43" t="s">
        <v>160</v>
      </c>
      <c r="I43" t="e">
        <f>VLOOKUP(テーブル46[[#This Row],[商品コード2]],'[2]出荷予定表＆ご注文用紙'!$F$12:$F$144,2,0)</f>
        <v>#N/A</v>
      </c>
    </row>
    <row r="44" spans="1:9" x14ac:dyDescent="0.15">
      <c r="A44">
        <v>2556</v>
      </c>
      <c r="B44" t="s">
        <v>296</v>
      </c>
      <c r="C44" t="s">
        <v>297</v>
      </c>
      <c r="D44" t="s">
        <v>299</v>
      </c>
      <c r="E44" t="s">
        <v>28</v>
      </c>
      <c r="F44" t="s">
        <v>75</v>
      </c>
      <c r="G44">
        <v>5</v>
      </c>
      <c r="H44" t="s">
        <v>28</v>
      </c>
      <c r="I44">
        <v>128</v>
      </c>
    </row>
    <row r="45" spans="1:9" x14ac:dyDescent="0.15">
      <c r="A45" s="14">
        <v>2556</v>
      </c>
      <c r="B45" s="5" t="s">
        <v>296</v>
      </c>
      <c r="C45" s="35" t="s">
        <v>297</v>
      </c>
      <c r="D45" t="s">
        <v>299</v>
      </c>
      <c r="E45" t="s">
        <v>314</v>
      </c>
      <c r="F45" t="s">
        <v>315</v>
      </c>
      <c r="G45">
        <v>8</v>
      </c>
      <c r="H45" t="s">
        <v>314</v>
      </c>
      <c r="I45">
        <v>248</v>
      </c>
    </row>
    <row r="46" spans="1:9" x14ac:dyDescent="0.15">
      <c r="A46" s="14">
        <v>2556</v>
      </c>
      <c r="B46" s="5" t="s">
        <v>296</v>
      </c>
      <c r="C46" s="35" t="s">
        <v>297</v>
      </c>
      <c r="D46" t="s">
        <v>299</v>
      </c>
      <c r="E46" t="s">
        <v>152</v>
      </c>
      <c r="F46" t="s">
        <v>153</v>
      </c>
      <c r="G46">
        <v>10</v>
      </c>
      <c r="H46" t="s">
        <v>152</v>
      </c>
      <c r="I46">
        <v>428</v>
      </c>
    </row>
    <row r="47" spans="1:9" x14ac:dyDescent="0.15">
      <c r="A47" s="14"/>
      <c r="B47" s="5"/>
      <c r="C47" s="35"/>
    </row>
    <row r="48" spans="1:9" x14ac:dyDescent="0.15">
      <c r="A48" s="14"/>
      <c r="B48" s="5"/>
      <c r="C48" s="35"/>
    </row>
    <row r="49" spans="1:3" x14ac:dyDescent="0.15">
      <c r="A49" s="14"/>
      <c r="B49" s="5"/>
      <c r="C49" s="35"/>
    </row>
    <row r="50" spans="1:3" x14ac:dyDescent="0.15">
      <c r="A50" s="14"/>
      <c r="B50" s="5"/>
      <c r="C50" s="35"/>
    </row>
    <row r="51" spans="1:3" x14ac:dyDescent="0.15">
      <c r="A51" s="14"/>
      <c r="B51" s="5"/>
      <c r="C51" s="35"/>
    </row>
    <row r="52" spans="1:3" x14ac:dyDescent="0.15">
      <c r="A52" s="14"/>
      <c r="B52" s="5"/>
      <c r="C52" s="35"/>
    </row>
    <row r="53" spans="1:3" x14ac:dyDescent="0.15">
      <c r="A53" s="14"/>
      <c r="B53" s="5"/>
      <c r="C53" s="35"/>
    </row>
    <row r="54" spans="1:3" x14ac:dyDescent="0.15">
      <c r="A54" s="14"/>
      <c r="B54" s="5"/>
      <c r="C54" s="35"/>
    </row>
    <row r="55" spans="1:3" x14ac:dyDescent="0.15">
      <c r="A55" s="14"/>
      <c r="B55" s="5"/>
      <c r="C55" s="35"/>
    </row>
    <row r="56" spans="1:3" x14ac:dyDescent="0.15">
      <c r="A56" s="14"/>
      <c r="B56" s="5"/>
      <c r="C56" s="35"/>
    </row>
    <row r="57" spans="1:3" x14ac:dyDescent="0.15">
      <c r="A57" s="14"/>
      <c r="B57" s="5"/>
      <c r="C57" s="35"/>
    </row>
    <row r="58" spans="1:3" x14ac:dyDescent="0.15">
      <c r="A58" s="14"/>
      <c r="B58" s="5"/>
      <c r="C58" s="35"/>
    </row>
    <row r="59" spans="1:3" x14ac:dyDescent="0.15">
      <c r="A59" s="14"/>
      <c r="B59" s="5"/>
      <c r="C59" s="35"/>
    </row>
    <row r="60" spans="1:3" x14ac:dyDescent="0.15">
      <c r="A60" s="14"/>
      <c r="B60" s="5"/>
      <c r="C60" s="35"/>
    </row>
    <row r="61" spans="1:3" x14ac:dyDescent="0.15">
      <c r="A61" s="14"/>
      <c r="B61" s="5"/>
      <c r="C61" s="35"/>
    </row>
    <row r="62" spans="1:3" x14ac:dyDescent="0.15">
      <c r="A62" s="14"/>
      <c r="B62" s="5"/>
      <c r="C62" s="35"/>
    </row>
    <row r="63" spans="1:3" x14ac:dyDescent="0.15">
      <c r="A63" s="14"/>
      <c r="B63" s="5"/>
      <c r="C63" s="35"/>
    </row>
    <row r="64" spans="1:3" x14ac:dyDescent="0.15">
      <c r="A64" s="14"/>
      <c r="B64" s="5"/>
      <c r="C64" s="35"/>
    </row>
    <row r="65" spans="1:3" x14ac:dyDescent="0.15">
      <c r="A65" s="14"/>
      <c r="B65" s="5"/>
      <c r="C65" s="35"/>
    </row>
    <row r="66" spans="1:3" x14ac:dyDescent="0.15">
      <c r="A66" s="14"/>
      <c r="B66" s="5"/>
      <c r="C66" s="35"/>
    </row>
  </sheetData>
  <sortState xmlns:xlrd2="http://schemas.microsoft.com/office/spreadsheetml/2017/richdata2" ref="A1:C66">
    <sortCondition ref="C1:C66"/>
  </sortState>
  <phoneticPr fontId="2"/>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13</vt:i4>
      </vt:variant>
    </vt:vector>
  </HeadingPairs>
  <TitlesOfParts>
    <vt:vector size="25" baseType="lpstr">
      <vt:lpstr>在庫集計表</vt:lpstr>
      <vt:lpstr>詳細1</vt:lpstr>
      <vt:lpstr>詳細2</vt:lpstr>
      <vt:lpstr>受注集計表（消さない！！）</vt:lpstr>
      <vt:lpstr>納品数</vt:lpstr>
      <vt:lpstr>在庫表（箱）</vt:lpstr>
      <vt:lpstr>在庫表（こもの） </vt:lpstr>
      <vt:lpstr>ラミ（こだ）</vt:lpstr>
      <vt:lpstr>ラミヤマトその他</vt:lpstr>
      <vt:lpstr>貼り付け用</vt:lpstr>
      <vt:lpstr>DB接続設定</vt:lpstr>
      <vt:lpstr>Sheet1</vt:lpstr>
      <vt:lpstr>Sheet1!Print_Area</vt:lpstr>
      <vt:lpstr>'ラミ（こだ）'!Print_Area</vt:lpstr>
      <vt:lpstr>ラミヤマトその他!Print_Area</vt:lpstr>
      <vt:lpstr>'在庫表（こもの） '!Print_Area</vt:lpstr>
      <vt:lpstr>'在庫表（箱）'!Print_Area</vt:lpstr>
      <vt:lpstr>'受注集計表（消さない！！）'!Print_Area</vt:lpstr>
      <vt:lpstr>詳細1!Print_Area</vt:lpstr>
      <vt:lpstr>詳細2!Print_Area</vt:lpstr>
      <vt:lpstr>在庫集計表!Print_Titles</vt:lpstr>
      <vt:lpstr>'在庫表（こもの） '!Print_Titles</vt:lpstr>
      <vt:lpstr>'在庫表（箱）'!Print_Titles</vt:lpstr>
      <vt:lpstr>'受注集計表（消さない！！）'!Print_Titles</vt:lpstr>
      <vt:lpstr>納品数!Print_Titles</vt:lpstr>
    </vt:vector>
  </TitlesOfParts>
  <Company>Future System Consulting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hozumi</dc:creator>
  <cp:lastModifiedBy>HR TOGA</cp:lastModifiedBy>
  <cp:lastPrinted>2025-06-08T05:13:52Z</cp:lastPrinted>
  <dcterms:created xsi:type="dcterms:W3CDTF">2003-03-08T14:43:25Z</dcterms:created>
  <dcterms:modified xsi:type="dcterms:W3CDTF">2025-06-29T15:20:23Z</dcterms:modified>
</cp:coreProperties>
</file>