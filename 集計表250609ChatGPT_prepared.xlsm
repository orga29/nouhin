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5.xml" ContentType="application/vnd.openxmlformats-officedocument.spreadsheetml.worksheet+xml"/>
  <Override PartName="/xl/comments/comment1.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ables/table3.xml" ContentType="application/vnd.openxmlformats-officedocument.spreadsheetml.table+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38640" windowHeight="21120" tabRatio="834" firstSheet="0" activeTab="0" autoFilterDateGrouping="1"/>
  </bookViews>
  <sheets>
    <sheet name="在庫集計表" sheetId="1" state="visible" r:id="rId1"/>
    <sheet name="詳細1" sheetId="2" state="visible" r:id="rId2"/>
    <sheet name="詳細2" sheetId="3" state="visible" r:id="rId3"/>
    <sheet name="受注集計表（消さない！！）" sheetId="4" state="visible" r:id="rId4"/>
    <sheet name="納品数" sheetId="5" state="visible" r:id="rId5"/>
    <sheet name="在庫表（箱）" sheetId="6" state="visible" r:id="rId6"/>
    <sheet name="在庫表（こもの） " sheetId="7" state="visible" r:id="rId7"/>
    <sheet name="ラミ（こだ）" sheetId="8" state="visible" r:id="rId8"/>
    <sheet name="ラミヤマトその他" sheetId="9" state="visible" r:id="rId9"/>
    <sheet name="貼り付け用" sheetId="10" state="visible" r:id="rId10"/>
    <sheet name="DB接続設定" sheetId="11" state="visible" r:id="rId11"/>
    <sheet name="Sheet1" sheetId="12" state="visible" r:id="rId12"/>
  </sheets>
  <externalReferences>
    <externalReference r:id="rId14"/>
    <externalReference r:id="rId15"/>
  </externalReferences>
  <definedNames>
    <definedName name="RANGE_HISTORY">[1]SESINFO!#REF!</definedName>
    <definedName name="_xlnm.Print_Titles" localSheetId="0">'在庫集計表'!$2:$4</definedName>
    <definedName name="_xlnm.Print_Area" localSheetId="1">'詳細1'!$F$3:$H$21</definedName>
    <definedName name="_xlnm.Print_Area" localSheetId="2">'詳細2'!$D$2:$J$49</definedName>
    <definedName name="_xlnm.Print_Titles" localSheetId="3">'受注集計表（消さない！！）'!$2:$4</definedName>
    <definedName name="_xlnm.Print_Area" localSheetId="3">'受注集計表（消さない！！）'!$A$1:$D$4</definedName>
    <definedName name="RANGE_HISTORY" localSheetId="4">[1]SESINFO!#REF!</definedName>
    <definedName name="_xlnm.Print_Titles" localSheetId="4">'納品数'!$2:$4</definedName>
    <definedName name="_xlnm.Print_Area" localSheetId="4">'納品数'!$A$1:$M$157</definedName>
    <definedName name="_xlnm.Print_Titles" localSheetId="5">'在庫表（箱）'!$1:$2</definedName>
    <definedName name="_xlnm.Print_Area" localSheetId="5">'在庫表（箱）'!$A$3:$D$85</definedName>
    <definedName name="_xlnm.Print_Titles" localSheetId="6">'在庫表（こもの） '!$1:$2</definedName>
    <definedName name="_xlnm.Print_Area" localSheetId="6">'在庫表（こもの） '!$A$1:$D$140</definedName>
    <definedName name="_xlnm.Print_Area" localSheetId="7">'ラミ（こだ）'!$B$1:$AW$25</definedName>
    <definedName name="RANGE_HISTORY" localSheetId="8">[1]SESINFO!#REF!</definedName>
    <definedName name="_xlnm.Print_Area" localSheetId="8">'ラミヤマトその他'!$B$1:$AF$44</definedName>
    <definedName name="RANGE_HISTORY" localSheetId="9">[1]SESINFO!#REF!</definedName>
    <definedName name="_xlnm.Print_Area" localSheetId="11">'Sheet1'!$A$1:$B$9</definedName>
  </definedNames>
  <calcPr calcId="191029" fullCalcOnLoad="1"/>
  <pivotCaches>
    <pivotCache cacheId="4" r:id="rId13"/>
  </pivotCaches>
</workbook>
</file>

<file path=xl/styles.xml><?xml version="1.0" encoding="utf-8"?>
<styleSheet xmlns="http://schemas.openxmlformats.org/spreadsheetml/2006/main">
  <numFmts count="4">
    <numFmt numFmtId="164" formatCode="m/d;@"/>
    <numFmt numFmtId="165" formatCode="0;[Red]\-0"/>
    <numFmt numFmtId="166" formatCode="0_ ;[Red]\-0\ "/>
    <numFmt numFmtId="167" formatCode="m/d\(aaa\)"/>
  </numFmts>
  <fonts count="31">
    <font>
      <name val="ＭＳ Ｐゴシック"/>
      <charset val="128"/>
      <family val="3"/>
      <sz val="11"/>
    </font>
    <font>
      <name val="ＭＳ Ｐゴシック"/>
      <charset val="128"/>
      <family val="3"/>
      <sz val="11"/>
    </font>
    <font>
      <name val="ＭＳ Ｐゴシック"/>
      <charset val="128"/>
      <family val="3"/>
      <sz val="6"/>
    </font>
    <font>
      <name val="ＭＳ Ｐゴシック"/>
      <charset val="128"/>
      <family val="3"/>
      <color indexed="8"/>
      <sz val="9"/>
    </font>
    <font>
      <name val="ＭＳ Ｐゴシック"/>
      <charset val="128"/>
      <family val="3"/>
      <color indexed="8"/>
      <sz val="11"/>
    </font>
    <font>
      <name val="ＭＳ ゴシック"/>
      <charset val="128"/>
      <family val="3"/>
      <color indexed="8"/>
      <sz val="9"/>
    </font>
    <font>
      <name val="ＭＳ Ｐゴシック"/>
      <charset val="128"/>
      <family val="3"/>
      <sz val="12"/>
    </font>
    <font>
      <name val="ＭＳ Ｐゴシック"/>
      <charset val="128"/>
      <family val="3"/>
      <sz val="26"/>
    </font>
    <font>
      <name val="ＭＳ Ｐゴシック"/>
      <charset val="128"/>
      <family val="3"/>
      <color indexed="10"/>
      <sz val="11"/>
    </font>
    <font>
      <name val="ＭＳ Ｐゴシック"/>
      <charset val="128"/>
      <family val="3"/>
      <sz val="20"/>
    </font>
    <font>
      <name val="ＭＳ Ｐゴシック"/>
      <charset val="128"/>
      <family val="3"/>
      <b val="1"/>
      <color rgb="FF000000"/>
      <sz val="9"/>
    </font>
    <font>
      <name val="ＭＳ Ｐゴシック"/>
      <charset val="128"/>
      <family val="3"/>
      <b val="1"/>
      <color rgb="FFFF0000"/>
      <sz val="9"/>
    </font>
    <font>
      <name val="ＭＳ Ｐゴシック"/>
      <charset val="128"/>
      <family val="3"/>
      <color rgb="FF000000"/>
      <sz val="11"/>
    </font>
    <font>
      <name val="ＭＳ Ｐゴシック"/>
      <charset val="128"/>
      <family val="3"/>
      <color theme="1"/>
      <sz val="6"/>
    </font>
    <font>
      <name val="ＭＳ Ｐゴシック"/>
      <charset val="128"/>
      <family val="3"/>
      <color theme="1"/>
      <sz val="11"/>
    </font>
    <font>
      <name val="ＭＳ Ｐゴシック"/>
      <charset val="128"/>
      <family val="3"/>
      <color indexed="10"/>
      <sz val="26"/>
    </font>
    <font>
      <name val="ＭＳ Ｐゴシック"/>
      <charset val="128"/>
      <family val="3"/>
      <color indexed="10"/>
      <sz val="20"/>
    </font>
    <font>
      <name val="ＭＳ Ｐゴシック"/>
      <charset val="128"/>
      <family val="3"/>
      <sz val="22"/>
    </font>
    <font>
      <name val="ＭＳ Ｐゴシック"/>
      <charset val="128"/>
      <family val="3"/>
      <color theme="0"/>
      <sz val="6"/>
    </font>
    <font>
      <name val="ＭＳ Ｐゴシック"/>
      <charset val="128"/>
      <family val="3"/>
      <color indexed="10"/>
      <sz val="6"/>
    </font>
    <font>
      <name val="ＭＳ Ｐゴシック"/>
      <charset val="128"/>
      <family val="3"/>
      <sz val="14"/>
    </font>
    <font>
      <name val="ＭＳ Ｐゴシック"/>
      <charset val="128"/>
      <family val="3"/>
      <sz val="9"/>
    </font>
    <font>
      <name val="ＭＳ Ｐゴシック"/>
      <charset val="128"/>
      <family val="3"/>
      <color rgb="FFFF0000"/>
      <sz val="11"/>
    </font>
    <font>
      <name val="ＭＳ Ｐゴシック"/>
      <charset val="128"/>
      <family val="3"/>
      <sz val="36"/>
    </font>
    <font>
      <name val="ＭＳ Ｐゴシック"/>
      <charset val="128"/>
      <family val="3"/>
      <color indexed="10"/>
      <sz val="36"/>
    </font>
    <font>
      <name val="ＭＳ Ｐゴシック"/>
      <charset val="128"/>
      <family val="3"/>
      <b val="1"/>
      <color indexed="81"/>
      <sz val="9"/>
    </font>
    <font>
      <name val="ＭＳ Ｐゴシック"/>
      <charset val="128"/>
      <family val="3"/>
      <b val="1"/>
      <color rgb="FFFF0000"/>
      <sz val="11"/>
    </font>
    <font>
      <name val="ＭＳ Ｐゴシック"/>
      <charset val="128"/>
      <family val="3"/>
      <b val="1"/>
      <color rgb="FFFF0000"/>
      <sz val="11"/>
      <scheme val="minor"/>
    </font>
    <font>
      <name val="ＭＳ Ｐ明朝"/>
      <charset val="128"/>
      <family val="1"/>
      <b val="1"/>
      <color rgb="FFFF0000"/>
      <sz val="11"/>
    </font>
    <font>
      <name val="ＭＳ Ｐゴシック"/>
      <charset val="128"/>
      <family val="3"/>
      <b val="1"/>
      <sz val="11"/>
    </font>
    <font/>
  </fonts>
  <fills count="21">
    <fill>
      <patternFill/>
    </fill>
    <fill>
      <patternFill patternType="gray125"/>
    </fill>
    <fill>
      <patternFill patternType="solid">
        <fgColor indexed="23"/>
        <bgColor indexed="64"/>
      </patternFill>
    </fill>
    <fill>
      <patternFill patternType="solid">
        <fgColor indexed="22"/>
        <bgColor indexed="64"/>
      </patternFill>
    </fill>
    <fill>
      <patternFill patternType="solid">
        <fgColor indexed="46"/>
        <bgColor indexed="64"/>
      </patternFill>
    </fill>
    <fill>
      <patternFill patternType="solid">
        <fgColor indexed="10"/>
        <bgColor indexed="64"/>
      </patternFill>
    </fill>
    <fill>
      <patternFill patternType="solid">
        <fgColor indexed="8"/>
        <bgColor indexed="64"/>
      </patternFill>
    </fill>
    <fill>
      <patternFill patternType="solid">
        <fgColor indexed="15"/>
        <bgColor indexed="64"/>
      </patternFill>
    </fill>
    <fill>
      <patternFill patternType="solid">
        <fgColor indexed="45"/>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41"/>
        <bgColor indexed="64"/>
      </patternFill>
    </fill>
    <fill>
      <patternFill patternType="solid">
        <fgColor theme="1"/>
        <bgColor indexed="64"/>
      </patternFill>
    </fill>
    <fill>
      <patternFill patternType="solid">
        <fgColor theme="0" tint="-0.1499984740745262"/>
        <bgColor indexed="64"/>
      </patternFill>
    </fill>
    <fill>
      <patternFill patternType="solid">
        <fgColor theme="1" tint="0.249977111117893"/>
        <bgColor indexed="64"/>
      </patternFill>
    </fill>
    <fill>
      <patternFill patternType="solid">
        <fgColor rgb="FFFFCCFF"/>
        <bgColor indexed="64"/>
      </patternFill>
    </fill>
    <fill>
      <patternFill patternType="solid">
        <fgColor rgb="FFCCFFCC"/>
        <bgColor indexed="64"/>
      </patternFill>
    </fill>
    <fill>
      <patternFill patternType="solid">
        <fgColor rgb="FFFFFFCC"/>
        <bgColor indexed="64"/>
      </patternFill>
    </fill>
    <fill>
      <patternFill patternType="solid">
        <fgColor rgb="FFFF0000"/>
        <bgColor indexed="64"/>
      </patternFill>
    </fill>
    <fill>
      <patternFill patternType="solid">
        <fgColor rgb="FFFFFF0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5"/>
      </left>
      <right/>
      <top style="thin">
        <color indexed="65"/>
      </top>
      <bottom/>
      <diagonal/>
    </border>
    <border>
      <left style="double">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double">
        <color indexed="64"/>
      </left>
      <right style="thin">
        <color indexed="64"/>
      </right>
      <top style="thin">
        <color indexed="64"/>
      </top>
      <bottom style="medium">
        <color indexed="64"/>
      </bottom>
      <diagonal/>
    </border>
    <border>
      <left style="double">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rgb="FFABABAB"/>
      </left>
      <right style="thin">
        <color rgb="FFABABAB"/>
      </right>
      <top style="thin">
        <color indexed="65"/>
      </top>
      <bottom/>
      <diagonal/>
    </border>
    <border>
      <left style="thin">
        <color indexed="65"/>
      </left>
      <right/>
      <top style="thin">
        <color rgb="FFABABAB"/>
      </top>
      <bottom style="thin">
        <color rgb="FFABABAB"/>
      </bottom>
      <diagonal/>
    </border>
    <border>
      <left style="thin">
        <color indexed="64"/>
      </left>
      <right style="thin">
        <color indexed="64"/>
      </right>
      <top style="thin">
        <color indexed="64"/>
      </top>
      <bottom/>
      <diagonal/>
    </border>
    <border/>
  </borders>
  <cellStyleXfs count="4">
    <xf numFmtId="0" fontId="1" fillId="0" borderId="0"/>
    <xf numFmtId="0" fontId="4" fillId="0" borderId="0"/>
    <xf numFmtId="0" fontId="1" fillId="0" borderId="0" applyAlignment="1">
      <alignment vertical="center"/>
    </xf>
    <xf numFmtId="38" fontId="1" fillId="0" borderId="0" applyAlignment="1">
      <alignment vertical="center"/>
    </xf>
  </cellStyleXfs>
  <cellXfs count="223">
    <xf numFmtId="0" fontId="0" fillId="0" borderId="0" pivotButton="0" quotePrefix="0" xfId="0"/>
    <xf numFmtId="0" fontId="3" fillId="0" borderId="0" pivotButton="0" quotePrefix="0" xfId="1"/>
    <xf numFmtId="0" fontId="5" fillId="0" borderId="1" applyAlignment="1" pivotButton="0" quotePrefix="0" xfId="1">
      <alignment vertical="top"/>
    </xf>
    <xf numFmtId="0" fontId="5" fillId="0" borderId="1" applyAlignment="1" pivotButton="0" quotePrefix="0" xfId="1">
      <alignment vertical="top" wrapText="1"/>
    </xf>
    <xf numFmtId="0" fontId="5" fillId="0" borderId="0" applyAlignment="1" pivotButton="0" quotePrefix="0" xfId="1">
      <alignment vertical="top"/>
    </xf>
    <xf numFmtId="0" fontId="0" fillId="0" borderId="1" applyAlignment="1" pivotButton="0" quotePrefix="0" xfId="0">
      <alignment shrinkToFit="1"/>
    </xf>
    <xf numFmtId="0" fontId="0" fillId="2" borderId="0" applyAlignment="1" pivotButton="0" quotePrefix="0" xfId="0">
      <alignment shrinkToFit="1"/>
    </xf>
    <xf numFmtId="0" fontId="4" fillId="2" borderId="0" applyAlignment="1" pivotButton="0" quotePrefix="0" xfId="0">
      <alignment shrinkToFit="1"/>
    </xf>
    <xf numFmtId="14" fontId="0" fillId="0" borderId="0" applyAlignment="1" pivotButton="0" quotePrefix="0" xfId="0">
      <alignment shrinkToFit="1"/>
    </xf>
    <xf numFmtId="0" fontId="5" fillId="3" borderId="0" applyAlignment="1" pivotButton="0" quotePrefix="0" xfId="1">
      <alignment vertical="top"/>
    </xf>
    <xf numFmtId="0" fontId="5" fillId="3" borderId="0" applyAlignment="1" pivotButton="0" quotePrefix="0" xfId="1">
      <alignment horizontal="right" vertical="top"/>
    </xf>
    <xf numFmtId="0" fontId="5" fillId="3" borderId="1" applyAlignment="1" pivotButton="0" quotePrefix="0" xfId="1">
      <alignment horizontal="center" vertical="top"/>
    </xf>
    <xf numFmtId="0" fontId="3" fillId="3" borderId="0" pivotButton="0" quotePrefix="0" xfId="1"/>
    <xf numFmtId="0" fontId="5" fillId="0" borderId="1" applyAlignment="1" applyProtection="1" pivotButton="0" quotePrefix="0" xfId="1">
      <alignment horizontal="left" vertical="top"/>
      <protection locked="0" hidden="0"/>
    </xf>
    <xf numFmtId="49" fontId="0" fillId="0" borderId="1" applyAlignment="1" pivotButton="0" quotePrefix="0" xfId="0">
      <alignment horizontal="right"/>
    </xf>
    <xf numFmtId="0" fontId="0" fillId="5" borderId="1" applyAlignment="1" pivotButton="0" quotePrefix="0" xfId="0">
      <alignment shrinkToFit="1"/>
    </xf>
    <xf numFmtId="0" fontId="7" fillId="0" borderId="2" applyAlignment="1" pivotButton="0" quotePrefix="0" xfId="0">
      <alignment vertical="center" shrinkToFit="1"/>
    </xf>
    <xf numFmtId="0" fontId="7" fillId="0" borderId="0" applyAlignment="1" pivotButton="0" quotePrefix="0" xfId="0">
      <alignment shrinkToFit="1"/>
    </xf>
    <xf numFmtId="0" fontId="7" fillId="0" borderId="3" applyAlignment="1" pivotButton="0" quotePrefix="0" xfId="0">
      <alignment vertical="center" shrinkToFit="1"/>
    </xf>
    <xf numFmtId="41" fontId="8" fillId="0" borderId="0" applyAlignment="1" pivotButton="0" quotePrefix="0" xfId="0">
      <alignment shrinkToFit="1"/>
    </xf>
    <xf numFmtId="41" fontId="1" fillId="0" borderId="0" applyAlignment="1" pivotButton="0" quotePrefix="0" xfId="0">
      <alignment shrinkToFit="1"/>
    </xf>
    <xf numFmtId="0" fontId="0" fillId="2" borderId="0" applyAlignment="1" pivotButton="0" quotePrefix="0" xfId="0">
      <alignment horizontal="center" shrinkToFit="1"/>
    </xf>
    <xf numFmtId="0" fontId="0" fillId="0" borderId="0" applyAlignment="1" pivotButton="0" quotePrefix="0" xfId="0">
      <alignment horizontal="center" shrinkToFit="1"/>
    </xf>
    <xf numFmtId="0" fontId="5" fillId="0" borderId="0" applyAlignment="1" pivotButton="0" quotePrefix="0" xfId="1">
      <alignment vertical="top" wrapText="1"/>
    </xf>
    <xf numFmtId="0" fontId="0" fillId="7" borderId="1" applyAlignment="1" pivotButton="0" quotePrefix="0" xfId="0">
      <alignment shrinkToFit="1"/>
    </xf>
    <xf numFmtId="0" fontId="0" fillId="4" borderId="1" applyAlignment="1" pivotButton="0" quotePrefix="0" xfId="0">
      <alignment shrinkToFit="1"/>
    </xf>
    <xf numFmtId="0" fontId="0" fillId="8" borderId="1" applyAlignment="1" pivotButton="0" quotePrefix="0" xfId="0">
      <alignment shrinkToFit="1"/>
    </xf>
    <xf numFmtId="164" fontId="0" fillId="8" borderId="1" applyAlignment="1" pivotButton="0" quotePrefix="0" xfId="0">
      <alignment shrinkToFit="1"/>
    </xf>
    <xf numFmtId="0" fontId="0" fillId="9" borderId="1" applyAlignment="1" pivotButton="0" quotePrefix="0" xfId="0">
      <alignment shrinkToFit="1"/>
    </xf>
    <xf numFmtId="164" fontId="0" fillId="9" borderId="1" applyAlignment="1" pivotButton="0" quotePrefix="0" xfId="0">
      <alignment shrinkToFit="1"/>
    </xf>
    <xf numFmtId="0" fontId="0" fillId="10" borderId="1" applyAlignment="1" pivotButton="0" quotePrefix="0" xfId="0">
      <alignment shrinkToFit="1"/>
    </xf>
    <xf numFmtId="164" fontId="0" fillId="10" borderId="1" applyAlignment="1" pivotButton="0" quotePrefix="0" xfId="0">
      <alignment shrinkToFit="1"/>
    </xf>
    <xf numFmtId="164" fontId="0" fillId="5" borderId="1" applyAlignment="1" pivotButton="0" quotePrefix="0" xfId="0">
      <alignment shrinkToFit="1"/>
    </xf>
    <xf numFmtId="0" fontId="0" fillId="11" borderId="1" applyAlignment="1" pivotButton="0" quotePrefix="0" xfId="0">
      <alignment shrinkToFit="1"/>
    </xf>
    <xf numFmtId="164" fontId="0" fillId="11" borderId="1" applyAlignment="1" pivotButton="0" quotePrefix="0" xfId="0">
      <alignment shrinkToFit="1"/>
    </xf>
    <xf numFmtId="0" fontId="0" fillId="0" borderId="1" applyAlignment="1" pivotButton="0" quotePrefix="0" xfId="0">
      <alignment horizontal="center" shrinkToFit="1"/>
    </xf>
    <xf numFmtId="0" fontId="0" fillId="12" borderId="1" applyAlignment="1" applyProtection="1" pivotButton="0" quotePrefix="0" xfId="0">
      <alignment shrinkToFit="1"/>
      <protection locked="0" hidden="0"/>
    </xf>
    <xf numFmtId="165" fontId="0" fillId="0" borderId="1" applyAlignment="1" pivotButton="0" quotePrefix="0" xfId="0">
      <alignment shrinkToFit="1"/>
    </xf>
    <xf numFmtId="165" fontId="0" fillId="12" borderId="1" applyAlignment="1" applyProtection="1" pivotButton="0" quotePrefix="0" xfId="0">
      <alignment shrinkToFit="1"/>
      <protection locked="0" hidden="0"/>
    </xf>
    <xf numFmtId="0" fontId="9" fillId="2" borderId="0" applyAlignment="1" pivotButton="0" quotePrefix="0" xfId="0">
      <alignment horizontal="center" shrinkToFit="1"/>
    </xf>
    <xf numFmtId="0" fontId="9" fillId="0" borderId="0" applyAlignment="1" pivotButton="0" quotePrefix="0" xfId="0">
      <alignment horizontal="center" shrinkToFit="1"/>
    </xf>
    <xf numFmtId="0" fontId="0" fillId="2" borderId="0" applyAlignment="1" pivotButton="0" quotePrefix="0" xfId="0">
      <alignment horizontal="left" shrinkToFit="1"/>
    </xf>
    <xf numFmtId="0" fontId="4" fillId="2" borderId="0" applyAlignment="1" pivotButton="0" quotePrefix="0" xfId="0">
      <alignment horizontal="left" shrinkToFit="1"/>
    </xf>
    <xf numFmtId="0" fontId="0" fillId="0" borderId="0" applyAlignment="1" pivotButton="0" quotePrefix="0" xfId="0">
      <alignment horizontal="left" shrinkToFit="1"/>
    </xf>
    <xf numFmtId="14" fontId="0" fillId="0" borderId="0" applyAlignment="1" pivotButton="0" quotePrefix="0" xfId="0">
      <alignment horizontal="left" shrinkToFit="1"/>
    </xf>
    <xf numFmtId="14" fontId="0" fillId="2" borderId="0" applyAlignment="1" pivotButton="0" quotePrefix="0" xfId="0">
      <alignment horizontal="left" shrinkToFit="1"/>
    </xf>
    <xf numFmtId="0" fontId="0" fillId="0" borderId="4" applyAlignment="1" pivotButton="0" quotePrefix="0" xfId="0">
      <alignment horizontal="left" shrinkToFit="1"/>
    </xf>
    <xf numFmtId="41" fontId="14" fillId="0" borderId="0" applyAlignment="1" pivotButton="0" quotePrefix="0" xfId="0">
      <alignment shrinkToFit="1"/>
    </xf>
    <xf numFmtId="0" fontId="9" fillId="0" borderId="1" applyAlignment="1" pivotButton="0" quotePrefix="0" xfId="0">
      <alignment horizontal="right" vertical="center" shrinkToFit="1"/>
    </xf>
    <xf numFmtId="164" fontId="7" fillId="0" borderId="1" applyAlignment="1" pivotButton="0" quotePrefix="0" xfId="0">
      <alignment horizontal="center" vertical="center" shrinkToFit="1"/>
    </xf>
    <xf numFmtId="0" fontId="7" fillId="0" borderId="0" applyAlignment="1" pivotButton="0" quotePrefix="0" xfId="0">
      <alignment horizontal="center" vertical="center" shrinkToFit="1"/>
    </xf>
    <xf numFmtId="41" fontId="15" fillId="0" borderId="0" applyAlignment="1" pivotButton="0" quotePrefix="0" xfId="0">
      <alignment shrinkToFit="1"/>
    </xf>
    <xf numFmtId="0" fontId="9" fillId="4" borderId="1" applyAlignment="1" pivotButton="0" quotePrefix="0" xfId="0">
      <alignment shrinkToFit="1"/>
    </xf>
    <xf numFmtId="0" fontId="7" fillId="0" borderId="1" applyAlignment="1" pivotButton="0" quotePrefix="0" xfId="0">
      <alignment horizontal="center" vertical="center" shrinkToFit="1"/>
    </xf>
    <xf numFmtId="0" fontId="7" fillId="6" borderId="0" applyAlignment="1" pivotButton="0" quotePrefix="0" xfId="0">
      <alignment shrinkToFit="1"/>
    </xf>
    <xf numFmtId="0" fontId="9" fillId="0" borderId="0" applyAlignment="1" pivotButton="0" quotePrefix="0" xfId="0">
      <alignment horizontal="right" shrinkToFit="1"/>
    </xf>
    <xf numFmtId="41" fontId="16" fillId="0" borderId="0" applyAlignment="1" pivotButton="0" quotePrefix="0" xfId="0">
      <alignment shrinkToFit="1"/>
    </xf>
    <xf numFmtId="0" fontId="7" fillId="0" borderId="1" applyAlignment="1" pivotButton="0" quotePrefix="0" xfId="0">
      <alignment horizontal="center" shrinkToFit="1"/>
    </xf>
    <xf numFmtId="41" fontId="0" fillId="0" borderId="0" applyAlignment="1" pivotButton="0" quotePrefix="0" xfId="0">
      <alignment shrinkToFit="1"/>
    </xf>
    <xf numFmtId="0" fontId="17" fillId="0" borderId="1" applyAlignment="1" pivotButton="0" quotePrefix="0" xfId="0">
      <alignment horizontal="center" shrinkToFit="1"/>
    </xf>
    <xf numFmtId="164" fontId="0" fillId="7" borderId="1" applyAlignment="1" pivotButton="0" quotePrefix="0" xfId="0">
      <alignment shrinkToFit="1"/>
    </xf>
    <xf numFmtId="0" fontId="8" fillId="0" borderId="0" applyAlignment="1" pivotButton="0" quotePrefix="0" xfId="0">
      <alignment shrinkToFit="1"/>
    </xf>
    <xf numFmtId="0" fontId="0" fillId="0" borderId="0" applyAlignment="1" pivotButton="0" quotePrefix="0" xfId="0">
      <alignment shrinkToFit="1"/>
    </xf>
    <xf numFmtId="166" fontId="8" fillId="0" borderId="0" applyAlignment="1" pivotButton="0" quotePrefix="0" xfId="0">
      <alignment shrinkToFit="1"/>
    </xf>
    <xf numFmtId="0" fontId="6" fillId="0" borderId="1" applyAlignment="1" pivotButton="0" quotePrefix="0" xfId="0">
      <alignment horizontal="center" vertical="center" textRotation="255" shrinkToFit="1"/>
    </xf>
    <xf numFmtId="0" fontId="6" fillId="0" borderId="1" applyAlignment="1" pivotButton="0" quotePrefix="0" xfId="0">
      <alignment wrapText="1" shrinkToFit="1"/>
    </xf>
    <xf numFmtId="166" fontId="19" fillId="0" borderId="1" applyAlignment="1" pivotButton="0" quotePrefix="0" xfId="0">
      <alignment vertical="center" textRotation="255" wrapText="1" shrinkToFit="1"/>
    </xf>
    <xf numFmtId="41" fontId="8" fillId="0" borderId="1" applyAlignment="1" pivotButton="0" quotePrefix="0" xfId="0">
      <alignment shrinkToFit="1"/>
    </xf>
    <xf numFmtId="0" fontId="8" fillId="0" borderId="1" applyAlignment="1" pivotButton="0" quotePrefix="0" xfId="0">
      <alignment shrinkToFit="1"/>
    </xf>
    <xf numFmtId="41" fontId="20" fillId="0" borderId="0" applyAlignment="1" pivotButton="0" quotePrefix="0" xfId="0">
      <alignment shrinkToFit="1"/>
    </xf>
    <xf numFmtId="41" fontId="22" fillId="0" borderId="0" pivotButton="0" quotePrefix="0" xfId="0"/>
    <xf numFmtId="41" fontId="0" fillId="0" borderId="0" pivotButton="0" quotePrefix="0" xfId="0"/>
    <xf numFmtId="164" fontId="0" fillId="4" borderId="1" applyAlignment="1" pivotButton="0" quotePrefix="0" xfId="0">
      <alignment shrinkToFit="1"/>
    </xf>
    <xf numFmtId="0" fontId="14" fillId="0" borderId="0" applyAlignment="1" pivotButton="0" quotePrefix="0" xfId="0">
      <alignment shrinkToFit="1"/>
    </xf>
    <xf numFmtId="0" fontId="2" fillId="0" borderId="1" applyAlignment="1" pivotButton="0" quotePrefix="0" xfId="0">
      <alignment horizontal="center" wrapText="1" shrinkToFit="1"/>
    </xf>
    <xf numFmtId="0" fontId="13" fillId="0" borderId="6" applyAlignment="1" pivotButton="0" quotePrefix="0" xfId="0">
      <alignment wrapText="1" shrinkToFit="1"/>
    </xf>
    <xf numFmtId="0" fontId="14" fillId="0" borderId="1" applyAlignment="1" pivotButton="0" quotePrefix="0" xfId="0">
      <alignment shrinkToFit="1"/>
    </xf>
    <xf numFmtId="0" fontId="14" fillId="0" borderId="0" applyAlignment="1" pivotButton="0" quotePrefix="0" xfId="0">
      <alignment horizontal="center" shrinkToFit="1"/>
    </xf>
    <xf numFmtId="0" fontId="8" fillId="0" borderId="0" applyAlignment="1" pivotButton="0" quotePrefix="0" xfId="0">
      <alignment horizontal="center" shrinkToFit="1"/>
    </xf>
    <xf numFmtId="0" fontId="13" fillId="0" borderId="1" applyAlignment="1" pivotButton="0" quotePrefix="0" xfId="0">
      <alignment wrapText="1" shrinkToFit="1"/>
    </xf>
    <xf numFmtId="0" fontId="14" fillId="0" borderId="0" applyAlignment="1" pivotButton="0" quotePrefix="0" xfId="0">
      <alignment horizontal="right" shrinkToFit="1"/>
    </xf>
    <xf numFmtId="0" fontId="6" fillId="8" borderId="1" applyAlignment="1" pivotButton="0" quotePrefix="0" xfId="0">
      <alignment horizontal="right" wrapText="1" shrinkToFit="1"/>
    </xf>
    <xf numFmtId="0" fontId="0" fillId="0" borderId="1" applyAlignment="1" pivotButton="0" quotePrefix="0" xfId="0">
      <alignment horizontal="right" shrinkToFit="1"/>
    </xf>
    <xf numFmtId="0" fontId="1" fillId="0" borderId="0" applyAlignment="1" pivotButton="0" quotePrefix="0" xfId="0">
      <alignment horizontal="right" shrinkToFit="1"/>
    </xf>
    <xf numFmtId="0" fontId="0" fillId="0" borderId="0" applyAlignment="1" pivotButton="0" quotePrefix="0" xfId="0">
      <alignment horizontal="right" shrinkToFit="1"/>
    </xf>
    <xf numFmtId="0" fontId="18" fillId="13" borderId="0" applyAlignment="1" pivotButton="0" quotePrefix="0" xfId="0">
      <alignment horizontal="right" wrapText="1" shrinkToFit="1"/>
    </xf>
    <xf numFmtId="0" fontId="8" fillId="0" borderId="1" applyAlignment="1" pivotButton="0" quotePrefix="0" xfId="0">
      <alignment horizontal="right" shrinkToFit="1"/>
    </xf>
    <xf numFmtId="0" fontId="8" fillId="0" borderId="0" applyAlignment="1" pivotButton="0" quotePrefix="0" xfId="0">
      <alignment horizontal="right" shrinkToFit="1"/>
    </xf>
    <xf numFmtId="167" fontId="0" fillId="0" borderId="1" applyAlignment="1" pivotButton="0" quotePrefix="0" xfId="0">
      <alignment horizontal="left" shrinkToFit="1"/>
    </xf>
    <xf numFmtId="0" fontId="14" fillId="14" borderId="0" applyAlignment="1" pivotButton="0" quotePrefix="0" xfId="0">
      <alignment horizontal="right" shrinkToFit="1"/>
    </xf>
    <xf numFmtId="0" fontId="6" fillId="14" borderId="8" applyAlignment="1" pivotButton="0" quotePrefix="0" xfId="0">
      <alignment horizontal="right" wrapText="1" shrinkToFit="1"/>
    </xf>
    <xf numFmtId="0" fontId="1" fillId="14" borderId="0" applyAlignment="1" pivotButton="0" quotePrefix="0" xfId="0">
      <alignment horizontal="right" shrinkToFit="1"/>
    </xf>
    <xf numFmtId="0" fontId="0" fillId="15" borderId="7" applyAlignment="1" pivotButton="0" quotePrefix="0" xfId="0">
      <alignment horizontal="right" shrinkToFit="1"/>
    </xf>
    <xf numFmtId="0" fontId="23" fillId="0" borderId="1" applyAlignment="1" pivotButton="0" quotePrefix="0" xfId="0">
      <alignment horizontal="center" shrinkToFit="1"/>
    </xf>
    <xf numFmtId="41" fontId="24" fillId="0" borderId="0" applyAlignment="1" pivotButton="0" quotePrefix="0" xfId="0">
      <alignment shrinkToFit="1"/>
    </xf>
    <xf numFmtId="0" fontId="23" fillId="0" borderId="3" applyAlignment="1" pivotButton="0" quotePrefix="0" xfId="0">
      <alignment vertical="center" shrinkToFit="1"/>
    </xf>
    <xf numFmtId="0" fontId="23" fillId="0" borderId="2" applyAlignment="1" pivotButton="0" quotePrefix="0" xfId="0">
      <alignment vertical="center" shrinkToFit="1"/>
    </xf>
    <xf numFmtId="0" fontId="23" fillId="0" borderId="1" applyAlignment="1" pivotButton="0" quotePrefix="0" xfId="0">
      <alignment horizontal="right" vertical="center" shrinkToFit="1"/>
    </xf>
    <xf numFmtId="164" fontId="23" fillId="0" borderId="1" applyAlignment="1" pivotButton="0" quotePrefix="0" xfId="0">
      <alignment horizontal="center" vertical="center" shrinkToFit="1"/>
    </xf>
    <xf numFmtId="0" fontId="23" fillId="4" borderId="1" applyAlignment="1" pivotButton="0" quotePrefix="0" xfId="0">
      <alignment shrinkToFit="1"/>
    </xf>
    <xf numFmtId="0" fontId="23" fillId="0" borderId="1" applyAlignment="1" pivotButton="0" quotePrefix="0" xfId="0">
      <alignment horizontal="center" vertical="center" shrinkToFit="1"/>
    </xf>
    <xf numFmtId="0" fontId="23" fillId="0" borderId="0" applyAlignment="1" pivotButton="0" quotePrefix="0" xfId="0">
      <alignment shrinkToFit="1"/>
    </xf>
    <xf numFmtId="0" fontId="23" fillId="0" borderId="0" applyAlignment="1" pivotButton="0" quotePrefix="0" xfId="0">
      <alignment horizontal="right" shrinkToFit="1"/>
    </xf>
    <xf numFmtId="0" fontId="0" fillId="0" borderId="10" applyAlignment="1" pivotButton="0" quotePrefix="0" xfId="0">
      <alignment shrinkToFit="1"/>
    </xf>
    <xf numFmtId="166" fontId="0" fillId="0" borderId="10" applyAlignment="1" pivotButton="0" quotePrefix="0" xfId="0">
      <alignment shrinkToFit="1"/>
    </xf>
    <xf numFmtId="0" fontId="7" fillId="0" borderId="1" applyAlignment="1" pivotButton="0" quotePrefix="0" xfId="0">
      <alignment shrinkToFit="1"/>
    </xf>
    <xf numFmtId="165" fontId="7" fillId="0" borderId="1" applyAlignment="1" pivotButton="0" quotePrefix="0" xfId="0">
      <alignment shrinkToFit="1"/>
    </xf>
    <xf numFmtId="0" fontId="21" fillId="0" borderId="10" applyAlignment="1" pivotButton="0" quotePrefix="0" xfId="0">
      <alignment horizontal="center" vertical="center" wrapText="1" shrinkToFit="1"/>
    </xf>
    <xf numFmtId="0" fontId="21" fillId="0" borderId="0" applyAlignment="1" pivotButton="0" quotePrefix="0" xfId="0">
      <alignment vertical="center" wrapText="1"/>
    </xf>
    <xf numFmtId="0" fontId="21" fillId="0" borderId="0" applyAlignment="1" pivotButton="0" quotePrefix="0" xfId="0">
      <alignment horizontal="center" vertical="center" wrapText="1" shrinkToFit="1"/>
    </xf>
    <xf numFmtId="0" fontId="21" fillId="0" borderId="10" applyAlignment="1" pivotButton="0" quotePrefix="0" xfId="0">
      <alignment horizontal="left" vertical="center" wrapText="1" shrinkToFit="1"/>
    </xf>
    <xf numFmtId="0" fontId="20" fillId="0" borderId="10" applyAlignment="1" pivotButton="0" quotePrefix="0" xfId="0">
      <alignment horizontal="center" shrinkToFit="1"/>
    </xf>
    <xf numFmtId="41" fontId="0" fillId="0" borderId="0" applyAlignment="1" pivotButton="0" quotePrefix="0" xfId="0">
      <alignment horizontal="left" vertical="center"/>
    </xf>
    <xf numFmtId="0" fontId="0" fillId="14" borderId="0" pivotButton="0" quotePrefix="0" xfId="0"/>
    <xf numFmtId="0" fontId="0" fillId="14" borderId="0" applyAlignment="1" pivotButton="0" quotePrefix="0" xfId="0">
      <alignment horizontal="center" shrinkToFit="1"/>
    </xf>
    <xf numFmtId="0" fontId="21" fillId="0" borderId="11" applyAlignment="1" pivotButton="0" quotePrefix="0" xfId="0">
      <alignment horizontal="center" vertical="center" wrapText="1" shrinkToFit="1"/>
    </xf>
    <xf numFmtId="0" fontId="21" fillId="0" borderId="9" applyAlignment="1" pivotButton="0" quotePrefix="0" xfId="0">
      <alignment horizontal="center" vertical="center" wrapText="1" shrinkToFit="1"/>
    </xf>
    <xf numFmtId="0" fontId="21" fillId="0" borderId="12" applyAlignment="1" pivotButton="0" quotePrefix="0" xfId="0">
      <alignment horizontal="center" vertical="center" wrapText="1" shrinkToFit="1"/>
    </xf>
    <xf numFmtId="167" fontId="0" fillId="0" borderId="10" applyAlignment="1" pivotButton="0" quotePrefix="0" xfId="0">
      <alignment horizontal="left" shrinkToFit="1"/>
    </xf>
    <xf numFmtId="0" fontId="20" fillId="14" borderId="10" applyAlignment="1" pivotButton="0" quotePrefix="0" xfId="0">
      <alignment horizontal="center" shrinkToFit="1"/>
    </xf>
    <xf numFmtId="0" fontId="21" fillId="0" borderId="5" applyAlignment="1" pivotButton="0" quotePrefix="0" xfId="0">
      <alignment horizontal="center" vertical="center" wrapText="1" shrinkToFit="1"/>
    </xf>
    <xf numFmtId="165" fontId="0" fillId="0" borderId="10" applyAlignment="1" pivotButton="0" quotePrefix="0" xfId="0">
      <alignment horizontal="right" shrinkToFit="1"/>
    </xf>
    <xf numFmtId="1" fontId="0" fillId="0" borderId="1" applyAlignment="1" pivotButton="0" quotePrefix="0" xfId="0">
      <alignment horizontal="center" shrinkToFit="1"/>
    </xf>
    <xf numFmtId="0" fontId="21" fillId="0" borderId="14" applyAlignment="1" pivotButton="0" quotePrefix="0" xfId="0">
      <alignment horizontal="center" vertical="center" wrapText="1" shrinkToFit="1"/>
    </xf>
    <xf numFmtId="0" fontId="21" fillId="0" borderId="16" applyAlignment="1" pivotButton="0" quotePrefix="0" xfId="0">
      <alignment horizontal="center" vertical="center" wrapText="1" shrinkToFit="1"/>
    </xf>
    <xf numFmtId="0" fontId="21" fillId="0" borderId="18" applyAlignment="1" pivotButton="0" quotePrefix="0" xfId="0">
      <alignment horizontal="center" vertical="center" wrapText="1" shrinkToFit="1"/>
    </xf>
    <xf numFmtId="0" fontId="21" fillId="0" borderId="20" applyAlignment="1" pivotButton="0" quotePrefix="0" xfId="0">
      <alignment horizontal="center" vertical="center" wrapText="1" shrinkToFit="1"/>
    </xf>
    <xf numFmtId="0" fontId="21" fillId="0" borderId="22" applyAlignment="1" pivotButton="0" quotePrefix="0" xfId="0">
      <alignment horizontal="center" vertical="center" wrapText="1" shrinkToFit="1"/>
    </xf>
    <xf numFmtId="0" fontId="20" fillId="14" borderId="13" applyAlignment="1" pivotButton="0" quotePrefix="0" xfId="0">
      <alignment horizontal="center" shrinkToFit="1"/>
    </xf>
    <xf numFmtId="0" fontId="0" fillId="0" borderId="4" applyAlignment="1" pivotButton="0" quotePrefix="0" xfId="0">
      <alignment horizontal="center" shrinkToFit="1"/>
    </xf>
    <xf numFmtId="0" fontId="20" fillId="0" borderId="10" applyAlignment="1" pivotButton="0" quotePrefix="0" xfId="0">
      <alignment horizontal="center" vertical="center" wrapText="1" shrinkToFit="1"/>
    </xf>
    <xf numFmtId="0" fontId="20" fillId="14" borderId="10" applyAlignment="1" pivotButton="0" quotePrefix="0" xfId="0">
      <alignment horizontal="center" vertical="center" wrapText="1" shrinkToFit="1"/>
    </xf>
    <xf numFmtId="0" fontId="20" fillId="14" borderId="13" applyAlignment="1" pivotButton="0" quotePrefix="0" xfId="0">
      <alignment horizontal="center" vertical="center" wrapText="1" shrinkToFit="1"/>
    </xf>
    <xf numFmtId="0" fontId="0" fillId="0" borderId="10" applyAlignment="1" pivotButton="0" quotePrefix="0" xfId="0">
      <alignment wrapText="1"/>
    </xf>
    <xf numFmtId="0" fontId="0" fillId="0" borderId="23" applyAlignment="1" pivotButton="1" quotePrefix="0" xfId="0">
      <alignment horizontal="center" shrinkToFit="1"/>
    </xf>
    <xf numFmtId="0" fontId="0" fillId="0" borderId="27" applyAlignment="1" pivotButton="0" quotePrefix="0" xfId="0">
      <alignment horizontal="center" shrinkToFit="1"/>
    </xf>
    <xf numFmtId="0" fontId="0" fillId="0" borderId="27" applyAlignment="1" pivotButton="1" quotePrefix="0" xfId="0">
      <alignment horizontal="center" shrinkToFit="1"/>
    </xf>
    <xf numFmtId="0" fontId="0" fillId="0" borderId="28" applyAlignment="1" pivotButton="0" quotePrefix="0" xfId="0">
      <alignment horizontal="center" shrinkToFit="1"/>
    </xf>
    <xf numFmtId="0" fontId="0" fillId="0" borderId="23" applyAlignment="1" pivotButton="0" quotePrefix="0" xfId="0">
      <alignment horizontal="center" shrinkToFit="1"/>
    </xf>
    <xf numFmtId="0" fontId="0" fillId="0" borderId="24" applyAlignment="1" pivotButton="0" quotePrefix="0" xfId="0">
      <alignment horizontal="center" shrinkToFit="1"/>
    </xf>
    <xf numFmtId="0" fontId="0" fillId="0" borderId="30" applyAlignment="1" pivotButton="0" quotePrefix="0" xfId="0">
      <alignment horizontal="center" shrinkToFit="1"/>
    </xf>
    <xf numFmtId="0" fontId="0" fillId="0" borderId="31" applyAlignment="1" pivotButton="0" quotePrefix="0" xfId="0">
      <alignment horizontal="center" shrinkToFit="1"/>
    </xf>
    <xf numFmtId="0" fontId="0" fillId="0" borderId="23" applyAlignment="1" pivotButton="1" quotePrefix="0" xfId="0">
      <alignment horizontal="left" shrinkToFit="1"/>
    </xf>
    <xf numFmtId="0" fontId="0" fillId="0" borderId="29" applyAlignment="1" pivotButton="0" quotePrefix="0" xfId="0">
      <alignment horizontal="left" shrinkToFit="1"/>
    </xf>
    <xf numFmtId="0" fontId="0" fillId="0" borderId="23" applyAlignment="1" pivotButton="0" quotePrefix="0" xfId="0">
      <alignment horizontal="left" shrinkToFit="1"/>
    </xf>
    <xf numFmtId="0" fontId="0" fillId="0" borderId="25" applyAlignment="1" pivotButton="0" quotePrefix="0" xfId="0">
      <alignment horizontal="left" shrinkToFit="1"/>
    </xf>
    <xf numFmtId="0" fontId="0" fillId="0" borderId="27" applyAlignment="1" pivotButton="0" quotePrefix="0" xfId="0">
      <alignment horizontal="left" shrinkToFit="1"/>
    </xf>
    <xf numFmtId="0" fontId="0" fillId="0" borderId="31" applyAlignment="1" pivotButton="0" quotePrefix="0" xfId="0">
      <alignment horizontal="left" shrinkToFit="1"/>
    </xf>
    <xf numFmtId="0" fontId="0" fillId="0" borderId="10" applyAlignment="1" pivotButton="0" quotePrefix="0" xfId="0">
      <alignment horizontal="left" shrinkToFit="1"/>
    </xf>
    <xf numFmtId="0" fontId="0" fillId="14" borderId="10" applyAlignment="1" pivotButton="0" quotePrefix="0" xfId="0">
      <alignment horizontal="left" shrinkToFit="1"/>
    </xf>
    <xf numFmtId="0" fontId="0" fillId="14" borderId="13" applyAlignment="1" pivotButton="0" quotePrefix="0" xfId="0">
      <alignment horizontal="left" shrinkToFit="1"/>
    </xf>
    <xf numFmtId="0" fontId="20" fillId="0" borderId="9" applyAlignment="1" pivotButton="0" quotePrefix="0" xfId="0">
      <alignment horizontal="center" shrinkToFit="1"/>
    </xf>
    <xf numFmtId="0" fontId="20" fillId="14" borderId="9" applyAlignment="1" pivotButton="0" quotePrefix="0" xfId="0">
      <alignment horizontal="center" shrinkToFit="1"/>
    </xf>
    <xf numFmtId="0" fontId="20" fillId="14" borderId="15" applyAlignment="1" pivotButton="0" quotePrefix="0" xfId="0">
      <alignment horizontal="center" shrinkToFit="1"/>
    </xf>
    <xf numFmtId="0" fontId="20" fillId="0" borderId="5" applyAlignment="1" pivotButton="0" quotePrefix="0" xfId="0">
      <alignment horizontal="center" shrinkToFit="1"/>
    </xf>
    <xf numFmtId="0" fontId="20" fillId="14" borderId="5" applyAlignment="1" pivotButton="0" quotePrefix="0" xfId="0">
      <alignment horizontal="center" shrinkToFit="1"/>
    </xf>
    <xf numFmtId="0" fontId="20" fillId="14" borderId="17" applyAlignment="1" pivotButton="0" quotePrefix="0" xfId="0">
      <alignment horizontal="center" shrinkToFit="1"/>
    </xf>
    <xf numFmtId="0" fontId="20" fillId="0" borderId="11" applyAlignment="1" pivotButton="0" quotePrefix="0" xfId="0">
      <alignment horizontal="center" shrinkToFit="1"/>
    </xf>
    <xf numFmtId="0" fontId="20" fillId="14" borderId="11" applyAlignment="1" pivotButton="0" quotePrefix="0" xfId="0">
      <alignment horizontal="center" shrinkToFit="1"/>
    </xf>
    <xf numFmtId="0" fontId="20" fillId="0" borderId="12" applyAlignment="1" pivotButton="0" quotePrefix="0" xfId="0">
      <alignment horizontal="center" shrinkToFit="1"/>
    </xf>
    <xf numFmtId="0" fontId="20" fillId="14" borderId="12" applyAlignment="1" pivotButton="0" quotePrefix="0" xfId="0">
      <alignment horizontal="center" shrinkToFit="1"/>
    </xf>
    <xf numFmtId="0" fontId="20" fillId="14" borderId="21" applyAlignment="1" pivotButton="0" quotePrefix="0" xfId="0">
      <alignment horizontal="center" shrinkToFit="1"/>
    </xf>
    <xf numFmtId="0" fontId="20" fillId="14" borderId="19" applyAlignment="1" pivotButton="0" quotePrefix="0" xfId="0">
      <alignment horizontal="center" shrinkToFit="1"/>
    </xf>
    <xf numFmtId="3" fontId="0" fillId="0" borderId="1" applyAlignment="1" pivotButton="0" quotePrefix="0" xfId="0">
      <alignment shrinkToFit="1"/>
    </xf>
    <xf numFmtId="49" fontId="7" fillId="0" borderId="1" applyAlignment="1" pivotButton="0" quotePrefix="0" xfId="0">
      <alignment horizontal="right"/>
    </xf>
    <xf numFmtId="0" fontId="29" fillId="0" borderId="0" pivotButton="0" quotePrefix="0" xfId="0"/>
    <xf numFmtId="0" fontId="0" fillId="0" borderId="25" applyAlignment="1" pivotButton="0" quotePrefix="0" xfId="0">
      <alignment horizontal="center" shrinkToFit="1"/>
    </xf>
    <xf numFmtId="0" fontId="0" fillId="0" borderId="26" applyAlignment="1" pivotButton="0" quotePrefix="0" xfId="0">
      <alignment horizontal="center" shrinkToFit="1"/>
    </xf>
    <xf numFmtId="0" fontId="0" fillId="0" borderId="10" pivotButton="0" quotePrefix="0" xfId="0"/>
    <xf numFmtId="0" fontId="0" fillId="16" borderId="10" pivotButton="0" quotePrefix="0" xfId="0"/>
    <xf numFmtId="0" fontId="0" fillId="0" borderId="14" pivotButton="0" quotePrefix="0" xfId="0"/>
    <xf numFmtId="0" fontId="0" fillId="0" borderId="32" pivotButton="0" quotePrefix="0" xfId="0"/>
    <xf numFmtId="0" fontId="14" fillId="0" borderId="10" applyAlignment="1" pivotButton="0" quotePrefix="0" xfId="0">
      <alignment wrapText="1"/>
    </xf>
    <xf numFmtId="0" fontId="0" fillId="0" borderId="14" applyAlignment="1" pivotButton="0" quotePrefix="0" xfId="0">
      <alignment shrinkToFit="1"/>
    </xf>
    <xf numFmtId="0" fontId="0" fillId="0" borderId="32" applyAlignment="1" pivotButton="0" quotePrefix="0" xfId="0">
      <alignment shrinkToFit="1"/>
    </xf>
    <xf numFmtId="0" fontId="0" fillId="17" borderId="10" applyAlignment="1" pivotButton="0" quotePrefix="0" xfId="0">
      <alignment shrinkToFit="1"/>
    </xf>
    <xf numFmtId="0" fontId="0" fillId="18" borderId="10" applyAlignment="1" pivotButton="0" quotePrefix="0" xfId="0">
      <alignment shrinkToFit="1"/>
    </xf>
    <xf numFmtId="38" fontId="14" fillId="0" borderId="10" applyAlignment="1" pivotButton="0" quotePrefix="0" xfId="3">
      <alignment horizontal="left" vertical="center" wrapText="1" shrinkToFit="1"/>
    </xf>
    <xf numFmtId="0" fontId="0" fillId="19" borderId="0" pivotButton="0" quotePrefix="0" xfId="0"/>
    <xf numFmtId="0" fontId="0" fillId="19" borderId="10" pivotButton="0" quotePrefix="0" xfId="0"/>
    <xf numFmtId="0" fontId="0" fillId="19" borderId="10" applyAlignment="1" pivotButton="0" quotePrefix="0" xfId="0">
      <alignment shrinkToFit="1"/>
    </xf>
    <xf numFmtId="0" fontId="0" fillId="20" borderId="10" pivotButton="0" quotePrefix="0" xfId="0"/>
    <xf numFmtId="0" fontId="0" fillId="20" borderId="11" pivotButton="0" quotePrefix="0" xfId="0"/>
    <xf numFmtId="41" fontId="20" fillId="0" borderId="0" applyAlignment="1" pivotButton="0" quotePrefix="0" xfId="0">
      <alignment horizontal="center" shrinkToFit="1"/>
    </xf>
    <xf numFmtId="164" fontId="0" fillId="4" borderId="1" applyAlignment="1" pivotButton="0" quotePrefix="0" xfId="0">
      <alignment shrinkToFit="1"/>
    </xf>
    <xf numFmtId="164" fontId="0" fillId="8" borderId="1" applyAlignment="1" pivotButton="0" quotePrefix="0" xfId="0">
      <alignment shrinkToFit="1"/>
    </xf>
    <xf numFmtId="164" fontId="0" fillId="9" borderId="1" applyAlignment="1" pivotButton="0" quotePrefix="0" xfId="0">
      <alignment shrinkToFit="1"/>
    </xf>
    <xf numFmtId="164" fontId="0" fillId="10" borderId="1" applyAlignment="1" pivotButton="0" quotePrefix="0" xfId="0">
      <alignment shrinkToFit="1"/>
    </xf>
    <xf numFmtId="164" fontId="0" fillId="5" borderId="1" applyAlignment="1" pivotButton="0" quotePrefix="0" xfId="0">
      <alignment shrinkToFit="1"/>
    </xf>
    <xf numFmtId="164" fontId="0" fillId="11" borderId="1" applyAlignment="1" pivotButton="0" quotePrefix="0" xfId="0">
      <alignment shrinkToFit="1"/>
    </xf>
    <xf numFmtId="164" fontId="0" fillId="7" borderId="1" applyAlignment="1" pivotButton="0" quotePrefix="0" xfId="0">
      <alignment shrinkToFit="1"/>
    </xf>
    <xf numFmtId="165" fontId="0" fillId="0" borderId="1" applyAlignment="1" pivotButton="0" quotePrefix="0" xfId="0">
      <alignment shrinkToFit="1"/>
    </xf>
    <xf numFmtId="165" fontId="0" fillId="12" borderId="1" applyAlignment="1" applyProtection="1" pivotButton="0" quotePrefix="0" xfId="0">
      <alignment shrinkToFit="1"/>
      <protection locked="0" hidden="0"/>
    </xf>
    <xf numFmtId="41" fontId="8" fillId="0" borderId="0" applyAlignment="1" pivotButton="0" quotePrefix="0" xfId="0">
      <alignment shrinkToFit="1"/>
    </xf>
    <xf numFmtId="166" fontId="8" fillId="0" borderId="0" applyAlignment="1" pivotButton="0" quotePrefix="0" xfId="0">
      <alignment shrinkToFit="1"/>
    </xf>
    <xf numFmtId="41" fontId="14" fillId="0" borderId="0" applyAlignment="1" pivotButton="0" quotePrefix="0" xfId="0">
      <alignment shrinkToFit="1"/>
    </xf>
    <xf numFmtId="166" fontId="19" fillId="0" borderId="1" applyAlignment="1" pivotButton="0" quotePrefix="0" xfId="0">
      <alignment vertical="center" textRotation="255" wrapText="1" shrinkToFit="1"/>
    </xf>
    <xf numFmtId="167" fontId="0" fillId="0" borderId="1" applyAlignment="1" pivotButton="0" quotePrefix="0" xfId="0">
      <alignment horizontal="left" shrinkToFit="1"/>
    </xf>
    <xf numFmtId="167" fontId="0" fillId="0" borderId="10" applyAlignment="1" pivotButton="0" quotePrefix="0" xfId="0">
      <alignment horizontal="left" shrinkToFit="1"/>
    </xf>
    <xf numFmtId="41" fontId="8" fillId="0" borderId="1" applyAlignment="1" pivotButton="0" quotePrefix="0" xfId="0">
      <alignment shrinkToFit="1"/>
    </xf>
    <xf numFmtId="41" fontId="0" fillId="0" borderId="0" applyAlignment="1" pivotButton="0" quotePrefix="0" xfId="0">
      <alignment shrinkToFit="1"/>
    </xf>
    <xf numFmtId="49" fontId="1" fillId="0" borderId="10" applyAlignment="1" pivotButton="0" quotePrefix="0" xfId="0">
      <alignment horizontal="right"/>
    </xf>
    <xf numFmtId="0" fontId="1" fillId="0" borderId="10" applyAlignment="1" pivotButton="0" quotePrefix="0" xfId="0">
      <alignment shrinkToFit="1"/>
    </xf>
    <xf numFmtId="165" fontId="1" fillId="0" borderId="10" applyAlignment="1" pivotButton="0" quotePrefix="0" xfId="0">
      <alignment shrinkToFit="1"/>
    </xf>
    <xf numFmtId="0" fontId="1" fillId="12" borderId="10" applyAlignment="1" applyProtection="1" pivotButton="0" quotePrefix="0" xfId="0">
      <alignment shrinkToFit="1"/>
      <protection locked="0" hidden="0"/>
    </xf>
    <xf numFmtId="165" fontId="1" fillId="12" borderId="10" applyAlignment="1" applyProtection="1" pivotButton="0" quotePrefix="0" xfId="0">
      <alignment shrinkToFit="1"/>
      <protection locked="0" hidden="0"/>
    </xf>
    <xf numFmtId="0" fontId="1" fillId="0" borderId="10" applyAlignment="1" pivotButton="0" quotePrefix="0" xfId="0">
      <alignment horizontal="center" shrinkToFit="1"/>
    </xf>
    <xf numFmtId="165" fontId="1" fillId="0" borderId="10" applyAlignment="1" pivotButton="0" quotePrefix="0" xfId="0">
      <alignment horizontal="right" shrinkToFit="1"/>
    </xf>
    <xf numFmtId="166" fontId="1" fillId="0" borderId="10" applyAlignment="1" pivotButton="0" quotePrefix="0" xfId="0">
      <alignment shrinkToFit="1"/>
    </xf>
    <xf numFmtId="0" fontId="30" fillId="0" borderId="33" pivotButton="0" quotePrefix="0" xfId="0"/>
    <xf numFmtId="0" fontId="30" fillId="0" borderId="33" applyProtection="1" pivotButton="0" quotePrefix="0" xfId="0">
      <protection locked="0" hidden="0"/>
    </xf>
    <xf numFmtId="41" fontId="15" fillId="0" borderId="0" applyAlignment="1" pivotButton="0" quotePrefix="0" xfId="0">
      <alignment shrinkToFit="1"/>
    </xf>
    <xf numFmtId="164" fontId="7" fillId="0" borderId="1" applyAlignment="1" pivotButton="0" quotePrefix="0" xfId="0">
      <alignment horizontal="center" vertical="center" shrinkToFit="1"/>
    </xf>
    <xf numFmtId="165" fontId="7" fillId="0" borderId="1" applyAlignment="1" pivotButton="0" quotePrefix="0" xfId="0">
      <alignment shrinkToFit="1"/>
    </xf>
    <xf numFmtId="41" fontId="16" fillId="0" borderId="0" applyAlignment="1" pivotButton="0" quotePrefix="0" xfId="0">
      <alignment shrinkToFit="1"/>
    </xf>
    <xf numFmtId="164" fontId="23" fillId="0" borderId="1" applyAlignment="1" pivotButton="0" quotePrefix="0" xfId="0">
      <alignment horizontal="center" vertical="center" shrinkToFit="1"/>
    </xf>
    <xf numFmtId="41" fontId="24" fillId="0" borderId="0" applyAlignment="1" pivotButton="0" quotePrefix="0" xfId="0">
      <alignment shrinkToFit="1"/>
    </xf>
    <xf numFmtId="41" fontId="1" fillId="0" borderId="0" applyAlignment="1" pivotButton="0" quotePrefix="0" xfId="0">
      <alignment shrinkToFit="1"/>
    </xf>
    <xf numFmtId="41" fontId="0" fillId="0" borderId="0" applyAlignment="1" pivotButton="0" quotePrefix="0" xfId="0">
      <alignment horizontal="left" vertical="center"/>
    </xf>
    <xf numFmtId="41" fontId="0" fillId="0" borderId="0" pivotButton="0" quotePrefix="0" xfId="0"/>
    <xf numFmtId="41" fontId="22" fillId="0" borderId="0" pivotButton="0" quotePrefix="0" xfId="0"/>
    <xf numFmtId="41" fontId="20" fillId="0" borderId="0" applyAlignment="1" pivotButton="0" quotePrefix="0" xfId="0">
      <alignment horizontal="center" shrinkToFit="1"/>
    </xf>
    <xf numFmtId="41" fontId="20" fillId="0" borderId="0" applyAlignment="1" pivotButton="0" quotePrefix="0" xfId="0">
      <alignment shrinkToFit="1"/>
    </xf>
  </cellXfs>
  <cellStyles count="4">
    <cellStyle name="標準" xfId="0" builtinId="0"/>
    <cellStyle name="標準_SESSIONS" xfId="1"/>
    <cellStyle name="標準 3" xfId="2"/>
    <cellStyle name="桁区切り" xfId="3" builtinId="6"/>
  </cellStyles>
  <dxfs count="943">
    <dxf>
      <numFmt numFmtId="0" formatCode="General"/>
    </dxf>
    <dxf>
      <font>
        <color theme="0"/>
      </font>
    </dxf>
    <dxf>
      <font>
        <color theme="0"/>
      </font>
    </dxf>
    <dxf>
      <font>
        <color theme="0"/>
      </font>
    </dxf>
    <dxf>
      <font>
        <color theme="0"/>
      </font>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shrinkToFit="1"/>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0" formatCode="General"/>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bottom" shrinkToFit="1"/>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CCFF"/>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bottom" shrinkToFit="1"/>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pivotCacheDefinition" Target="/xl/pivotCache/pivotCacheDefinition1.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styles" Target="styles.xml" Id="rId16" /><Relationship Type="http://schemas.openxmlformats.org/officeDocument/2006/relationships/theme" Target="theme/theme1.xml" Id="rId17" /><Relationship Type="http://schemas.microsoft.com/office/2006/relationships/vbaProject" Target="vbaProject.bin" Id="rId18" /></Relationships>
</file>

<file path=xl/comments/comment1.xml><?xml version="1.0" encoding="utf-8"?>
<comments xmlns="http://schemas.openxmlformats.org/spreadsheetml/2006/main">
  <authors>
    <author>nuk1</author>
  </authors>
  <commentList>
    <comment ref="A3" authorId="0" shapeId="0">
      <text>
        <t>当日昼はtodayにする</t>
      </text>
    </comment>
    <comment ref="B3" authorId="0" shapeId="0">
      <text>
        <t>当日昼はtodayにする</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externalLinks/_rels/externalLink1.xml.rels><Relationships xmlns="http://schemas.openxmlformats.org/package/2006/relationships"><Relationship Type="http://schemas.openxmlformats.org/officeDocument/2006/relationships/externalLinkPath" Target="file:///\\Nakabayashi\&#20849;&#26377;&#12501;&#12457;&#12523;&#12480;&#20013;&#26519;\Future\DB&#12481;&#12517;&#12540;&#12491;&#12531;&#12464;\SESSIONS.xls" TargetMode="External" Id="rId1" /></Relationships>
</file>

<file path=xl/externalLinks/_rels/externalLink2.xml.rels><Relationships xmlns="http://schemas.openxmlformats.org/package/2006/relationships"><Relationship Type="http://schemas.openxmlformats.org/officeDocument/2006/relationships/externalLinkPath" Target="file:///\\Nksv01\&#20849;&#26377;&#12501;&#12457;&#12523;&#12480;&#28201;&#24066;\&#31179;&#33865;&#21407;&#12288;&#29987;&#30452;&#65286;&#38738;&#26524;&#22770;&#12426;&#22580;\&#12388;&#12366;&#36275;&#12375;&#27880;&#25991;&#29992;&#32025;&#31179;&#33865;&#21407;(&#21336;&#20385;&#30906;&#35469;&#29992;&#65289;%20&#12398;&#12467;&#12500;&#12540;.xlsx" TargetMode="External" Id="rId2" /></Relationships>
</file>

<file path=xl/externalLinks/externalLink1.xml><?xml version="1.0" encoding="utf-8"?>
<externalLink xmlns:r="http://schemas.openxmlformats.org/officeDocument/2006/relationships" xmlns="http://schemas.openxmlformats.org/spreadsheetml/2006/main">
  <externalBook r:id="rId1">
    <sheetNames>
      <sheetName val="SESSIONS"/>
      <sheetName val="EXP_PLAN"/>
      <sheetName val="SESINFO"/>
      <sheetName val="SQLTEXT"/>
    </sheetNames>
    <sheetDataSet>
      <sheetData sheetId="0" refreshError="1"/>
      <sheetData sheetId="1" refreshError="1"/>
      <sheetData sheetId="2"/>
      <sheetData sheetId="3"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出荷予定表＆ご注文用紙"/>
    </sheetNames>
    <sheetDataSet>
      <sheetData sheetId="0">
        <row r="12">
          <cell r="F12">
            <v>220</v>
          </cell>
        </row>
        <row r="13">
          <cell r="F13">
            <v>230</v>
          </cell>
        </row>
        <row r="14">
          <cell r="F14">
            <v>480</v>
          </cell>
        </row>
        <row r="15">
          <cell r="F15" t="e">
            <v>#N/A</v>
          </cell>
        </row>
        <row r="16">
          <cell r="F16" t="e">
            <v>#N/A</v>
          </cell>
        </row>
        <row r="17">
          <cell r="F17">
            <v>298</v>
          </cell>
        </row>
        <row r="18">
          <cell r="F18" t="e">
            <v>#N/A</v>
          </cell>
        </row>
        <row r="19">
          <cell r="F19">
            <v>328</v>
          </cell>
        </row>
        <row r="20">
          <cell r="F20" t="e">
            <v>#N/A</v>
          </cell>
        </row>
        <row r="21">
          <cell r="F21" t="e">
            <v>#N/A</v>
          </cell>
        </row>
        <row r="22">
          <cell r="F22">
            <v>320</v>
          </cell>
        </row>
        <row r="23">
          <cell r="F23">
            <v>428</v>
          </cell>
        </row>
        <row r="24">
          <cell r="F24" t="str">
            <v>1個　380</v>
          </cell>
        </row>
        <row r="25">
          <cell r="F25" t="str">
            <v>1個　580</v>
          </cell>
        </row>
        <row r="26">
          <cell r="F26">
            <v>398</v>
          </cell>
        </row>
        <row r="28">
          <cell r="F28">
            <v>328</v>
          </cell>
        </row>
        <row r="29">
          <cell r="F29">
            <v>328</v>
          </cell>
        </row>
        <row r="31">
          <cell r="F31" t="e">
            <v>#N/A</v>
          </cell>
        </row>
        <row r="32">
          <cell r="F32">
            <v>328</v>
          </cell>
        </row>
        <row r="33">
          <cell r="F33">
            <v>398</v>
          </cell>
        </row>
        <row r="35">
          <cell r="F35">
            <v>298</v>
          </cell>
        </row>
        <row r="36">
          <cell r="F36">
            <v>398</v>
          </cell>
        </row>
        <row r="37">
          <cell r="F37" t="e">
            <v>#N/A</v>
          </cell>
        </row>
        <row r="38">
          <cell r="F38">
            <v>258</v>
          </cell>
        </row>
        <row r="39">
          <cell r="F39">
            <v>328</v>
          </cell>
        </row>
        <row r="40">
          <cell r="F40">
            <v>228</v>
          </cell>
        </row>
        <row r="41">
          <cell r="F41" t="e">
            <v>#N/A</v>
          </cell>
        </row>
        <row r="42">
          <cell r="F42">
            <v>298</v>
          </cell>
        </row>
        <row r="43">
          <cell r="F43">
            <v>248</v>
          </cell>
        </row>
        <row r="44">
          <cell r="F44" t="e">
            <v>#N/A</v>
          </cell>
        </row>
        <row r="45">
          <cell r="F45">
            <v>248</v>
          </cell>
        </row>
        <row r="46">
          <cell r="F46">
            <v>248</v>
          </cell>
        </row>
        <row r="47">
          <cell r="F47">
            <v>298</v>
          </cell>
        </row>
        <row r="48">
          <cell r="F48">
            <v>298</v>
          </cell>
        </row>
        <row r="49">
          <cell r="F49">
            <v>298</v>
          </cell>
        </row>
        <row r="50">
          <cell r="F50">
            <v>298</v>
          </cell>
        </row>
        <row r="51">
          <cell r="F51">
            <v>298</v>
          </cell>
        </row>
        <row r="52">
          <cell r="F52">
            <v>258</v>
          </cell>
        </row>
        <row r="53">
          <cell r="F53">
            <v>298</v>
          </cell>
        </row>
        <row r="54">
          <cell r="F54">
            <v>298</v>
          </cell>
        </row>
        <row r="55">
          <cell r="F55" t="e">
            <v>#N/A</v>
          </cell>
        </row>
        <row r="56">
          <cell r="F56">
            <v>298</v>
          </cell>
        </row>
        <row r="57">
          <cell r="F57">
            <v>248</v>
          </cell>
        </row>
        <row r="58">
          <cell r="F58">
            <v>298</v>
          </cell>
        </row>
        <row r="59">
          <cell r="F59">
            <v>228</v>
          </cell>
        </row>
        <row r="60">
          <cell r="F60">
            <v>298</v>
          </cell>
        </row>
        <row r="61">
          <cell r="F61">
            <v>248</v>
          </cell>
        </row>
        <row r="62">
          <cell r="F62" t="e">
            <v>#N/A</v>
          </cell>
        </row>
        <row r="63">
          <cell r="F63">
            <v>148</v>
          </cell>
        </row>
        <row r="64">
          <cell r="F64" t="e">
            <v>#N/A</v>
          </cell>
        </row>
        <row r="65">
          <cell r="F65">
            <v>298</v>
          </cell>
        </row>
        <row r="66">
          <cell r="F66">
            <v>298</v>
          </cell>
        </row>
        <row r="67">
          <cell r="F67" t="e">
            <v>#N/A</v>
          </cell>
        </row>
        <row r="68">
          <cell r="F68" t="e">
            <v>#N/A</v>
          </cell>
        </row>
        <row r="69">
          <cell r="F69" t="e">
            <v>#N/A</v>
          </cell>
        </row>
        <row r="70">
          <cell r="F70">
            <v>248</v>
          </cell>
        </row>
        <row r="71">
          <cell r="F71">
            <v>328</v>
          </cell>
        </row>
        <row r="72">
          <cell r="F72" t="e">
            <v>#N/A</v>
          </cell>
        </row>
        <row r="73">
          <cell r="F73">
            <v>198</v>
          </cell>
        </row>
        <row r="74">
          <cell r="F74">
            <v>198</v>
          </cell>
        </row>
        <row r="75">
          <cell r="F75">
            <v>248</v>
          </cell>
        </row>
        <row r="76">
          <cell r="F76" t="str">
            <v>不要</v>
          </cell>
        </row>
        <row r="77">
          <cell r="F77" t="e">
            <v>#N/A</v>
          </cell>
        </row>
        <row r="78">
          <cell r="F78">
            <v>158</v>
          </cell>
        </row>
        <row r="79">
          <cell r="F79">
            <v>268</v>
          </cell>
        </row>
        <row r="80">
          <cell r="F80" t="e">
            <v>#N/A</v>
          </cell>
        </row>
        <row r="81">
          <cell r="F81">
            <v>158</v>
          </cell>
        </row>
        <row r="82">
          <cell r="F82" t="e">
            <v>#N/A</v>
          </cell>
        </row>
        <row r="83">
          <cell r="F83">
            <v>128</v>
          </cell>
        </row>
        <row r="84">
          <cell r="F84">
            <v>178</v>
          </cell>
        </row>
        <row r="85">
          <cell r="F85" t="e">
            <v>#N/A</v>
          </cell>
        </row>
        <row r="86">
          <cell r="F86">
            <v>158</v>
          </cell>
        </row>
        <row r="87">
          <cell r="F87">
            <v>198</v>
          </cell>
        </row>
        <row r="88">
          <cell r="F88">
            <v>198</v>
          </cell>
        </row>
        <row r="89">
          <cell r="F89">
            <v>198</v>
          </cell>
        </row>
        <row r="90">
          <cell r="F90" t="e">
            <v>#N/A</v>
          </cell>
        </row>
        <row r="91">
          <cell r="F91" t="e">
            <v>#N/A</v>
          </cell>
        </row>
        <row r="92">
          <cell r="F92">
            <v>248</v>
          </cell>
        </row>
        <row r="93">
          <cell r="F93" t="e">
            <v>#N/A</v>
          </cell>
        </row>
        <row r="94">
          <cell r="F94">
            <v>298</v>
          </cell>
        </row>
        <row r="95">
          <cell r="F95" t="e">
            <v>#N/A</v>
          </cell>
        </row>
        <row r="96">
          <cell r="F96">
            <v>258</v>
          </cell>
        </row>
        <row r="97">
          <cell r="F97" t="e">
            <v>#N/A</v>
          </cell>
        </row>
        <row r="98">
          <cell r="F98" t="e">
            <v>#N/A</v>
          </cell>
        </row>
        <row r="99">
          <cell r="F99" t="str">
            <v>不要</v>
          </cell>
        </row>
        <row r="100">
          <cell r="F100">
            <v>328</v>
          </cell>
        </row>
        <row r="101">
          <cell r="F101">
            <v>358</v>
          </cell>
        </row>
        <row r="102">
          <cell r="F102" t="e">
            <v>#N/A</v>
          </cell>
        </row>
        <row r="103">
          <cell r="F103" t="e">
            <v>#N/A</v>
          </cell>
        </row>
        <row r="104">
          <cell r="F104" t="e">
            <v>#N/A</v>
          </cell>
        </row>
        <row r="105">
          <cell r="F105">
            <v>380</v>
          </cell>
        </row>
        <row r="106">
          <cell r="F106">
            <v>380</v>
          </cell>
        </row>
        <row r="107">
          <cell r="F107" t="e">
            <v>#N/A</v>
          </cell>
        </row>
        <row r="108">
          <cell r="F108" t="e">
            <v>#N/A</v>
          </cell>
        </row>
        <row r="109">
          <cell r="F109" t="e">
            <v>#N/A</v>
          </cell>
        </row>
        <row r="110">
          <cell r="F110" t="e">
            <v>#N/A</v>
          </cell>
        </row>
        <row r="111">
          <cell r="F111">
            <v>248</v>
          </cell>
        </row>
        <row r="112">
          <cell r="F112" t="e">
            <v>#N/A</v>
          </cell>
        </row>
        <row r="113">
          <cell r="F113">
            <v>298</v>
          </cell>
        </row>
        <row r="114">
          <cell r="F114" t="e">
            <v>#N/A</v>
          </cell>
        </row>
        <row r="115">
          <cell r="F115" t="e">
            <v>#N/A</v>
          </cell>
        </row>
        <row r="116">
          <cell r="F116" t="e">
            <v>#N/A</v>
          </cell>
        </row>
        <row r="117">
          <cell r="F117" t="e">
            <v>#N/A</v>
          </cell>
        </row>
        <row r="118">
          <cell r="F118" t="e">
            <v>#N/A</v>
          </cell>
        </row>
        <row r="119">
          <cell r="F119" t="e">
            <v>#N/A</v>
          </cell>
        </row>
        <row r="120">
          <cell r="F120">
            <v>248</v>
          </cell>
        </row>
        <row r="121">
          <cell r="F121">
            <v>248</v>
          </cell>
        </row>
        <row r="122">
          <cell r="F122" t="e">
            <v>#N/A</v>
          </cell>
        </row>
        <row r="123">
          <cell r="F123">
            <v>298</v>
          </cell>
        </row>
        <row r="124">
          <cell r="F124" t="e">
            <v>#N/A</v>
          </cell>
        </row>
        <row r="125">
          <cell r="F125" t="e">
            <v>#N/A</v>
          </cell>
        </row>
        <row r="126">
          <cell r="F126">
            <v>248</v>
          </cell>
        </row>
        <row r="127">
          <cell r="F127" t="e">
            <v>#N/A</v>
          </cell>
        </row>
        <row r="128">
          <cell r="F128" t="e">
            <v>#N/A</v>
          </cell>
        </row>
        <row r="129">
          <cell r="F129">
            <v>148</v>
          </cell>
        </row>
        <row r="131">
          <cell r="F131" t="e">
            <v>#N/A</v>
          </cell>
        </row>
        <row r="132">
          <cell r="F132">
            <v>428</v>
          </cell>
        </row>
        <row r="133">
          <cell r="F133" t="str">
            <v>2玉　580</v>
          </cell>
        </row>
        <row r="134">
          <cell r="F134" t="str">
            <v>2玉　480</v>
          </cell>
        </row>
        <row r="135">
          <cell r="F135">
            <v>358</v>
          </cell>
        </row>
        <row r="136">
          <cell r="F136" t="str">
            <v>不要</v>
          </cell>
        </row>
        <row r="137">
          <cell r="F137" t="str">
            <v>不要</v>
          </cell>
        </row>
        <row r="138">
          <cell r="F138" t="str">
            <v>1個　248</v>
          </cell>
        </row>
        <row r="139">
          <cell r="F139" t="e">
            <v>#N/A</v>
          </cell>
        </row>
        <row r="140">
          <cell r="F140" t="e">
            <v>#N/A</v>
          </cell>
        </row>
        <row r="141">
          <cell r="F141" t="e">
            <v>#N/A</v>
          </cell>
        </row>
        <row r="142">
          <cell r="F142" t="e">
            <v>#N/A</v>
          </cell>
        </row>
        <row r="143">
          <cell r="F143" t="e">
            <v>#N/A</v>
          </cell>
        </row>
        <row r="144">
          <cell r="F144" t="e">
            <v>#N/A</v>
          </cell>
        </row>
      </sheetData>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中林千里" refreshedDate="45816.57848425926" createdVersion="1" refreshedVersion="8" recordCount="1049" r:id="rId1">
  <cacheSource type="external" connectionId="4141"/>
  <cacheFields count="9">
    <cacheField name="得意先EDPNo" uniqueList="1" numFmtId="0" sqlType="0" hierarchy="0" level="0" databaseField="1">
      <sharedItems count="80" containsInteger="1" containsNumber="1" containsSemiMixedTypes="0" containsString="0" minValue="164" maxValue="2568">
        <n v="205"/>
        <n v="2367"/>
        <n v="2492"/>
        <n v="1135"/>
        <n v="208"/>
        <n v="2560"/>
        <n v="2333"/>
        <n v="2475"/>
        <n v="2541"/>
        <n v="1185"/>
        <n v="592"/>
        <n v="2562"/>
        <n v="2340"/>
        <n v="2480"/>
        <n v="2549"/>
        <n v="1199"/>
        <n v="593"/>
        <n v="2530"/>
        <n v="1094"/>
        <n v="2414"/>
        <n v="2505"/>
        <n v="1138"/>
        <n v="2559"/>
        <n v="2343"/>
        <n v="1121"/>
        <n v="2568"/>
        <n v="2244"/>
        <n v="628"/>
        <n v="679"/>
        <n v="2535"/>
        <n v="2270"/>
        <n v="2463"/>
        <n v="2540"/>
        <n v="1175"/>
        <n v="506"/>
        <n v="672"/>
        <n v="681"/>
        <n v="882"/>
        <n v="2448"/>
        <n v="2498"/>
        <n v="675"/>
        <n v="687"/>
        <n v="1057"/>
        <n v="2536"/>
        <n v="243"/>
        <n v="951"/>
        <n v="2534"/>
        <n v="2556"/>
        <n v="318"/>
        <n v="673"/>
        <n v="682"/>
        <n v="924"/>
        <n v="2532"/>
        <n v="2476"/>
        <n v="816"/>
        <n v="2497"/>
        <n v="2500"/>
        <n v="2527"/>
        <n v="677"/>
        <n v="780"/>
        <n v="1069"/>
        <n v="2518"/>
        <n v="184"/>
        <n v="674"/>
        <n v="686"/>
        <n v="1048"/>
        <n v="639"/>
        <n v="210"/>
        <n v="2411"/>
        <n v="1029"/>
        <n v="724"/>
        <n v="1186"/>
        <n v="2501"/>
        <n v="185"/>
        <n v="164"/>
        <n v="2558"/>
        <n v="2555"/>
        <n v="763"/>
        <n v="2543"/>
        <n v="2515"/>
      </sharedItems>
    </cacheField>
    <cacheField name="得意先コード" uniqueList="1" numFmtId="0" sqlType="0" hierarchy="0" level="0" databaseField="1">
      <sharedItems count="80">
        <s v="303"/>
        <s v="303-14"/>
        <s v="303-20"/>
        <s v="303-3"/>
        <s v="305"/>
        <s v="604-24"/>
        <s v="303-11"/>
        <s v="303-18"/>
        <s v="303-23"/>
        <s v="303-6"/>
        <s v="334"/>
        <s v="604-26"/>
        <s v="303-12"/>
        <s v="303-19"/>
        <s v="303-24"/>
        <s v="303-7"/>
        <s v="335"/>
        <s v="604-08"/>
        <s v="303-1"/>
        <s v="303-15"/>
        <s v="303-21"/>
        <s v="303-4"/>
        <s v="604-23"/>
        <s v="303-13"/>
        <s v="303-2"/>
        <s v="303-25"/>
        <s v="303-9"/>
        <s v="337"/>
        <s v="358"/>
        <s v="604-11"/>
        <s v="303-10"/>
        <s v="303-17"/>
        <s v="303-22"/>
        <s v="303-5"/>
        <s v="328"/>
        <s v="346"/>
        <s v="360"/>
        <s v="547"/>
        <s v="902-12"/>
        <s v="604-02"/>
        <s v="349"/>
        <s v="366"/>
        <s v="576"/>
        <s v="604-12"/>
        <s v="258"/>
        <s v="612"/>
        <s v="604-10"/>
        <s v="902-14"/>
        <s v="318"/>
        <s v="347"/>
        <s v="361"/>
        <s v="570"/>
        <s v="604-09"/>
        <s v="612-2"/>
        <s v="451"/>
        <s v="604-01"/>
        <s v="604-04"/>
        <s v="254-4"/>
        <s v="356"/>
        <s v="417"/>
        <s v="684"/>
        <s v="604-06"/>
        <s v="250"/>
        <s v="348"/>
        <s v="365"/>
        <s v="574"/>
        <s v="342"/>
        <s v="901"/>
        <s v="254-2"/>
        <s v="491-1"/>
        <s v="902"/>
        <s v="612-1"/>
        <s v="254-3"/>
        <s v="251"/>
        <s v="244"/>
        <s v="604-22"/>
        <s v="604-21"/>
        <s v="396"/>
        <s v="901-2"/>
        <s v="696-4"/>
      </sharedItems>
    </cacheField>
    <cacheField name="配送" uniqueList="1" numFmtId="0" sqlType="0" hierarchy="0" level="0" databaseField="1">
      <sharedItems count="9">
        <s v="ﾗﾐ(こだ)"/>
        <s v="ﾗﾐ"/>
        <s v="社内便1"/>
        <s v="社内便3"/>
        <s v="社内便2"/>
        <s v="ﾗﾐ(ｻﾈｯﾄ行)"/>
        <s v="その他"/>
        <s v=""/>
        <s v="桜花便"/>
      </sharedItems>
    </cacheField>
    <cacheField name="得意先名" uniqueList="1" numFmtId="0" sqlType="0" hierarchy="0" level="0" databaseField="1">
      <sharedItems count="80">
        <s v="こだISP"/>
        <s v="こだ金町"/>
        <s v="こだ自由が丘"/>
        <s v="こだ海老名"/>
        <s v="こだ田無"/>
        <s v="六本木(日配)"/>
        <s v="こだ中村橋"/>
        <s v="こだ吉祥寺"/>
        <s v="こだ中野"/>
        <s v="こだ辻堂"/>
        <s v="こだ港南台"/>
        <s v="虎ノ門(日配)"/>
        <s v="こだ溝口"/>
        <s v="こだｾﾝﾀｰ北"/>
        <s v="こだ平塚"/>
        <s v="こだ三軒茶屋"/>
        <s v="こだ藤沢"/>
        <s v="虎ノ門惣菜"/>
        <s v="こだ丸広川越"/>
        <s v="こだ八王子"/>
        <s v="こだ上野"/>
        <s v="こだ戸塚"/>
        <s v="福・本店(日配)"/>
        <s v="こだ大船"/>
        <s v="こだおおたか"/>
        <s v="こだ川口"/>
        <s v="こだ国分寺"/>
        <s v="こだ東戸塚"/>
        <s v="こだ橋本"/>
        <s v="アキバ惣菜"/>
        <s v="こだ市川"/>
        <s v="こだ船橋"/>
        <s v="こだ新百合"/>
        <s v="こだｴﾐｵ所沢"/>
        <s v="こだ横浜"/>
        <s v="こだ大宮"/>
        <s v="こだ所沢"/>
        <s v="こだ錦糸町"/>
        <s v="おちかわ屋"/>
        <s v="六本木"/>
        <s v="こだ本厚"/>
        <s v="こだ浦和"/>
        <s v="こだ永福町"/>
        <s v="虎ノ門(ｎｏｙａ)"/>
        <s v="えころじあ"/>
        <s v="ﾌｰﾄﾞ学芸大"/>
        <s v="六本木惣菜"/>
        <s v="直売秋葉原"/>
        <s v="こだ新宿"/>
        <s v="こだ新横"/>
        <s v="こだ千葉"/>
        <s v="こだ大野"/>
        <s v="福・本店惣菜"/>
        <s v="代官山"/>
        <s v="こだ草加"/>
        <s v="福・本店"/>
        <s v="虎ノ門"/>
        <s v="ｱﾝﾄﾞ大泉"/>
        <s v="こだ調布"/>
        <s v="こだ昭島"/>
        <s v="こだｵﾀﾞｻｶﾞ"/>
        <s v="ﾌｧﾝﾀｽ"/>
        <s v="あしたば"/>
        <s v="こだ狛江"/>
        <s v="こだ川崎"/>
        <s v="こだ三鷹"/>
        <s v="ﾎﾞﾝ永山"/>
        <s v="諸口"/>
        <s v="松戸"/>
        <s v="東一"/>
        <s v="直売所"/>
        <s v="ﾌｰﾄﾞ湘南"/>
        <s v="ひばりが丘"/>
        <s v="ﾅﾓ商会"/>
        <s v="ペペ"/>
        <s v="四季菜"/>
        <s v="虎ノ門ＷＡＴ"/>
        <s v="ﾎﾞﾝ横浜"/>
        <s v="福・本店(加工)"/>
        <s v="長岡"/>
      </sharedItems>
    </cacheField>
    <cacheField name="商品EDPNo" uniqueList="1" numFmtId="0" sqlType="0" hierarchy="0" level="0" databaseField="1">
      <sharedItems count="169" containsInteger="1" containsNumber="1" containsSemiMixedTypes="0" containsString="0" minValue="707" maxValue="15682">
        <n v="9034"/>
        <n v="9038"/>
        <n v="4653"/>
        <n v="8562"/>
        <n v="8554"/>
        <n v="13322"/>
        <n v="14841"/>
        <n v="4941"/>
        <n v="15675"/>
        <n v="14111"/>
        <n v="12647"/>
        <n v="14983"/>
        <n v="13754"/>
        <n v="707"/>
        <n v="13403"/>
        <n v="7804"/>
        <n v="8508"/>
        <n v="15624"/>
        <n v="8713"/>
        <n v="1103"/>
        <n v="15663"/>
        <n v="7322"/>
        <n v="13269"/>
        <n v="13372"/>
        <n v="4533"/>
        <n v="8585"/>
        <n v="14863"/>
        <n v="8464"/>
        <n v="7335"/>
        <n v="7321"/>
        <n v="13270"/>
        <n v="12140"/>
        <n v="7331"/>
        <n v="15664"/>
        <n v="13863"/>
        <n v="7852"/>
        <n v="9055"/>
        <n v="9059"/>
        <n v="12119"/>
        <n v="7365"/>
        <n v="15672"/>
        <n v="15620"/>
        <n v="11083"/>
        <n v="15658"/>
        <n v="8547"/>
        <n v="7440"/>
        <n v="11794"/>
        <n v="2496"/>
        <n v="13520"/>
        <n v="15521"/>
        <n v="14985"/>
        <n v="13214"/>
        <n v="6404"/>
        <n v="13862"/>
        <n v="8334"/>
        <n v="1957"/>
        <n v="7803"/>
        <n v="15523"/>
        <n v="8810"/>
        <n v="11138"/>
        <n v="15641"/>
        <n v="10644"/>
        <n v="7329"/>
        <n v="1983"/>
        <n v="14919"/>
        <n v="2814"/>
        <n v="715"/>
        <n v="13519"/>
        <n v="4969"/>
        <n v="7799"/>
        <n v="15674"/>
        <n v="14947"/>
        <n v="12566"/>
        <n v="12248"/>
        <n v="14955"/>
        <n v="14890"/>
        <n v="15673"/>
        <n v="3601"/>
        <n v="4291"/>
        <n v="13426"/>
        <n v="4983"/>
        <n v="7323"/>
        <n v="9178"/>
        <n v="14108"/>
        <n v="12278"/>
        <n v="15657"/>
        <n v="903"/>
        <n v="14708"/>
        <n v="4013"/>
        <n v="14162"/>
        <n v="14736"/>
        <n v="15661"/>
        <n v="14203"/>
        <n v="14892"/>
        <n v="15570"/>
        <n v="15668"/>
        <n v="10685"/>
        <n v="7333"/>
        <n v="15682"/>
        <n v="15642"/>
        <n v="1760"/>
        <n v="10498"/>
        <n v="8578"/>
        <n v="14734"/>
        <n v="12277"/>
        <n v="8120"/>
        <n v="8629"/>
        <n v="15235"/>
        <n v="7880"/>
        <n v="12147"/>
        <n v="5462"/>
        <n v="9302"/>
        <n v="15563"/>
        <n v="15633"/>
        <n v="4848"/>
        <n v="15571"/>
        <n v="15606"/>
        <n v="15644"/>
        <n v="4668"/>
        <n v="15182"/>
        <n v="5408"/>
        <n v="15445"/>
        <n v="6450"/>
        <n v="15643"/>
        <n v="8656"/>
        <n v="14856"/>
        <n v="8503"/>
        <n v="5132"/>
        <n v="14722"/>
        <n v="13615"/>
        <n v="12292"/>
        <n v="8916"/>
        <n v="15671"/>
        <n v="10177"/>
        <n v="13028"/>
        <n v="14785"/>
        <n v="8469"/>
        <n v="15618"/>
        <n v="13533"/>
        <n v="13001"/>
        <n v="6242"/>
        <n v="6225"/>
        <n v="6243"/>
        <n v="7304"/>
        <n v="7847"/>
        <n v="7898"/>
        <n v="6237"/>
        <n v="15579"/>
        <n v="15576"/>
        <n v="12746"/>
        <n v="15637"/>
        <n v="15651"/>
        <n v="12867"/>
        <n v="12994"/>
        <n v="14735"/>
        <n v="8555"/>
        <n v="14946"/>
        <n v="15680"/>
        <n v="5792"/>
        <n v="14728"/>
        <n v="15676"/>
        <n v="4710"/>
        <n v="15656"/>
        <n v="13423"/>
        <n v="8559"/>
        <n v="15681"/>
        <n v="12686"/>
        <n v="15648"/>
        <n v="13778"/>
      </sharedItems>
    </cacheField>
    <cacheField name="商品コード" uniqueList="1" numFmtId="0" sqlType="0" hierarchy="0" level="0" databaseField="1">
      <sharedItems count="169">
        <s v="1261-147"/>
        <s v="1509-82"/>
        <s v="1593-22"/>
        <s v="1533-150"/>
        <s v="1516-38"/>
        <s v="1589-138"/>
        <s v="1564-100"/>
        <s v="1824-2"/>
        <s v="1660-5"/>
        <s v="1614-280"/>
        <s v="1707-103"/>
        <s v="1868-21"/>
        <s v="1804-5"/>
        <s v="1812"/>
        <s v="1898-5"/>
        <s v="1857-29"/>
        <s v="1049-85"/>
        <s v="1072-3"/>
        <s v="1393-3"/>
        <s v="4011"/>
        <s v="1889-15"/>
        <s v="1408-72"/>
        <s v="1409-160"/>
        <s v="1419-15"/>
        <s v="1448-17"/>
        <s v="1584-39"/>
        <s v="1593-113"/>
        <s v="1654-75"/>
        <s v="1869-1"/>
        <s v="1883-15"/>
        <s v="1408-166"/>
        <s v="1468-3"/>
        <s v="1409-81"/>
        <s v="1521-17"/>
        <s v="2210-2"/>
        <s v="1250-35"/>
        <s v="1261-148"/>
        <s v="1261-149"/>
        <s v="1404-24"/>
        <s v="1561-54"/>
        <s v="1612-24"/>
        <s v="1638-112"/>
        <s v="1821-2"/>
        <s v="1216-362"/>
        <s v="1232-114"/>
        <s v="1443-28"/>
        <s v="1261-239"/>
        <s v="1647-2"/>
        <s v="1807-56"/>
        <s v="1840-14"/>
        <s v="1050-25"/>
        <s v="1277-179"/>
        <s v="1365-17"/>
        <s v="2210-1"/>
        <s v="1248-25"/>
        <s v="1225-7"/>
        <s v="1241-197"/>
        <s v="1250-91"/>
        <s v="1419-1"/>
        <s v="1509-118"/>
        <s v="1856-85"/>
        <s v="1016-25"/>
        <s v="1407-14"/>
        <s v="1225-9"/>
        <s v="1404-28"/>
        <s v="1804-1"/>
        <s v="1820"/>
        <s v="1807-55"/>
        <s v="1353-5"/>
        <s v="1241-194"/>
        <s v="1502-149"/>
        <s v="1875-15"/>
        <s v="1898-3"/>
        <s v="1277-130"/>
        <s v="1543-134"/>
        <s v="1419-35"/>
        <s v="1612-25"/>
        <s v="1823-2"/>
        <s v="1232-13"/>
        <s v="1588-25"/>
        <s v="1838-12"/>
        <s v="1448-36"/>
        <s v="1606-96"/>
        <s v="1614-279"/>
        <s v="1621-65"/>
        <s v="1216-361"/>
        <s v="2206"/>
        <s v="1835-4"/>
        <s v="1840-4"/>
        <s v="1621-73"/>
        <s v="1883-56"/>
        <s v="1316-313"/>
        <s v="1358-50"/>
        <s v="1117-12"/>
        <s v="1148-149"/>
        <s v="1502-148"/>
        <s v="1509-108"/>
        <s v="1470-55"/>
        <s v="1601-82"/>
        <s v="1647-50"/>
        <s v="1614-3"/>
        <s v="1661-15"/>
        <s v="1588-15"/>
        <s v="1261-370"/>
        <s v="1621-64"/>
        <s v="1239-233"/>
        <s v="1017-15"/>
        <s v="1820-5"/>
        <s v="1226-200"/>
        <s v="1393-40"/>
        <s v="1720-22"/>
        <s v="1049-99"/>
        <s v="1050-26"/>
        <s v="1072-4"/>
        <s v="1063-6"/>
        <s v="1148-150"/>
        <s v="1148-151"/>
        <s v="1170-29"/>
        <s v="1606-42"/>
        <s v="1898-12"/>
        <s v="1109-9"/>
        <s v="1316-307"/>
        <s v="1049-67"/>
        <s v="1148-152"/>
        <s v="1533-160"/>
        <s v="1516-104"/>
        <s v="1619-68"/>
        <s v="5301-7"/>
        <s v="1261-369"/>
        <s v="1409-166"/>
        <s v="1407-20"/>
        <s v="1869-9"/>
        <s v="1889-16"/>
        <s v="1353-18"/>
        <s v="1250-70"/>
        <s v="1241-644"/>
        <s v="1238-190"/>
        <s v="1226-437"/>
        <s v="1807-57"/>
        <s v="1881-9"/>
        <s v="2392-20"/>
        <s v="2392-21"/>
        <s v="2392-22"/>
        <s v="2392-29"/>
        <s v="2392-31"/>
        <s v="2392-32"/>
        <s v="2392-15"/>
        <s v="1638-110"/>
        <s v="1707-127"/>
        <s v="1241-519"/>
        <s v="1266-272"/>
        <s v="1684-94"/>
        <s v="1806-2"/>
        <s v="1881-8"/>
        <s v="1883-55"/>
        <s v="1589-57"/>
        <s v="1569-23"/>
        <s v="1409-197"/>
        <s v="1601-46"/>
        <s v="1241-640"/>
        <s v="1170-31"/>
        <s v="1151-16"/>
        <s v="1316-312"/>
        <s v="1533-249"/>
        <s v="1516-39"/>
        <s v="1883-61"/>
        <s v="1509-161"/>
        <s v="1225-456"/>
        <s v="1408-179"/>
      </sharedItems>
    </cacheField>
    <cacheField name="商品名" uniqueList="1" numFmtId="0" sqlType="0" hierarchy="0" level="0" databaseField="1">
      <sharedItems count="169">
        <s v="■有機大根 洗い 裸 10本(丸和)"/>
        <s v="■有機キャベツ ８玉箱（丸和）"/>
        <s v="有機ベビー白菜 １個袋 (さんぶ)"/>
        <s v="有機 玉レタス ﾗｯﾌﾟ 1個(ﾌｧｰﾏｰｽﾞ)◇"/>
        <s v="有機サニーﾚﾀｽ　ﾗｯﾌﾟ 1個(ﾌｧｰﾏｰｽﾞ)◇"/>
        <s v="有機リーフﾚﾀｽ ﾗｯﾌﾟ1個(やさと・産ﾊﾟ)"/>
        <s v="長ねぎ　ﾑｷ ２本袋(ﾊｲﾊｰﾊﾞｰ)◇"/>
        <s v="有機パセリ 30g袋 (大地と自然)"/>
        <s v="イエローミニトマト　150ｇ(沃土会)"/>
        <s v="□有機ﾐﾆﾄﾏﾄ「ｱｲｺ」３kg(肥後あゆみ)"/>
        <s v="有機ズッキーニ緑 １本袋(キテレツ)◇"/>
        <s v="有機生きくらげ(菌床) 50ｇ(太洋社)"/>
        <s v="ｶｯﾄぶなしめじ 90ｇ(ﾐｽｽﾞ)"/>
        <s v="えのき茸 １００ｇ(ﾐｽｽﾞ)"/>
        <s v="有機ブラウンマッシュルーム 70g(舟形)"/>
        <s v="有機しょうが　100g袋 (夢有民・産ﾊﾟ)"/>
        <s v="■有機レモン 10kg (中川栄)◇"/>
        <s v="■りんご「ふじ」10ｋｇ（津軽）"/>
        <s v="瀬戸さん（野菜の里）の有機野菜セット"/>
        <s v="運賃(税抜)"/>
        <s v="有機大葉 １０枚ﾊﾟｯｸ (矢澤園芸)"/>
        <s v="有機ほうれん草　150g袋 (わ～ふぁ)"/>
        <s v="有機小松菜　200g(北総)"/>
        <s v="有機ケール　緑 80ｇ(富岡)"/>
        <s v="春菊　150g(さんぶ)"/>
        <s v="有機ロメインﾚﾀｽ ﾗｯﾌﾟ 1個(ﾌｧｰﾏｰｽﾞ)◇"/>
        <s v="ミニ白菜　1個袋(せっせと畑)◇不不"/>
        <s v="有機ピーマン　150g（SOHﾌｧｰﾑ）◇"/>
        <s v="有機パクチー　30ｇ（わ～ふぁ）"/>
        <s v="有機ｻﾗﾀﾞﾍﾞﾋﾞｰﾐｯｸｽ 40gﾊﾟｯｸ (わ～ふぁ)"/>
        <s v="有機ほうれん草　150ｇ(北総)"/>
        <s v="有機山東菜　150ｇ（わ～ふぁ）"/>
        <s v="有機小松菜　200g袋 (わ～ふぁ)"/>
        <s v="グリーンボール　１個袋(せっせと畑)◇"/>
        <s v="■卵「もみじ」Ｍ 10㎏(大松)"/>
        <s v="有機ごぼう 泥  200ｇ（みちのく）"/>
        <s v="有機大根 洗い 1本袋 (丸和)◇"/>
        <s v="有機カット大根 洗い 1/2本袋×4 (丸和)◇"/>
        <s v="ほうれん草 150g(八ヶ岳ｸﾞﾘｰﾝ井出)不不"/>
        <s v="長ねぎ ムキ 300g (さんぶ)不不"/>
        <s v="□ミニトマト　３kg箱(ｼｪｱｶﾞｰﾃﾞﾝ)"/>
        <s v="なす　400ｇ(石毛)菌2虫1(=9割減)・不"/>
        <s v="エリンギ 100g (ミスズ)"/>
        <s v="じゃが芋「ﾒｰｸｲﾝ」500g(長有研)◇"/>
        <s v="じゃが芋｢ﾆｼﾕﾀｶ｣ 500g(長有研)◇不不"/>
        <s v="有機ちんげん菜　２株(わ～ふぁ)"/>
        <s v="有機短大根（葉切り洗い）1本袋(加瀬)"/>
        <s v="中玉とまと 200g (さんぶ)"/>
        <s v="有機生しいたけ(菌床)不揃200g袋(太洋社)"/>
        <s v="有機にら 100ｇ (北総)"/>
        <s v="■河内晩柑　９kg箱(大矢野)8割減・不"/>
        <s v="有機ビーツ 300g袋(かごしま)◇"/>
        <s v="らっきょう　泥　1kg袋 (まるよし)◇"/>
        <s v="■卵「もみじ」Ｌ 10㎏(大松)"/>
        <s v="有機葉付人参 2～4本入 (加瀬)"/>
        <s v="■有機 玉ねぎ 混 10kg(長有研)"/>
        <s v="有機人参 洗い　400g(加瀬)◇"/>
        <s v="ごぼう 泥  200ｇ(津軽産直組合)不不"/>
        <s v="有機フリルケール　３枚入（わ～ふぁ）"/>
        <s v="有機キャベツ １玉包（丸和）◇"/>
        <s v="にんにく　1玉(せっせと畑)◇"/>
        <s v="有機あまなつ　600ｇ (早藤)◇"/>
        <s v="有機ルッコラ 50g袋 (わ～ふぁ)"/>
        <s v="■玉ねぎ 混 10kg(長有研）不不"/>
        <s v="■ほうれん草 5kg (八ヶ岳グリーン)不不"/>
        <s v="しめじほぐし(ｶｯﾄぶなしめじ)　500ｇ(ﾐｽｽﾞ)"/>
        <s v="一株なめこ １７０ｇ(ﾐｽｽﾞ)"/>
        <s v="有機生しいたけ(菌床)100gﾄﾚｰ(太洋社)"/>
        <s v="有機長いも　200ｇ（みちのく）"/>
        <s v="■有機人参 洗い LM 10kg箱（加瀬）"/>
        <s v="■キャベツ　８玉ｺﾝﾃﾅ(キテレツ)不不"/>
        <s v="有機ラディッシュ　4～6玉袋(やさと)"/>
        <s v="有機ホワイトマッシュルーム 70g(舟形)"/>
        <s v="有機かぶ白　２～３玉袋（飯田）"/>
        <s v="ブロッコリー1個袋(那須・益子美好)6割・不"/>
        <s v="有機ケール　80ｇ(まるた)"/>
        <s v="ミニトマト　150ｇ(ｼｪｱｶﾞｰﾃﾞﾝ)◇"/>
        <s v="有機おかひじき 70gﾊﾟｯｸ (寺島)"/>
        <s v="■じゃが芋｢ﾆｼﾕﾀｶ｣10kg(長有研）無無"/>
        <s v="有機レッドフリルﾚﾀｽ ﾗｯﾌﾟ １個(ﾌｧｰﾏｰｽﾞ)◇"/>
        <s v="有機青ねぎ 100ｇ (大地と自然)"/>
        <s v="有機春菊　100ｇ(わ～ふぁ)"/>
        <s v="有機トマト１袋（220ｇ～)(澤村)◇"/>
        <s v="有機ﾐﾆﾄﾏﾄ「アイコ」150ｇ(肥後あゆみ)◇"/>
        <s v="きゅうり　２本袋(石毛)◇"/>
        <s v="■じゃが芋「ﾒｰｸｲﾝ」10kg(長有研)8割減・不"/>
        <s v="■浅間とり牧場の自然卵　１０ｋｇ　Ｌ"/>
        <s v="□小ねぎ 100ｇ×20入(伊藤昇)7割減・5割減"/>
        <s v="有機にら 100ｇ (大地と自然)"/>
        <s v="きゅうり　３本袋(石毛)◇"/>
        <s v="有機ベビーリーフ　大袋　500ｇ(HATAKE)"/>
        <s v="ｻﾂﾏ芋「シルクスイート」700g(齊藤光正)◇"/>
        <s v="有機 赤玉ねぎ 混 400g(雲仙)◇"/>
        <s v="□タカミレッドメロン 4kg箱 (長有研）"/>
        <s v="有機ｻﾝｺﾞｰﾙﾄﾞｷｳｲﾌﾙｰﾂ ３玉(ゼスプリ)◇"/>
        <s v="キャベツ　1個袋(キテレツ)不不"/>
        <s v="有機グリーンボール　1玉(ﾌｧｰﾏｰｽﾞ)◇"/>
        <s v="有機水菜 200g袋 (わ～ふぁ・産ﾊﾟ)"/>
        <s v="トマト ｽﾀﾝﾄﾞﾊﾞｯｸﾞ約500g(沃土会)◇"/>
        <s v="中玉トマト 250g (沃土会)"/>
        <s v="ミニトマト　150ｇ（沃土会）"/>
        <s v="パプリカ　１個袋200ｇ(高生連)"/>
        <s v="有機フリルレタス ﾗｯﾌﾟ １個(ﾌｧｰﾏｰｽﾞ)◇"/>
        <s v="■大根　裸10本(多田孝一)虫2・不　千葉"/>
        <s v="□きゅうり 5kg箱(太一興陽石毛)菌5虫8・不"/>
        <s v="人参　洗い  400g(長有研)◇"/>
        <s v="■有機あまなつ 10ｋｇ(早藤）"/>
        <s v="小粒なめこ 100ｇ(熊谷)"/>
        <s v="有機玉ねぎ　500ｇ(長有研)◇"/>
        <s v="ｷﾃﾚﾂﾌｧｰﾑの野菜ｾｯﾄ"/>
        <s v="枝豆　200g袋（さんぶ）"/>
        <s v="有機レモン １個袋(中川栄)◇"/>
        <s v="河内晩柑　600ｇ（大矢野有機）◇"/>
        <s v="■りんご「ふじ」10ｋｇの半分（津軽）"/>
        <s v="□りんご「ｼﾅﾉｺﾞｰﾙﾄﾞ」5kg(片桐)"/>
        <s v="■有機ｻﾝｺﾞｰﾙﾄﾞｷｳｲﾌﾙｰﾂ48玉箱(ゼスプリ)"/>
        <s v="■有機ｷｳｲﾌﾙｰﾂグリーン 30玉箱(ゼスプリ)"/>
        <s v="■エクアドルバナナ 600g袋×16入　非有機"/>
        <s v="□有機トマト４kg箱 (澤村)"/>
        <s v="有機ブラウンﾏｯｼｭﾙｰﾑ 150ｇﾍﾞﾋﾞｰﾍﾞﾗ(舟形)"/>
        <s v="□タカミメロン ４kg箱 (長有研）"/>
        <s v="ｻﾂﾏ芋「すずほっくり」700g(斉藤光正)◇"/>
        <s v="有機レモン 1kg袋 (中川栄)◇"/>
        <s v="有機グリーンｷｳｲﾌﾙｰﾂ ３玉(ゼスプリ)◇"/>
        <s v="有機レタス ラップ 1個(富岡・産ﾊﾟ)"/>
        <s v="有機サニーﾚﾀｽ　1個袋　(富岡・産ﾊﾟ)"/>
        <s v="きゅうり　２本袋（沃土会）"/>
        <s v="もみしそ 300g(ﾊﾟﾝﾄﾞﾗ)"/>
        <s v="大根　 1本袋(多田孝一)虫2・不　千葉"/>
        <s v="有機小松菜　200g袋×４(北総)東一"/>
        <s v="有機ルッコラ 50g袋×５(わ～ふぁ)東一"/>
        <s v="有機パクチー　30ｇ×５(わ～ふぁ)東一"/>
        <s v="有機大葉 １ﾊﾟｯｸ×10入(矢澤園芸)東一"/>
        <s v="有機長いも　200gﾊﾟｯｸ×５(みちのく)東一"/>
        <s v="有機ごぼう 泥200g×５(みちのく)東一"/>
        <s v="有機人参 洗い 400ｇ◇×10(吉水)東一"/>
        <s v="有機「ﾆｼﾕﾀｶ」500g(長有研)◇×10 東一"/>
        <s v="有機玉ねぎ　500ｇ×10(雲仙)◇東一"/>
        <s v="有機生ｼｲﾀｹ(菌床)100gﾄﾚｰ×5(太洋社)東一"/>
        <s v="有機たかのつめ(唐辛子)8g袋×10(吉水)東一"/>
        <s v="十勝の息吹　小粒　40ｇ×２ｐ"/>
        <s v="十勝の息吹　大粒　40ｇ×２ｐ"/>
        <s v="十勝の息吹　ひきわり　40ｇ×２ｐ"/>
        <s v="有機納豆　日本の農　40ｇ×2"/>
        <s v="有機ひきわりカップ２　みのり　20ｇ×2"/>
        <s v="丸大豆てんぺ(Sﾊﾟｯｸ１個組)　100ｇ"/>
        <s v="ひきわりカップ　30ｇ×２ｐ"/>
        <s v="有機なす１袋 (浦部)"/>
        <s v="ズッキーニ １本袋（沃土会)不不"/>
        <s v="有機人参 洗い 400ｇ(キテレツ・産ﾊﾟ)"/>
        <s v="有機ミニ大根　洗い　1本袋(キテレツ)"/>
        <s v="スイートコーン　１本袋(高生連)"/>
        <s v="ぶなクイーン　１００ｇ(ﾐｽｽﾞ)"/>
        <s v="有機たかのつめ(唐辛子) 8g袋 (吉水)"/>
        <s v="有機ﾍﾞﾋﾞｰﾘｰﾌ 30gﾊﾟｯｸ (HATAKE)"/>
        <s v="有機リーフレタス　ﾗｯﾌﾟ 1個(ﾌｧｰﾏｰｽﾞ)◇"/>
        <s v="有機長ねぎ　ムキ　300ｇ(よしだ農園)"/>
        <s v="有機小松菜 150g(丸和)"/>
        <s v="トマト 約350g～(沃土会)◇"/>
        <s v="有機人参 洗い 400g（ｷﾃﾚﾂﾌｧｰﾑ)◇"/>
        <s v="■有機インカバナナ 600g袋×８入"/>
        <s v="有機青梅(梅酒用) 1kg袋 (ﾊﾟﾝﾄﾞﾗ)"/>
        <s v="■ｻﾂﾏ芋「ｼﾙｸｽｲｰﾄ」10kg(齊藤光正)6割・5割"/>
        <s v="■有機レタス 裸 10個ｺﾝﾃﾅ(ﾌｧｰﾏｰｽﾞ)"/>
        <s v="■有機サニーレタス裸　10個ｺﾝﾃﾅ(ﾌｧｰﾏｰｽﾞ)"/>
        <s v="有機ｻﾗﾀﾞﾍﾞﾋﾞｰﾐｯｸｽ 大袋250g(わ～ふぁ)"/>
        <s v="■有機キャベツ ８玉ｺﾝﾃﾅ(飯田）"/>
        <s v="■玉葱 10kgｺﾝﾃﾅ(マルハ)根残しムキ済◇"/>
        <s v="■有機ほうれん草　150ｇ×25入(北総)"/>
      </sharedItems>
    </cacheField>
    <cacheField name="数量" uniqueList="1" numFmtId="0" sqlType="0" hierarchy="0" level="0" databaseField="1">
      <sharedItems count="23" containsInteger="1" containsNumber="1" containsSemiMixedTypes="0" containsString="0" minValue="0" maxValue="100">
        <n v="1"/>
        <n v="2"/>
        <n v="10"/>
        <n v="5"/>
        <n v="3"/>
        <n v="4"/>
        <n v="6"/>
        <n v="8"/>
        <n v="7"/>
        <n v="15"/>
        <n v="9"/>
        <n v="12"/>
        <n v="20"/>
        <n v="50"/>
        <n v="30"/>
        <n v="0"/>
        <n v="11"/>
        <n v="18"/>
        <n v="25"/>
        <n v="40"/>
        <n v="100"/>
        <n v="28"/>
        <n v="14"/>
      </sharedItems>
    </cacheField>
    <cacheField name="箱/こ/不" uniqueList="1" numFmtId="0" sqlType="0" hierarchy="0" level="0" databaseField="1">
      <sharedItems count="3">
        <s v="箱"/>
        <s v="こもの"/>
        <s v=""/>
      </sharedItems>
    </cacheField>
  </cacheFields>
</pivotCacheDefinition>
</file>

<file path=xl/pivotCache/pivotCacheRecords1.xml><?xml version="1.0" encoding="utf-8"?>
<pivotCacheRecords xmlns="http://schemas.openxmlformats.org/spreadsheetml/2006/main" count="1049">
  <r>
    <x v="0"/>
    <x v="0"/>
    <x v="0"/>
    <x v="0"/>
    <x v="0"/>
    <x v="0"/>
    <x v="0"/>
    <x v="0"/>
    <x v="0"/>
  </r>
  <r>
    <x v="0"/>
    <x v="0"/>
    <x v="0"/>
    <x v="0"/>
    <x v="1"/>
    <x v="1"/>
    <x v="1"/>
    <x v="1"/>
    <x v="0"/>
  </r>
  <r>
    <x v="0"/>
    <x v="0"/>
    <x v="0"/>
    <x v="0"/>
    <x v="2"/>
    <x v="2"/>
    <x v="2"/>
    <x v="2"/>
    <x v="1"/>
  </r>
  <r>
    <x v="0"/>
    <x v="0"/>
    <x v="0"/>
    <x v="0"/>
    <x v="3"/>
    <x v="3"/>
    <x v="3"/>
    <x v="3"/>
    <x v="1"/>
  </r>
  <r>
    <x v="0"/>
    <x v="0"/>
    <x v="0"/>
    <x v="0"/>
    <x v="4"/>
    <x v="4"/>
    <x v="4"/>
    <x v="3"/>
    <x v="1"/>
  </r>
  <r>
    <x v="0"/>
    <x v="0"/>
    <x v="0"/>
    <x v="0"/>
    <x v="5"/>
    <x v="5"/>
    <x v="5"/>
    <x v="3"/>
    <x v="1"/>
  </r>
  <r>
    <x v="0"/>
    <x v="0"/>
    <x v="0"/>
    <x v="0"/>
    <x v="6"/>
    <x v="6"/>
    <x v="6"/>
    <x v="2"/>
    <x v="1"/>
  </r>
  <r>
    <x v="0"/>
    <x v="0"/>
    <x v="0"/>
    <x v="0"/>
    <x v="7"/>
    <x v="7"/>
    <x v="7"/>
    <x v="1"/>
    <x v="1"/>
  </r>
  <r>
    <x v="0"/>
    <x v="0"/>
    <x v="0"/>
    <x v="0"/>
    <x v="8"/>
    <x v="8"/>
    <x v="8"/>
    <x v="2"/>
    <x v="1"/>
  </r>
  <r>
    <x v="0"/>
    <x v="0"/>
    <x v="0"/>
    <x v="0"/>
    <x v="9"/>
    <x v="9"/>
    <x v="9"/>
    <x v="0"/>
    <x v="1"/>
  </r>
  <r>
    <x v="0"/>
    <x v="0"/>
    <x v="0"/>
    <x v="0"/>
    <x v="10"/>
    <x v="10"/>
    <x v="10"/>
    <x v="2"/>
    <x v="1"/>
  </r>
  <r>
    <x v="0"/>
    <x v="0"/>
    <x v="0"/>
    <x v="0"/>
    <x v="11"/>
    <x v="11"/>
    <x v="11"/>
    <x v="3"/>
    <x v="1"/>
  </r>
  <r>
    <x v="0"/>
    <x v="0"/>
    <x v="0"/>
    <x v="0"/>
    <x v="12"/>
    <x v="12"/>
    <x v="12"/>
    <x v="3"/>
    <x v="1"/>
  </r>
  <r>
    <x v="0"/>
    <x v="0"/>
    <x v="0"/>
    <x v="0"/>
    <x v="13"/>
    <x v="13"/>
    <x v="13"/>
    <x v="3"/>
    <x v="1"/>
  </r>
  <r>
    <x v="0"/>
    <x v="0"/>
    <x v="0"/>
    <x v="0"/>
    <x v="14"/>
    <x v="14"/>
    <x v="14"/>
    <x v="1"/>
    <x v="1"/>
  </r>
  <r>
    <x v="0"/>
    <x v="0"/>
    <x v="0"/>
    <x v="0"/>
    <x v="15"/>
    <x v="15"/>
    <x v="15"/>
    <x v="2"/>
    <x v="1"/>
  </r>
  <r>
    <x v="0"/>
    <x v="0"/>
    <x v="0"/>
    <x v="0"/>
    <x v="16"/>
    <x v="16"/>
    <x v="16"/>
    <x v="0"/>
    <x v="0"/>
  </r>
  <r>
    <x v="0"/>
    <x v="0"/>
    <x v="0"/>
    <x v="0"/>
    <x v="17"/>
    <x v="17"/>
    <x v="17"/>
    <x v="0"/>
    <x v="0"/>
  </r>
  <r>
    <x v="0"/>
    <x v="0"/>
    <x v="0"/>
    <x v="0"/>
    <x v="18"/>
    <x v="18"/>
    <x v="18"/>
    <x v="0"/>
    <x v="1"/>
  </r>
  <r>
    <x v="0"/>
    <x v="0"/>
    <x v="0"/>
    <x v="0"/>
    <x v="19"/>
    <x v="19"/>
    <x v="19"/>
    <x v="0"/>
    <x v="2"/>
  </r>
  <r>
    <x v="1"/>
    <x v="1"/>
    <x v="0"/>
    <x v="1"/>
    <x v="4"/>
    <x v="4"/>
    <x v="4"/>
    <x v="1"/>
    <x v="1"/>
  </r>
  <r>
    <x v="1"/>
    <x v="1"/>
    <x v="0"/>
    <x v="1"/>
    <x v="3"/>
    <x v="3"/>
    <x v="3"/>
    <x v="1"/>
    <x v="1"/>
  </r>
  <r>
    <x v="1"/>
    <x v="1"/>
    <x v="0"/>
    <x v="1"/>
    <x v="12"/>
    <x v="12"/>
    <x v="12"/>
    <x v="3"/>
    <x v="1"/>
  </r>
  <r>
    <x v="1"/>
    <x v="1"/>
    <x v="0"/>
    <x v="1"/>
    <x v="15"/>
    <x v="15"/>
    <x v="15"/>
    <x v="3"/>
    <x v="1"/>
  </r>
  <r>
    <x v="1"/>
    <x v="1"/>
    <x v="0"/>
    <x v="1"/>
    <x v="20"/>
    <x v="20"/>
    <x v="20"/>
    <x v="1"/>
    <x v="1"/>
  </r>
  <r>
    <x v="2"/>
    <x v="2"/>
    <x v="0"/>
    <x v="2"/>
    <x v="13"/>
    <x v="13"/>
    <x v="13"/>
    <x v="1"/>
    <x v="1"/>
  </r>
  <r>
    <x v="2"/>
    <x v="2"/>
    <x v="0"/>
    <x v="2"/>
    <x v="21"/>
    <x v="21"/>
    <x v="21"/>
    <x v="3"/>
    <x v="1"/>
  </r>
  <r>
    <x v="2"/>
    <x v="2"/>
    <x v="0"/>
    <x v="2"/>
    <x v="22"/>
    <x v="22"/>
    <x v="22"/>
    <x v="3"/>
    <x v="1"/>
  </r>
  <r>
    <x v="2"/>
    <x v="2"/>
    <x v="0"/>
    <x v="2"/>
    <x v="23"/>
    <x v="23"/>
    <x v="23"/>
    <x v="4"/>
    <x v="1"/>
  </r>
  <r>
    <x v="2"/>
    <x v="2"/>
    <x v="0"/>
    <x v="2"/>
    <x v="24"/>
    <x v="24"/>
    <x v="24"/>
    <x v="4"/>
    <x v="1"/>
  </r>
  <r>
    <x v="2"/>
    <x v="2"/>
    <x v="0"/>
    <x v="2"/>
    <x v="4"/>
    <x v="4"/>
    <x v="4"/>
    <x v="1"/>
    <x v="1"/>
  </r>
  <r>
    <x v="2"/>
    <x v="2"/>
    <x v="0"/>
    <x v="2"/>
    <x v="3"/>
    <x v="3"/>
    <x v="3"/>
    <x v="1"/>
    <x v="1"/>
  </r>
  <r>
    <x v="2"/>
    <x v="2"/>
    <x v="0"/>
    <x v="2"/>
    <x v="6"/>
    <x v="6"/>
    <x v="6"/>
    <x v="5"/>
    <x v="1"/>
  </r>
  <r>
    <x v="2"/>
    <x v="2"/>
    <x v="0"/>
    <x v="2"/>
    <x v="25"/>
    <x v="25"/>
    <x v="25"/>
    <x v="1"/>
    <x v="1"/>
  </r>
  <r>
    <x v="2"/>
    <x v="2"/>
    <x v="0"/>
    <x v="2"/>
    <x v="26"/>
    <x v="26"/>
    <x v="26"/>
    <x v="5"/>
    <x v="1"/>
  </r>
  <r>
    <x v="2"/>
    <x v="2"/>
    <x v="0"/>
    <x v="2"/>
    <x v="27"/>
    <x v="27"/>
    <x v="27"/>
    <x v="6"/>
    <x v="1"/>
  </r>
  <r>
    <x v="2"/>
    <x v="2"/>
    <x v="0"/>
    <x v="2"/>
    <x v="28"/>
    <x v="28"/>
    <x v="28"/>
    <x v="4"/>
    <x v="1"/>
  </r>
  <r>
    <x v="2"/>
    <x v="2"/>
    <x v="0"/>
    <x v="2"/>
    <x v="29"/>
    <x v="29"/>
    <x v="29"/>
    <x v="1"/>
    <x v="1"/>
  </r>
  <r>
    <x v="2"/>
    <x v="2"/>
    <x v="0"/>
    <x v="2"/>
    <x v="14"/>
    <x v="14"/>
    <x v="14"/>
    <x v="1"/>
    <x v="1"/>
  </r>
  <r>
    <x v="3"/>
    <x v="3"/>
    <x v="0"/>
    <x v="3"/>
    <x v="13"/>
    <x v="13"/>
    <x v="13"/>
    <x v="5"/>
    <x v="1"/>
  </r>
  <r>
    <x v="3"/>
    <x v="3"/>
    <x v="0"/>
    <x v="3"/>
    <x v="30"/>
    <x v="30"/>
    <x v="30"/>
    <x v="5"/>
    <x v="1"/>
  </r>
  <r>
    <x v="3"/>
    <x v="3"/>
    <x v="0"/>
    <x v="3"/>
    <x v="22"/>
    <x v="22"/>
    <x v="22"/>
    <x v="3"/>
    <x v="1"/>
  </r>
  <r>
    <x v="3"/>
    <x v="3"/>
    <x v="0"/>
    <x v="3"/>
    <x v="31"/>
    <x v="31"/>
    <x v="31"/>
    <x v="1"/>
    <x v="1"/>
  </r>
  <r>
    <x v="3"/>
    <x v="3"/>
    <x v="0"/>
    <x v="3"/>
    <x v="1"/>
    <x v="1"/>
    <x v="1"/>
    <x v="0"/>
    <x v="0"/>
  </r>
  <r>
    <x v="3"/>
    <x v="3"/>
    <x v="0"/>
    <x v="3"/>
    <x v="4"/>
    <x v="4"/>
    <x v="4"/>
    <x v="4"/>
    <x v="1"/>
  </r>
  <r>
    <x v="3"/>
    <x v="3"/>
    <x v="0"/>
    <x v="3"/>
    <x v="3"/>
    <x v="3"/>
    <x v="3"/>
    <x v="5"/>
    <x v="1"/>
  </r>
  <r>
    <x v="3"/>
    <x v="3"/>
    <x v="0"/>
    <x v="3"/>
    <x v="6"/>
    <x v="6"/>
    <x v="6"/>
    <x v="3"/>
    <x v="1"/>
  </r>
  <r>
    <x v="3"/>
    <x v="3"/>
    <x v="0"/>
    <x v="3"/>
    <x v="27"/>
    <x v="27"/>
    <x v="27"/>
    <x v="3"/>
    <x v="1"/>
  </r>
  <r>
    <x v="3"/>
    <x v="3"/>
    <x v="0"/>
    <x v="3"/>
    <x v="10"/>
    <x v="10"/>
    <x v="10"/>
    <x v="3"/>
    <x v="1"/>
  </r>
  <r>
    <x v="3"/>
    <x v="3"/>
    <x v="0"/>
    <x v="3"/>
    <x v="12"/>
    <x v="12"/>
    <x v="12"/>
    <x v="3"/>
    <x v="1"/>
  </r>
  <r>
    <x v="4"/>
    <x v="4"/>
    <x v="0"/>
    <x v="4"/>
    <x v="0"/>
    <x v="0"/>
    <x v="0"/>
    <x v="0"/>
    <x v="0"/>
  </r>
  <r>
    <x v="4"/>
    <x v="4"/>
    <x v="0"/>
    <x v="4"/>
    <x v="21"/>
    <x v="21"/>
    <x v="21"/>
    <x v="4"/>
    <x v="1"/>
  </r>
  <r>
    <x v="4"/>
    <x v="4"/>
    <x v="0"/>
    <x v="4"/>
    <x v="32"/>
    <x v="32"/>
    <x v="32"/>
    <x v="4"/>
    <x v="1"/>
  </r>
  <r>
    <x v="4"/>
    <x v="4"/>
    <x v="0"/>
    <x v="4"/>
    <x v="33"/>
    <x v="33"/>
    <x v="33"/>
    <x v="0"/>
    <x v="1"/>
  </r>
  <r>
    <x v="5"/>
    <x v="5"/>
    <x v="1"/>
    <x v="5"/>
    <x v="34"/>
    <x v="34"/>
    <x v="34"/>
    <x v="0"/>
    <x v="0"/>
  </r>
  <r>
    <x v="6"/>
    <x v="6"/>
    <x v="0"/>
    <x v="6"/>
    <x v="35"/>
    <x v="35"/>
    <x v="35"/>
    <x v="4"/>
    <x v="1"/>
  </r>
  <r>
    <x v="6"/>
    <x v="6"/>
    <x v="0"/>
    <x v="6"/>
    <x v="36"/>
    <x v="36"/>
    <x v="36"/>
    <x v="1"/>
    <x v="1"/>
  </r>
  <r>
    <x v="6"/>
    <x v="6"/>
    <x v="0"/>
    <x v="6"/>
    <x v="37"/>
    <x v="37"/>
    <x v="37"/>
    <x v="0"/>
    <x v="1"/>
  </r>
  <r>
    <x v="6"/>
    <x v="6"/>
    <x v="0"/>
    <x v="6"/>
    <x v="38"/>
    <x v="38"/>
    <x v="38"/>
    <x v="3"/>
    <x v="1"/>
  </r>
  <r>
    <x v="6"/>
    <x v="6"/>
    <x v="0"/>
    <x v="6"/>
    <x v="22"/>
    <x v="22"/>
    <x v="22"/>
    <x v="3"/>
    <x v="1"/>
  </r>
  <r>
    <x v="6"/>
    <x v="6"/>
    <x v="0"/>
    <x v="6"/>
    <x v="4"/>
    <x v="4"/>
    <x v="4"/>
    <x v="4"/>
    <x v="1"/>
  </r>
  <r>
    <x v="6"/>
    <x v="6"/>
    <x v="0"/>
    <x v="6"/>
    <x v="6"/>
    <x v="6"/>
    <x v="6"/>
    <x v="4"/>
    <x v="1"/>
  </r>
  <r>
    <x v="6"/>
    <x v="6"/>
    <x v="0"/>
    <x v="6"/>
    <x v="26"/>
    <x v="26"/>
    <x v="26"/>
    <x v="4"/>
    <x v="1"/>
  </r>
  <r>
    <x v="6"/>
    <x v="6"/>
    <x v="0"/>
    <x v="6"/>
    <x v="27"/>
    <x v="27"/>
    <x v="27"/>
    <x v="5"/>
    <x v="1"/>
  </r>
  <r>
    <x v="6"/>
    <x v="6"/>
    <x v="0"/>
    <x v="6"/>
    <x v="12"/>
    <x v="12"/>
    <x v="12"/>
    <x v="4"/>
    <x v="1"/>
  </r>
  <r>
    <x v="7"/>
    <x v="7"/>
    <x v="0"/>
    <x v="7"/>
    <x v="13"/>
    <x v="13"/>
    <x v="13"/>
    <x v="4"/>
    <x v="1"/>
  </r>
  <r>
    <x v="7"/>
    <x v="7"/>
    <x v="0"/>
    <x v="7"/>
    <x v="4"/>
    <x v="4"/>
    <x v="4"/>
    <x v="1"/>
    <x v="1"/>
  </r>
  <r>
    <x v="7"/>
    <x v="7"/>
    <x v="0"/>
    <x v="7"/>
    <x v="33"/>
    <x v="33"/>
    <x v="33"/>
    <x v="6"/>
    <x v="1"/>
  </r>
  <r>
    <x v="7"/>
    <x v="7"/>
    <x v="0"/>
    <x v="7"/>
    <x v="39"/>
    <x v="39"/>
    <x v="39"/>
    <x v="1"/>
    <x v="1"/>
  </r>
  <r>
    <x v="7"/>
    <x v="7"/>
    <x v="0"/>
    <x v="7"/>
    <x v="40"/>
    <x v="40"/>
    <x v="40"/>
    <x v="0"/>
    <x v="1"/>
  </r>
  <r>
    <x v="7"/>
    <x v="7"/>
    <x v="0"/>
    <x v="7"/>
    <x v="41"/>
    <x v="41"/>
    <x v="41"/>
    <x v="1"/>
    <x v="1"/>
  </r>
  <r>
    <x v="7"/>
    <x v="7"/>
    <x v="0"/>
    <x v="7"/>
    <x v="42"/>
    <x v="42"/>
    <x v="42"/>
    <x v="1"/>
    <x v="1"/>
  </r>
  <r>
    <x v="7"/>
    <x v="7"/>
    <x v="0"/>
    <x v="7"/>
    <x v="20"/>
    <x v="20"/>
    <x v="20"/>
    <x v="1"/>
    <x v="1"/>
  </r>
  <r>
    <x v="8"/>
    <x v="8"/>
    <x v="0"/>
    <x v="8"/>
    <x v="43"/>
    <x v="43"/>
    <x v="43"/>
    <x v="5"/>
    <x v="1"/>
  </r>
  <r>
    <x v="8"/>
    <x v="8"/>
    <x v="0"/>
    <x v="8"/>
    <x v="44"/>
    <x v="44"/>
    <x v="44"/>
    <x v="5"/>
    <x v="1"/>
  </r>
  <r>
    <x v="8"/>
    <x v="8"/>
    <x v="0"/>
    <x v="8"/>
    <x v="21"/>
    <x v="21"/>
    <x v="21"/>
    <x v="5"/>
    <x v="1"/>
  </r>
  <r>
    <x v="8"/>
    <x v="8"/>
    <x v="0"/>
    <x v="8"/>
    <x v="22"/>
    <x v="22"/>
    <x v="22"/>
    <x v="5"/>
    <x v="1"/>
  </r>
  <r>
    <x v="8"/>
    <x v="8"/>
    <x v="0"/>
    <x v="8"/>
    <x v="45"/>
    <x v="45"/>
    <x v="45"/>
    <x v="1"/>
    <x v="1"/>
  </r>
  <r>
    <x v="8"/>
    <x v="8"/>
    <x v="0"/>
    <x v="8"/>
    <x v="1"/>
    <x v="1"/>
    <x v="1"/>
    <x v="0"/>
    <x v="0"/>
  </r>
  <r>
    <x v="8"/>
    <x v="8"/>
    <x v="0"/>
    <x v="8"/>
    <x v="3"/>
    <x v="3"/>
    <x v="3"/>
    <x v="1"/>
    <x v="1"/>
  </r>
  <r>
    <x v="8"/>
    <x v="8"/>
    <x v="0"/>
    <x v="8"/>
    <x v="6"/>
    <x v="6"/>
    <x v="6"/>
    <x v="4"/>
    <x v="1"/>
  </r>
  <r>
    <x v="8"/>
    <x v="8"/>
    <x v="0"/>
    <x v="8"/>
    <x v="2"/>
    <x v="2"/>
    <x v="2"/>
    <x v="4"/>
    <x v="1"/>
  </r>
  <r>
    <x v="8"/>
    <x v="8"/>
    <x v="0"/>
    <x v="8"/>
    <x v="27"/>
    <x v="27"/>
    <x v="27"/>
    <x v="6"/>
    <x v="1"/>
  </r>
  <r>
    <x v="8"/>
    <x v="8"/>
    <x v="0"/>
    <x v="8"/>
    <x v="12"/>
    <x v="12"/>
    <x v="12"/>
    <x v="5"/>
    <x v="1"/>
  </r>
  <r>
    <x v="8"/>
    <x v="8"/>
    <x v="0"/>
    <x v="8"/>
    <x v="20"/>
    <x v="20"/>
    <x v="20"/>
    <x v="3"/>
    <x v="1"/>
  </r>
  <r>
    <x v="9"/>
    <x v="9"/>
    <x v="0"/>
    <x v="9"/>
    <x v="37"/>
    <x v="37"/>
    <x v="37"/>
    <x v="4"/>
    <x v="1"/>
  </r>
  <r>
    <x v="9"/>
    <x v="9"/>
    <x v="0"/>
    <x v="9"/>
    <x v="46"/>
    <x v="46"/>
    <x v="46"/>
    <x v="5"/>
    <x v="1"/>
  </r>
  <r>
    <x v="9"/>
    <x v="9"/>
    <x v="0"/>
    <x v="9"/>
    <x v="38"/>
    <x v="38"/>
    <x v="38"/>
    <x v="7"/>
    <x v="1"/>
  </r>
  <r>
    <x v="9"/>
    <x v="9"/>
    <x v="0"/>
    <x v="9"/>
    <x v="4"/>
    <x v="4"/>
    <x v="4"/>
    <x v="8"/>
    <x v="1"/>
  </r>
  <r>
    <x v="9"/>
    <x v="9"/>
    <x v="0"/>
    <x v="9"/>
    <x v="3"/>
    <x v="3"/>
    <x v="3"/>
    <x v="5"/>
    <x v="1"/>
  </r>
  <r>
    <x v="9"/>
    <x v="9"/>
    <x v="0"/>
    <x v="9"/>
    <x v="6"/>
    <x v="6"/>
    <x v="6"/>
    <x v="7"/>
    <x v="1"/>
  </r>
  <r>
    <x v="9"/>
    <x v="9"/>
    <x v="0"/>
    <x v="9"/>
    <x v="25"/>
    <x v="25"/>
    <x v="25"/>
    <x v="1"/>
    <x v="1"/>
  </r>
  <r>
    <x v="9"/>
    <x v="9"/>
    <x v="0"/>
    <x v="9"/>
    <x v="5"/>
    <x v="5"/>
    <x v="5"/>
    <x v="4"/>
    <x v="1"/>
  </r>
  <r>
    <x v="9"/>
    <x v="9"/>
    <x v="0"/>
    <x v="9"/>
    <x v="26"/>
    <x v="26"/>
    <x v="26"/>
    <x v="4"/>
    <x v="1"/>
  </r>
  <r>
    <x v="9"/>
    <x v="9"/>
    <x v="0"/>
    <x v="9"/>
    <x v="41"/>
    <x v="41"/>
    <x v="41"/>
    <x v="7"/>
    <x v="1"/>
  </r>
  <r>
    <x v="9"/>
    <x v="9"/>
    <x v="0"/>
    <x v="9"/>
    <x v="47"/>
    <x v="47"/>
    <x v="47"/>
    <x v="4"/>
    <x v="1"/>
  </r>
  <r>
    <x v="9"/>
    <x v="9"/>
    <x v="0"/>
    <x v="9"/>
    <x v="27"/>
    <x v="27"/>
    <x v="27"/>
    <x v="2"/>
    <x v="1"/>
  </r>
  <r>
    <x v="9"/>
    <x v="9"/>
    <x v="0"/>
    <x v="9"/>
    <x v="12"/>
    <x v="12"/>
    <x v="12"/>
    <x v="5"/>
    <x v="1"/>
  </r>
  <r>
    <x v="9"/>
    <x v="9"/>
    <x v="0"/>
    <x v="9"/>
    <x v="48"/>
    <x v="48"/>
    <x v="48"/>
    <x v="1"/>
    <x v="1"/>
  </r>
  <r>
    <x v="9"/>
    <x v="9"/>
    <x v="0"/>
    <x v="9"/>
    <x v="49"/>
    <x v="49"/>
    <x v="49"/>
    <x v="2"/>
    <x v="1"/>
  </r>
  <r>
    <x v="9"/>
    <x v="9"/>
    <x v="0"/>
    <x v="9"/>
    <x v="20"/>
    <x v="20"/>
    <x v="20"/>
    <x v="5"/>
    <x v="1"/>
  </r>
  <r>
    <x v="10"/>
    <x v="10"/>
    <x v="0"/>
    <x v="10"/>
    <x v="50"/>
    <x v="50"/>
    <x v="50"/>
    <x v="0"/>
    <x v="0"/>
  </r>
  <r>
    <x v="10"/>
    <x v="10"/>
    <x v="0"/>
    <x v="10"/>
    <x v="35"/>
    <x v="35"/>
    <x v="35"/>
    <x v="7"/>
    <x v="1"/>
  </r>
  <r>
    <x v="10"/>
    <x v="10"/>
    <x v="0"/>
    <x v="10"/>
    <x v="0"/>
    <x v="0"/>
    <x v="0"/>
    <x v="0"/>
    <x v="0"/>
  </r>
  <r>
    <x v="10"/>
    <x v="10"/>
    <x v="0"/>
    <x v="10"/>
    <x v="51"/>
    <x v="51"/>
    <x v="51"/>
    <x v="4"/>
    <x v="1"/>
  </r>
  <r>
    <x v="10"/>
    <x v="10"/>
    <x v="0"/>
    <x v="10"/>
    <x v="52"/>
    <x v="52"/>
    <x v="52"/>
    <x v="5"/>
    <x v="1"/>
  </r>
  <r>
    <x v="10"/>
    <x v="10"/>
    <x v="0"/>
    <x v="10"/>
    <x v="38"/>
    <x v="38"/>
    <x v="38"/>
    <x v="7"/>
    <x v="1"/>
  </r>
  <r>
    <x v="11"/>
    <x v="11"/>
    <x v="2"/>
    <x v="11"/>
    <x v="53"/>
    <x v="53"/>
    <x v="53"/>
    <x v="0"/>
    <x v="0"/>
  </r>
  <r>
    <x v="12"/>
    <x v="12"/>
    <x v="0"/>
    <x v="12"/>
    <x v="54"/>
    <x v="54"/>
    <x v="54"/>
    <x v="4"/>
    <x v="1"/>
  </r>
  <r>
    <x v="12"/>
    <x v="12"/>
    <x v="0"/>
    <x v="12"/>
    <x v="23"/>
    <x v="23"/>
    <x v="23"/>
    <x v="4"/>
    <x v="1"/>
  </r>
  <r>
    <x v="12"/>
    <x v="12"/>
    <x v="0"/>
    <x v="12"/>
    <x v="3"/>
    <x v="3"/>
    <x v="3"/>
    <x v="4"/>
    <x v="1"/>
  </r>
  <r>
    <x v="12"/>
    <x v="12"/>
    <x v="0"/>
    <x v="12"/>
    <x v="6"/>
    <x v="6"/>
    <x v="6"/>
    <x v="7"/>
    <x v="1"/>
  </r>
  <r>
    <x v="12"/>
    <x v="12"/>
    <x v="0"/>
    <x v="12"/>
    <x v="5"/>
    <x v="5"/>
    <x v="5"/>
    <x v="4"/>
    <x v="1"/>
  </r>
  <r>
    <x v="12"/>
    <x v="12"/>
    <x v="0"/>
    <x v="12"/>
    <x v="12"/>
    <x v="12"/>
    <x v="12"/>
    <x v="4"/>
    <x v="1"/>
  </r>
  <r>
    <x v="12"/>
    <x v="12"/>
    <x v="0"/>
    <x v="12"/>
    <x v="28"/>
    <x v="28"/>
    <x v="28"/>
    <x v="1"/>
    <x v="1"/>
  </r>
  <r>
    <x v="12"/>
    <x v="12"/>
    <x v="0"/>
    <x v="12"/>
    <x v="18"/>
    <x v="18"/>
    <x v="18"/>
    <x v="0"/>
    <x v="1"/>
  </r>
  <r>
    <x v="12"/>
    <x v="12"/>
    <x v="0"/>
    <x v="12"/>
    <x v="19"/>
    <x v="19"/>
    <x v="19"/>
    <x v="0"/>
    <x v="2"/>
  </r>
  <r>
    <x v="13"/>
    <x v="13"/>
    <x v="0"/>
    <x v="13"/>
    <x v="55"/>
    <x v="55"/>
    <x v="55"/>
    <x v="0"/>
    <x v="0"/>
  </r>
  <r>
    <x v="13"/>
    <x v="13"/>
    <x v="0"/>
    <x v="13"/>
    <x v="56"/>
    <x v="56"/>
    <x v="56"/>
    <x v="3"/>
    <x v="1"/>
  </r>
  <r>
    <x v="13"/>
    <x v="13"/>
    <x v="0"/>
    <x v="13"/>
    <x v="57"/>
    <x v="57"/>
    <x v="57"/>
    <x v="5"/>
    <x v="1"/>
  </r>
  <r>
    <x v="13"/>
    <x v="13"/>
    <x v="0"/>
    <x v="13"/>
    <x v="46"/>
    <x v="46"/>
    <x v="46"/>
    <x v="1"/>
    <x v="1"/>
  </r>
  <r>
    <x v="13"/>
    <x v="13"/>
    <x v="0"/>
    <x v="13"/>
    <x v="58"/>
    <x v="58"/>
    <x v="58"/>
    <x v="1"/>
    <x v="1"/>
  </r>
  <r>
    <x v="13"/>
    <x v="13"/>
    <x v="0"/>
    <x v="13"/>
    <x v="59"/>
    <x v="59"/>
    <x v="59"/>
    <x v="6"/>
    <x v="1"/>
  </r>
  <r>
    <x v="13"/>
    <x v="13"/>
    <x v="0"/>
    <x v="13"/>
    <x v="3"/>
    <x v="3"/>
    <x v="3"/>
    <x v="1"/>
    <x v="1"/>
  </r>
  <r>
    <x v="13"/>
    <x v="13"/>
    <x v="0"/>
    <x v="13"/>
    <x v="6"/>
    <x v="6"/>
    <x v="6"/>
    <x v="5"/>
    <x v="1"/>
  </r>
  <r>
    <x v="13"/>
    <x v="13"/>
    <x v="0"/>
    <x v="13"/>
    <x v="5"/>
    <x v="5"/>
    <x v="5"/>
    <x v="1"/>
    <x v="1"/>
  </r>
  <r>
    <x v="13"/>
    <x v="13"/>
    <x v="0"/>
    <x v="13"/>
    <x v="27"/>
    <x v="27"/>
    <x v="27"/>
    <x v="5"/>
    <x v="1"/>
  </r>
  <r>
    <x v="13"/>
    <x v="13"/>
    <x v="0"/>
    <x v="13"/>
    <x v="10"/>
    <x v="10"/>
    <x v="10"/>
    <x v="5"/>
    <x v="1"/>
  </r>
  <r>
    <x v="13"/>
    <x v="13"/>
    <x v="0"/>
    <x v="13"/>
    <x v="42"/>
    <x v="42"/>
    <x v="42"/>
    <x v="1"/>
    <x v="1"/>
  </r>
  <r>
    <x v="13"/>
    <x v="13"/>
    <x v="0"/>
    <x v="13"/>
    <x v="60"/>
    <x v="60"/>
    <x v="60"/>
    <x v="3"/>
    <x v="1"/>
  </r>
  <r>
    <x v="13"/>
    <x v="13"/>
    <x v="0"/>
    <x v="13"/>
    <x v="20"/>
    <x v="20"/>
    <x v="20"/>
    <x v="5"/>
    <x v="1"/>
  </r>
  <r>
    <x v="14"/>
    <x v="14"/>
    <x v="0"/>
    <x v="14"/>
    <x v="61"/>
    <x v="61"/>
    <x v="61"/>
    <x v="1"/>
    <x v="1"/>
  </r>
  <r>
    <x v="14"/>
    <x v="14"/>
    <x v="0"/>
    <x v="14"/>
    <x v="54"/>
    <x v="54"/>
    <x v="54"/>
    <x v="4"/>
    <x v="1"/>
  </r>
  <r>
    <x v="14"/>
    <x v="14"/>
    <x v="0"/>
    <x v="14"/>
    <x v="36"/>
    <x v="36"/>
    <x v="36"/>
    <x v="4"/>
    <x v="1"/>
  </r>
  <r>
    <x v="14"/>
    <x v="14"/>
    <x v="0"/>
    <x v="14"/>
    <x v="38"/>
    <x v="38"/>
    <x v="38"/>
    <x v="3"/>
    <x v="1"/>
  </r>
  <r>
    <x v="14"/>
    <x v="14"/>
    <x v="0"/>
    <x v="14"/>
    <x v="62"/>
    <x v="62"/>
    <x v="62"/>
    <x v="4"/>
    <x v="1"/>
  </r>
  <r>
    <x v="14"/>
    <x v="14"/>
    <x v="0"/>
    <x v="14"/>
    <x v="4"/>
    <x v="4"/>
    <x v="4"/>
    <x v="4"/>
    <x v="1"/>
  </r>
  <r>
    <x v="14"/>
    <x v="14"/>
    <x v="0"/>
    <x v="14"/>
    <x v="3"/>
    <x v="3"/>
    <x v="3"/>
    <x v="4"/>
    <x v="1"/>
  </r>
  <r>
    <x v="14"/>
    <x v="14"/>
    <x v="0"/>
    <x v="14"/>
    <x v="6"/>
    <x v="6"/>
    <x v="6"/>
    <x v="6"/>
    <x v="1"/>
  </r>
  <r>
    <x v="14"/>
    <x v="14"/>
    <x v="0"/>
    <x v="14"/>
    <x v="25"/>
    <x v="25"/>
    <x v="25"/>
    <x v="4"/>
    <x v="1"/>
  </r>
  <r>
    <x v="14"/>
    <x v="14"/>
    <x v="0"/>
    <x v="14"/>
    <x v="12"/>
    <x v="12"/>
    <x v="12"/>
    <x v="1"/>
    <x v="1"/>
  </r>
  <r>
    <x v="14"/>
    <x v="14"/>
    <x v="0"/>
    <x v="14"/>
    <x v="20"/>
    <x v="20"/>
    <x v="20"/>
    <x v="4"/>
    <x v="1"/>
  </r>
  <r>
    <x v="15"/>
    <x v="15"/>
    <x v="0"/>
    <x v="15"/>
    <x v="54"/>
    <x v="54"/>
    <x v="54"/>
    <x v="4"/>
    <x v="1"/>
  </r>
  <r>
    <x v="15"/>
    <x v="15"/>
    <x v="0"/>
    <x v="15"/>
    <x v="23"/>
    <x v="23"/>
    <x v="23"/>
    <x v="6"/>
    <x v="1"/>
  </r>
  <r>
    <x v="15"/>
    <x v="15"/>
    <x v="0"/>
    <x v="15"/>
    <x v="3"/>
    <x v="3"/>
    <x v="3"/>
    <x v="4"/>
    <x v="1"/>
  </r>
  <r>
    <x v="15"/>
    <x v="15"/>
    <x v="0"/>
    <x v="15"/>
    <x v="6"/>
    <x v="6"/>
    <x v="6"/>
    <x v="7"/>
    <x v="1"/>
  </r>
  <r>
    <x v="15"/>
    <x v="15"/>
    <x v="0"/>
    <x v="15"/>
    <x v="2"/>
    <x v="2"/>
    <x v="2"/>
    <x v="4"/>
    <x v="1"/>
  </r>
  <r>
    <x v="15"/>
    <x v="15"/>
    <x v="0"/>
    <x v="15"/>
    <x v="27"/>
    <x v="27"/>
    <x v="27"/>
    <x v="3"/>
    <x v="1"/>
  </r>
  <r>
    <x v="15"/>
    <x v="15"/>
    <x v="0"/>
    <x v="15"/>
    <x v="15"/>
    <x v="15"/>
    <x v="15"/>
    <x v="6"/>
    <x v="1"/>
  </r>
  <r>
    <x v="15"/>
    <x v="15"/>
    <x v="0"/>
    <x v="15"/>
    <x v="28"/>
    <x v="28"/>
    <x v="28"/>
    <x v="3"/>
    <x v="1"/>
  </r>
  <r>
    <x v="16"/>
    <x v="16"/>
    <x v="0"/>
    <x v="16"/>
    <x v="13"/>
    <x v="13"/>
    <x v="13"/>
    <x v="5"/>
    <x v="1"/>
  </r>
  <r>
    <x v="16"/>
    <x v="16"/>
    <x v="0"/>
    <x v="16"/>
    <x v="63"/>
    <x v="63"/>
    <x v="63"/>
    <x v="0"/>
    <x v="0"/>
  </r>
  <r>
    <x v="16"/>
    <x v="16"/>
    <x v="0"/>
    <x v="16"/>
    <x v="1"/>
    <x v="1"/>
    <x v="1"/>
    <x v="0"/>
    <x v="0"/>
  </r>
  <r>
    <x v="16"/>
    <x v="16"/>
    <x v="0"/>
    <x v="16"/>
    <x v="4"/>
    <x v="4"/>
    <x v="4"/>
    <x v="1"/>
    <x v="1"/>
  </r>
  <r>
    <x v="16"/>
    <x v="16"/>
    <x v="0"/>
    <x v="16"/>
    <x v="33"/>
    <x v="33"/>
    <x v="33"/>
    <x v="1"/>
    <x v="1"/>
  </r>
  <r>
    <x v="16"/>
    <x v="16"/>
    <x v="0"/>
    <x v="16"/>
    <x v="3"/>
    <x v="3"/>
    <x v="3"/>
    <x v="1"/>
    <x v="1"/>
  </r>
  <r>
    <x v="16"/>
    <x v="16"/>
    <x v="0"/>
    <x v="16"/>
    <x v="39"/>
    <x v="39"/>
    <x v="39"/>
    <x v="3"/>
    <x v="1"/>
  </r>
  <r>
    <x v="16"/>
    <x v="16"/>
    <x v="0"/>
    <x v="16"/>
    <x v="2"/>
    <x v="2"/>
    <x v="2"/>
    <x v="1"/>
    <x v="1"/>
  </r>
  <r>
    <x v="16"/>
    <x v="16"/>
    <x v="0"/>
    <x v="16"/>
    <x v="48"/>
    <x v="48"/>
    <x v="48"/>
    <x v="0"/>
    <x v="1"/>
  </r>
  <r>
    <x v="16"/>
    <x v="16"/>
    <x v="0"/>
    <x v="16"/>
    <x v="18"/>
    <x v="18"/>
    <x v="18"/>
    <x v="0"/>
    <x v="1"/>
  </r>
  <r>
    <x v="17"/>
    <x v="17"/>
    <x v="2"/>
    <x v="17"/>
    <x v="64"/>
    <x v="64"/>
    <x v="64"/>
    <x v="0"/>
    <x v="0"/>
  </r>
  <r>
    <x v="17"/>
    <x v="17"/>
    <x v="2"/>
    <x v="17"/>
    <x v="65"/>
    <x v="65"/>
    <x v="65"/>
    <x v="1"/>
    <x v="1"/>
  </r>
  <r>
    <x v="18"/>
    <x v="18"/>
    <x v="0"/>
    <x v="18"/>
    <x v="66"/>
    <x v="66"/>
    <x v="66"/>
    <x v="4"/>
    <x v="1"/>
  </r>
  <r>
    <x v="18"/>
    <x v="18"/>
    <x v="0"/>
    <x v="18"/>
    <x v="57"/>
    <x v="57"/>
    <x v="57"/>
    <x v="2"/>
    <x v="1"/>
  </r>
  <r>
    <x v="18"/>
    <x v="18"/>
    <x v="0"/>
    <x v="18"/>
    <x v="6"/>
    <x v="6"/>
    <x v="6"/>
    <x v="3"/>
    <x v="1"/>
  </r>
  <r>
    <x v="18"/>
    <x v="18"/>
    <x v="0"/>
    <x v="18"/>
    <x v="25"/>
    <x v="25"/>
    <x v="25"/>
    <x v="4"/>
    <x v="1"/>
  </r>
  <r>
    <x v="18"/>
    <x v="18"/>
    <x v="0"/>
    <x v="18"/>
    <x v="12"/>
    <x v="12"/>
    <x v="12"/>
    <x v="3"/>
    <x v="1"/>
  </r>
  <r>
    <x v="18"/>
    <x v="18"/>
    <x v="0"/>
    <x v="18"/>
    <x v="28"/>
    <x v="28"/>
    <x v="28"/>
    <x v="3"/>
    <x v="1"/>
  </r>
  <r>
    <x v="19"/>
    <x v="19"/>
    <x v="0"/>
    <x v="19"/>
    <x v="55"/>
    <x v="55"/>
    <x v="55"/>
    <x v="0"/>
    <x v="0"/>
  </r>
  <r>
    <x v="19"/>
    <x v="19"/>
    <x v="0"/>
    <x v="19"/>
    <x v="54"/>
    <x v="54"/>
    <x v="54"/>
    <x v="4"/>
    <x v="1"/>
  </r>
  <r>
    <x v="19"/>
    <x v="19"/>
    <x v="0"/>
    <x v="19"/>
    <x v="35"/>
    <x v="35"/>
    <x v="35"/>
    <x v="5"/>
    <x v="1"/>
  </r>
  <r>
    <x v="19"/>
    <x v="19"/>
    <x v="0"/>
    <x v="19"/>
    <x v="46"/>
    <x v="46"/>
    <x v="46"/>
    <x v="4"/>
    <x v="1"/>
  </r>
  <r>
    <x v="19"/>
    <x v="19"/>
    <x v="0"/>
    <x v="19"/>
    <x v="51"/>
    <x v="51"/>
    <x v="51"/>
    <x v="1"/>
    <x v="1"/>
  </r>
  <r>
    <x v="19"/>
    <x v="19"/>
    <x v="0"/>
    <x v="19"/>
    <x v="30"/>
    <x v="30"/>
    <x v="30"/>
    <x v="3"/>
    <x v="1"/>
  </r>
  <r>
    <x v="19"/>
    <x v="19"/>
    <x v="0"/>
    <x v="19"/>
    <x v="22"/>
    <x v="22"/>
    <x v="22"/>
    <x v="8"/>
    <x v="1"/>
  </r>
  <r>
    <x v="19"/>
    <x v="19"/>
    <x v="0"/>
    <x v="19"/>
    <x v="32"/>
    <x v="32"/>
    <x v="32"/>
    <x v="3"/>
    <x v="1"/>
  </r>
  <r>
    <x v="19"/>
    <x v="19"/>
    <x v="0"/>
    <x v="19"/>
    <x v="23"/>
    <x v="23"/>
    <x v="23"/>
    <x v="3"/>
    <x v="1"/>
  </r>
  <r>
    <x v="19"/>
    <x v="19"/>
    <x v="0"/>
    <x v="19"/>
    <x v="45"/>
    <x v="45"/>
    <x v="45"/>
    <x v="1"/>
    <x v="1"/>
  </r>
  <r>
    <x v="19"/>
    <x v="19"/>
    <x v="0"/>
    <x v="19"/>
    <x v="31"/>
    <x v="31"/>
    <x v="31"/>
    <x v="4"/>
    <x v="1"/>
  </r>
  <r>
    <x v="19"/>
    <x v="19"/>
    <x v="0"/>
    <x v="19"/>
    <x v="1"/>
    <x v="1"/>
    <x v="1"/>
    <x v="0"/>
    <x v="0"/>
  </r>
  <r>
    <x v="19"/>
    <x v="19"/>
    <x v="0"/>
    <x v="19"/>
    <x v="4"/>
    <x v="4"/>
    <x v="4"/>
    <x v="4"/>
    <x v="1"/>
  </r>
  <r>
    <x v="19"/>
    <x v="19"/>
    <x v="0"/>
    <x v="19"/>
    <x v="3"/>
    <x v="3"/>
    <x v="3"/>
    <x v="4"/>
    <x v="1"/>
  </r>
  <r>
    <x v="19"/>
    <x v="19"/>
    <x v="0"/>
    <x v="19"/>
    <x v="6"/>
    <x v="6"/>
    <x v="6"/>
    <x v="6"/>
    <x v="1"/>
  </r>
  <r>
    <x v="19"/>
    <x v="19"/>
    <x v="0"/>
    <x v="19"/>
    <x v="2"/>
    <x v="2"/>
    <x v="2"/>
    <x v="4"/>
    <x v="1"/>
  </r>
  <r>
    <x v="19"/>
    <x v="19"/>
    <x v="0"/>
    <x v="19"/>
    <x v="27"/>
    <x v="27"/>
    <x v="27"/>
    <x v="2"/>
    <x v="1"/>
  </r>
  <r>
    <x v="19"/>
    <x v="19"/>
    <x v="0"/>
    <x v="19"/>
    <x v="12"/>
    <x v="12"/>
    <x v="12"/>
    <x v="3"/>
    <x v="1"/>
  </r>
  <r>
    <x v="19"/>
    <x v="19"/>
    <x v="0"/>
    <x v="19"/>
    <x v="67"/>
    <x v="67"/>
    <x v="67"/>
    <x v="4"/>
    <x v="1"/>
  </r>
  <r>
    <x v="19"/>
    <x v="19"/>
    <x v="0"/>
    <x v="19"/>
    <x v="42"/>
    <x v="42"/>
    <x v="42"/>
    <x v="1"/>
    <x v="1"/>
  </r>
  <r>
    <x v="19"/>
    <x v="19"/>
    <x v="0"/>
    <x v="19"/>
    <x v="15"/>
    <x v="15"/>
    <x v="15"/>
    <x v="7"/>
    <x v="1"/>
  </r>
  <r>
    <x v="19"/>
    <x v="19"/>
    <x v="0"/>
    <x v="19"/>
    <x v="14"/>
    <x v="14"/>
    <x v="14"/>
    <x v="4"/>
    <x v="1"/>
  </r>
  <r>
    <x v="20"/>
    <x v="20"/>
    <x v="0"/>
    <x v="20"/>
    <x v="54"/>
    <x v="54"/>
    <x v="54"/>
    <x v="4"/>
    <x v="1"/>
  </r>
  <r>
    <x v="20"/>
    <x v="20"/>
    <x v="0"/>
    <x v="20"/>
    <x v="35"/>
    <x v="35"/>
    <x v="35"/>
    <x v="6"/>
    <x v="1"/>
  </r>
  <r>
    <x v="20"/>
    <x v="20"/>
    <x v="0"/>
    <x v="20"/>
    <x v="51"/>
    <x v="51"/>
    <x v="51"/>
    <x v="4"/>
    <x v="1"/>
  </r>
  <r>
    <x v="20"/>
    <x v="20"/>
    <x v="0"/>
    <x v="20"/>
    <x v="68"/>
    <x v="68"/>
    <x v="68"/>
    <x v="5"/>
    <x v="1"/>
  </r>
  <r>
    <x v="20"/>
    <x v="20"/>
    <x v="0"/>
    <x v="20"/>
    <x v="24"/>
    <x v="24"/>
    <x v="24"/>
    <x v="1"/>
    <x v="1"/>
  </r>
  <r>
    <x v="20"/>
    <x v="20"/>
    <x v="0"/>
    <x v="20"/>
    <x v="1"/>
    <x v="1"/>
    <x v="1"/>
    <x v="0"/>
    <x v="0"/>
  </r>
  <r>
    <x v="20"/>
    <x v="20"/>
    <x v="0"/>
    <x v="20"/>
    <x v="4"/>
    <x v="4"/>
    <x v="4"/>
    <x v="1"/>
    <x v="1"/>
  </r>
  <r>
    <x v="20"/>
    <x v="20"/>
    <x v="0"/>
    <x v="20"/>
    <x v="3"/>
    <x v="3"/>
    <x v="3"/>
    <x v="1"/>
    <x v="1"/>
  </r>
  <r>
    <x v="20"/>
    <x v="20"/>
    <x v="0"/>
    <x v="20"/>
    <x v="39"/>
    <x v="39"/>
    <x v="39"/>
    <x v="5"/>
    <x v="1"/>
  </r>
  <r>
    <x v="20"/>
    <x v="20"/>
    <x v="0"/>
    <x v="20"/>
    <x v="41"/>
    <x v="41"/>
    <x v="41"/>
    <x v="4"/>
    <x v="1"/>
  </r>
  <r>
    <x v="20"/>
    <x v="20"/>
    <x v="0"/>
    <x v="20"/>
    <x v="27"/>
    <x v="27"/>
    <x v="27"/>
    <x v="5"/>
    <x v="1"/>
  </r>
  <r>
    <x v="20"/>
    <x v="20"/>
    <x v="0"/>
    <x v="20"/>
    <x v="12"/>
    <x v="12"/>
    <x v="12"/>
    <x v="1"/>
    <x v="1"/>
  </r>
  <r>
    <x v="20"/>
    <x v="20"/>
    <x v="0"/>
    <x v="20"/>
    <x v="67"/>
    <x v="67"/>
    <x v="67"/>
    <x v="4"/>
    <x v="1"/>
  </r>
  <r>
    <x v="20"/>
    <x v="20"/>
    <x v="0"/>
    <x v="20"/>
    <x v="60"/>
    <x v="60"/>
    <x v="60"/>
    <x v="6"/>
    <x v="1"/>
  </r>
  <r>
    <x v="20"/>
    <x v="20"/>
    <x v="0"/>
    <x v="20"/>
    <x v="15"/>
    <x v="15"/>
    <x v="15"/>
    <x v="6"/>
    <x v="1"/>
  </r>
  <r>
    <x v="20"/>
    <x v="20"/>
    <x v="0"/>
    <x v="20"/>
    <x v="28"/>
    <x v="28"/>
    <x v="28"/>
    <x v="1"/>
    <x v="1"/>
  </r>
  <r>
    <x v="20"/>
    <x v="20"/>
    <x v="0"/>
    <x v="20"/>
    <x v="20"/>
    <x v="20"/>
    <x v="20"/>
    <x v="4"/>
    <x v="1"/>
  </r>
  <r>
    <x v="21"/>
    <x v="21"/>
    <x v="0"/>
    <x v="21"/>
    <x v="69"/>
    <x v="69"/>
    <x v="69"/>
    <x v="0"/>
    <x v="0"/>
  </r>
  <r>
    <x v="21"/>
    <x v="21"/>
    <x v="0"/>
    <x v="21"/>
    <x v="0"/>
    <x v="0"/>
    <x v="0"/>
    <x v="0"/>
    <x v="0"/>
  </r>
  <r>
    <x v="21"/>
    <x v="21"/>
    <x v="0"/>
    <x v="21"/>
    <x v="46"/>
    <x v="46"/>
    <x v="46"/>
    <x v="1"/>
    <x v="1"/>
  </r>
  <r>
    <x v="21"/>
    <x v="21"/>
    <x v="0"/>
    <x v="21"/>
    <x v="45"/>
    <x v="45"/>
    <x v="45"/>
    <x v="1"/>
    <x v="1"/>
  </r>
  <r>
    <x v="21"/>
    <x v="21"/>
    <x v="0"/>
    <x v="21"/>
    <x v="33"/>
    <x v="33"/>
    <x v="33"/>
    <x v="7"/>
    <x v="1"/>
  </r>
  <r>
    <x v="21"/>
    <x v="21"/>
    <x v="0"/>
    <x v="21"/>
    <x v="3"/>
    <x v="3"/>
    <x v="3"/>
    <x v="1"/>
    <x v="1"/>
  </r>
  <r>
    <x v="22"/>
    <x v="22"/>
    <x v="3"/>
    <x v="22"/>
    <x v="34"/>
    <x v="34"/>
    <x v="34"/>
    <x v="0"/>
    <x v="0"/>
  </r>
  <r>
    <x v="23"/>
    <x v="23"/>
    <x v="0"/>
    <x v="23"/>
    <x v="55"/>
    <x v="55"/>
    <x v="55"/>
    <x v="0"/>
    <x v="0"/>
  </r>
  <r>
    <x v="23"/>
    <x v="23"/>
    <x v="0"/>
    <x v="23"/>
    <x v="0"/>
    <x v="0"/>
    <x v="0"/>
    <x v="0"/>
    <x v="0"/>
  </r>
  <r>
    <x v="23"/>
    <x v="23"/>
    <x v="0"/>
    <x v="23"/>
    <x v="1"/>
    <x v="1"/>
    <x v="1"/>
    <x v="0"/>
    <x v="0"/>
  </r>
  <r>
    <x v="23"/>
    <x v="23"/>
    <x v="0"/>
    <x v="23"/>
    <x v="3"/>
    <x v="3"/>
    <x v="3"/>
    <x v="1"/>
    <x v="1"/>
  </r>
  <r>
    <x v="23"/>
    <x v="23"/>
    <x v="0"/>
    <x v="23"/>
    <x v="39"/>
    <x v="39"/>
    <x v="39"/>
    <x v="1"/>
    <x v="1"/>
  </r>
  <r>
    <x v="23"/>
    <x v="23"/>
    <x v="0"/>
    <x v="23"/>
    <x v="27"/>
    <x v="27"/>
    <x v="27"/>
    <x v="3"/>
    <x v="1"/>
  </r>
  <r>
    <x v="23"/>
    <x v="23"/>
    <x v="0"/>
    <x v="23"/>
    <x v="12"/>
    <x v="12"/>
    <x v="12"/>
    <x v="5"/>
    <x v="1"/>
  </r>
  <r>
    <x v="23"/>
    <x v="23"/>
    <x v="0"/>
    <x v="23"/>
    <x v="20"/>
    <x v="20"/>
    <x v="20"/>
    <x v="1"/>
    <x v="1"/>
  </r>
  <r>
    <x v="24"/>
    <x v="24"/>
    <x v="0"/>
    <x v="24"/>
    <x v="54"/>
    <x v="54"/>
    <x v="54"/>
    <x v="4"/>
    <x v="1"/>
  </r>
  <r>
    <x v="24"/>
    <x v="24"/>
    <x v="0"/>
    <x v="24"/>
    <x v="1"/>
    <x v="1"/>
    <x v="1"/>
    <x v="0"/>
    <x v="0"/>
  </r>
  <r>
    <x v="24"/>
    <x v="24"/>
    <x v="0"/>
    <x v="24"/>
    <x v="6"/>
    <x v="6"/>
    <x v="6"/>
    <x v="6"/>
    <x v="1"/>
  </r>
  <r>
    <x v="24"/>
    <x v="24"/>
    <x v="0"/>
    <x v="24"/>
    <x v="27"/>
    <x v="27"/>
    <x v="27"/>
    <x v="6"/>
    <x v="1"/>
  </r>
  <r>
    <x v="24"/>
    <x v="24"/>
    <x v="0"/>
    <x v="24"/>
    <x v="15"/>
    <x v="15"/>
    <x v="15"/>
    <x v="7"/>
    <x v="1"/>
  </r>
  <r>
    <x v="25"/>
    <x v="25"/>
    <x v="0"/>
    <x v="25"/>
    <x v="54"/>
    <x v="54"/>
    <x v="54"/>
    <x v="1"/>
    <x v="1"/>
  </r>
  <r>
    <x v="25"/>
    <x v="25"/>
    <x v="0"/>
    <x v="25"/>
    <x v="4"/>
    <x v="4"/>
    <x v="4"/>
    <x v="4"/>
    <x v="1"/>
  </r>
  <r>
    <x v="25"/>
    <x v="25"/>
    <x v="0"/>
    <x v="25"/>
    <x v="3"/>
    <x v="3"/>
    <x v="3"/>
    <x v="4"/>
    <x v="1"/>
  </r>
  <r>
    <x v="25"/>
    <x v="25"/>
    <x v="0"/>
    <x v="25"/>
    <x v="39"/>
    <x v="39"/>
    <x v="39"/>
    <x v="5"/>
    <x v="1"/>
  </r>
  <r>
    <x v="25"/>
    <x v="25"/>
    <x v="0"/>
    <x v="25"/>
    <x v="26"/>
    <x v="26"/>
    <x v="26"/>
    <x v="5"/>
    <x v="1"/>
  </r>
  <r>
    <x v="25"/>
    <x v="25"/>
    <x v="0"/>
    <x v="25"/>
    <x v="41"/>
    <x v="41"/>
    <x v="41"/>
    <x v="1"/>
    <x v="1"/>
  </r>
  <r>
    <x v="25"/>
    <x v="25"/>
    <x v="0"/>
    <x v="25"/>
    <x v="27"/>
    <x v="27"/>
    <x v="27"/>
    <x v="5"/>
    <x v="1"/>
  </r>
  <r>
    <x v="25"/>
    <x v="25"/>
    <x v="0"/>
    <x v="25"/>
    <x v="12"/>
    <x v="12"/>
    <x v="12"/>
    <x v="5"/>
    <x v="1"/>
  </r>
  <r>
    <x v="25"/>
    <x v="25"/>
    <x v="0"/>
    <x v="25"/>
    <x v="15"/>
    <x v="15"/>
    <x v="15"/>
    <x v="7"/>
    <x v="1"/>
  </r>
  <r>
    <x v="25"/>
    <x v="25"/>
    <x v="0"/>
    <x v="25"/>
    <x v="20"/>
    <x v="20"/>
    <x v="20"/>
    <x v="6"/>
    <x v="1"/>
  </r>
  <r>
    <x v="26"/>
    <x v="26"/>
    <x v="0"/>
    <x v="26"/>
    <x v="57"/>
    <x v="57"/>
    <x v="57"/>
    <x v="2"/>
    <x v="1"/>
  </r>
  <r>
    <x v="26"/>
    <x v="26"/>
    <x v="0"/>
    <x v="26"/>
    <x v="70"/>
    <x v="70"/>
    <x v="70"/>
    <x v="0"/>
    <x v="0"/>
  </r>
  <r>
    <x v="26"/>
    <x v="26"/>
    <x v="0"/>
    <x v="26"/>
    <x v="3"/>
    <x v="3"/>
    <x v="3"/>
    <x v="3"/>
    <x v="1"/>
  </r>
  <r>
    <x v="26"/>
    <x v="26"/>
    <x v="0"/>
    <x v="26"/>
    <x v="39"/>
    <x v="39"/>
    <x v="39"/>
    <x v="2"/>
    <x v="1"/>
  </r>
  <r>
    <x v="26"/>
    <x v="26"/>
    <x v="0"/>
    <x v="26"/>
    <x v="6"/>
    <x v="6"/>
    <x v="6"/>
    <x v="2"/>
    <x v="1"/>
  </r>
  <r>
    <x v="26"/>
    <x v="26"/>
    <x v="0"/>
    <x v="26"/>
    <x v="10"/>
    <x v="10"/>
    <x v="10"/>
    <x v="7"/>
    <x v="1"/>
  </r>
  <r>
    <x v="26"/>
    <x v="26"/>
    <x v="0"/>
    <x v="26"/>
    <x v="12"/>
    <x v="12"/>
    <x v="12"/>
    <x v="5"/>
    <x v="1"/>
  </r>
  <r>
    <x v="26"/>
    <x v="26"/>
    <x v="0"/>
    <x v="26"/>
    <x v="42"/>
    <x v="42"/>
    <x v="42"/>
    <x v="1"/>
    <x v="1"/>
  </r>
  <r>
    <x v="26"/>
    <x v="26"/>
    <x v="0"/>
    <x v="26"/>
    <x v="60"/>
    <x v="60"/>
    <x v="60"/>
    <x v="2"/>
    <x v="1"/>
  </r>
  <r>
    <x v="26"/>
    <x v="26"/>
    <x v="0"/>
    <x v="26"/>
    <x v="28"/>
    <x v="28"/>
    <x v="28"/>
    <x v="4"/>
    <x v="1"/>
  </r>
  <r>
    <x v="26"/>
    <x v="26"/>
    <x v="0"/>
    <x v="26"/>
    <x v="20"/>
    <x v="20"/>
    <x v="20"/>
    <x v="3"/>
    <x v="1"/>
  </r>
  <r>
    <x v="26"/>
    <x v="26"/>
    <x v="0"/>
    <x v="26"/>
    <x v="14"/>
    <x v="14"/>
    <x v="14"/>
    <x v="4"/>
    <x v="1"/>
  </r>
  <r>
    <x v="27"/>
    <x v="27"/>
    <x v="0"/>
    <x v="27"/>
    <x v="69"/>
    <x v="69"/>
    <x v="69"/>
    <x v="0"/>
    <x v="0"/>
  </r>
  <r>
    <x v="27"/>
    <x v="27"/>
    <x v="0"/>
    <x v="27"/>
    <x v="46"/>
    <x v="46"/>
    <x v="46"/>
    <x v="6"/>
    <x v="1"/>
  </r>
  <r>
    <x v="27"/>
    <x v="27"/>
    <x v="0"/>
    <x v="27"/>
    <x v="1"/>
    <x v="1"/>
    <x v="1"/>
    <x v="0"/>
    <x v="0"/>
  </r>
  <r>
    <x v="27"/>
    <x v="27"/>
    <x v="0"/>
    <x v="27"/>
    <x v="4"/>
    <x v="4"/>
    <x v="4"/>
    <x v="1"/>
    <x v="1"/>
  </r>
  <r>
    <x v="27"/>
    <x v="27"/>
    <x v="0"/>
    <x v="27"/>
    <x v="3"/>
    <x v="3"/>
    <x v="3"/>
    <x v="1"/>
    <x v="1"/>
  </r>
  <r>
    <x v="27"/>
    <x v="27"/>
    <x v="0"/>
    <x v="27"/>
    <x v="6"/>
    <x v="6"/>
    <x v="6"/>
    <x v="6"/>
    <x v="1"/>
  </r>
  <r>
    <x v="27"/>
    <x v="27"/>
    <x v="0"/>
    <x v="27"/>
    <x v="12"/>
    <x v="12"/>
    <x v="12"/>
    <x v="6"/>
    <x v="1"/>
  </r>
  <r>
    <x v="27"/>
    <x v="27"/>
    <x v="0"/>
    <x v="27"/>
    <x v="15"/>
    <x v="15"/>
    <x v="15"/>
    <x v="2"/>
    <x v="1"/>
  </r>
  <r>
    <x v="28"/>
    <x v="28"/>
    <x v="0"/>
    <x v="28"/>
    <x v="0"/>
    <x v="0"/>
    <x v="0"/>
    <x v="0"/>
    <x v="0"/>
  </r>
  <r>
    <x v="28"/>
    <x v="28"/>
    <x v="0"/>
    <x v="28"/>
    <x v="4"/>
    <x v="4"/>
    <x v="4"/>
    <x v="5"/>
    <x v="1"/>
  </r>
  <r>
    <x v="28"/>
    <x v="28"/>
    <x v="0"/>
    <x v="28"/>
    <x v="33"/>
    <x v="33"/>
    <x v="33"/>
    <x v="5"/>
    <x v="1"/>
  </r>
  <r>
    <x v="28"/>
    <x v="28"/>
    <x v="0"/>
    <x v="28"/>
    <x v="3"/>
    <x v="3"/>
    <x v="3"/>
    <x v="5"/>
    <x v="1"/>
  </r>
  <r>
    <x v="28"/>
    <x v="28"/>
    <x v="0"/>
    <x v="28"/>
    <x v="39"/>
    <x v="39"/>
    <x v="39"/>
    <x v="6"/>
    <x v="1"/>
  </r>
  <r>
    <x v="28"/>
    <x v="28"/>
    <x v="0"/>
    <x v="28"/>
    <x v="2"/>
    <x v="2"/>
    <x v="2"/>
    <x v="5"/>
    <x v="1"/>
  </r>
  <r>
    <x v="28"/>
    <x v="28"/>
    <x v="0"/>
    <x v="28"/>
    <x v="47"/>
    <x v="47"/>
    <x v="47"/>
    <x v="6"/>
    <x v="1"/>
  </r>
  <r>
    <x v="28"/>
    <x v="28"/>
    <x v="0"/>
    <x v="28"/>
    <x v="10"/>
    <x v="10"/>
    <x v="10"/>
    <x v="3"/>
    <x v="1"/>
  </r>
  <r>
    <x v="28"/>
    <x v="28"/>
    <x v="0"/>
    <x v="28"/>
    <x v="15"/>
    <x v="15"/>
    <x v="15"/>
    <x v="2"/>
    <x v="1"/>
  </r>
  <r>
    <x v="29"/>
    <x v="29"/>
    <x v="2"/>
    <x v="29"/>
    <x v="64"/>
    <x v="64"/>
    <x v="64"/>
    <x v="0"/>
    <x v="0"/>
  </r>
  <r>
    <x v="29"/>
    <x v="29"/>
    <x v="2"/>
    <x v="29"/>
    <x v="65"/>
    <x v="65"/>
    <x v="65"/>
    <x v="0"/>
    <x v="1"/>
  </r>
  <r>
    <x v="30"/>
    <x v="30"/>
    <x v="0"/>
    <x v="30"/>
    <x v="38"/>
    <x v="38"/>
    <x v="38"/>
    <x v="2"/>
    <x v="1"/>
  </r>
  <r>
    <x v="30"/>
    <x v="30"/>
    <x v="0"/>
    <x v="30"/>
    <x v="58"/>
    <x v="58"/>
    <x v="58"/>
    <x v="2"/>
    <x v="1"/>
  </r>
  <r>
    <x v="30"/>
    <x v="30"/>
    <x v="0"/>
    <x v="30"/>
    <x v="4"/>
    <x v="4"/>
    <x v="4"/>
    <x v="5"/>
    <x v="1"/>
  </r>
  <r>
    <x v="30"/>
    <x v="30"/>
    <x v="0"/>
    <x v="30"/>
    <x v="3"/>
    <x v="3"/>
    <x v="3"/>
    <x v="6"/>
    <x v="1"/>
  </r>
  <r>
    <x v="30"/>
    <x v="30"/>
    <x v="0"/>
    <x v="30"/>
    <x v="6"/>
    <x v="6"/>
    <x v="6"/>
    <x v="2"/>
    <x v="1"/>
  </r>
  <r>
    <x v="30"/>
    <x v="30"/>
    <x v="0"/>
    <x v="30"/>
    <x v="28"/>
    <x v="28"/>
    <x v="28"/>
    <x v="3"/>
    <x v="1"/>
  </r>
  <r>
    <x v="30"/>
    <x v="30"/>
    <x v="0"/>
    <x v="30"/>
    <x v="71"/>
    <x v="71"/>
    <x v="71"/>
    <x v="4"/>
    <x v="1"/>
  </r>
  <r>
    <x v="30"/>
    <x v="30"/>
    <x v="0"/>
    <x v="30"/>
    <x v="72"/>
    <x v="72"/>
    <x v="72"/>
    <x v="1"/>
    <x v="1"/>
  </r>
  <r>
    <x v="30"/>
    <x v="30"/>
    <x v="0"/>
    <x v="30"/>
    <x v="14"/>
    <x v="14"/>
    <x v="14"/>
    <x v="1"/>
    <x v="1"/>
  </r>
  <r>
    <x v="31"/>
    <x v="31"/>
    <x v="0"/>
    <x v="31"/>
    <x v="55"/>
    <x v="55"/>
    <x v="55"/>
    <x v="0"/>
    <x v="0"/>
  </r>
  <r>
    <x v="31"/>
    <x v="31"/>
    <x v="0"/>
    <x v="31"/>
    <x v="56"/>
    <x v="56"/>
    <x v="56"/>
    <x v="3"/>
    <x v="1"/>
  </r>
  <r>
    <x v="31"/>
    <x v="31"/>
    <x v="0"/>
    <x v="31"/>
    <x v="54"/>
    <x v="54"/>
    <x v="54"/>
    <x v="4"/>
    <x v="1"/>
  </r>
  <r>
    <x v="31"/>
    <x v="31"/>
    <x v="0"/>
    <x v="31"/>
    <x v="38"/>
    <x v="38"/>
    <x v="38"/>
    <x v="6"/>
    <x v="1"/>
  </r>
  <r>
    <x v="31"/>
    <x v="31"/>
    <x v="0"/>
    <x v="31"/>
    <x v="62"/>
    <x v="62"/>
    <x v="62"/>
    <x v="4"/>
    <x v="1"/>
  </r>
  <r>
    <x v="31"/>
    <x v="31"/>
    <x v="0"/>
    <x v="31"/>
    <x v="23"/>
    <x v="23"/>
    <x v="23"/>
    <x v="4"/>
    <x v="1"/>
  </r>
  <r>
    <x v="31"/>
    <x v="31"/>
    <x v="0"/>
    <x v="31"/>
    <x v="4"/>
    <x v="4"/>
    <x v="4"/>
    <x v="5"/>
    <x v="1"/>
  </r>
  <r>
    <x v="31"/>
    <x v="31"/>
    <x v="0"/>
    <x v="31"/>
    <x v="39"/>
    <x v="39"/>
    <x v="39"/>
    <x v="6"/>
    <x v="1"/>
  </r>
  <r>
    <x v="31"/>
    <x v="31"/>
    <x v="0"/>
    <x v="31"/>
    <x v="5"/>
    <x v="5"/>
    <x v="5"/>
    <x v="4"/>
    <x v="1"/>
  </r>
  <r>
    <x v="31"/>
    <x v="31"/>
    <x v="0"/>
    <x v="31"/>
    <x v="47"/>
    <x v="47"/>
    <x v="47"/>
    <x v="2"/>
    <x v="1"/>
  </r>
  <r>
    <x v="31"/>
    <x v="31"/>
    <x v="0"/>
    <x v="31"/>
    <x v="60"/>
    <x v="60"/>
    <x v="60"/>
    <x v="3"/>
    <x v="1"/>
  </r>
  <r>
    <x v="31"/>
    <x v="31"/>
    <x v="0"/>
    <x v="31"/>
    <x v="29"/>
    <x v="29"/>
    <x v="29"/>
    <x v="5"/>
    <x v="1"/>
  </r>
  <r>
    <x v="31"/>
    <x v="31"/>
    <x v="0"/>
    <x v="31"/>
    <x v="14"/>
    <x v="14"/>
    <x v="14"/>
    <x v="4"/>
    <x v="1"/>
  </r>
  <r>
    <x v="32"/>
    <x v="32"/>
    <x v="0"/>
    <x v="32"/>
    <x v="13"/>
    <x v="13"/>
    <x v="13"/>
    <x v="4"/>
    <x v="1"/>
  </r>
  <r>
    <x v="32"/>
    <x v="32"/>
    <x v="0"/>
    <x v="32"/>
    <x v="50"/>
    <x v="50"/>
    <x v="50"/>
    <x v="0"/>
    <x v="0"/>
  </r>
  <r>
    <x v="32"/>
    <x v="32"/>
    <x v="0"/>
    <x v="32"/>
    <x v="57"/>
    <x v="57"/>
    <x v="57"/>
    <x v="4"/>
    <x v="1"/>
  </r>
  <r>
    <x v="32"/>
    <x v="32"/>
    <x v="0"/>
    <x v="32"/>
    <x v="45"/>
    <x v="45"/>
    <x v="45"/>
    <x v="4"/>
    <x v="1"/>
  </r>
  <r>
    <x v="32"/>
    <x v="32"/>
    <x v="0"/>
    <x v="32"/>
    <x v="4"/>
    <x v="4"/>
    <x v="4"/>
    <x v="1"/>
    <x v="1"/>
  </r>
  <r>
    <x v="32"/>
    <x v="32"/>
    <x v="0"/>
    <x v="32"/>
    <x v="6"/>
    <x v="6"/>
    <x v="6"/>
    <x v="4"/>
    <x v="1"/>
  </r>
  <r>
    <x v="32"/>
    <x v="32"/>
    <x v="0"/>
    <x v="32"/>
    <x v="2"/>
    <x v="2"/>
    <x v="2"/>
    <x v="4"/>
    <x v="1"/>
  </r>
  <r>
    <x v="32"/>
    <x v="32"/>
    <x v="0"/>
    <x v="32"/>
    <x v="27"/>
    <x v="27"/>
    <x v="27"/>
    <x v="3"/>
    <x v="1"/>
  </r>
  <r>
    <x v="32"/>
    <x v="32"/>
    <x v="0"/>
    <x v="32"/>
    <x v="12"/>
    <x v="12"/>
    <x v="12"/>
    <x v="4"/>
    <x v="1"/>
  </r>
  <r>
    <x v="33"/>
    <x v="33"/>
    <x v="0"/>
    <x v="33"/>
    <x v="13"/>
    <x v="13"/>
    <x v="13"/>
    <x v="1"/>
    <x v="1"/>
  </r>
  <r>
    <x v="33"/>
    <x v="33"/>
    <x v="0"/>
    <x v="33"/>
    <x v="38"/>
    <x v="38"/>
    <x v="38"/>
    <x v="3"/>
    <x v="1"/>
  </r>
  <r>
    <x v="33"/>
    <x v="33"/>
    <x v="0"/>
    <x v="33"/>
    <x v="25"/>
    <x v="25"/>
    <x v="25"/>
    <x v="1"/>
    <x v="1"/>
  </r>
  <r>
    <x v="33"/>
    <x v="33"/>
    <x v="0"/>
    <x v="33"/>
    <x v="12"/>
    <x v="12"/>
    <x v="12"/>
    <x v="4"/>
    <x v="1"/>
  </r>
  <r>
    <x v="33"/>
    <x v="33"/>
    <x v="0"/>
    <x v="33"/>
    <x v="20"/>
    <x v="20"/>
    <x v="20"/>
    <x v="4"/>
    <x v="1"/>
  </r>
  <r>
    <x v="34"/>
    <x v="34"/>
    <x v="0"/>
    <x v="34"/>
    <x v="46"/>
    <x v="46"/>
    <x v="46"/>
    <x v="2"/>
    <x v="1"/>
  </r>
  <r>
    <x v="34"/>
    <x v="34"/>
    <x v="0"/>
    <x v="34"/>
    <x v="73"/>
    <x v="73"/>
    <x v="73"/>
    <x v="3"/>
    <x v="1"/>
  </r>
  <r>
    <x v="34"/>
    <x v="34"/>
    <x v="0"/>
    <x v="34"/>
    <x v="1"/>
    <x v="1"/>
    <x v="1"/>
    <x v="0"/>
    <x v="0"/>
  </r>
  <r>
    <x v="34"/>
    <x v="34"/>
    <x v="0"/>
    <x v="34"/>
    <x v="33"/>
    <x v="33"/>
    <x v="33"/>
    <x v="2"/>
    <x v="1"/>
  </r>
  <r>
    <x v="34"/>
    <x v="34"/>
    <x v="0"/>
    <x v="34"/>
    <x v="2"/>
    <x v="2"/>
    <x v="2"/>
    <x v="7"/>
    <x v="1"/>
  </r>
  <r>
    <x v="34"/>
    <x v="34"/>
    <x v="0"/>
    <x v="34"/>
    <x v="3"/>
    <x v="3"/>
    <x v="3"/>
    <x v="3"/>
    <x v="1"/>
  </r>
  <r>
    <x v="34"/>
    <x v="34"/>
    <x v="0"/>
    <x v="34"/>
    <x v="4"/>
    <x v="4"/>
    <x v="4"/>
    <x v="3"/>
    <x v="1"/>
  </r>
  <r>
    <x v="34"/>
    <x v="34"/>
    <x v="0"/>
    <x v="34"/>
    <x v="5"/>
    <x v="5"/>
    <x v="5"/>
    <x v="3"/>
    <x v="1"/>
  </r>
  <r>
    <x v="34"/>
    <x v="34"/>
    <x v="0"/>
    <x v="34"/>
    <x v="74"/>
    <x v="74"/>
    <x v="74"/>
    <x v="9"/>
    <x v="1"/>
  </r>
  <r>
    <x v="34"/>
    <x v="34"/>
    <x v="0"/>
    <x v="34"/>
    <x v="6"/>
    <x v="6"/>
    <x v="6"/>
    <x v="9"/>
    <x v="1"/>
  </r>
  <r>
    <x v="34"/>
    <x v="34"/>
    <x v="0"/>
    <x v="34"/>
    <x v="75"/>
    <x v="75"/>
    <x v="75"/>
    <x v="3"/>
    <x v="1"/>
  </r>
  <r>
    <x v="34"/>
    <x v="34"/>
    <x v="0"/>
    <x v="34"/>
    <x v="31"/>
    <x v="31"/>
    <x v="31"/>
    <x v="3"/>
    <x v="1"/>
  </r>
  <r>
    <x v="34"/>
    <x v="34"/>
    <x v="0"/>
    <x v="34"/>
    <x v="28"/>
    <x v="28"/>
    <x v="28"/>
    <x v="5"/>
    <x v="1"/>
  </r>
  <r>
    <x v="34"/>
    <x v="34"/>
    <x v="0"/>
    <x v="34"/>
    <x v="29"/>
    <x v="29"/>
    <x v="29"/>
    <x v="9"/>
    <x v="1"/>
  </r>
  <r>
    <x v="34"/>
    <x v="34"/>
    <x v="0"/>
    <x v="34"/>
    <x v="76"/>
    <x v="76"/>
    <x v="76"/>
    <x v="9"/>
    <x v="1"/>
  </r>
  <r>
    <x v="4"/>
    <x v="4"/>
    <x v="0"/>
    <x v="4"/>
    <x v="3"/>
    <x v="3"/>
    <x v="3"/>
    <x v="1"/>
    <x v="1"/>
  </r>
  <r>
    <x v="4"/>
    <x v="4"/>
    <x v="0"/>
    <x v="4"/>
    <x v="6"/>
    <x v="6"/>
    <x v="6"/>
    <x v="7"/>
    <x v="1"/>
  </r>
  <r>
    <x v="35"/>
    <x v="35"/>
    <x v="0"/>
    <x v="35"/>
    <x v="2"/>
    <x v="2"/>
    <x v="2"/>
    <x v="3"/>
    <x v="1"/>
  </r>
  <r>
    <x v="35"/>
    <x v="35"/>
    <x v="0"/>
    <x v="35"/>
    <x v="3"/>
    <x v="3"/>
    <x v="3"/>
    <x v="3"/>
    <x v="1"/>
  </r>
  <r>
    <x v="35"/>
    <x v="35"/>
    <x v="0"/>
    <x v="35"/>
    <x v="5"/>
    <x v="5"/>
    <x v="5"/>
    <x v="3"/>
    <x v="1"/>
  </r>
  <r>
    <x v="35"/>
    <x v="35"/>
    <x v="0"/>
    <x v="35"/>
    <x v="6"/>
    <x v="6"/>
    <x v="6"/>
    <x v="2"/>
    <x v="1"/>
  </r>
  <r>
    <x v="35"/>
    <x v="35"/>
    <x v="0"/>
    <x v="35"/>
    <x v="71"/>
    <x v="71"/>
    <x v="71"/>
    <x v="3"/>
    <x v="1"/>
  </r>
  <r>
    <x v="35"/>
    <x v="35"/>
    <x v="0"/>
    <x v="35"/>
    <x v="77"/>
    <x v="77"/>
    <x v="77"/>
    <x v="4"/>
    <x v="1"/>
  </r>
  <r>
    <x v="35"/>
    <x v="35"/>
    <x v="0"/>
    <x v="35"/>
    <x v="48"/>
    <x v="48"/>
    <x v="48"/>
    <x v="4"/>
    <x v="1"/>
  </r>
  <r>
    <x v="35"/>
    <x v="35"/>
    <x v="0"/>
    <x v="35"/>
    <x v="68"/>
    <x v="68"/>
    <x v="68"/>
    <x v="3"/>
    <x v="1"/>
  </r>
  <r>
    <x v="35"/>
    <x v="35"/>
    <x v="0"/>
    <x v="35"/>
    <x v="54"/>
    <x v="54"/>
    <x v="54"/>
    <x v="4"/>
    <x v="1"/>
  </r>
  <r>
    <x v="35"/>
    <x v="35"/>
    <x v="0"/>
    <x v="35"/>
    <x v="69"/>
    <x v="69"/>
    <x v="69"/>
    <x v="0"/>
    <x v="0"/>
  </r>
  <r>
    <x v="35"/>
    <x v="35"/>
    <x v="0"/>
    <x v="35"/>
    <x v="78"/>
    <x v="78"/>
    <x v="78"/>
    <x v="0"/>
    <x v="0"/>
  </r>
  <r>
    <x v="35"/>
    <x v="35"/>
    <x v="0"/>
    <x v="35"/>
    <x v="55"/>
    <x v="55"/>
    <x v="55"/>
    <x v="0"/>
    <x v="0"/>
  </r>
  <r>
    <x v="36"/>
    <x v="36"/>
    <x v="0"/>
    <x v="36"/>
    <x v="13"/>
    <x v="13"/>
    <x v="13"/>
    <x v="6"/>
    <x v="1"/>
  </r>
  <r>
    <x v="36"/>
    <x v="36"/>
    <x v="0"/>
    <x v="36"/>
    <x v="38"/>
    <x v="38"/>
    <x v="38"/>
    <x v="6"/>
    <x v="1"/>
  </r>
  <r>
    <x v="36"/>
    <x v="36"/>
    <x v="0"/>
    <x v="36"/>
    <x v="31"/>
    <x v="31"/>
    <x v="31"/>
    <x v="1"/>
    <x v="1"/>
  </r>
  <r>
    <x v="36"/>
    <x v="36"/>
    <x v="0"/>
    <x v="36"/>
    <x v="70"/>
    <x v="70"/>
    <x v="70"/>
    <x v="0"/>
    <x v="0"/>
  </r>
  <r>
    <x v="36"/>
    <x v="36"/>
    <x v="0"/>
    <x v="36"/>
    <x v="6"/>
    <x v="6"/>
    <x v="6"/>
    <x v="7"/>
    <x v="1"/>
  </r>
  <r>
    <x v="36"/>
    <x v="36"/>
    <x v="0"/>
    <x v="36"/>
    <x v="10"/>
    <x v="10"/>
    <x v="10"/>
    <x v="6"/>
    <x v="1"/>
  </r>
  <r>
    <x v="36"/>
    <x v="36"/>
    <x v="0"/>
    <x v="36"/>
    <x v="12"/>
    <x v="12"/>
    <x v="12"/>
    <x v="5"/>
    <x v="1"/>
  </r>
  <r>
    <x v="36"/>
    <x v="36"/>
    <x v="0"/>
    <x v="36"/>
    <x v="42"/>
    <x v="42"/>
    <x v="42"/>
    <x v="1"/>
    <x v="1"/>
  </r>
  <r>
    <x v="36"/>
    <x v="36"/>
    <x v="0"/>
    <x v="36"/>
    <x v="15"/>
    <x v="15"/>
    <x v="15"/>
    <x v="2"/>
    <x v="1"/>
  </r>
  <r>
    <x v="37"/>
    <x v="37"/>
    <x v="0"/>
    <x v="37"/>
    <x v="69"/>
    <x v="69"/>
    <x v="69"/>
    <x v="0"/>
    <x v="0"/>
  </r>
  <r>
    <x v="37"/>
    <x v="37"/>
    <x v="0"/>
    <x v="37"/>
    <x v="57"/>
    <x v="57"/>
    <x v="57"/>
    <x v="5"/>
    <x v="1"/>
  </r>
  <r>
    <x v="37"/>
    <x v="37"/>
    <x v="0"/>
    <x v="37"/>
    <x v="4"/>
    <x v="4"/>
    <x v="4"/>
    <x v="5"/>
    <x v="1"/>
  </r>
  <r>
    <x v="37"/>
    <x v="37"/>
    <x v="0"/>
    <x v="37"/>
    <x v="3"/>
    <x v="3"/>
    <x v="3"/>
    <x v="1"/>
    <x v="1"/>
  </r>
  <r>
    <x v="37"/>
    <x v="37"/>
    <x v="0"/>
    <x v="37"/>
    <x v="6"/>
    <x v="6"/>
    <x v="6"/>
    <x v="5"/>
    <x v="1"/>
  </r>
  <r>
    <x v="37"/>
    <x v="37"/>
    <x v="0"/>
    <x v="37"/>
    <x v="27"/>
    <x v="27"/>
    <x v="27"/>
    <x v="3"/>
    <x v="1"/>
  </r>
  <r>
    <x v="37"/>
    <x v="37"/>
    <x v="0"/>
    <x v="37"/>
    <x v="12"/>
    <x v="12"/>
    <x v="12"/>
    <x v="5"/>
    <x v="1"/>
  </r>
  <r>
    <x v="37"/>
    <x v="37"/>
    <x v="0"/>
    <x v="37"/>
    <x v="48"/>
    <x v="48"/>
    <x v="48"/>
    <x v="4"/>
    <x v="1"/>
  </r>
  <r>
    <x v="37"/>
    <x v="37"/>
    <x v="0"/>
    <x v="37"/>
    <x v="28"/>
    <x v="28"/>
    <x v="28"/>
    <x v="4"/>
    <x v="1"/>
  </r>
  <r>
    <x v="38"/>
    <x v="38"/>
    <x v="4"/>
    <x v="38"/>
    <x v="73"/>
    <x v="73"/>
    <x v="73"/>
    <x v="3"/>
    <x v="1"/>
  </r>
  <r>
    <x v="38"/>
    <x v="38"/>
    <x v="4"/>
    <x v="38"/>
    <x v="33"/>
    <x v="33"/>
    <x v="33"/>
    <x v="5"/>
    <x v="1"/>
  </r>
  <r>
    <x v="38"/>
    <x v="38"/>
    <x v="4"/>
    <x v="38"/>
    <x v="3"/>
    <x v="3"/>
    <x v="3"/>
    <x v="1"/>
    <x v="1"/>
  </r>
  <r>
    <x v="38"/>
    <x v="38"/>
    <x v="4"/>
    <x v="38"/>
    <x v="79"/>
    <x v="79"/>
    <x v="79"/>
    <x v="5"/>
    <x v="1"/>
  </r>
  <r>
    <x v="38"/>
    <x v="38"/>
    <x v="4"/>
    <x v="38"/>
    <x v="80"/>
    <x v="80"/>
    <x v="80"/>
    <x v="5"/>
    <x v="1"/>
  </r>
  <r>
    <x v="38"/>
    <x v="38"/>
    <x v="4"/>
    <x v="38"/>
    <x v="30"/>
    <x v="30"/>
    <x v="30"/>
    <x v="7"/>
    <x v="1"/>
  </r>
  <r>
    <x v="38"/>
    <x v="38"/>
    <x v="4"/>
    <x v="38"/>
    <x v="22"/>
    <x v="22"/>
    <x v="22"/>
    <x v="7"/>
    <x v="1"/>
  </r>
  <r>
    <x v="38"/>
    <x v="38"/>
    <x v="4"/>
    <x v="38"/>
    <x v="81"/>
    <x v="81"/>
    <x v="81"/>
    <x v="6"/>
    <x v="1"/>
  </r>
  <r>
    <x v="38"/>
    <x v="38"/>
    <x v="4"/>
    <x v="38"/>
    <x v="31"/>
    <x v="31"/>
    <x v="31"/>
    <x v="10"/>
    <x v="1"/>
  </r>
  <r>
    <x v="38"/>
    <x v="38"/>
    <x v="4"/>
    <x v="38"/>
    <x v="82"/>
    <x v="82"/>
    <x v="82"/>
    <x v="6"/>
    <x v="1"/>
  </r>
  <r>
    <x v="38"/>
    <x v="38"/>
    <x v="4"/>
    <x v="38"/>
    <x v="76"/>
    <x v="76"/>
    <x v="76"/>
    <x v="10"/>
    <x v="1"/>
  </r>
  <r>
    <x v="38"/>
    <x v="38"/>
    <x v="4"/>
    <x v="38"/>
    <x v="83"/>
    <x v="83"/>
    <x v="83"/>
    <x v="10"/>
    <x v="1"/>
  </r>
  <r>
    <x v="38"/>
    <x v="38"/>
    <x v="4"/>
    <x v="38"/>
    <x v="84"/>
    <x v="84"/>
    <x v="84"/>
    <x v="10"/>
    <x v="1"/>
  </r>
  <r>
    <x v="38"/>
    <x v="38"/>
    <x v="4"/>
    <x v="38"/>
    <x v="10"/>
    <x v="10"/>
    <x v="10"/>
    <x v="6"/>
    <x v="1"/>
  </r>
  <r>
    <x v="38"/>
    <x v="38"/>
    <x v="4"/>
    <x v="38"/>
    <x v="12"/>
    <x v="12"/>
    <x v="12"/>
    <x v="6"/>
    <x v="1"/>
  </r>
  <r>
    <x v="38"/>
    <x v="38"/>
    <x v="4"/>
    <x v="38"/>
    <x v="35"/>
    <x v="35"/>
    <x v="35"/>
    <x v="6"/>
    <x v="1"/>
  </r>
  <r>
    <x v="38"/>
    <x v="38"/>
    <x v="4"/>
    <x v="38"/>
    <x v="85"/>
    <x v="85"/>
    <x v="85"/>
    <x v="1"/>
    <x v="0"/>
  </r>
  <r>
    <x v="38"/>
    <x v="38"/>
    <x v="4"/>
    <x v="38"/>
    <x v="55"/>
    <x v="55"/>
    <x v="55"/>
    <x v="1"/>
    <x v="0"/>
  </r>
  <r>
    <x v="38"/>
    <x v="38"/>
    <x v="4"/>
    <x v="38"/>
    <x v="61"/>
    <x v="61"/>
    <x v="61"/>
    <x v="6"/>
    <x v="1"/>
  </r>
  <r>
    <x v="38"/>
    <x v="38"/>
    <x v="4"/>
    <x v="38"/>
    <x v="86"/>
    <x v="86"/>
    <x v="86"/>
    <x v="0"/>
    <x v="0"/>
  </r>
  <r>
    <x v="39"/>
    <x v="39"/>
    <x v="1"/>
    <x v="39"/>
    <x v="51"/>
    <x v="51"/>
    <x v="51"/>
    <x v="3"/>
    <x v="1"/>
  </r>
  <r>
    <x v="39"/>
    <x v="39"/>
    <x v="1"/>
    <x v="39"/>
    <x v="3"/>
    <x v="3"/>
    <x v="3"/>
    <x v="2"/>
    <x v="1"/>
  </r>
  <r>
    <x v="10"/>
    <x v="10"/>
    <x v="0"/>
    <x v="10"/>
    <x v="22"/>
    <x v="22"/>
    <x v="22"/>
    <x v="2"/>
    <x v="1"/>
  </r>
  <r>
    <x v="10"/>
    <x v="10"/>
    <x v="0"/>
    <x v="10"/>
    <x v="24"/>
    <x v="24"/>
    <x v="24"/>
    <x v="5"/>
    <x v="1"/>
  </r>
  <r>
    <x v="10"/>
    <x v="10"/>
    <x v="0"/>
    <x v="10"/>
    <x v="4"/>
    <x v="4"/>
    <x v="4"/>
    <x v="1"/>
    <x v="1"/>
  </r>
  <r>
    <x v="10"/>
    <x v="10"/>
    <x v="0"/>
    <x v="10"/>
    <x v="6"/>
    <x v="6"/>
    <x v="6"/>
    <x v="5"/>
    <x v="1"/>
  </r>
  <r>
    <x v="10"/>
    <x v="10"/>
    <x v="0"/>
    <x v="10"/>
    <x v="2"/>
    <x v="2"/>
    <x v="2"/>
    <x v="5"/>
    <x v="1"/>
  </r>
  <r>
    <x v="10"/>
    <x v="10"/>
    <x v="0"/>
    <x v="10"/>
    <x v="40"/>
    <x v="40"/>
    <x v="40"/>
    <x v="0"/>
    <x v="1"/>
  </r>
  <r>
    <x v="10"/>
    <x v="10"/>
    <x v="0"/>
    <x v="10"/>
    <x v="10"/>
    <x v="10"/>
    <x v="10"/>
    <x v="4"/>
    <x v="1"/>
  </r>
  <r>
    <x v="10"/>
    <x v="10"/>
    <x v="0"/>
    <x v="10"/>
    <x v="12"/>
    <x v="12"/>
    <x v="12"/>
    <x v="2"/>
    <x v="1"/>
  </r>
  <r>
    <x v="40"/>
    <x v="40"/>
    <x v="0"/>
    <x v="40"/>
    <x v="13"/>
    <x v="13"/>
    <x v="13"/>
    <x v="5"/>
    <x v="1"/>
  </r>
  <r>
    <x v="40"/>
    <x v="40"/>
    <x v="0"/>
    <x v="40"/>
    <x v="51"/>
    <x v="51"/>
    <x v="51"/>
    <x v="1"/>
    <x v="1"/>
  </r>
  <r>
    <x v="40"/>
    <x v="40"/>
    <x v="0"/>
    <x v="40"/>
    <x v="52"/>
    <x v="52"/>
    <x v="52"/>
    <x v="1"/>
    <x v="1"/>
  </r>
  <r>
    <x v="40"/>
    <x v="40"/>
    <x v="0"/>
    <x v="40"/>
    <x v="21"/>
    <x v="21"/>
    <x v="21"/>
    <x v="6"/>
    <x v="1"/>
  </r>
  <r>
    <x v="40"/>
    <x v="40"/>
    <x v="0"/>
    <x v="40"/>
    <x v="24"/>
    <x v="24"/>
    <x v="24"/>
    <x v="1"/>
    <x v="1"/>
  </r>
  <r>
    <x v="40"/>
    <x v="40"/>
    <x v="0"/>
    <x v="40"/>
    <x v="1"/>
    <x v="1"/>
    <x v="1"/>
    <x v="0"/>
    <x v="0"/>
  </r>
  <r>
    <x v="40"/>
    <x v="40"/>
    <x v="0"/>
    <x v="40"/>
    <x v="4"/>
    <x v="4"/>
    <x v="4"/>
    <x v="5"/>
    <x v="1"/>
  </r>
  <r>
    <x v="40"/>
    <x v="40"/>
    <x v="0"/>
    <x v="40"/>
    <x v="3"/>
    <x v="3"/>
    <x v="3"/>
    <x v="1"/>
    <x v="1"/>
  </r>
  <r>
    <x v="40"/>
    <x v="40"/>
    <x v="0"/>
    <x v="40"/>
    <x v="6"/>
    <x v="6"/>
    <x v="6"/>
    <x v="5"/>
    <x v="1"/>
  </r>
  <r>
    <x v="40"/>
    <x v="40"/>
    <x v="0"/>
    <x v="40"/>
    <x v="27"/>
    <x v="27"/>
    <x v="27"/>
    <x v="3"/>
    <x v="1"/>
  </r>
  <r>
    <x v="40"/>
    <x v="40"/>
    <x v="0"/>
    <x v="40"/>
    <x v="12"/>
    <x v="12"/>
    <x v="12"/>
    <x v="5"/>
    <x v="1"/>
  </r>
  <r>
    <x v="40"/>
    <x v="40"/>
    <x v="0"/>
    <x v="40"/>
    <x v="42"/>
    <x v="42"/>
    <x v="42"/>
    <x v="1"/>
    <x v="1"/>
  </r>
  <r>
    <x v="40"/>
    <x v="40"/>
    <x v="0"/>
    <x v="40"/>
    <x v="28"/>
    <x v="28"/>
    <x v="28"/>
    <x v="5"/>
    <x v="1"/>
  </r>
  <r>
    <x v="40"/>
    <x v="40"/>
    <x v="0"/>
    <x v="40"/>
    <x v="76"/>
    <x v="76"/>
    <x v="76"/>
    <x v="2"/>
    <x v="1"/>
  </r>
  <r>
    <x v="41"/>
    <x v="41"/>
    <x v="0"/>
    <x v="41"/>
    <x v="13"/>
    <x v="13"/>
    <x v="13"/>
    <x v="7"/>
    <x v="1"/>
  </r>
  <r>
    <x v="41"/>
    <x v="41"/>
    <x v="0"/>
    <x v="41"/>
    <x v="23"/>
    <x v="23"/>
    <x v="23"/>
    <x v="3"/>
    <x v="1"/>
  </r>
  <r>
    <x v="41"/>
    <x v="41"/>
    <x v="0"/>
    <x v="41"/>
    <x v="1"/>
    <x v="1"/>
    <x v="1"/>
    <x v="0"/>
    <x v="0"/>
  </r>
  <r>
    <x v="41"/>
    <x v="41"/>
    <x v="0"/>
    <x v="41"/>
    <x v="4"/>
    <x v="4"/>
    <x v="4"/>
    <x v="5"/>
    <x v="1"/>
  </r>
  <r>
    <x v="41"/>
    <x v="41"/>
    <x v="0"/>
    <x v="41"/>
    <x v="3"/>
    <x v="3"/>
    <x v="3"/>
    <x v="5"/>
    <x v="1"/>
  </r>
  <r>
    <x v="41"/>
    <x v="41"/>
    <x v="0"/>
    <x v="41"/>
    <x v="6"/>
    <x v="6"/>
    <x v="6"/>
    <x v="6"/>
    <x v="1"/>
  </r>
  <r>
    <x v="41"/>
    <x v="41"/>
    <x v="0"/>
    <x v="41"/>
    <x v="26"/>
    <x v="26"/>
    <x v="26"/>
    <x v="5"/>
    <x v="1"/>
  </r>
  <r>
    <x v="41"/>
    <x v="41"/>
    <x v="0"/>
    <x v="41"/>
    <x v="41"/>
    <x v="41"/>
    <x v="41"/>
    <x v="6"/>
    <x v="1"/>
  </r>
  <r>
    <x v="41"/>
    <x v="41"/>
    <x v="0"/>
    <x v="41"/>
    <x v="47"/>
    <x v="47"/>
    <x v="47"/>
    <x v="8"/>
    <x v="1"/>
  </r>
  <r>
    <x v="41"/>
    <x v="41"/>
    <x v="0"/>
    <x v="41"/>
    <x v="12"/>
    <x v="12"/>
    <x v="12"/>
    <x v="3"/>
    <x v="1"/>
  </r>
  <r>
    <x v="41"/>
    <x v="41"/>
    <x v="0"/>
    <x v="41"/>
    <x v="15"/>
    <x v="15"/>
    <x v="15"/>
    <x v="2"/>
    <x v="1"/>
  </r>
  <r>
    <x v="41"/>
    <x v="41"/>
    <x v="0"/>
    <x v="41"/>
    <x v="72"/>
    <x v="72"/>
    <x v="72"/>
    <x v="1"/>
    <x v="1"/>
  </r>
  <r>
    <x v="42"/>
    <x v="42"/>
    <x v="0"/>
    <x v="42"/>
    <x v="46"/>
    <x v="46"/>
    <x v="46"/>
    <x v="1"/>
    <x v="1"/>
  </r>
  <r>
    <x v="42"/>
    <x v="42"/>
    <x v="0"/>
    <x v="42"/>
    <x v="68"/>
    <x v="68"/>
    <x v="68"/>
    <x v="1"/>
    <x v="1"/>
  </r>
  <r>
    <x v="42"/>
    <x v="42"/>
    <x v="0"/>
    <x v="42"/>
    <x v="22"/>
    <x v="22"/>
    <x v="22"/>
    <x v="5"/>
    <x v="1"/>
  </r>
  <r>
    <x v="42"/>
    <x v="42"/>
    <x v="0"/>
    <x v="42"/>
    <x v="24"/>
    <x v="24"/>
    <x v="24"/>
    <x v="1"/>
    <x v="1"/>
  </r>
  <r>
    <x v="42"/>
    <x v="42"/>
    <x v="0"/>
    <x v="42"/>
    <x v="3"/>
    <x v="3"/>
    <x v="3"/>
    <x v="1"/>
    <x v="1"/>
  </r>
  <r>
    <x v="42"/>
    <x v="42"/>
    <x v="0"/>
    <x v="42"/>
    <x v="6"/>
    <x v="6"/>
    <x v="6"/>
    <x v="1"/>
    <x v="1"/>
  </r>
  <r>
    <x v="42"/>
    <x v="42"/>
    <x v="0"/>
    <x v="42"/>
    <x v="25"/>
    <x v="25"/>
    <x v="25"/>
    <x v="1"/>
    <x v="1"/>
  </r>
  <r>
    <x v="42"/>
    <x v="42"/>
    <x v="0"/>
    <x v="42"/>
    <x v="27"/>
    <x v="27"/>
    <x v="27"/>
    <x v="6"/>
    <x v="1"/>
  </r>
  <r>
    <x v="42"/>
    <x v="42"/>
    <x v="0"/>
    <x v="42"/>
    <x v="15"/>
    <x v="15"/>
    <x v="15"/>
    <x v="5"/>
    <x v="1"/>
  </r>
  <r>
    <x v="43"/>
    <x v="43"/>
    <x v="2"/>
    <x v="43"/>
    <x v="5"/>
    <x v="5"/>
    <x v="5"/>
    <x v="4"/>
    <x v="1"/>
  </r>
  <r>
    <x v="43"/>
    <x v="43"/>
    <x v="2"/>
    <x v="43"/>
    <x v="56"/>
    <x v="56"/>
    <x v="56"/>
    <x v="1"/>
    <x v="1"/>
  </r>
  <r>
    <x v="44"/>
    <x v="44"/>
    <x v="5"/>
    <x v="44"/>
    <x v="46"/>
    <x v="46"/>
    <x v="46"/>
    <x v="7"/>
    <x v="1"/>
  </r>
  <r>
    <x v="44"/>
    <x v="44"/>
    <x v="5"/>
    <x v="44"/>
    <x v="51"/>
    <x v="51"/>
    <x v="51"/>
    <x v="1"/>
    <x v="1"/>
  </r>
  <r>
    <x v="44"/>
    <x v="44"/>
    <x v="5"/>
    <x v="44"/>
    <x v="1"/>
    <x v="1"/>
    <x v="1"/>
    <x v="0"/>
    <x v="0"/>
  </r>
  <r>
    <x v="44"/>
    <x v="44"/>
    <x v="5"/>
    <x v="44"/>
    <x v="33"/>
    <x v="33"/>
    <x v="33"/>
    <x v="7"/>
    <x v="1"/>
  </r>
  <r>
    <x v="44"/>
    <x v="44"/>
    <x v="5"/>
    <x v="44"/>
    <x v="26"/>
    <x v="26"/>
    <x v="26"/>
    <x v="5"/>
    <x v="1"/>
  </r>
  <r>
    <x v="44"/>
    <x v="44"/>
    <x v="5"/>
    <x v="44"/>
    <x v="3"/>
    <x v="3"/>
    <x v="3"/>
    <x v="3"/>
    <x v="1"/>
  </r>
  <r>
    <x v="44"/>
    <x v="44"/>
    <x v="5"/>
    <x v="44"/>
    <x v="4"/>
    <x v="4"/>
    <x v="4"/>
    <x v="5"/>
    <x v="1"/>
  </r>
  <r>
    <x v="44"/>
    <x v="44"/>
    <x v="5"/>
    <x v="44"/>
    <x v="6"/>
    <x v="6"/>
    <x v="6"/>
    <x v="9"/>
    <x v="1"/>
  </r>
  <r>
    <x v="44"/>
    <x v="44"/>
    <x v="5"/>
    <x v="44"/>
    <x v="38"/>
    <x v="38"/>
    <x v="38"/>
    <x v="11"/>
    <x v="1"/>
  </r>
  <r>
    <x v="39"/>
    <x v="39"/>
    <x v="1"/>
    <x v="39"/>
    <x v="4"/>
    <x v="4"/>
    <x v="4"/>
    <x v="2"/>
    <x v="1"/>
  </r>
  <r>
    <x v="39"/>
    <x v="39"/>
    <x v="1"/>
    <x v="39"/>
    <x v="5"/>
    <x v="5"/>
    <x v="5"/>
    <x v="11"/>
    <x v="1"/>
  </r>
  <r>
    <x v="39"/>
    <x v="39"/>
    <x v="1"/>
    <x v="39"/>
    <x v="87"/>
    <x v="87"/>
    <x v="87"/>
    <x v="0"/>
    <x v="1"/>
  </r>
  <r>
    <x v="39"/>
    <x v="39"/>
    <x v="1"/>
    <x v="39"/>
    <x v="88"/>
    <x v="88"/>
    <x v="88"/>
    <x v="2"/>
    <x v="1"/>
  </r>
  <r>
    <x v="39"/>
    <x v="39"/>
    <x v="1"/>
    <x v="39"/>
    <x v="29"/>
    <x v="29"/>
    <x v="29"/>
    <x v="12"/>
    <x v="1"/>
  </r>
  <r>
    <x v="39"/>
    <x v="39"/>
    <x v="1"/>
    <x v="39"/>
    <x v="89"/>
    <x v="89"/>
    <x v="89"/>
    <x v="13"/>
    <x v="1"/>
  </r>
  <r>
    <x v="39"/>
    <x v="39"/>
    <x v="1"/>
    <x v="39"/>
    <x v="20"/>
    <x v="20"/>
    <x v="20"/>
    <x v="12"/>
    <x v="1"/>
  </r>
  <r>
    <x v="39"/>
    <x v="39"/>
    <x v="1"/>
    <x v="39"/>
    <x v="56"/>
    <x v="56"/>
    <x v="56"/>
    <x v="13"/>
    <x v="1"/>
  </r>
  <r>
    <x v="39"/>
    <x v="39"/>
    <x v="1"/>
    <x v="39"/>
    <x v="72"/>
    <x v="72"/>
    <x v="72"/>
    <x v="2"/>
    <x v="1"/>
  </r>
  <r>
    <x v="39"/>
    <x v="39"/>
    <x v="1"/>
    <x v="39"/>
    <x v="14"/>
    <x v="14"/>
    <x v="14"/>
    <x v="2"/>
    <x v="1"/>
  </r>
  <r>
    <x v="45"/>
    <x v="45"/>
    <x v="5"/>
    <x v="45"/>
    <x v="46"/>
    <x v="46"/>
    <x v="46"/>
    <x v="2"/>
    <x v="1"/>
  </r>
  <r>
    <x v="45"/>
    <x v="45"/>
    <x v="5"/>
    <x v="45"/>
    <x v="51"/>
    <x v="51"/>
    <x v="51"/>
    <x v="5"/>
    <x v="1"/>
  </r>
  <r>
    <x v="45"/>
    <x v="45"/>
    <x v="5"/>
    <x v="45"/>
    <x v="1"/>
    <x v="1"/>
    <x v="1"/>
    <x v="0"/>
    <x v="0"/>
  </r>
  <r>
    <x v="45"/>
    <x v="45"/>
    <x v="5"/>
    <x v="45"/>
    <x v="26"/>
    <x v="26"/>
    <x v="26"/>
    <x v="7"/>
    <x v="1"/>
  </r>
  <r>
    <x v="45"/>
    <x v="45"/>
    <x v="5"/>
    <x v="45"/>
    <x v="3"/>
    <x v="3"/>
    <x v="3"/>
    <x v="5"/>
    <x v="1"/>
  </r>
  <r>
    <x v="45"/>
    <x v="45"/>
    <x v="5"/>
    <x v="45"/>
    <x v="6"/>
    <x v="6"/>
    <x v="6"/>
    <x v="6"/>
    <x v="1"/>
  </r>
  <r>
    <x v="45"/>
    <x v="45"/>
    <x v="5"/>
    <x v="45"/>
    <x v="80"/>
    <x v="80"/>
    <x v="80"/>
    <x v="5"/>
    <x v="1"/>
  </r>
  <r>
    <x v="45"/>
    <x v="45"/>
    <x v="5"/>
    <x v="45"/>
    <x v="38"/>
    <x v="38"/>
    <x v="38"/>
    <x v="7"/>
    <x v="1"/>
  </r>
  <r>
    <x v="45"/>
    <x v="45"/>
    <x v="5"/>
    <x v="45"/>
    <x v="22"/>
    <x v="22"/>
    <x v="22"/>
    <x v="5"/>
    <x v="1"/>
  </r>
  <r>
    <x v="45"/>
    <x v="45"/>
    <x v="5"/>
    <x v="45"/>
    <x v="75"/>
    <x v="75"/>
    <x v="75"/>
    <x v="7"/>
    <x v="1"/>
  </r>
  <r>
    <x v="45"/>
    <x v="45"/>
    <x v="5"/>
    <x v="45"/>
    <x v="49"/>
    <x v="49"/>
    <x v="49"/>
    <x v="6"/>
    <x v="1"/>
  </r>
  <r>
    <x v="45"/>
    <x v="45"/>
    <x v="5"/>
    <x v="45"/>
    <x v="7"/>
    <x v="7"/>
    <x v="7"/>
    <x v="5"/>
    <x v="1"/>
  </r>
  <r>
    <x v="45"/>
    <x v="45"/>
    <x v="5"/>
    <x v="45"/>
    <x v="90"/>
    <x v="90"/>
    <x v="90"/>
    <x v="1"/>
    <x v="1"/>
  </r>
  <r>
    <x v="45"/>
    <x v="45"/>
    <x v="5"/>
    <x v="45"/>
    <x v="91"/>
    <x v="91"/>
    <x v="91"/>
    <x v="6"/>
    <x v="1"/>
  </r>
  <r>
    <x v="45"/>
    <x v="45"/>
    <x v="5"/>
    <x v="45"/>
    <x v="92"/>
    <x v="92"/>
    <x v="92"/>
    <x v="6"/>
    <x v="1"/>
  </r>
  <r>
    <x v="45"/>
    <x v="45"/>
    <x v="5"/>
    <x v="45"/>
    <x v="50"/>
    <x v="50"/>
    <x v="50"/>
    <x v="0"/>
    <x v="0"/>
  </r>
  <r>
    <x v="45"/>
    <x v="45"/>
    <x v="5"/>
    <x v="45"/>
    <x v="93"/>
    <x v="93"/>
    <x v="93"/>
    <x v="0"/>
    <x v="1"/>
  </r>
  <r>
    <x v="45"/>
    <x v="45"/>
    <x v="5"/>
    <x v="45"/>
    <x v="94"/>
    <x v="94"/>
    <x v="94"/>
    <x v="6"/>
    <x v="1"/>
  </r>
  <r>
    <x v="46"/>
    <x v="46"/>
    <x v="1"/>
    <x v="46"/>
    <x v="65"/>
    <x v="65"/>
    <x v="65"/>
    <x v="1"/>
    <x v="1"/>
  </r>
  <r>
    <x v="47"/>
    <x v="47"/>
    <x v="6"/>
    <x v="47"/>
    <x v="46"/>
    <x v="46"/>
    <x v="46"/>
    <x v="4"/>
    <x v="1"/>
  </r>
  <r>
    <x v="47"/>
    <x v="47"/>
    <x v="6"/>
    <x v="47"/>
    <x v="95"/>
    <x v="95"/>
    <x v="95"/>
    <x v="3"/>
    <x v="1"/>
  </r>
  <r>
    <x v="47"/>
    <x v="47"/>
    <x v="6"/>
    <x v="47"/>
    <x v="96"/>
    <x v="96"/>
    <x v="96"/>
    <x v="4"/>
    <x v="1"/>
  </r>
  <r>
    <x v="47"/>
    <x v="47"/>
    <x v="6"/>
    <x v="47"/>
    <x v="26"/>
    <x v="26"/>
    <x v="26"/>
    <x v="4"/>
    <x v="1"/>
  </r>
  <r>
    <x v="47"/>
    <x v="47"/>
    <x v="6"/>
    <x v="47"/>
    <x v="3"/>
    <x v="3"/>
    <x v="3"/>
    <x v="7"/>
    <x v="1"/>
  </r>
  <r>
    <x v="47"/>
    <x v="47"/>
    <x v="6"/>
    <x v="47"/>
    <x v="4"/>
    <x v="4"/>
    <x v="4"/>
    <x v="7"/>
    <x v="1"/>
  </r>
  <r>
    <x v="47"/>
    <x v="47"/>
    <x v="6"/>
    <x v="47"/>
    <x v="25"/>
    <x v="25"/>
    <x v="25"/>
    <x v="4"/>
    <x v="1"/>
  </r>
  <r>
    <x v="47"/>
    <x v="47"/>
    <x v="6"/>
    <x v="47"/>
    <x v="74"/>
    <x v="74"/>
    <x v="74"/>
    <x v="6"/>
    <x v="1"/>
  </r>
  <r>
    <x v="47"/>
    <x v="47"/>
    <x v="6"/>
    <x v="47"/>
    <x v="6"/>
    <x v="6"/>
    <x v="6"/>
    <x v="3"/>
    <x v="1"/>
  </r>
  <r>
    <x v="47"/>
    <x v="47"/>
    <x v="6"/>
    <x v="47"/>
    <x v="80"/>
    <x v="80"/>
    <x v="80"/>
    <x v="4"/>
    <x v="1"/>
  </r>
  <r>
    <x v="47"/>
    <x v="47"/>
    <x v="6"/>
    <x v="47"/>
    <x v="38"/>
    <x v="38"/>
    <x v="38"/>
    <x v="8"/>
    <x v="1"/>
  </r>
  <r>
    <x v="47"/>
    <x v="47"/>
    <x v="6"/>
    <x v="47"/>
    <x v="22"/>
    <x v="22"/>
    <x v="22"/>
    <x v="4"/>
    <x v="1"/>
  </r>
  <r>
    <x v="47"/>
    <x v="47"/>
    <x v="6"/>
    <x v="47"/>
    <x v="62"/>
    <x v="62"/>
    <x v="62"/>
    <x v="1"/>
    <x v="1"/>
  </r>
  <r>
    <x v="47"/>
    <x v="47"/>
    <x v="6"/>
    <x v="47"/>
    <x v="23"/>
    <x v="23"/>
    <x v="23"/>
    <x v="2"/>
    <x v="1"/>
  </r>
  <r>
    <x v="47"/>
    <x v="47"/>
    <x v="6"/>
    <x v="47"/>
    <x v="97"/>
    <x v="97"/>
    <x v="97"/>
    <x v="4"/>
    <x v="1"/>
  </r>
  <r>
    <x v="47"/>
    <x v="47"/>
    <x v="6"/>
    <x v="47"/>
    <x v="49"/>
    <x v="49"/>
    <x v="49"/>
    <x v="4"/>
    <x v="1"/>
  </r>
  <r>
    <x v="47"/>
    <x v="47"/>
    <x v="6"/>
    <x v="47"/>
    <x v="28"/>
    <x v="28"/>
    <x v="28"/>
    <x v="1"/>
    <x v="1"/>
  </r>
  <r>
    <x v="47"/>
    <x v="47"/>
    <x v="6"/>
    <x v="47"/>
    <x v="98"/>
    <x v="98"/>
    <x v="98"/>
    <x v="2"/>
    <x v="1"/>
  </r>
  <r>
    <x v="47"/>
    <x v="47"/>
    <x v="6"/>
    <x v="47"/>
    <x v="99"/>
    <x v="99"/>
    <x v="99"/>
    <x v="6"/>
    <x v="1"/>
  </r>
  <r>
    <x v="47"/>
    <x v="47"/>
    <x v="6"/>
    <x v="47"/>
    <x v="100"/>
    <x v="100"/>
    <x v="100"/>
    <x v="2"/>
    <x v="1"/>
  </r>
  <r>
    <x v="47"/>
    <x v="47"/>
    <x v="6"/>
    <x v="47"/>
    <x v="84"/>
    <x v="84"/>
    <x v="84"/>
    <x v="9"/>
    <x v="1"/>
  </r>
  <r>
    <x v="47"/>
    <x v="47"/>
    <x v="6"/>
    <x v="47"/>
    <x v="41"/>
    <x v="41"/>
    <x v="41"/>
    <x v="2"/>
    <x v="1"/>
  </r>
  <r>
    <x v="47"/>
    <x v="47"/>
    <x v="6"/>
    <x v="47"/>
    <x v="101"/>
    <x v="101"/>
    <x v="101"/>
    <x v="4"/>
    <x v="1"/>
  </r>
  <r>
    <x v="47"/>
    <x v="47"/>
    <x v="6"/>
    <x v="47"/>
    <x v="10"/>
    <x v="10"/>
    <x v="10"/>
    <x v="2"/>
    <x v="1"/>
  </r>
  <r>
    <x v="21"/>
    <x v="21"/>
    <x v="0"/>
    <x v="21"/>
    <x v="39"/>
    <x v="39"/>
    <x v="39"/>
    <x v="5"/>
    <x v="1"/>
  </r>
  <r>
    <x v="21"/>
    <x v="21"/>
    <x v="0"/>
    <x v="21"/>
    <x v="2"/>
    <x v="2"/>
    <x v="2"/>
    <x v="5"/>
    <x v="1"/>
  </r>
  <r>
    <x v="21"/>
    <x v="21"/>
    <x v="0"/>
    <x v="21"/>
    <x v="41"/>
    <x v="41"/>
    <x v="41"/>
    <x v="6"/>
    <x v="1"/>
  </r>
  <r>
    <x v="21"/>
    <x v="21"/>
    <x v="0"/>
    <x v="21"/>
    <x v="47"/>
    <x v="47"/>
    <x v="47"/>
    <x v="5"/>
    <x v="1"/>
  </r>
  <r>
    <x v="21"/>
    <x v="21"/>
    <x v="0"/>
    <x v="21"/>
    <x v="27"/>
    <x v="27"/>
    <x v="27"/>
    <x v="7"/>
    <x v="1"/>
  </r>
  <r>
    <x v="21"/>
    <x v="21"/>
    <x v="0"/>
    <x v="21"/>
    <x v="12"/>
    <x v="12"/>
    <x v="12"/>
    <x v="5"/>
    <x v="1"/>
  </r>
  <r>
    <x v="21"/>
    <x v="21"/>
    <x v="0"/>
    <x v="21"/>
    <x v="48"/>
    <x v="48"/>
    <x v="48"/>
    <x v="1"/>
    <x v="1"/>
  </r>
  <r>
    <x v="21"/>
    <x v="21"/>
    <x v="0"/>
    <x v="21"/>
    <x v="15"/>
    <x v="15"/>
    <x v="15"/>
    <x v="2"/>
    <x v="1"/>
  </r>
  <r>
    <x v="48"/>
    <x v="48"/>
    <x v="0"/>
    <x v="48"/>
    <x v="4"/>
    <x v="4"/>
    <x v="4"/>
    <x v="1"/>
    <x v="1"/>
  </r>
  <r>
    <x v="48"/>
    <x v="48"/>
    <x v="0"/>
    <x v="48"/>
    <x v="3"/>
    <x v="3"/>
    <x v="3"/>
    <x v="4"/>
    <x v="1"/>
  </r>
  <r>
    <x v="48"/>
    <x v="48"/>
    <x v="0"/>
    <x v="48"/>
    <x v="2"/>
    <x v="2"/>
    <x v="2"/>
    <x v="4"/>
    <x v="1"/>
  </r>
  <r>
    <x v="48"/>
    <x v="48"/>
    <x v="0"/>
    <x v="48"/>
    <x v="27"/>
    <x v="27"/>
    <x v="27"/>
    <x v="6"/>
    <x v="1"/>
  </r>
  <r>
    <x v="48"/>
    <x v="48"/>
    <x v="0"/>
    <x v="48"/>
    <x v="12"/>
    <x v="12"/>
    <x v="12"/>
    <x v="3"/>
    <x v="1"/>
  </r>
  <r>
    <x v="49"/>
    <x v="49"/>
    <x v="0"/>
    <x v="49"/>
    <x v="69"/>
    <x v="69"/>
    <x v="69"/>
    <x v="0"/>
    <x v="0"/>
  </r>
  <r>
    <x v="50"/>
    <x v="50"/>
    <x v="0"/>
    <x v="50"/>
    <x v="55"/>
    <x v="55"/>
    <x v="55"/>
    <x v="0"/>
    <x v="0"/>
  </r>
  <r>
    <x v="50"/>
    <x v="50"/>
    <x v="0"/>
    <x v="50"/>
    <x v="54"/>
    <x v="54"/>
    <x v="54"/>
    <x v="4"/>
    <x v="1"/>
  </r>
  <r>
    <x v="50"/>
    <x v="50"/>
    <x v="0"/>
    <x v="50"/>
    <x v="38"/>
    <x v="38"/>
    <x v="38"/>
    <x v="6"/>
    <x v="1"/>
  </r>
  <r>
    <x v="50"/>
    <x v="50"/>
    <x v="0"/>
    <x v="50"/>
    <x v="62"/>
    <x v="62"/>
    <x v="62"/>
    <x v="4"/>
    <x v="1"/>
  </r>
  <r>
    <x v="50"/>
    <x v="50"/>
    <x v="0"/>
    <x v="50"/>
    <x v="23"/>
    <x v="23"/>
    <x v="23"/>
    <x v="5"/>
    <x v="1"/>
  </r>
  <r>
    <x v="50"/>
    <x v="50"/>
    <x v="0"/>
    <x v="50"/>
    <x v="1"/>
    <x v="1"/>
    <x v="1"/>
    <x v="0"/>
    <x v="0"/>
  </r>
  <r>
    <x v="50"/>
    <x v="50"/>
    <x v="0"/>
    <x v="50"/>
    <x v="6"/>
    <x v="6"/>
    <x v="6"/>
    <x v="2"/>
    <x v="1"/>
  </r>
  <r>
    <x v="50"/>
    <x v="50"/>
    <x v="0"/>
    <x v="50"/>
    <x v="27"/>
    <x v="27"/>
    <x v="27"/>
    <x v="2"/>
    <x v="1"/>
  </r>
  <r>
    <x v="50"/>
    <x v="50"/>
    <x v="0"/>
    <x v="50"/>
    <x v="42"/>
    <x v="42"/>
    <x v="42"/>
    <x v="1"/>
    <x v="1"/>
  </r>
  <r>
    <x v="50"/>
    <x v="50"/>
    <x v="0"/>
    <x v="50"/>
    <x v="15"/>
    <x v="15"/>
    <x v="15"/>
    <x v="2"/>
    <x v="1"/>
  </r>
  <r>
    <x v="50"/>
    <x v="50"/>
    <x v="0"/>
    <x v="50"/>
    <x v="29"/>
    <x v="29"/>
    <x v="29"/>
    <x v="3"/>
    <x v="1"/>
  </r>
  <r>
    <x v="50"/>
    <x v="50"/>
    <x v="0"/>
    <x v="50"/>
    <x v="20"/>
    <x v="20"/>
    <x v="20"/>
    <x v="7"/>
    <x v="1"/>
  </r>
  <r>
    <x v="50"/>
    <x v="50"/>
    <x v="0"/>
    <x v="50"/>
    <x v="72"/>
    <x v="72"/>
    <x v="72"/>
    <x v="1"/>
    <x v="1"/>
  </r>
  <r>
    <x v="50"/>
    <x v="50"/>
    <x v="0"/>
    <x v="50"/>
    <x v="14"/>
    <x v="14"/>
    <x v="14"/>
    <x v="1"/>
    <x v="1"/>
  </r>
  <r>
    <x v="51"/>
    <x v="51"/>
    <x v="0"/>
    <x v="51"/>
    <x v="56"/>
    <x v="56"/>
    <x v="56"/>
    <x v="4"/>
    <x v="1"/>
  </r>
  <r>
    <x v="51"/>
    <x v="51"/>
    <x v="0"/>
    <x v="51"/>
    <x v="36"/>
    <x v="36"/>
    <x v="36"/>
    <x v="1"/>
    <x v="1"/>
  </r>
  <r>
    <x v="51"/>
    <x v="51"/>
    <x v="0"/>
    <x v="51"/>
    <x v="30"/>
    <x v="30"/>
    <x v="30"/>
    <x v="1"/>
    <x v="1"/>
  </r>
  <r>
    <x v="51"/>
    <x v="51"/>
    <x v="0"/>
    <x v="51"/>
    <x v="22"/>
    <x v="22"/>
    <x v="22"/>
    <x v="1"/>
    <x v="1"/>
  </r>
  <r>
    <x v="51"/>
    <x v="51"/>
    <x v="0"/>
    <x v="51"/>
    <x v="58"/>
    <x v="58"/>
    <x v="58"/>
    <x v="0"/>
    <x v="1"/>
  </r>
  <r>
    <x v="51"/>
    <x v="51"/>
    <x v="0"/>
    <x v="51"/>
    <x v="24"/>
    <x v="24"/>
    <x v="24"/>
    <x v="0"/>
    <x v="1"/>
  </r>
  <r>
    <x v="51"/>
    <x v="51"/>
    <x v="0"/>
    <x v="51"/>
    <x v="1"/>
    <x v="1"/>
    <x v="1"/>
    <x v="0"/>
    <x v="0"/>
  </r>
  <r>
    <x v="51"/>
    <x v="51"/>
    <x v="0"/>
    <x v="51"/>
    <x v="4"/>
    <x v="4"/>
    <x v="4"/>
    <x v="0"/>
    <x v="1"/>
  </r>
  <r>
    <x v="51"/>
    <x v="51"/>
    <x v="0"/>
    <x v="51"/>
    <x v="3"/>
    <x v="3"/>
    <x v="3"/>
    <x v="0"/>
    <x v="1"/>
  </r>
  <r>
    <x v="51"/>
    <x v="51"/>
    <x v="0"/>
    <x v="51"/>
    <x v="6"/>
    <x v="6"/>
    <x v="6"/>
    <x v="1"/>
    <x v="1"/>
  </r>
  <r>
    <x v="51"/>
    <x v="51"/>
    <x v="0"/>
    <x v="51"/>
    <x v="2"/>
    <x v="2"/>
    <x v="2"/>
    <x v="0"/>
    <x v="1"/>
  </r>
  <r>
    <x v="51"/>
    <x v="51"/>
    <x v="0"/>
    <x v="51"/>
    <x v="41"/>
    <x v="41"/>
    <x v="41"/>
    <x v="0"/>
    <x v="1"/>
  </r>
  <r>
    <x v="51"/>
    <x v="51"/>
    <x v="0"/>
    <x v="51"/>
    <x v="47"/>
    <x v="47"/>
    <x v="47"/>
    <x v="0"/>
    <x v="1"/>
  </r>
  <r>
    <x v="51"/>
    <x v="51"/>
    <x v="0"/>
    <x v="51"/>
    <x v="27"/>
    <x v="27"/>
    <x v="27"/>
    <x v="1"/>
    <x v="1"/>
  </r>
  <r>
    <x v="51"/>
    <x v="51"/>
    <x v="0"/>
    <x v="51"/>
    <x v="10"/>
    <x v="10"/>
    <x v="10"/>
    <x v="0"/>
    <x v="1"/>
  </r>
  <r>
    <x v="51"/>
    <x v="51"/>
    <x v="0"/>
    <x v="51"/>
    <x v="12"/>
    <x v="12"/>
    <x v="12"/>
    <x v="0"/>
    <x v="1"/>
  </r>
  <r>
    <x v="51"/>
    <x v="51"/>
    <x v="0"/>
    <x v="51"/>
    <x v="42"/>
    <x v="42"/>
    <x v="42"/>
    <x v="0"/>
    <x v="1"/>
  </r>
  <r>
    <x v="52"/>
    <x v="52"/>
    <x v="3"/>
    <x v="52"/>
    <x v="65"/>
    <x v="65"/>
    <x v="65"/>
    <x v="0"/>
    <x v="1"/>
  </r>
  <r>
    <x v="53"/>
    <x v="53"/>
    <x v="5"/>
    <x v="53"/>
    <x v="36"/>
    <x v="36"/>
    <x v="36"/>
    <x v="2"/>
    <x v="1"/>
  </r>
  <r>
    <x v="53"/>
    <x v="53"/>
    <x v="5"/>
    <x v="53"/>
    <x v="51"/>
    <x v="51"/>
    <x v="51"/>
    <x v="6"/>
    <x v="1"/>
  </r>
  <r>
    <x v="53"/>
    <x v="53"/>
    <x v="5"/>
    <x v="53"/>
    <x v="2"/>
    <x v="2"/>
    <x v="2"/>
    <x v="6"/>
    <x v="1"/>
  </r>
  <r>
    <x v="53"/>
    <x v="53"/>
    <x v="5"/>
    <x v="53"/>
    <x v="4"/>
    <x v="4"/>
    <x v="4"/>
    <x v="6"/>
    <x v="1"/>
  </r>
  <r>
    <x v="53"/>
    <x v="53"/>
    <x v="5"/>
    <x v="53"/>
    <x v="5"/>
    <x v="5"/>
    <x v="5"/>
    <x v="6"/>
    <x v="1"/>
  </r>
  <r>
    <x v="53"/>
    <x v="53"/>
    <x v="5"/>
    <x v="53"/>
    <x v="74"/>
    <x v="74"/>
    <x v="74"/>
    <x v="9"/>
    <x v="1"/>
  </r>
  <r>
    <x v="53"/>
    <x v="53"/>
    <x v="5"/>
    <x v="53"/>
    <x v="6"/>
    <x v="6"/>
    <x v="6"/>
    <x v="2"/>
    <x v="1"/>
  </r>
  <r>
    <x v="53"/>
    <x v="53"/>
    <x v="5"/>
    <x v="53"/>
    <x v="30"/>
    <x v="30"/>
    <x v="30"/>
    <x v="7"/>
    <x v="1"/>
  </r>
  <r>
    <x v="28"/>
    <x v="28"/>
    <x v="0"/>
    <x v="28"/>
    <x v="20"/>
    <x v="20"/>
    <x v="20"/>
    <x v="3"/>
    <x v="1"/>
  </r>
  <r>
    <x v="54"/>
    <x v="54"/>
    <x v="0"/>
    <x v="54"/>
    <x v="69"/>
    <x v="69"/>
    <x v="69"/>
    <x v="0"/>
    <x v="0"/>
  </r>
  <r>
    <x v="54"/>
    <x v="54"/>
    <x v="0"/>
    <x v="54"/>
    <x v="54"/>
    <x v="54"/>
    <x v="54"/>
    <x v="4"/>
    <x v="1"/>
  </r>
  <r>
    <x v="54"/>
    <x v="54"/>
    <x v="0"/>
    <x v="54"/>
    <x v="0"/>
    <x v="0"/>
    <x v="0"/>
    <x v="0"/>
    <x v="0"/>
  </r>
  <r>
    <x v="54"/>
    <x v="54"/>
    <x v="0"/>
    <x v="54"/>
    <x v="62"/>
    <x v="62"/>
    <x v="62"/>
    <x v="1"/>
    <x v="1"/>
  </r>
  <r>
    <x v="54"/>
    <x v="54"/>
    <x v="0"/>
    <x v="54"/>
    <x v="21"/>
    <x v="21"/>
    <x v="21"/>
    <x v="3"/>
    <x v="1"/>
  </r>
  <r>
    <x v="54"/>
    <x v="54"/>
    <x v="0"/>
    <x v="54"/>
    <x v="58"/>
    <x v="58"/>
    <x v="58"/>
    <x v="5"/>
    <x v="1"/>
  </r>
  <r>
    <x v="54"/>
    <x v="54"/>
    <x v="0"/>
    <x v="54"/>
    <x v="24"/>
    <x v="24"/>
    <x v="24"/>
    <x v="4"/>
    <x v="1"/>
  </r>
  <r>
    <x v="54"/>
    <x v="54"/>
    <x v="0"/>
    <x v="54"/>
    <x v="31"/>
    <x v="31"/>
    <x v="31"/>
    <x v="1"/>
    <x v="1"/>
  </r>
  <r>
    <x v="54"/>
    <x v="54"/>
    <x v="0"/>
    <x v="54"/>
    <x v="1"/>
    <x v="1"/>
    <x v="1"/>
    <x v="0"/>
    <x v="0"/>
  </r>
  <r>
    <x v="54"/>
    <x v="54"/>
    <x v="0"/>
    <x v="54"/>
    <x v="4"/>
    <x v="4"/>
    <x v="4"/>
    <x v="4"/>
    <x v="1"/>
  </r>
  <r>
    <x v="54"/>
    <x v="54"/>
    <x v="0"/>
    <x v="54"/>
    <x v="3"/>
    <x v="3"/>
    <x v="3"/>
    <x v="5"/>
    <x v="1"/>
  </r>
  <r>
    <x v="54"/>
    <x v="54"/>
    <x v="0"/>
    <x v="54"/>
    <x v="6"/>
    <x v="6"/>
    <x v="6"/>
    <x v="5"/>
    <x v="1"/>
  </r>
  <r>
    <x v="54"/>
    <x v="54"/>
    <x v="0"/>
    <x v="54"/>
    <x v="102"/>
    <x v="102"/>
    <x v="102"/>
    <x v="1"/>
    <x v="1"/>
  </r>
  <r>
    <x v="54"/>
    <x v="54"/>
    <x v="0"/>
    <x v="54"/>
    <x v="2"/>
    <x v="2"/>
    <x v="2"/>
    <x v="4"/>
    <x v="1"/>
  </r>
  <r>
    <x v="54"/>
    <x v="54"/>
    <x v="0"/>
    <x v="54"/>
    <x v="41"/>
    <x v="41"/>
    <x v="41"/>
    <x v="6"/>
    <x v="1"/>
  </r>
  <r>
    <x v="54"/>
    <x v="54"/>
    <x v="0"/>
    <x v="54"/>
    <x v="27"/>
    <x v="27"/>
    <x v="27"/>
    <x v="6"/>
    <x v="1"/>
  </r>
  <r>
    <x v="54"/>
    <x v="54"/>
    <x v="0"/>
    <x v="54"/>
    <x v="12"/>
    <x v="12"/>
    <x v="12"/>
    <x v="5"/>
    <x v="1"/>
  </r>
  <r>
    <x v="54"/>
    <x v="54"/>
    <x v="0"/>
    <x v="54"/>
    <x v="77"/>
    <x v="77"/>
    <x v="77"/>
    <x v="1"/>
    <x v="1"/>
  </r>
  <r>
    <x v="54"/>
    <x v="54"/>
    <x v="0"/>
    <x v="54"/>
    <x v="28"/>
    <x v="28"/>
    <x v="28"/>
    <x v="1"/>
    <x v="1"/>
  </r>
  <r>
    <x v="54"/>
    <x v="54"/>
    <x v="0"/>
    <x v="54"/>
    <x v="72"/>
    <x v="72"/>
    <x v="72"/>
    <x v="1"/>
    <x v="1"/>
  </r>
  <r>
    <x v="54"/>
    <x v="54"/>
    <x v="0"/>
    <x v="54"/>
    <x v="14"/>
    <x v="14"/>
    <x v="14"/>
    <x v="1"/>
    <x v="1"/>
  </r>
  <r>
    <x v="55"/>
    <x v="55"/>
    <x v="3"/>
    <x v="55"/>
    <x v="103"/>
    <x v="103"/>
    <x v="103"/>
    <x v="1"/>
    <x v="0"/>
  </r>
  <r>
    <x v="55"/>
    <x v="55"/>
    <x v="3"/>
    <x v="55"/>
    <x v="6"/>
    <x v="6"/>
    <x v="6"/>
    <x v="14"/>
    <x v="1"/>
  </r>
  <r>
    <x v="55"/>
    <x v="55"/>
    <x v="3"/>
    <x v="55"/>
    <x v="87"/>
    <x v="87"/>
    <x v="87"/>
    <x v="0"/>
    <x v="1"/>
  </r>
  <r>
    <x v="55"/>
    <x v="55"/>
    <x v="3"/>
    <x v="55"/>
    <x v="88"/>
    <x v="88"/>
    <x v="88"/>
    <x v="2"/>
    <x v="1"/>
  </r>
  <r>
    <x v="55"/>
    <x v="55"/>
    <x v="3"/>
    <x v="55"/>
    <x v="104"/>
    <x v="104"/>
    <x v="104"/>
    <x v="8"/>
    <x v="1"/>
  </r>
  <r>
    <x v="55"/>
    <x v="55"/>
    <x v="3"/>
    <x v="55"/>
    <x v="41"/>
    <x v="41"/>
    <x v="41"/>
    <x v="12"/>
    <x v="1"/>
  </r>
  <r>
    <x v="55"/>
    <x v="55"/>
    <x v="3"/>
    <x v="55"/>
    <x v="72"/>
    <x v="72"/>
    <x v="72"/>
    <x v="3"/>
    <x v="1"/>
  </r>
  <r>
    <x v="55"/>
    <x v="55"/>
    <x v="3"/>
    <x v="55"/>
    <x v="14"/>
    <x v="14"/>
    <x v="14"/>
    <x v="3"/>
    <x v="1"/>
  </r>
  <r>
    <x v="55"/>
    <x v="55"/>
    <x v="3"/>
    <x v="55"/>
    <x v="35"/>
    <x v="35"/>
    <x v="35"/>
    <x v="2"/>
    <x v="1"/>
  </r>
  <r>
    <x v="55"/>
    <x v="55"/>
    <x v="3"/>
    <x v="55"/>
    <x v="105"/>
    <x v="105"/>
    <x v="105"/>
    <x v="13"/>
    <x v="1"/>
  </r>
  <r>
    <x v="55"/>
    <x v="55"/>
    <x v="3"/>
    <x v="55"/>
    <x v="5"/>
    <x v="5"/>
    <x v="5"/>
    <x v="2"/>
    <x v="1"/>
  </r>
  <r>
    <x v="55"/>
    <x v="55"/>
    <x v="3"/>
    <x v="55"/>
    <x v="22"/>
    <x v="22"/>
    <x v="22"/>
    <x v="9"/>
    <x v="1"/>
  </r>
  <r>
    <x v="56"/>
    <x v="56"/>
    <x v="2"/>
    <x v="56"/>
    <x v="26"/>
    <x v="26"/>
    <x v="26"/>
    <x v="5"/>
    <x v="1"/>
  </r>
  <r>
    <x v="56"/>
    <x v="56"/>
    <x v="2"/>
    <x v="56"/>
    <x v="62"/>
    <x v="62"/>
    <x v="62"/>
    <x v="1"/>
    <x v="1"/>
  </r>
  <r>
    <x v="56"/>
    <x v="56"/>
    <x v="2"/>
    <x v="56"/>
    <x v="58"/>
    <x v="58"/>
    <x v="58"/>
    <x v="5"/>
    <x v="1"/>
  </r>
  <r>
    <x v="56"/>
    <x v="56"/>
    <x v="2"/>
    <x v="56"/>
    <x v="45"/>
    <x v="45"/>
    <x v="45"/>
    <x v="0"/>
    <x v="1"/>
  </r>
  <r>
    <x v="56"/>
    <x v="56"/>
    <x v="2"/>
    <x v="56"/>
    <x v="24"/>
    <x v="24"/>
    <x v="24"/>
    <x v="1"/>
    <x v="1"/>
  </r>
  <r>
    <x v="56"/>
    <x v="56"/>
    <x v="2"/>
    <x v="56"/>
    <x v="28"/>
    <x v="28"/>
    <x v="28"/>
    <x v="1"/>
    <x v="1"/>
  </r>
  <r>
    <x v="56"/>
    <x v="56"/>
    <x v="2"/>
    <x v="56"/>
    <x v="49"/>
    <x v="49"/>
    <x v="49"/>
    <x v="4"/>
    <x v="1"/>
  </r>
  <r>
    <x v="56"/>
    <x v="56"/>
    <x v="2"/>
    <x v="56"/>
    <x v="7"/>
    <x v="7"/>
    <x v="7"/>
    <x v="0"/>
    <x v="1"/>
  </r>
  <r>
    <x v="56"/>
    <x v="56"/>
    <x v="2"/>
    <x v="56"/>
    <x v="29"/>
    <x v="29"/>
    <x v="29"/>
    <x v="5"/>
    <x v="1"/>
  </r>
  <r>
    <x v="56"/>
    <x v="56"/>
    <x v="2"/>
    <x v="56"/>
    <x v="41"/>
    <x v="41"/>
    <x v="41"/>
    <x v="1"/>
    <x v="1"/>
  </r>
  <r>
    <x v="56"/>
    <x v="56"/>
    <x v="2"/>
    <x v="56"/>
    <x v="27"/>
    <x v="27"/>
    <x v="27"/>
    <x v="5"/>
    <x v="1"/>
  </r>
  <r>
    <x v="56"/>
    <x v="56"/>
    <x v="2"/>
    <x v="56"/>
    <x v="20"/>
    <x v="20"/>
    <x v="20"/>
    <x v="4"/>
    <x v="1"/>
  </r>
  <r>
    <x v="56"/>
    <x v="56"/>
    <x v="2"/>
    <x v="56"/>
    <x v="14"/>
    <x v="14"/>
    <x v="14"/>
    <x v="1"/>
    <x v="1"/>
  </r>
  <r>
    <x v="56"/>
    <x v="56"/>
    <x v="2"/>
    <x v="56"/>
    <x v="15"/>
    <x v="15"/>
    <x v="15"/>
    <x v="5"/>
    <x v="1"/>
  </r>
  <r>
    <x v="56"/>
    <x v="56"/>
    <x v="2"/>
    <x v="56"/>
    <x v="68"/>
    <x v="68"/>
    <x v="68"/>
    <x v="1"/>
    <x v="1"/>
  </r>
  <r>
    <x v="56"/>
    <x v="56"/>
    <x v="2"/>
    <x v="56"/>
    <x v="91"/>
    <x v="91"/>
    <x v="91"/>
    <x v="1"/>
    <x v="1"/>
  </r>
  <r>
    <x v="56"/>
    <x v="56"/>
    <x v="2"/>
    <x v="56"/>
    <x v="60"/>
    <x v="60"/>
    <x v="60"/>
    <x v="3"/>
    <x v="1"/>
  </r>
  <r>
    <x v="56"/>
    <x v="56"/>
    <x v="2"/>
    <x v="56"/>
    <x v="106"/>
    <x v="106"/>
    <x v="106"/>
    <x v="0"/>
    <x v="0"/>
  </r>
  <r>
    <x v="57"/>
    <x v="57"/>
    <x v="5"/>
    <x v="57"/>
    <x v="73"/>
    <x v="73"/>
    <x v="73"/>
    <x v="5"/>
    <x v="1"/>
  </r>
  <r>
    <x v="57"/>
    <x v="57"/>
    <x v="5"/>
    <x v="57"/>
    <x v="51"/>
    <x v="51"/>
    <x v="51"/>
    <x v="1"/>
    <x v="1"/>
  </r>
  <r>
    <x v="16"/>
    <x v="16"/>
    <x v="0"/>
    <x v="16"/>
    <x v="19"/>
    <x v="19"/>
    <x v="19"/>
    <x v="0"/>
    <x v="2"/>
  </r>
  <r>
    <x v="58"/>
    <x v="58"/>
    <x v="0"/>
    <x v="58"/>
    <x v="58"/>
    <x v="58"/>
    <x v="58"/>
    <x v="0"/>
    <x v="1"/>
  </r>
  <r>
    <x v="58"/>
    <x v="58"/>
    <x v="0"/>
    <x v="58"/>
    <x v="23"/>
    <x v="23"/>
    <x v="23"/>
    <x v="0"/>
    <x v="1"/>
  </r>
  <r>
    <x v="58"/>
    <x v="58"/>
    <x v="0"/>
    <x v="58"/>
    <x v="4"/>
    <x v="4"/>
    <x v="4"/>
    <x v="0"/>
    <x v="1"/>
  </r>
  <r>
    <x v="58"/>
    <x v="58"/>
    <x v="0"/>
    <x v="58"/>
    <x v="3"/>
    <x v="3"/>
    <x v="3"/>
    <x v="0"/>
    <x v="1"/>
  </r>
  <r>
    <x v="58"/>
    <x v="58"/>
    <x v="0"/>
    <x v="58"/>
    <x v="102"/>
    <x v="102"/>
    <x v="102"/>
    <x v="0"/>
    <x v="1"/>
  </r>
  <r>
    <x v="58"/>
    <x v="58"/>
    <x v="0"/>
    <x v="58"/>
    <x v="79"/>
    <x v="79"/>
    <x v="79"/>
    <x v="0"/>
    <x v="1"/>
  </r>
  <r>
    <x v="58"/>
    <x v="58"/>
    <x v="0"/>
    <x v="58"/>
    <x v="47"/>
    <x v="47"/>
    <x v="47"/>
    <x v="0"/>
    <x v="1"/>
  </r>
  <r>
    <x v="58"/>
    <x v="58"/>
    <x v="0"/>
    <x v="58"/>
    <x v="27"/>
    <x v="27"/>
    <x v="27"/>
    <x v="3"/>
    <x v="1"/>
  </r>
  <r>
    <x v="58"/>
    <x v="58"/>
    <x v="0"/>
    <x v="58"/>
    <x v="77"/>
    <x v="77"/>
    <x v="77"/>
    <x v="0"/>
    <x v="1"/>
  </r>
  <r>
    <x v="58"/>
    <x v="58"/>
    <x v="0"/>
    <x v="58"/>
    <x v="60"/>
    <x v="60"/>
    <x v="60"/>
    <x v="5"/>
    <x v="1"/>
  </r>
  <r>
    <x v="58"/>
    <x v="58"/>
    <x v="0"/>
    <x v="58"/>
    <x v="29"/>
    <x v="29"/>
    <x v="29"/>
    <x v="1"/>
    <x v="1"/>
  </r>
  <r>
    <x v="59"/>
    <x v="59"/>
    <x v="0"/>
    <x v="59"/>
    <x v="13"/>
    <x v="13"/>
    <x v="13"/>
    <x v="1"/>
    <x v="1"/>
  </r>
  <r>
    <x v="59"/>
    <x v="59"/>
    <x v="0"/>
    <x v="59"/>
    <x v="54"/>
    <x v="54"/>
    <x v="54"/>
    <x v="4"/>
    <x v="1"/>
  </r>
  <r>
    <x v="59"/>
    <x v="59"/>
    <x v="0"/>
    <x v="59"/>
    <x v="35"/>
    <x v="35"/>
    <x v="35"/>
    <x v="4"/>
    <x v="1"/>
  </r>
  <r>
    <x v="59"/>
    <x v="59"/>
    <x v="0"/>
    <x v="59"/>
    <x v="0"/>
    <x v="0"/>
    <x v="0"/>
    <x v="0"/>
    <x v="0"/>
  </r>
  <r>
    <x v="59"/>
    <x v="59"/>
    <x v="0"/>
    <x v="59"/>
    <x v="1"/>
    <x v="1"/>
    <x v="1"/>
    <x v="0"/>
    <x v="0"/>
  </r>
  <r>
    <x v="59"/>
    <x v="59"/>
    <x v="0"/>
    <x v="59"/>
    <x v="4"/>
    <x v="4"/>
    <x v="4"/>
    <x v="1"/>
    <x v="1"/>
  </r>
  <r>
    <x v="59"/>
    <x v="59"/>
    <x v="0"/>
    <x v="59"/>
    <x v="3"/>
    <x v="3"/>
    <x v="3"/>
    <x v="1"/>
    <x v="1"/>
  </r>
  <r>
    <x v="59"/>
    <x v="59"/>
    <x v="0"/>
    <x v="59"/>
    <x v="25"/>
    <x v="25"/>
    <x v="25"/>
    <x v="1"/>
    <x v="1"/>
  </r>
  <r>
    <x v="59"/>
    <x v="59"/>
    <x v="0"/>
    <x v="59"/>
    <x v="5"/>
    <x v="5"/>
    <x v="5"/>
    <x v="1"/>
    <x v="1"/>
  </r>
  <r>
    <x v="59"/>
    <x v="59"/>
    <x v="0"/>
    <x v="59"/>
    <x v="2"/>
    <x v="2"/>
    <x v="2"/>
    <x v="4"/>
    <x v="1"/>
  </r>
  <r>
    <x v="59"/>
    <x v="59"/>
    <x v="0"/>
    <x v="59"/>
    <x v="40"/>
    <x v="40"/>
    <x v="40"/>
    <x v="0"/>
    <x v="1"/>
  </r>
  <r>
    <x v="59"/>
    <x v="59"/>
    <x v="0"/>
    <x v="59"/>
    <x v="10"/>
    <x v="10"/>
    <x v="10"/>
    <x v="3"/>
    <x v="1"/>
  </r>
  <r>
    <x v="59"/>
    <x v="59"/>
    <x v="0"/>
    <x v="59"/>
    <x v="12"/>
    <x v="12"/>
    <x v="12"/>
    <x v="1"/>
    <x v="1"/>
  </r>
  <r>
    <x v="59"/>
    <x v="59"/>
    <x v="0"/>
    <x v="59"/>
    <x v="15"/>
    <x v="15"/>
    <x v="15"/>
    <x v="2"/>
    <x v="1"/>
  </r>
  <r>
    <x v="59"/>
    <x v="59"/>
    <x v="0"/>
    <x v="59"/>
    <x v="11"/>
    <x v="11"/>
    <x v="11"/>
    <x v="1"/>
    <x v="1"/>
  </r>
  <r>
    <x v="60"/>
    <x v="60"/>
    <x v="0"/>
    <x v="60"/>
    <x v="69"/>
    <x v="69"/>
    <x v="69"/>
    <x v="0"/>
    <x v="0"/>
  </r>
  <r>
    <x v="60"/>
    <x v="60"/>
    <x v="0"/>
    <x v="60"/>
    <x v="22"/>
    <x v="22"/>
    <x v="22"/>
    <x v="1"/>
    <x v="1"/>
  </r>
  <r>
    <x v="60"/>
    <x v="60"/>
    <x v="0"/>
    <x v="60"/>
    <x v="4"/>
    <x v="4"/>
    <x v="4"/>
    <x v="1"/>
    <x v="1"/>
  </r>
  <r>
    <x v="60"/>
    <x v="60"/>
    <x v="0"/>
    <x v="60"/>
    <x v="6"/>
    <x v="6"/>
    <x v="6"/>
    <x v="4"/>
    <x v="1"/>
  </r>
  <r>
    <x v="60"/>
    <x v="60"/>
    <x v="0"/>
    <x v="60"/>
    <x v="67"/>
    <x v="67"/>
    <x v="67"/>
    <x v="1"/>
    <x v="1"/>
  </r>
  <r>
    <x v="60"/>
    <x v="60"/>
    <x v="0"/>
    <x v="60"/>
    <x v="15"/>
    <x v="15"/>
    <x v="15"/>
    <x v="5"/>
    <x v="1"/>
  </r>
  <r>
    <x v="61"/>
    <x v="61"/>
    <x v="3"/>
    <x v="61"/>
    <x v="104"/>
    <x v="104"/>
    <x v="104"/>
    <x v="4"/>
    <x v="1"/>
  </r>
  <r>
    <x v="62"/>
    <x v="62"/>
    <x v="1"/>
    <x v="62"/>
    <x v="36"/>
    <x v="36"/>
    <x v="36"/>
    <x v="3"/>
    <x v="1"/>
  </r>
  <r>
    <x v="62"/>
    <x v="62"/>
    <x v="1"/>
    <x v="62"/>
    <x v="4"/>
    <x v="4"/>
    <x v="4"/>
    <x v="1"/>
    <x v="1"/>
  </r>
  <r>
    <x v="62"/>
    <x v="62"/>
    <x v="1"/>
    <x v="62"/>
    <x v="102"/>
    <x v="102"/>
    <x v="102"/>
    <x v="4"/>
    <x v="1"/>
  </r>
  <r>
    <x v="62"/>
    <x v="62"/>
    <x v="1"/>
    <x v="62"/>
    <x v="74"/>
    <x v="74"/>
    <x v="74"/>
    <x v="3"/>
    <x v="1"/>
  </r>
  <r>
    <x v="62"/>
    <x v="62"/>
    <x v="1"/>
    <x v="62"/>
    <x v="39"/>
    <x v="39"/>
    <x v="39"/>
    <x v="5"/>
    <x v="1"/>
  </r>
  <r>
    <x v="62"/>
    <x v="62"/>
    <x v="1"/>
    <x v="62"/>
    <x v="38"/>
    <x v="38"/>
    <x v="38"/>
    <x v="3"/>
    <x v="1"/>
  </r>
  <r>
    <x v="62"/>
    <x v="62"/>
    <x v="1"/>
    <x v="62"/>
    <x v="32"/>
    <x v="32"/>
    <x v="32"/>
    <x v="3"/>
    <x v="1"/>
  </r>
  <r>
    <x v="62"/>
    <x v="62"/>
    <x v="1"/>
    <x v="62"/>
    <x v="75"/>
    <x v="75"/>
    <x v="75"/>
    <x v="0"/>
    <x v="1"/>
  </r>
  <r>
    <x v="62"/>
    <x v="62"/>
    <x v="1"/>
    <x v="62"/>
    <x v="49"/>
    <x v="49"/>
    <x v="49"/>
    <x v="4"/>
    <x v="1"/>
  </r>
  <r>
    <x v="62"/>
    <x v="62"/>
    <x v="1"/>
    <x v="62"/>
    <x v="7"/>
    <x v="7"/>
    <x v="7"/>
    <x v="0"/>
    <x v="1"/>
  </r>
  <r>
    <x v="62"/>
    <x v="62"/>
    <x v="1"/>
    <x v="62"/>
    <x v="29"/>
    <x v="29"/>
    <x v="29"/>
    <x v="4"/>
    <x v="1"/>
  </r>
  <r>
    <x v="62"/>
    <x v="62"/>
    <x v="1"/>
    <x v="62"/>
    <x v="76"/>
    <x v="76"/>
    <x v="76"/>
    <x v="8"/>
    <x v="1"/>
  </r>
  <r>
    <x v="62"/>
    <x v="62"/>
    <x v="1"/>
    <x v="62"/>
    <x v="84"/>
    <x v="84"/>
    <x v="84"/>
    <x v="7"/>
    <x v="1"/>
  </r>
  <r>
    <x v="62"/>
    <x v="62"/>
    <x v="1"/>
    <x v="62"/>
    <x v="41"/>
    <x v="41"/>
    <x v="41"/>
    <x v="5"/>
    <x v="1"/>
  </r>
  <r>
    <x v="62"/>
    <x v="62"/>
    <x v="1"/>
    <x v="62"/>
    <x v="10"/>
    <x v="10"/>
    <x v="10"/>
    <x v="1"/>
    <x v="1"/>
  </r>
  <r>
    <x v="62"/>
    <x v="62"/>
    <x v="1"/>
    <x v="62"/>
    <x v="27"/>
    <x v="27"/>
    <x v="27"/>
    <x v="3"/>
    <x v="1"/>
  </r>
  <r>
    <x v="62"/>
    <x v="62"/>
    <x v="1"/>
    <x v="62"/>
    <x v="20"/>
    <x v="20"/>
    <x v="20"/>
    <x v="4"/>
    <x v="1"/>
  </r>
  <r>
    <x v="62"/>
    <x v="62"/>
    <x v="1"/>
    <x v="62"/>
    <x v="67"/>
    <x v="67"/>
    <x v="67"/>
    <x v="1"/>
    <x v="1"/>
  </r>
  <r>
    <x v="62"/>
    <x v="62"/>
    <x v="1"/>
    <x v="62"/>
    <x v="12"/>
    <x v="12"/>
    <x v="12"/>
    <x v="5"/>
    <x v="1"/>
  </r>
  <r>
    <x v="62"/>
    <x v="62"/>
    <x v="1"/>
    <x v="62"/>
    <x v="107"/>
    <x v="107"/>
    <x v="107"/>
    <x v="1"/>
    <x v="1"/>
  </r>
  <r>
    <x v="62"/>
    <x v="62"/>
    <x v="1"/>
    <x v="62"/>
    <x v="42"/>
    <x v="42"/>
    <x v="42"/>
    <x v="0"/>
    <x v="1"/>
  </r>
  <r>
    <x v="34"/>
    <x v="34"/>
    <x v="0"/>
    <x v="34"/>
    <x v="77"/>
    <x v="77"/>
    <x v="77"/>
    <x v="4"/>
    <x v="1"/>
  </r>
  <r>
    <x v="34"/>
    <x v="34"/>
    <x v="0"/>
    <x v="34"/>
    <x v="20"/>
    <x v="20"/>
    <x v="20"/>
    <x v="2"/>
    <x v="1"/>
  </r>
  <r>
    <x v="34"/>
    <x v="34"/>
    <x v="0"/>
    <x v="34"/>
    <x v="67"/>
    <x v="67"/>
    <x v="67"/>
    <x v="3"/>
    <x v="1"/>
  </r>
  <r>
    <x v="34"/>
    <x v="34"/>
    <x v="0"/>
    <x v="34"/>
    <x v="48"/>
    <x v="48"/>
    <x v="48"/>
    <x v="4"/>
    <x v="1"/>
  </r>
  <r>
    <x v="34"/>
    <x v="34"/>
    <x v="0"/>
    <x v="34"/>
    <x v="12"/>
    <x v="12"/>
    <x v="12"/>
    <x v="3"/>
    <x v="1"/>
  </r>
  <r>
    <x v="34"/>
    <x v="34"/>
    <x v="0"/>
    <x v="34"/>
    <x v="13"/>
    <x v="13"/>
    <x v="13"/>
    <x v="3"/>
    <x v="1"/>
  </r>
  <r>
    <x v="34"/>
    <x v="34"/>
    <x v="0"/>
    <x v="34"/>
    <x v="35"/>
    <x v="35"/>
    <x v="35"/>
    <x v="3"/>
    <x v="1"/>
  </r>
  <r>
    <x v="34"/>
    <x v="34"/>
    <x v="0"/>
    <x v="34"/>
    <x v="69"/>
    <x v="69"/>
    <x v="69"/>
    <x v="0"/>
    <x v="0"/>
  </r>
  <r>
    <x v="34"/>
    <x v="34"/>
    <x v="0"/>
    <x v="34"/>
    <x v="85"/>
    <x v="85"/>
    <x v="85"/>
    <x v="0"/>
    <x v="0"/>
  </r>
  <r>
    <x v="34"/>
    <x v="34"/>
    <x v="0"/>
    <x v="34"/>
    <x v="78"/>
    <x v="78"/>
    <x v="78"/>
    <x v="0"/>
    <x v="0"/>
  </r>
  <r>
    <x v="34"/>
    <x v="34"/>
    <x v="0"/>
    <x v="34"/>
    <x v="108"/>
    <x v="108"/>
    <x v="108"/>
    <x v="9"/>
    <x v="1"/>
  </r>
  <r>
    <x v="34"/>
    <x v="34"/>
    <x v="0"/>
    <x v="34"/>
    <x v="92"/>
    <x v="92"/>
    <x v="92"/>
    <x v="5"/>
    <x v="1"/>
  </r>
  <r>
    <x v="34"/>
    <x v="34"/>
    <x v="0"/>
    <x v="34"/>
    <x v="106"/>
    <x v="106"/>
    <x v="106"/>
    <x v="0"/>
    <x v="0"/>
  </r>
  <r>
    <x v="34"/>
    <x v="34"/>
    <x v="0"/>
    <x v="34"/>
    <x v="50"/>
    <x v="50"/>
    <x v="50"/>
    <x v="0"/>
    <x v="0"/>
  </r>
  <r>
    <x v="34"/>
    <x v="34"/>
    <x v="0"/>
    <x v="34"/>
    <x v="17"/>
    <x v="17"/>
    <x v="17"/>
    <x v="0"/>
    <x v="0"/>
  </r>
  <r>
    <x v="34"/>
    <x v="34"/>
    <x v="0"/>
    <x v="34"/>
    <x v="93"/>
    <x v="93"/>
    <x v="93"/>
    <x v="0"/>
    <x v="1"/>
  </r>
  <r>
    <x v="34"/>
    <x v="34"/>
    <x v="0"/>
    <x v="34"/>
    <x v="94"/>
    <x v="94"/>
    <x v="94"/>
    <x v="5"/>
    <x v="1"/>
  </r>
  <r>
    <x v="34"/>
    <x v="34"/>
    <x v="0"/>
    <x v="34"/>
    <x v="68"/>
    <x v="68"/>
    <x v="68"/>
    <x v="3"/>
    <x v="1"/>
  </r>
  <r>
    <x v="34"/>
    <x v="34"/>
    <x v="0"/>
    <x v="34"/>
    <x v="15"/>
    <x v="15"/>
    <x v="15"/>
    <x v="2"/>
    <x v="1"/>
  </r>
  <r>
    <x v="34"/>
    <x v="34"/>
    <x v="0"/>
    <x v="34"/>
    <x v="18"/>
    <x v="18"/>
    <x v="18"/>
    <x v="0"/>
    <x v="1"/>
  </r>
  <r>
    <x v="34"/>
    <x v="34"/>
    <x v="0"/>
    <x v="34"/>
    <x v="19"/>
    <x v="19"/>
    <x v="19"/>
    <x v="0"/>
    <x v="2"/>
  </r>
  <r>
    <x v="34"/>
    <x v="34"/>
    <x v="0"/>
    <x v="34"/>
    <x v="109"/>
    <x v="109"/>
    <x v="109"/>
    <x v="0"/>
    <x v="1"/>
  </r>
  <r>
    <x v="34"/>
    <x v="34"/>
    <x v="0"/>
    <x v="34"/>
    <x v="19"/>
    <x v="19"/>
    <x v="19"/>
    <x v="0"/>
    <x v="2"/>
  </r>
  <r>
    <x v="63"/>
    <x v="63"/>
    <x v="0"/>
    <x v="63"/>
    <x v="13"/>
    <x v="13"/>
    <x v="13"/>
    <x v="4"/>
    <x v="1"/>
  </r>
  <r>
    <x v="63"/>
    <x v="63"/>
    <x v="0"/>
    <x v="63"/>
    <x v="57"/>
    <x v="57"/>
    <x v="57"/>
    <x v="4"/>
    <x v="1"/>
  </r>
  <r>
    <x v="63"/>
    <x v="63"/>
    <x v="0"/>
    <x v="63"/>
    <x v="68"/>
    <x v="68"/>
    <x v="68"/>
    <x v="4"/>
    <x v="1"/>
  </r>
  <r>
    <x v="63"/>
    <x v="63"/>
    <x v="0"/>
    <x v="63"/>
    <x v="45"/>
    <x v="45"/>
    <x v="45"/>
    <x v="4"/>
    <x v="1"/>
  </r>
  <r>
    <x v="63"/>
    <x v="63"/>
    <x v="0"/>
    <x v="63"/>
    <x v="4"/>
    <x v="4"/>
    <x v="4"/>
    <x v="1"/>
    <x v="1"/>
  </r>
  <r>
    <x v="63"/>
    <x v="63"/>
    <x v="0"/>
    <x v="63"/>
    <x v="6"/>
    <x v="6"/>
    <x v="6"/>
    <x v="4"/>
    <x v="1"/>
  </r>
  <r>
    <x v="63"/>
    <x v="63"/>
    <x v="0"/>
    <x v="63"/>
    <x v="2"/>
    <x v="2"/>
    <x v="2"/>
    <x v="1"/>
    <x v="1"/>
  </r>
  <r>
    <x v="63"/>
    <x v="63"/>
    <x v="0"/>
    <x v="63"/>
    <x v="12"/>
    <x v="12"/>
    <x v="12"/>
    <x v="4"/>
    <x v="1"/>
  </r>
  <r>
    <x v="63"/>
    <x v="63"/>
    <x v="0"/>
    <x v="63"/>
    <x v="60"/>
    <x v="60"/>
    <x v="60"/>
    <x v="4"/>
    <x v="1"/>
  </r>
  <r>
    <x v="63"/>
    <x v="63"/>
    <x v="0"/>
    <x v="63"/>
    <x v="28"/>
    <x v="28"/>
    <x v="28"/>
    <x v="1"/>
    <x v="1"/>
  </r>
  <r>
    <x v="63"/>
    <x v="63"/>
    <x v="0"/>
    <x v="63"/>
    <x v="108"/>
    <x v="108"/>
    <x v="108"/>
    <x v="3"/>
    <x v="1"/>
  </r>
  <r>
    <x v="63"/>
    <x v="63"/>
    <x v="0"/>
    <x v="63"/>
    <x v="22"/>
    <x v="22"/>
    <x v="22"/>
    <x v="3"/>
    <x v="1"/>
  </r>
  <r>
    <x v="64"/>
    <x v="64"/>
    <x v="0"/>
    <x v="64"/>
    <x v="61"/>
    <x v="61"/>
    <x v="61"/>
    <x v="4"/>
    <x v="1"/>
  </r>
  <r>
    <x v="64"/>
    <x v="64"/>
    <x v="0"/>
    <x v="64"/>
    <x v="43"/>
    <x v="43"/>
    <x v="43"/>
    <x v="5"/>
    <x v="1"/>
  </r>
  <r>
    <x v="64"/>
    <x v="64"/>
    <x v="0"/>
    <x v="64"/>
    <x v="108"/>
    <x v="108"/>
    <x v="108"/>
    <x v="2"/>
    <x v="1"/>
  </r>
  <r>
    <x v="64"/>
    <x v="64"/>
    <x v="0"/>
    <x v="64"/>
    <x v="56"/>
    <x v="56"/>
    <x v="56"/>
    <x v="3"/>
    <x v="1"/>
  </r>
  <r>
    <x v="64"/>
    <x v="64"/>
    <x v="0"/>
    <x v="64"/>
    <x v="54"/>
    <x v="54"/>
    <x v="54"/>
    <x v="5"/>
    <x v="1"/>
  </r>
  <r>
    <x v="64"/>
    <x v="64"/>
    <x v="0"/>
    <x v="64"/>
    <x v="57"/>
    <x v="57"/>
    <x v="57"/>
    <x v="9"/>
    <x v="1"/>
  </r>
  <r>
    <x v="64"/>
    <x v="64"/>
    <x v="0"/>
    <x v="64"/>
    <x v="37"/>
    <x v="37"/>
    <x v="37"/>
    <x v="4"/>
    <x v="1"/>
  </r>
  <r>
    <x v="64"/>
    <x v="64"/>
    <x v="0"/>
    <x v="64"/>
    <x v="31"/>
    <x v="31"/>
    <x v="31"/>
    <x v="1"/>
    <x v="1"/>
  </r>
  <r>
    <x v="64"/>
    <x v="64"/>
    <x v="0"/>
    <x v="64"/>
    <x v="1"/>
    <x v="1"/>
    <x v="1"/>
    <x v="1"/>
    <x v="0"/>
  </r>
  <r>
    <x v="64"/>
    <x v="64"/>
    <x v="0"/>
    <x v="64"/>
    <x v="4"/>
    <x v="4"/>
    <x v="4"/>
    <x v="4"/>
    <x v="1"/>
  </r>
  <r>
    <x v="64"/>
    <x v="64"/>
    <x v="0"/>
    <x v="64"/>
    <x v="3"/>
    <x v="3"/>
    <x v="3"/>
    <x v="5"/>
    <x v="1"/>
  </r>
  <r>
    <x v="64"/>
    <x v="64"/>
    <x v="0"/>
    <x v="64"/>
    <x v="6"/>
    <x v="6"/>
    <x v="6"/>
    <x v="8"/>
    <x v="1"/>
  </r>
  <r>
    <x v="64"/>
    <x v="64"/>
    <x v="0"/>
    <x v="64"/>
    <x v="47"/>
    <x v="47"/>
    <x v="47"/>
    <x v="5"/>
    <x v="1"/>
  </r>
  <r>
    <x v="64"/>
    <x v="64"/>
    <x v="0"/>
    <x v="64"/>
    <x v="27"/>
    <x v="27"/>
    <x v="27"/>
    <x v="11"/>
    <x v="1"/>
  </r>
  <r>
    <x v="64"/>
    <x v="64"/>
    <x v="0"/>
    <x v="64"/>
    <x v="12"/>
    <x v="12"/>
    <x v="12"/>
    <x v="6"/>
    <x v="1"/>
  </r>
  <r>
    <x v="64"/>
    <x v="64"/>
    <x v="0"/>
    <x v="64"/>
    <x v="42"/>
    <x v="42"/>
    <x v="42"/>
    <x v="1"/>
    <x v="1"/>
  </r>
  <r>
    <x v="64"/>
    <x v="64"/>
    <x v="0"/>
    <x v="64"/>
    <x v="11"/>
    <x v="11"/>
    <x v="11"/>
    <x v="1"/>
    <x v="1"/>
  </r>
  <r>
    <x v="64"/>
    <x v="64"/>
    <x v="0"/>
    <x v="64"/>
    <x v="20"/>
    <x v="20"/>
    <x v="20"/>
    <x v="3"/>
    <x v="1"/>
  </r>
  <r>
    <x v="64"/>
    <x v="64"/>
    <x v="0"/>
    <x v="64"/>
    <x v="14"/>
    <x v="14"/>
    <x v="14"/>
    <x v="5"/>
    <x v="1"/>
  </r>
  <r>
    <x v="65"/>
    <x v="65"/>
    <x v="0"/>
    <x v="65"/>
    <x v="13"/>
    <x v="13"/>
    <x v="13"/>
    <x v="3"/>
    <x v="1"/>
  </r>
  <r>
    <x v="47"/>
    <x v="47"/>
    <x v="6"/>
    <x v="47"/>
    <x v="110"/>
    <x v="110"/>
    <x v="110"/>
    <x v="15"/>
    <x v="1"/>
  </r>
  <r>
    <x v="47"/>
    <x v="47"/>
    <x v="6"/>
    <x v="47"/>
    <x v="27"/>
    <x v="27"/>
    <x v="27"/>
    <x v="2"/>
    <x v="1"/>
  </r>
  <r>
    <x v="47"/>
    <x v="47"/>
    <x v="6"/>
    <x v="47"/>
    <x v="20"/>
    <x v="20"/>
    <x v="20"/>
    <x v="4"/>
    <x v="1"/>
  </r>
  <r>
    <x v="47"/>
    <x v="47"/>
    <x v="6"/>
    <x v="47"/>
    <x v="67"/>
    <x v="67"/>
    <x v="67"/>
    <x v="5"/>
    <x v="1"/>
  </r>
  <r>
    <x v="47"/>
    <x v="47"/>
    <x v="6"/>
    <x v="47"/>
    <x v="15"/>
    <x v="15"/>
    <x v="15"/>
    <x v="1"/>
    <x v="1"/>
  </r>
  <r>
    <x v="47"/>
    <x v="47"/>
    <x v="6"/>
    <x v="47"/>
    <x v="60"/>
    <x v="60"/>
    <x v="60"/>
    <x v="4"/>
    <x v="1"/>
  </r>
  <r>
    <x v="47"/>
    <x v="47"/>
    <x v="6"/>
    <x v="47"/>
    <x v="91"/>
    <x v="91"/>
    <x v="91"/>
    <x v="1"/>
    <x v="1"/>
  </r>
  <r>
    <x v="47"/>
    <x v="47"/>
    <x v="6"/>
    <x v="47"/>
    <x v="56"/>
    <x v="56"/>
    <x v="56"/>
    <x v="8"/>
    <x v="1"/>
  </r>
  <r>
    <x v="47"/>
    <x v="47"/>
    <x v="6"/>
    <x v="47"/>
    <x v="44"/>
    <x v="44"/>
    <x v="44"/>
    <x v="3"/>
    <x v="1"/>
  </r>
  <r>
    <x v="47"/>
    <x v="47"/>
    <x v="6"/>
    <x v="47"/>
    <x v="43"/>
    <x v="43"/>
    <x v="43"/>
    <x v="3"/>
    <x v="1"/>
  </r>
  <r>
    <x v="47"/>
    <x v="47"/>
    <x v="6"/>
    <x v="47"/>
    <x v="108"/>
    <x v="108"/>
    <x v="108"/>
    <x v="3"/>
    <x v="1"/>
  </r>
  <r>
    <x v="47"/>
    <x v="47"/>
    <x v="6"/>
    <x v="47"/>
    <x v="92"/>
    <x v="92"/>
    <x v="92"/>
    <x v="4"/>
    <x v="1"/>
  </r>
  <r>
    <x v="47"/>
    <x v="47"/>
    <x v="6"/>
    <x v="47"/>
    <x v="111"/>
    <x v="111"/>
    <x v="111"/>
    <x v="5"/>
    <x v="1"/>
  </r>
  <r>
    <x v="47"/>
    <x v="47"/>
    <x v="6"/>
    <x v="47"/>
    <x v="61"/>
    <x v="61"/>
    <x v="61"/>
    <x v="2"/>
    <x v="1"/>
  </r>
  <r>
    <x v="47"/>
    <x v="47"/>
    <x v="6"/>
    <x v="47"/>
    <x v="112"/>
    <x v="112"/>
    <x v="112"/>
    <x v="2"/>
    <x v="1"/>
  </r>
  <r>
    <x v="47"/>
    <x v="47"/>
    <x v="6"/>
    <x v="47"/>
    <x v="113"/>
    <x v="113"/>
    <x v="113"/>
    <x v="1"/>
    <x v="0"/>
  </r>
  <r>
    <x v="47"/>
    <x v="47"/>
    <x v="6"/>
    <x v="47"/>
    <x v="114"/>
    <x v="114"/>
    <x v="114"/>
    <x v="0"/>
    <x v="1"/>
  </r>
  <r>
    <x v="47"/>
    <x v="47"/>
    <x v="6"/>
    <x v="47"/>
    <x v="115"/>
    <x v="115"/>
    <x v="115"/>
    <x v="0"/>
    <x v="0"/>
  </r>
  <r>
    <x v="47"/>
    <x v="47"/>
    <x v="6"/>
    <x v="47"/>
    <x v="116"/>
    <x v="116"/>
    <x v="116"/>
    <x v="0"/>
    <x v="0"/>
  </r>
  <r>
    <x v="47"/>
    <x v="47"/>
    <x v="6"/>
    <x v="47"/>
    <x v="93"/>
    <x v="93"/>
    <x v="93"/>
    <x v="0"/>
    <x v="1"/>
  </r>
  <r>
    <x v="47"/>
    <x v="47"/>
    <x v="6"/>
    <x v="47"/>
    <x v="117"/>
    <x v="117"/>
    <x v="117"/>
    <x v="0"/>
    <x v="0"/>
  </r>
  <r>
    <x v="44"/>
    <x v="44"/>
    <x v="5"/>
    <x v="44"/>
    <x v="62"/>
    <x v="62"/>
    <x v="62"/>
    <x v="1"/>
    <x v="1"/>
  </r>
  <r>
    <x v="44"/>
    <x v="44"/>
    <x v="5"/>
    <x v="44"/>
    <x v="28"/>
    <x v="28"/>
    <x v="28"/>
    <x v="1"/>
    <x v="1"/>
  </r>
  <r>
    <x v="44"/>
    <x v="44"/>
    <x v="5"/>
    <x v="44"/>
    <x v="7"/>
    <x v="7"/>
    <x v="7"/>
    <x v="1"/>
    <x v="1"/>
  </r>
  <r>
    <x v="44"/>
    <x v="44"/>
    <x v="5"/>
    <x v="44"/>
    <x v="118"/>
    <x v="118"/>
    <x v="118"/>
    <x v="0"/>
    <x v="1"/>
  </r>
  <r>
    <x v="44"/>
    <x v="44"/>
    <x v="5"/>
    <x v="44"/>
    <x v="47"/>
    <x v="47"/>
    <x v="47"/>
    <x v="3"/>
    <x v="1"/>
  </r>
  <r>
    <x v="44"/>
    <x v="44"/>
    <x v="5"/>
    <x v="44"/>
    <x v="104"/>
    <x v="104"/>
    <x v="104"/>
    <x v="0"/>
    <x v="1"/>
  </r>
  <r>
    <x v="44"/>
    <x v="44"/>
    <x v="5"/>
    <x v="44"/>
    <x v="41"/>
    <x v="41"/>
    <x v="41"/>
    <x v="7"/>
    <x v="1"/>
  </r>
  <r>
    <x v="44"/>
    <x v="44"/>
    <x v="5"/>
    <x v="44"/>
    <x v="10"/>
    <x v="10"/>
    <x v="10"/>
    <x v="7"/>
    <x v="1"/>
  </r>
  <r>
    <x v="44"/>
    <x v="44"/>
    <x v="5"/>
    <x v="44"/>
    <x v="27"/>
    <x v="27"/>
    <x v="27"/>
    <x v="2"/>
    <x v="1"/>
  </r>
  <r>
    <x v="44"/>
    <x v="44"/>
    <x v="5"/>
    <x v="44"/>
    <x v="77"/>
    <x v="77"/>
    <x v="77"/>
    <x v="1"/>
    <x v="1"/>
  </r>
  <r>
    <x v="44"/>
    <x v="44"/>
    <x v="5"/>
    <x v="44"/>
    <x v="20"/>
    <x v="20"/>
    <x v="20"/>
    <x v="9"/>
    <x v="1"/>
  </r>
  <r>
    <x v="44"/>
    <x v="44"/>
    <x v="5"/>
    <x v="44"/>
    <x v="67"/>
    <x v="67"/>
    <x v="67"/>
    <x v="1"/>
    <x v="1"/>
  </r>
  <r>
    <x v="44"/>
    <x v="44"/>
    <x v="5"/>
    <x v="44"/>
    <x v="11"/>
    <x v="11"/>
    <x v="11"/>
    <x v="1"/>
    <x v="1"/>
  </r>
  <r>
    <x v="44"/>
    <x v="44"/>
    <x v="5"/>
    <x v="44"/>
    <x v="12"/>
    <x v="12"/>
    <x v="12"/>
    <x v="5"/>
    <x v="1"/>
  </r>
  <r>
    <x v="44"/>
    <x v="44"/>
    <x v="5"/>
    <x v="44"/>
    <x v="107"/>
    <x v="107"/>
    <x v="107"/>
    <x v="5"/>
    <x v="1"/>
  </r>
  <r>
    <x v="44"/>
    <x v="44"/>
    <x v="5"/>
    <x v="44"/>
    <x v="42"/>
    <x v="42"/>
    <x v="42"/>
    <x v="5"/>
    <x v="1"/>
  </r>
  <r>
    <x v="44"/>
    <x v="44"/>
    <x v="5"/>
    <x v="44"/>
    <x v="14"/>
    <x v="14"/>
    <x v="14"/>
    <x v="5"/>
    <x v="1"/>
  </r>
  <r>
    <x v="44"/>
    <x v="44"/>
    <x v="5"/>
    <x v="44"/>
    <x v="119"/>
    <x v="119"/>
    <x v="119"/>
    <x v="15"/>
    <x v="1"/>
  </r>
  <r>
    <x v="44"/>
    <x v="44"/>
    <x v="5"/>
    <x v="44"/>
    <x v="69"/>
    <x v="69"/>
    <x v="69"/>
    <x v="0"/>
    <x v="0"/>
  </r>
  <r>
    <x v="44"/>
    <x v="44"/>
    <x v="5"/>
    <x v="44"/>
    <x v="63"/>
    <x v="63"/>
    <x v="63"/>
    <x v="0"/>
    <x v="0"/>
  </r>
  <r>
    <x v="44"/>
    <x v="44"/>
    <x v="5"/>
    <x v="44"/>
    <x v="52"/>
    <x v="52"/>
    <x v="52"/>
    <x v="1"/>
    <x v="1"/>
  </r>
  <r>
    <x v="44"/>
    <x v="44"/>
    <x v="5"/>
    <x v="44"/>
    <x v="60"/>
    <x v="60"/>
    <x v="60"/>
    <x v="11"/>
    <x v="1"/>
  </r>
  <r>
    <x v="44"/>
    <x v="44"/>
    <x v="5"/>
    <x v="44"/>
    <x v="45"/>
    <x v="45"/>
    <x v="45"/>
    <x v="6"/>
    <x v="1"/>
  </r>
  <r>
    <x v="44"/>
    <x v="44"/>
    <x v="5"/>
    <x v="44"/>
    <x v="120"/>
    <x v="120"/>
    <x v="120"/>
    <x v="0"/>
    <x v="1"/>
  </r>
  <r>
    <x v="66"/>
    <x v="66"/>
    <x v="5"/>
    <x v="66"/>
    <x v="36"/>
    <x v="36"/>
    <x v="36"/>
    <x v="1"/>
    <x v="1"/>
  </r>
  <r>
    <x v="66"/>
    <x v="66"/>
    <x v="5"/>
    <x v="66"/>
    <x v="73"/>
    <x v="73"/>
    <x v="73"/>
    <x v="1"/>
    <x v="1"/>
  </r>
  <r>
    <x v="66"/>
    <x v="66"/>
    <x v="5"/>
    <x v="66"/>
    <x v="33"/>
    <x v="33"/>
    <x v="33"/>
    <x v="5"/>
    <x v="1"/>
  </r>
  <r>
    <x v="66"/>
    <x v="66"/>
    <x v="5"/>
    <x v="66"/>
    <x v="26"/>
    <x v="26"/>
    <x v="26"/>
    <x v="1"/>
    <x v="1"/>
  </r>
  <r>
    <x v="66"/>
    <x v="66"/>
    <x v="5"/>
    <x v="66"/>
    <x v="3"/>
    <x v="3"/>
    <x v="3"/>
    <x v="1"/>
    <x v="1"/>
  </r>
  <r>
    <x v="66"/>
    <x v="66"/>
    <x v="5"/>
    <x v="66"/>
    <x v="4"/>
    <x v="4"/>
    <x v="4"/>
    <x v="0"/>
    <x v="1"/>
  </r>
  <r>
    <x v="66"/>
    <x v="66"/>
    <x v="5"/>
    <x v="66"/>
    <x v="74"/>
    <x v="74"/>
    <x v="74"/>
    <x v="6"/>
    <x v="1"/>
  </r>
  <r>
    <x v="66"/>
    <x v="66"/>
    <x v="5"/>
    <x v="66"/>
    <x v="6"/>
    <x v="6"/>
    <x v="6"/>
    <x v="1"/>
    <x v="1"/>
  </r>
  <r>
    <x v="66"/>
    <x v="66"/>
    <x v="5"/>
    <x v="66"/>
    <x v="30"/>
    <x v="30"/>
    <x v="30"/>
    <x v="4"/>
    <x v="1"/>
  </r>
  <r>
    <x v="66"/>
    <x v="66"/>
    <x v="5"/>
    <x v="66"/>
    <x v="22"/>
    <x v="22"/>
    <x v="22"/>
    <x v="4"/>
    <x v="1"/>
  </r>
  <r>
    <x v="66"/>
    <x v="66"/>
    <x v="5"/>
    <x v="66"/>
    <x v="82"/>
    <x v="82"/>
    <x v="82"/>
    <x v="0"/>
    <x v="1"/>
  </r>
  <r>
    <x v="66"/>
    <x v="66"/>
    <x v="5"/>
    <x v="66"/>
    <x v="76"/>
    <x v="76"/>
    <x v="76"/>
    <x v="1"/>
    <x v="1"/>
  </r>
  <r>
    <x v="66"/>
    <x v="66"/>
    <x v="5"/>
    <x v="66"/>
    <x v="84"/>
    <x v="84"/>
    <x v="84"/>
    <x v="4"/>
    <x v="1"/>
  </r>
  <r>
    <x v="66"/>
    <x v="66"/>
    <x v="5"/>
    <x v="66"/>
    <x v="41"/>
    <x v="41"/>
    <x v="41"/>
    <x v="1"/>
    <x v="1"/>
  </r>
  <r>
    <x v="66"/>
    <x v="66"/>
    <x v="5"/>
    <x v="66"/>
    <x v="10"/>
    <x v="10"/>
    <x v="10"/>
    <x v="1"/>
    <x v="1"/>
  </r>
  <r>
    <x v="66"/>
    <x v="66"/>
    <x v="5"/>
    <x v="66"/>
    <x v="27"/>
    <x v="27"/>
    <x v="27"/>
    <x v="5"/>
    <x v="1"/>
  </r>
  <r>
    <x v="66"/>
    <x v="66"/>
    <x v="5"/>
    <x v="66"/>
    <x v="35"/>
    <x v="35"/>
    <x v="35"/>
    <x v="1"/>
    <x v="1"/>
  </r>
  <r>
    <x v="66"/>
    <x v="66"/>
    <x v="5"/>
    <x v="66"/>
    <x v="121"/>
    <x v="121"/>
    <x v="121"/>
    <x v="1"/>
    <x v="1"/>
  </r>
  <r>
    <x v="66"/>
    <x v="66"/>
    <x v="5"/>
    <x v="66"/>
    <x v="56"/>
    <x v="56"/>
    <x v="56"/>
    <x v="3"/>
    <x v="1"/>
  </r>
  <r>
    <x v="66"/>
    <x v="66"/>
    <x v="5"/>
    <x v="66"/>
    <x v="44"/>
    <x v="44"/>
    <x v="44"/>
    <x v="4"/>
    <x v="1"/>
  </r>
  <r>
    <x v="66"/>
    <x v="66"/>
    <x v="5"/>
    <x v="66"/>
    <x v="108"/>
    <x v="108"/>
    <x v="108"/>
    <x v="4"/>
    <x v="1"/>
  </r>
  <r>
    <x v="66"/>
    <x v="66"/>
    <x v="5"/>
    <x v="66"/>
    <x v="60"/>
    <x v="60"/>
    <x v="60"/>
    <x v="1"/>
    <x v="1"/>
  </r>
  <r>
    <x v="66"/>
    <x v="66"/>
    <x v="5"/>
    <x v="66"/>
    <x v="122"/>
    <x v="122"/>
    <x v="122"/>
    <x v="0"/>
    <x v="1"/>
  </r>
  <r>
    <x v="66"/>
    <x v="66"/>
    <x v="5"/>
    <x v="66"/>
    <x v="123"/>
    <x v="123"/>
    <x v="123"/>
    <x v="0"/>
    <x v="1"/>
  </r>
  <r>
    <x v="67"/>
    <x v="67"/>
    <x v="7"/>
    <x v="67"/>
    <x v="124"/>
    <x v="124"/>
    <x v="124"/>
    <x v="3"/>
    <x v="1"/>
  </r>
  <r>
    <x v="67"/>
    <x v="67"/>
    <x v="7"/>
    <x v="67"/>
    <x v="125"/>
    <x v="125"/>
    <x v="125"/>
    <x v="3"/>
    <x v="1"/>
  </r>
  <r>
    <x v="67"/>
    <x v="67"/>
    <x v="7"/>
    <x v="67"/>
    <x v="25"/>
    <x v="25"/>
    <x v="25"/>
    <x v="8"/>
    <x v="1"/>
  </r>
  <r>
    <x v="67"/>
    <x v="67"/>
    <x v="7"/>
    <x v="67"/>
    <x v="6"/>
    <x v="6"/>
    <x v="6"/>
    <x v="2"/>
    <x v="1"/>
  </r>
  <r>
    <x v="67"/>
    <x v="67"/>
    <x v="7"/>
    <x v="67"/>
    <x v="100"/>
    <x v="100"/>
    <x v="100"/>
    <x v="2"/>
    <x v="1"/>
  </r>
  <r>
    <x v="67"/>
    <x v="67"/>
    <x v="7"/>
    <x v="67"/>
    <x v="126"/>
    <x v="126"/>
    <x v="126"/>
    <x v="2"/>
    <x v="1"/>
  </r>
  <r>
    <x v="53"/>
    <x v="53"/>
    <x v="5"/>
    <x v="53"/>
    <x v="22"/>
    <x v="22"/>
    <x v="22"/>
    <x v="7"/>
    <x v="1"/>
  </r>
  <r>
    <x v="53"/>
    <x v="53"/>
    <x v="5"/>
    <x v="53"/>
    <x v="62"/>
    <x v="62"/>
    <x v="62"/>
    <x v="6"/>
    <x v="1"/>
  </r>
  <r>
    <x v="53"/>
    <x v="53"/>
    <x v="5"/>
    <x v="53"/>
    <x v="75"/>
    <x v="75"/>
    <x v="75"/>
    <x v="2"/>
    <x v="1"/>
  </r>
  <r>
    <x v="53"/>
    <x v="53"/>
    <x v="5"/>
    <x v="53"/>
    <x v="28"/>
    <x v="28"/>
    <x v="28"/>
    <x v="7"/>
    <x v="1"/>
  </r>
  <r>
    <x v="53"/>
    <x v="53"/>
    <x v="5"/>
    <x v="53"/>
    <x v="49"/>
    <x v="49"/>
    <x v="49"/>
    <x v="7"/>
    <x v="1"/>
  </r>
  <r>
    <x v="53"/>
    <x v="53"/>
    <x v="5"/>
    <x v="53"/>
    <x v="7"/>
    <x v="7"/>
    <x v="7"/>
    <x v="4"/>
    <x v="1"/>
  </r>
  <r>
    <x v="53"/>
    <x v="53"/>
    <x v="5"/>
    <x v="53"/>
    <x v="90"/>
    <x v="90"/>
    <x v="90"/>
    <x v="1"/>
    <x v="1"/>
  </r>
  <r>
    <x v="53"/>
    <x v="53"/>
    <x v="5"/>
    <x v="53"/>
    <x v="68"/>
    <x v="68"/>
    <x v="68"/>
    <x v="6"/>
    <x v="1"/>
  </r>
  <r>
    <x v="53"/>
    <x v="53"/>
    <x v="5"/>
    <x v="53"/>
    <x v="91"/>
    <x v="91"/>
    <x v="91"/>
    <x v="7"/>
    <x v="1"/>
  </r>
  <r>
    <x v="53"/>
    <x v="53"/>
    <x v="5"/>
    <x v="53"/>
    <x v="69"/>
    <x v="69"/>
    <x v="69"/>
    <x v="0"/>
    <x v="0"/>
  </r>
  <r>
    <x v="53"/>
    <x v="53"/>
    <x v="5"/>
    <x v="53"/>
    <x v="78"/>
    <x v="78"/>
    <x v="78"/>
    <x v="0"/>
    <x v="0"/>
  </r>
  <r>
    <x v="53"/>
    <x v="53"/>
    <x v="5"/>
    <x v="53"/>
    <x v="55"/>
    <x v="55"/>
    <x v="55"/>
    <x v="0"/>
    <x v="0"/>
  </r>
  <r>
    <x v="53"/>
    <x v="53"/>
    <x v="5"/>
    <x v="53"/>
    <x v="93"/>
    <x v="93"/>
    <x v="93"/>
    <x v="0"/>
    <x v="1"/>
  </r>
  <r>
    <x v="53"/>
    <x v="53"/>
    <x v="5"/>
    <x v="53"/>
    <x v="123"/>
    <x v="123"/>
    <x v="123"/>
    <x v="5"/>
    <x v="1"/>
  </r>
  <r>
    <x v="53"/>
    <x v="53"/>
    <x v="5"/>
    <x v="53"/>
    <x v="127"/>
    <x v="127"/>
    <x v="127"/>
    <x v="4"/>
    <x v="1"/>
  </r>
  <r>
    <x v="68"/>
    <x v="68"/>
    <x v="5"/>
    <x v="68"/>
    <x v="128"/>
    <x v="128"/>
    <x v="128"/>
    <x v="5"/>
    <x v="1"/>
  </r>
  <r>
    <x v="68"/>
    <x v="68"/>
    <x v="5"/>
    <x v="68"/>
    <x v="51"/>
    <x v="51"/>
    <x v="51"/>
    <x v="0"/>
    <x v="1"/>
  </r>
  <r>
    <x v="68"/>
    <x v="68"/>
    <x v="5"/>
    <x v="68"/>
    <x v="1"/>
    <x v="1"/>
    <x v="1"/>
    <x v="0"/>
    <x v="0"/>
  </r>
  <r>
    <x v="68"/>
    <x v="68"/>
    <x v="5"/>
    <x v="68"/>
    <x v="26"/>
    <x v="26"/>
    <x v="26"/>
    <x v="1"/>
    <x v="1"/>
  </r>
  <r>
    <x v="68"/>
    <x v="68"/>
    <x v="5"/>
    <x v="68"/>
    <x v="25"/>
    <x v="25"/>
    <x v="25"/>
    <x v="1"/>
    <x v="1"/>
  </r>
  <r>
    <x v="68"/>
    <x v="68"/>
    <x v="5"/>
    <x v="68"/>
    <x v="6"/>
    <x v="6"/>
    <x v="6"/>
    <x v="6"/>
    <x v="1"/>
  </r>
  <r>
    <x v="68"/>
    <x v="68"/>
    <x v="5"/>
    <x v="68"/>
    <x v="28"/>
    <x v="28"/>
    <x v="28"/>
    <x v="1"/>
    <x v="1"/>
  </r>
  <r>
    <x v="68"/>
    <x v="68"/>
    <x v="5"/>
    <x v="68"/>
    <x v="7"/>
    <x v="7"/>
    <x v="7"/>
    <x v="1"/>
    <x v="1"/>
  </r>
  <r>
    <x v="68"/>
    <x v="68"/>
    <x v="5"/>
    <x v="68"/>
    <x v="10"/>
    <x v="10"/>
    <x v="10"/>
    <x v="5"/>
    <x v="1"/>
  </r>
  <r>
    <x v="68"/>
    <x v="68"/>
    <x v="5"/>
    <x v="68"/>
    <x v="20"/>
    <x v="20"/>
    <x v="20"/>
    <x v="5"/>
    <x v="1"/>
  </r>
  <r>
    <x v="68"/>
    <x v="68"/>
    <x v="5"/>
    <x v="68"/>
    <x v="13"/>
    <x v="13"/>
    <x v="13"/>
    <x v="1"/>
    <x v="1"/>
  </r>
  <r>
    <x v="68"/>
    <x v="68"/>
    <x v="5"/>
    <x v="68"/>
    <x v="57"/>
    <x v="57"/>
    <x v="57"/>
    <x v="1"/>
    <x v="1"/>
  </r>
  <r>
    <x v="68"/>
    <x v="68"/>
    <x v="5"/>
    <x v="68"/>
    <x v="91"/>
    <x v="91"/>
    <x v="91"/>
    <x v="0"/>
    <x v="1"/>
  </r>
  <r>
    <x v="68"/>
    <x v="68"/>
    <x v="5"/>
    <x v="68"/>
    <x v="69"/>
    <x v="69"/>
    <x v="69"/>
    <x v="0"/>
    <x v="0"/>
  </r>
  <r>
    <x v="68"/>
    <x v="68"/>
    <x v="5"/>
    <x v="68"/>
    <x v="122"/>
    <x v="122"/>
    <x v="122"/>
    <x v="1"/>
    <x v="1"/>
  </r>
  <r>
    <x v="68"/>
    <x v="68"/>
    <x v="5"/>
    <x v="68"/>
    <x v="86"/>
    <x v="86"/>
    <x v="86"/>
    <x v="0"/>
    <x v="0"/>
  </r>
  <r>
    <x v="69"/>
    <x v="69"/>
    <x v="2"/>
    <x v="69"/>
    <x v="129"/>
    <x v="129"/>
    <x v="129"/>
    <x v="0"/>
    <x v="1"/>
  </r>
  <r>
    <x v="69"/>
    <x v="69"/>
    <x v="2"/>
    <x v="69"/>
    <x v="130"/>
    <x v="130"/>
    <x v="130"/>
    <x v="4"/>
    <x v="1"/>
  </r>
  <r>
    <x v="69"/>
    <x v="69"/>
    <x v="2"/>
    <x v="69"/>
    <x v="131"/>
    <x v="131"/>
    <x v="131"/>
    <x v="0"/>
    <x v="1"/>
  </r>
  <r>
    <x v="69"/>
    <x v="69"/>
    <x v="2"/>
    <x v="69"/>
    <x v="132"/>
    <x v="132"/>
    <x v="132"/>
    <x v="0"/>
    <x v="1"/>
  </r>
  <r>
    <x v="69"/>
    <x v="69"/>
    <x v="2"/>
    <x v="69"/>
    <x v="133"/>
    <x v="133"/>
    <x v="133"/>
    <x v="0"/>
    <x v="1"/>
  </r>
  <r>
    <x v="69"/>
    <x v="69"/>
    <x v="2"/>
    <x v="69"/>
    <x v="134"/>
    <x v="134"/>
    <x v="134"/>
    <x v="1"/>
    <x v="1"/>
  </r>
  <r>
    <x v="69"/>
    <x v="69"/>
    <x v="2"/>
    <x v="69"/>
    <x v="135"/>
    <x v="135"/>
    <x v="135"/>
    <x v="15"/>
    <x v="1"/>
  </r>
  <r>
    <x v="69"/>
    <x v="69"/>
    <x v="2"/>
    <x v="69"/>
    <x v="136"/>
    <x v="136"/>
    <x v="136"/>
    <x v="15"/>
    <x v="1"/>
  </r>
  <r>
    <x v="69"/>
    <x v="69"/>
    <x v="2"/>
    <x v="69"/>
    <x v="137"/>
    <x v="137"/>
    <x v="137"/>
    <x v="16"/>
    <x v="1"/>
  </r>
  <r>
    <x v="69"/>
    <x v="69"/>
    <x v="2"/>
    <x v="69"/>
    <x v="138"/>
    <x v="138"/>
    <x v="138"/>
    <x v="0"/>
    <x v="1"/>
  </r>
  <r>
    <x v="69"/>
    <x v="69"/>
    <x v="2"/>
    <x v="69"/>
    <x v="139"/>
    <x v="139"/>
    <x v="139"/>
    <x v="0"/>
    <x v="1"/>
  </r>
  <r>
    <x v="70"/>
    <x v="70"/>
    <x v="6"/>
    <x v="70"/>
    <x v="140"/>
    <x v="140"/>
    <x v="140"/>
    <x v="17"/>
    <x v="2"/>
  </r>
  <r>
    <x v="70"/>
    <x v="70"/>
    <x v="6"/>
    <x v="70"/>
    <x v="141"/>
    <x v="141"/>
    <x v="141"/>
    <x v="5"/>
    <x v="2"/>
  </r>
  <r>
    <x v="70"/>
    <x v="70"/>
    <x v="6"/>
    <x v="70"/>
    <x v="142"/>
    <x v="142"/>
    <x v="142"/>
    <x v="7"/>
    <x v="2"/>
  </r>
  <r>
    <x v="70"/>
    <x v="70"/>
    <x v="6"/>
    <x v="70"/>
    <x v="143"/>
    <x v="143"/>
    <x v="143"/>
    <x v="5"/>
    <x v="2"/>
  </r>
  <r>
    <x v="70"/>
    <x v="70"/>
    <x v="6"/>
    <x v="70"/>
    <x v="144"/>
    <x v="144"/>
    <x v="144"/>
    <x v="1"/>
    <x v="2"/>
  </r>
  <r>
    <x v="70"/>
    <x v="70"/>
    <x v="6"/>
    <x v="70"/>
    <x v="145"/>
    <x v="145"/>
    <x v="145"/>
    <x v="15"/>
    <x v="2"/>
  </r>
  <r>
    <x v="70"/>
    <x v="70"/>
    <x v="6"/>
    <x v="70"/>
    <x v="146"/>
    <x v="146"/>
    <x v="146"/>
    <x v="6"/>
    <x v="2"/>
  </r>
  <r>
    <x v="67"/>
    <x v="67"/>
    <x v="7"/>
    <x v="67"/>
    <x v="38"/>
    <x v="38"/>
    <x v="38"/>
    <x v="12"/>
    <x v="1"/>
  </r>
  <r>
    <x v="67"/>
    <x v="67"/>
    <x v="7"/>
    <x v="67"/>
    <x v="147"/>
    <x v="147"/>
    <x v="147"/>
    <x v="9"/>
    <x v="1"/>
  </r>
  <r>
    <x v="67"/>
    <x v="67"/>
    <x v="7"/>
    <x v="67"/>
    <x v="95"/>
    <x v="95"/>
    <x v="95"/>
    <x v="2"/>
    <x v="1"/>
  </r>
  <r>
    <x v="67"/>
    <x v="67"/>
    <x v="7"/>
    <x v="67"/>
    <x v="148"/>
    <x v="148"/>
    <x v="148"/>
    <x v="2"/>
    <x v="1"/>
  </r>
  <r>
    <x v="67"/>
    <x v="67"/>
    <x v="7"/>
    <x v="67"/>
    <x v="73"/>
    <x v="73"/>
    <x v="73"/>
    <x v="3"/>
    <x v="1"/>
  </r>
  <r>
    <x v="67"/>
    <x v="67"/>
    <x v="7"/>
    <x v="67"/>
    <x v="75"/>
    <x v="75"/>
    <x v="75"/>
    <x v="7"/>
    <x v="1"/>
  </r>
  <r>
    <x v="67"/>
    <x v="67"/>
    <x v="7"/>
    <x v="67"/>
    <x v="41"/>
    <x v="41"/>
    <x v="41"/>
    <x v="15"/>
    <x v="1"/>
  </r>
  <r>
    <x v="67"/>
    <x v="67"/>
    <x v="7"/>
    <x v="67"/>
    <x v="101"/>
    <x v="101"/>
    <x v="101"/>
    <x v="3"/>
    <x v="1"/>
  </r>
  <r>
    <x v="67"/>
    <x v="67"/>
    <x v="7"/>
    <x v="67"/>
    <x v="33"/>
    <x v="33"/>
    <x v="33"/>
    <x v="7"/>
    <x v="1"/>
  </r>
  <r>
    <x v="67"/>
    <x v="67"/>
    <x v="7"/>
    <x v="67"/>
    <x v="149"/>
    <x v="149"/>
    <x v="149"/>
    <x v="2"/>
    <x v="1"/>
  </r>
  <r>
    <x v="67"/>
    <x v="67"/>
    <x v="7"/>
    <x v="67"/>
    <x v="150"/>
    <x v="150"/>
    <x v="150"/>
    <x v="6"/>
    <x v="1"/>
  </r>
  <r>
    <x v="67"/>
    <x v="67"/>
    <x v="7"/>
    <x v="67"/>
    <x v="151"/>
    <x v="151"/>
    <x v="151"/>
    <x v="15"/>
    <x v="1"/>
  </r>
  <r>
    <x v="67"/>
    <x v="67"/>
    <x v="7"/>
    <x v="67"/>
    <x v="99"/>
    <x v="99"/>
    <x v="99"/>
    <x v="2"/>
    <x v="1"/>
  </r>
  <r>
    <x v="67"/>
    <x v="67"/>
    <x v="7"/>
    <x v="67"/>
    <x v="110"/>
    <x v="110"/>
    <x v="110"/>
    <x v="2"/>
    <x v="1"/>
  </r>
  <r>
    <x v="39"/>
    <x v="39"/>
    <x v="1"/>
    <x v="39"/>
    <x v="109"/>
    <x v="109"/>
    <x v="109"/>
    <x v="0"/>
    <x v="1"/>
  </r>
  <r>
    <x v="39"/>
    <x v="39"/>
    <x v="1"/>
    <x v="39"/>
    <x v="19"/>
    <x v="19"/>
    <x v="19"/>
    <x v="1"/>
    <x v="2"/>
  </r>
  <r>
    <x v="65"/>
    <x v="65"/>
    <x v="0"/>
    <x v="65"/>
    <x v="69"/>
    <x v="69"/>
    <x v="69"/>
    <x v="0"/>
    <x v="0"/>
  </r>
  <r>
    <x v="65"/>
    <x v="65"/>
    <x v="0"/>
    <x v="65"/>
    <x v="54"/>
    <x v="54"/>
    <x v="54"/>
    <x v="4"/>
    <x v="1"/>
  </r>
  <r>
    <x v="65"/>
    <x v="65"/>
    <x v="0"/>
    <x v="65"/>
    <x v="35"/>
    <x v="35"/>
    <x v="35"/>
    <x v="3"/>
    <x v="1"/>
  </r>
  <r>
    <x v="65"/>
    <x v="65"/>
    <x v="0"/>
    <x v="65"/>
    <x v="46"/>
    <x v="46"/>
    <x v="46"/>
    <x v="4"/>
    <x v="1"/>
  </r>
  <r>
    <x v="65"/>
    <x v="65"/>
    <x v="0"/>
    <x v="65"/>
    <x v="30"/>
    <x v="30"/>
    <x v="30"/>
    <x v="7"/>
    <x v="1"/>
  </r>
  <r>
    <x v="65"/>
    <x v="65"/>
    <x v="0"/>
    <x v="65"/>
    <x v="22"/>
    <x v="22"/>
    <x v="22"/>
    <x v="3"/>
    <x v="1"/>
  </r>
  <r>
    <x v="65"/>
    <x v="65"/>
    <x v="0"/>
    <x v="65"/>
    <x v="58"/>
    <x v="58"/>
    <x v="58"/>
    <x v="3"/>
    <x v="1"/>
  </r>
  <r>
    <x v="65"/>
    <x v="65"/>
    <x v="0"/>
    <x v="65"/>
    <x v="1"/>
    <x v="1"/>
    <x v="1"/>
    <x v="1"/>
    <x v="0"/>
  </r>
  <r>
    <x v="65"/>
    <x v="65"/>
    <x v="0"/>
    <x v="65"/>
    <x v="4"/>
    <x v="4"/>
    <x v="4"/>
    <x v="4"/>
    <x v="1"/>
  </r>
  <r>
    <x v="65"/>
    <x v="65"/>
    <x v="0"/>
    <x v="65"/>
    <x v="3"/>
    <x v="3"/>
    <x v="3"/>
    <x v="4"/>
    <x v="1"/>
  </r>
  <r>
    <x v="65"/>
    <x v="65"/>
    <x v="0"/>
    <x v="65"/>
    <x v="6"/>
    <x v="6"/>
    <x v="6"/>
    <x v="2"/>
    <x v="1"/>
  </r>
  <r>
    <x v="65"/>
    <x v="65"/>
    <x v="0"/>
    <x v="65"/>
    <x v="25"/>
    <x v="25"/>
    <x v="25"/>
    <x v="1"/>
    <x v="1"/>
  </r>
  <r>
    <x v="65"/>
    <x v="65"/>
    <x v="0"/>
    <x v="65"/>
    <x v="102"/>
    <x v="102"/>
    <x v="102"/>
    <x v="4"/>
    <x v="1"/>
  </r>
  <r>
    <x v="65"/>
    <x v="65"/>
    <x v="0"/>
    <x v="65"/>
    <x v="79"/>
    <x v="79"/>
    <x v="79"/>
    <x v="4"/>
    <x v="1"/>
  </r>
  <r>
    <x v="65"/>
    <x v="65"/>
    <x v="0"/>
    <x v="65"/>
    <x v="26"/>
    <x v="26"/>
    <x v="26"/>
    <x v="4"/>
    <x v="1"/>
  </r>
  <r>
    <x v="65"/>
    <x v="65"/>
    <x v="0"/>
    <x v="65"/>
    <x v="10"/>
    <x v="10"/>
    <x v="10"/>
    <x v="1"/>
    <x v="1"/>
  </r>
  <r>
    <x v="65"/>
    <x v="65"/>
    <x v="0"/>
    <x v="65"/>
    <x v="12"/>
    <x v="12"/>
    <x v="12"/>
    <x v="8"/>
    <x v="1"/>
  </r>
  <r>
    <x v="65"/>
    <x v="65"/>
    <x v="0"/>
    <x v="65"/>
    <x v="42"/>
    <x v="42"/>
    <x v="42"/>
    <x v="1"/>
    <x v="1"/>
  </r>
  <r>
    <x v="65"/>
    <x v="65"/>
    <x v="0"/>
    <x v="65"/>
    <x v="15"/>
    <x v="15"/>
    <x v="15"/>
    <x v="5"/>
    <x v="1"/>
  </r>
  <r>
    <x v="65"/>
    <x v="65"/>
    <x v="0"/>
    <x v="65"/>
    <x v="11"/>
    <x v="11"/>
    <x v="11"/>
    <x v="1"/>
    <x v="1"/>
  </r>
  <r>
    <x v="71"/>
    <x v="71"/>
    <x v="5"/>
    <x v="71"/>
    <x v="26"/>
    <x v="26"/>
    <x v="26"/>
    <x v="5"/>
    <x v="1"/>
  </r>
  <r>
    <x v="71"/>
    <x v="71"/>
    <x v="5"/>
    <x v="71"/>
    <x v="6"/>
    <x v="6"/>
    <x v="6"/>
    <x v="5"/>
    <x v="1"/>
  </r>
  <r>
    <x v="71"/>
    <x v="71"/>
    <x v="5"/>
    <x v="71"/>
    <x v="80"/>
    <x v="80"/>
    <x v="80"/>
    <x v="1"/>
    <x v="1"/>
  </r>
  <r>
    <x v="71"/>
    <x v="71"/>
    <x v="5"/>
    <x v="71"/>
    <x v="38"/>
    <x v="38"/>
    <x v="38"/>
    <x v="1"/>
    <x v="1"/>
  </r>
  <r>
    <x v="71"/>
    <x v="71"/>
    <x v="5"/>
    <x v="71"/>
    <x v="22"/>
    <x v="22"/>
    <x v="22"/>
    <x v="5"/>
    <x v="1"/>
  </r>
  <r>
    <x v="71"/>
    <x v="71"/>
    <x v="5"/>
    <x v="71"/>
    <x v="49"/>
    <x v="49"/>
    <x v="49"/>
    <x v="1"/>
    <x v="1"/>
  </r>
  <r>
    <x v="71"/>
    <x v="71"/>
    <x v="5"/>
    <x v="71"/>
    <x v="10"/>
    <x v="10"/>
    <x v="10"/>
    <x v="7"/>
    <x v="1"/>
  </r>
  <r>
    <x v="71"/>
    <x v="71"/>
    <x v="5"/>
    <x v="71"/>
    <x v="27"/>
    <x v="27"/>
    <x v="27"/>
    <x v="6"/>
    <x v="1"/>
  </r>
  <r>
    <x v="71"/>
    <x v="71"/>
    <x v="5"/>
    <x v="71"/>
    <x v="12"/>
    <x v="12"/>
    <x v="12"/>
    <x v="5"/>
    <x v="1"/>
  </r>
  <r>
    <x v="71"/>
    <x v="71"/>
    <x v="5"/>
    <x v="71"/>
    <x v="56"/>
    <x v="56"/>
    <x v="56"/>
    <x v="3"/>
    <x v="1"/>
  </r>
  <r>
    <x v="71"/>
    <x v="71"/>
    <x v="5"/>
    <x v="71"/>
    <x v="120"/>
    <x v="120"/>
    <x v="120"/>
    <x v="0"/>
    <x v="1"/>
  </r>
  <r>
    <x v="71"/>
    <x v="71"/>
    <x v="5"/>
    <x v="71"/>
    <x v="127"/>
    <x v="127"/>
    <x v="127"/>
    <x v="7"/>
    <x v="1"/>
  </r>
  <r>
    <x v="72"/>
    <x v="72"/>
    <x v="5"/>
    <x v="72"/>
    <x v="128"/>
    <x v="128"/>
    <x v="128"/>
    <x v="1"/>
    <x v="1"/>
  </r>
  <r>
    <x v="72"/>
    <x v="72"/>
    <x v="5"/>
    <x v="72"/>
    <x v="2"/>
    <x v="2"/>
    <x v="2"/>
    <x v="1"/>
    <x v="1"/>
  </r>
  <r>
    <x v="72"/>
    <x v="72"/>
    <x v="5"/>
    <x v="72"/>
    <x v="74"/>
    <x v="74"/>
    <x v="74"/>
    <x v="6"/>
    <x v="1"/>
  </r>
  <r>
    <x v="72"/>
    <x v="72"/>
    <x v="5"/>
    <x v="72"/>
    <x v="6"/>
    <x v="6"/>
    <x v="6"/>
    <x v="1"/>
    <x v="1"/>
  </r>
  <r>
    <x v="72"/>
    <x v="72"/>
    <x v="5"/>
    <x v="72"/>
    <x v="8"/>
    <x v="8"/>
    <x v="8"/>
    <x v="1"/>
    <x v="1"/>
  </r>
  <r>
    <x v="72"/>
    <x v="72"/>
    <x v="5"/>
    <x v="72"/>
    <x v="10"/>
    <x v="10"/>
    <x v="10"/>
    <x v="1"/>
    <x v="1"/>
  </r>
  <r>
    <x v="72"/>
    <x v="72"/>
    <x v="5"/>
    <x v="72"/>
    <x v="20"/>
    <x v="20"/>
    <x v="20"/>
    <x v="1"/>
    <x v="1"/>
  </r>
  <r>
    <x v="72"/>
    <x v="72"/>
    <x v="5"/>
    <x v="72"/>
    <x v="14"/>
    <x v="14"/>
    <x v="14"/>
    <x v="0"/>
    <x v="1"/>
  </r>
  <r>
    <x v="72"/>
    <x v="72"/>
    <x v="5"/>
    <x v="72"/>
    <x v="122"/>
    <x v="122"/>
    <x v="122"/>
    <x v="0"/>
    <x v="1"/>
  </r>
  <r>
    <x v="72"/>
    <x v="72"/>
    <x v="5"/>
    <x v="72"/>
    <x v="106"/>
    <x v="106"/>
    <x v="106"/>
    <x v="0"/>
    <x v="0"/>
  </r>
  <r>
    <x v="73"/>
    <x v="73"/>
    <x v="5"/>
    <x v="73"/>
    <x v="103"/>
    <x v="103"/>
    <x v="103"/>
    <x v="0"/>
    <x v="0"/>
  </r>
  <r>
    <x v="73"/>
    <x v="73"/>
    <x v="5"/>
    <x v="73"/>
    <x v="73"/>
    <x v="73"/>
    <x v="73"/>
    <x v="2"/>
    <x v="1"/>
  </r>
  <r>
    <x v="73"/>
    <x v="73"/>
    <x v="5"/>
    <x v="73"/>
    <x v="4"/>
    <x v="4"/>
    <x v="4"/>
    <x v="3"/>
    <x v="1"/>
  </r>
  <r>
    <x v="73"/>
    <x v="73"/>
    <x v="5"/>
    <x v="73"/>
    <x v="74"/>
    <x v="74"/>
    <x v="74"/>
    <x v="18"/>
    <x v="1"/>
  </r>
  <r>
    <x v="73"/>
    <x v="73"/>
    <x v="5"/>
    <x v="73"/>
    <x v="97"/>
    <x v="97"/>
    <x v="97"/>
    <x v="4"/>
    <x v="1"/>
  </r>
  <r>
    <x v="73"/>
    <x v="73"/>
    <x v="5"/>
    <x v="73"/>
    <x v="29"/>
    <x v="29"/>
    <x v="29"/>
    <x v="4"/>
    <x v="1"/>
  </r>
  <r>
    <x v="73"/>
    <x v="73"/>
    <x v="5"/>
    <x v="73"/>
    <x v="82"/>
    <x v="82"/>
    <x v="82"/>
    <x v="3"/>
    <x v="1"/>
  </r>
  <r>
    <x v="73"/>
    <x v="73"/>
    <x v="5"/>
    <x v="73"/>
    <x v="10"/>
    <x v="10"/>
    <x v="10"/>
    <x v="2"/>
    <x v="1"/>
  </r>
  <r>
    <x v="73"/>
    <x v="73"/>
    <x v="5"/>
    <x v="73"/>
    <x v="77"/>
    <x v="77"/>
    <x v="77"/>
    <x v="4"/>
    <x v="1"/>
  </r>
  <r>
    <x v="73"/>
    <x v="73"/>
    <x v="5"/>
    <x v="73"/>
    <x v="48"/>
    <x v="48"/>
    <x v="48"/>
    <x v="4"/>
    <x v="1"/>
  </r>
  <r>
    <x v="73"/>
    <x v="73"/>
    <x v="5"/>
    <x v="73"/>
    <x v="152"/>
    <x v="152"/>
    <x v="152"/>
    <x v="3"/>
    <x v="1"/>
  </r>
  <r>
    <x v="57"/>
    <x v="57"/>
    <x v="5"/>
    <x v="57"/>
    <x v="1"/>
    <x v="1"/>
    <x v="1"/>
    <x v="0"/>
    <x v="0"/>
  </r>
  <r>
    <x v="57"/>
    <x v="57"/>
    <x v="5"/>
    <x v="57"/>
    <x v="26"/>
    <x v="26"/>
    <x v="26"/>
    <x v="6"/>
    <x v="1"/>
  </r>
  <r>
    <x v="57"/>
    <x v="57"/>
    <x v="5"/>
    <x v="57"/>
    <x v="3"/>
    <x v="3"/>
    <x v="3"/>
    <x v="6"/>
    <x v="1"/>
  </r>
  <r>
    <x v="57"/>
    <x v="57"/>
    <x v="5"/>
    <x v="57"/>
    <x v="4"/>
    <x v="4"/>
    <x v="4"/>
    <x v="6"/>
    <x v="1"/>
  </r>
  <r>
    <x v="57"/>
    <x v="57"/>
    <x v="5"/>
    <x v="57"/>
    <x v="102"/>
    <x v="102"/>
    <x v="102"/>
    <x v="5"/>
    <x v="1"/>
  </r>
  <r>
    <x v="57"/>
    <x v="57"/>
    <x v="5"/>
    <x v="57"/>
    <x v="74"/>
    <x v="74"/>
    <x v="74"/>
    <x v="19"/>
    <x v="1"/>
  </r>
  <r>
    <x v="57"/>
    <x v="57"/>
    <x v="5"/>
    <x v="57"/>
    <x v="6"/>
    <x v="6"/>
    <x v="6"/>
    <x v="11"/>
    <x v="1"/>
  </r>
  <r>
    <x v="57"/>
    <x v="57"/>
    <x v="5"/>
    <x v="57"/>
    <x v="75"/>
    <x v="75"/>
    <x v="75"/>
    <x v="3"/>
    <x v="1"/>
  </r>
  <r>
    <x v="57"/>
    <x v="57"/>
    <x v="5"/>
    <x v="57"/>
    <x v="7"/>
    <x v="7"/>
    <x v="7"/>
    <x v="4"/>
    <x v="1"/>
  </r>
  <r>
    <x v="57"/>
    <x v="57"/>
    <x v="5"/>
    <x v="57"/>
    <x v="20"/>
    <x v="20"/>
    <x v="20"/>
    <x v="2"/>
    <x v="1"/>
  </r>
  <r>
    <x v="57"/>
    <x v="57"/>
    <x v="5"/>
    <x v="57"/>
    <x v="42"/>
    <x v="42"/>
    <x v="42"/>
    <x v="4"/>
    <x v="1"/>
  </r>
  <r>
    <x v="57"/>
    <x v="57"/>
    <x v="5"/>
    <x v="57"/>
    <x v="14"/>
    <x v="14"/>
    <x v="14"/>
    <x v="4"/>
    <x v="1"/>
  </r>
  <r>
    <x v="57"/>
    <x v="57"/>
    <x v="5"/>
    <x v="57"/>
    <x v="54"/>
    <x v="54"/>
    <x v="54"/>
    <x v="4"/>
    <x v="1"/>
  </r>
  <r>
    <x v="57"/>
    <x v="57"/>
    <x v="5"/>
    <x v="57"/>
    <x v="69"/>
    <x v="69"/>
    <x v="69"/>
    <x v="1"/>
    <x v="0"/>
  </r>
  <r>
    <x v="57"/>
    <x v="57"/>
    <x v="5"/>
    <x v="57"/>
    <x v="52"/>
    <x v="52"/>
    <x v="52"/>
    <x v="1"/>
    <x v="1"/>
  </r>
  <r>
    <x v="57"/>
    <x v="57"/>
    <x v="5"/>
    <x v="57"/>
    <x v="123"/>
    <x v="123"/>
    <x v="123"/>
    <x v="4"/>
    <x v="1"/>
  </r>
  <r>
    <x v="57"/>
    <x v="57"/>
    <x v="5"/>
    <x v="57"/>
    <x v="94"/>
    <x v="94"/>
    <x v="94"/>
    <x v="4"/>
    <x v="1"/>
  </r>
  <r>
    <x v="57"/>
    <x v="57"/>
    <x v="5"/>
    <x v="57"/>
    <x v="86"/>
    <x v="86"/>
    <x v="86"/>
    <x v="0"/>
    <x v="0"/>
  </r>
  <r>
    <x v="57"/>
    <x v="57"/>
    <x v="5"/>
    <x v="57"/>
    <x v="153"/>
    <x v="153"/>
    <x v="153"/>
    <x v="3"/>
    <x v="1"/>
  </r>
  <r>
    <x v="74"/>
    <x v="74"/>
    <x v="5"/>
    <x v="74"/>
    <x v="36"/>
    <x v="36"/>
    <x v="36"/>
    <x v="1"/>
    <x v="1"/>
  </r>
  <r>
    <x v="74"/>
    <x v="74"/>
    <x v="5"/>
    <x v="74"/>
    <x v="73"/>
    <x v="73"/>
    <x v="73"/>
    <x v="1"/>
    <x v="1"/>
  </r>
  <r>
    <x v="74"/>
    <x v="74"/>
    <x v="5"/>
    <x v="74"/>
    <x v="33"/>
    <x v="33"/>
    <x v="33"/>
    <x v="7"/>
    <x v="1"/>
  </r>
  <r>
    <x v="74"/>
    <x v="74"/>
    <x v="5"/>
    <x v="74"/>
    <x v="26"/>
    <x v="26"/>
    <x v="26"/>
    <x v="1"/>
    <x v="1"/>
  </r>
  <r>
    <x v="74"/>
    <x v="74"/>
    <x v="5"/>
    <x v="74"/>
    <x v="3"/>
    <x v="3"/>
    <x v="3"/>
    <x v="1"/>
    <x v="1"/>
  </r>
  <r>
    <x v="74"/>
    <x v="74"/>
    <x v="5"/>
    <x v="74"/>
    <x v="4"/>
    <x v="4"/>
    <x v="4"/>
    <x v="1"/>
    <x v="1"/>
  </r>
  <r>
    <x v="74"/>
    <x v="74"/>
    <x v="5"/>
    <x v="74"/>
    <x v="74"/>
    <x v="74"/>
    <x v="74"/>
    <x v="7"/>
    <x v="1"/>
  </r>
  <r>
    <x v="74"/>
    <x v="74"/>
    <x v="5"/>
    <x v="74"/>
    <x v="6"/>
    <x v="6"/>
    <x v="6"/>
    <x v="4"/>
    <x v="1"/>
  </r>
  <r>
    <x v="74"/>
    <x v="74"/>
    <x v="5"/>
    <x v="74"/>
    <x v="30"/>
    <x v="30"/>
    <x v="30"/>
    <x v="4"/>
    <x v="1"/>
  </r>
  <r>
    <x v="74"/>
    <x v="74"/>
    <x v="5"/>
    <x v="74"/>
    <x v="22"/>
    <x v="22"/>
    <x v="22"/>
    <x v="4"/>
    <x v="1"/>
  </r>
  <r>
    <x v="74"/>
    <x v="74"/>
    <x v="5"/>
    <x v="74"/>
    <x v="28"/>
    <x v="28"/>
    <x v="28"/>
    <x v="1"/>
    <x v="1"/>
  </r>
  <r>
    <x v="74"/>
    <x v="74"/>
    <x v="5"/>
    <x v="74"/>
    <x v="7"/>
    <x v="7"/>
    <x v="7"/>
    <x v="1"/>
    <x v="1"/>
  </r>
  <r>
    <x v="74"/>
    <x v="74"/>
    <x v="5"/>
    <x v="74"/>
    <x v="154"/>
    <x v="154"/>
    <x v="154"/>
    <x v="1"/>
    <x v="1"/>
  </r>
  <r>
    <x v="74"/>
    <x v="74"/>
    <x v="5"/>
    <x v="74"/>
    <x v="82"/>
    <x v="82"/>
    <x v="82"/>
    <x v="0"/>
    <x v="1"/>
  </r>
  <r>
    <x v="74"/>
    <x v="74"/>
    <x v="5"/>
    <x v="74"/>
    <x v="76"/>
    <x v="76"/>
    <x v="76"/>
    <x v="5"/>
    <x v="1"/>
  </r>
  <r>
    <x v="74"/>
    <x v="74"/>
    <x v="5"/>
    <x v="74"/>
    <x v="84"/>
    <x v="84"/>
    <x v="84"/>
    <x v="4"/>
    <x v="1"/>
  </r>
  <r>
    <x v="74"/>
    <x v="74"/>
    <x v="5"/>
    <x v="74"/>
    <x v="41"/>
    <x v="41"/>
    <x v="41"/>
    <x v="1"/>
    <x v="1"/>
  </r>
  <r>
    <x v="74"/>
    <x v="74"/>
    <x v="5"/>
    <x v="74"/>
    <x v="10"/>
    <x v="10"/>
    <x v="10"/>
    <x v="4"/>
    <x v="1"/>
  </r>
  <r>
    <x v="74"/>
    <x v="74"/>
    <x v="5"/>
    <x v="74"/>
    <x v="27"/>
    <x v="27"/>
    <x v="27"/>
    <x v="3"/>
    <x v="1"/>
  </r>
  <r>
    <x v="74"/>
    <x v="74"/>
    <x v="5"/>
    <x v="74"/>
    <x v="35"/>
    <x v="35"/>
    <x v="35"/>
    <x v="1"/>
    <x v="1"/>
  </r>
  <r>
    <x v="74"/>
    <x v="74"/>
    <x v="5"/>
    <x v="74"/>
    <x v="121"/>
    <x v="121"/>
    <x v="121"/>
    <x v="1"/>
    <x v="1"/>
  </r>
  <r>
    <x v="74"/>
    <x v="74"/>
    <x v="5"/>
    <x v="74"/>
    <x v="56"/>
    <x v="56"/>
    <x v="56"/>
    <x v="3"/>
    <x v="1"/>
  </r>
  <r>
    <x v="74"/>
    <x v="74"/>
    <x v="5"/>
    <x v="74"/>
    <x v="44"/>
    <x v="44"/>
    <x v="44"/>
    <x v="4"/>
    <x v="1"/>
  </r>
  <r>
    <x v="74"/>
    <x v="74"/>
    <x v="5"/>
    <x v="74"/>
    <x v="108"/>
    <x v="108"/>
    <x v="108"/>
    <x v="4"/>
    <x v="1"/>
  </r>
  <r>
    <x v="74"/>
    <x v="74"/>
    <x v="5"/>
    <x v="74"/>
    <x v="60"/>
    <x v="60"/>
    <x v="60"/>
    <x v="4"/>
    <x v="1"/>
  </r>
  <r>
    <x v="74"/>
    <x v="74"/>
    <x v="5"/>
    <x v="74"/>
    <x v="122"/>
    <x v="122"/>
    <x v="122"/>
    <x v="0"/>
    <x v="1"/>
  </r>
  <r>
    <x v="74"/>
    <x v="74"/>
    <x v="5"/>
    <x v="74"/>
    <x v="123"/>
    <x v="123"/>
    <x v="123"/>
    <x v="4"/>
    <x v="1"/>
  </r>
  <r>
    <x v="70"/>
    <x v="70"/>
    <x v="6"/>
    <x v="70"/>
    <x v="128"/>
    <x v="128"/>
    <x v="128"/>
    <x v="3"/>
    <x v="1"/>
  </r>
  <r>
    <x v="70"/>
    <x v="70"/>
    <x v="6"/>
    <x v="70"/>
    <x v="46"/>
    <x v="46"/>
    <x v="46"/>
    <x v="7"/>
    <x v="1"/>
  </r>
  <r>
    <x v="70"/>
    <x v="70"/>
    <x v="6"/>
    <x v="70"/>
    <x v="51"/>
    <x v="51"/>
    <x v="51"/>
    <x v="5"/>
    <x v="1"/>
  </r>
  <r>
    <x v="70"/>
    <x v="70"/>
    <x v="6"/>
    <x v="70"/>
    <x v="26"/>
    <x v="26"/>
    <x v="26"/>
    <x v="2"/>
    <x v="1"/>
  </r>
  <r>
    <x v="70"/>
    <x v="70"/>
    <x v="6"/>
    <x v="70"/>
    <x v="4"/>
    <x v="4"/>
    <x v="4"/>
    <x v="12"/>
    <x v="1"/>
  </r>
  <r>
    <x v="70"/>
    <x v="70"/>
    <x v="6"/>
    <x v="70"/>
    <x v="155"/>
    <x v="155"/>
    <x v="155"/>
    <x v="4"/>
    <x v="1"/>
  </r>
  <r>
    <x v="70"/>
    <x v="70"/>
    <x v="6"/>
    <x v="70"/>
    <x v="74"/>
    <x v="74"/>
    <x v="74"/>
    <x v="12"/>
    <x v="1"/>
  </r>
  <r>
    <x v="70"/>
    <x v="70"/>
    <x v="6"/>
    <x v="70"/>
    <x v="156"/>
    <x v="156"/>
    <x v="156"/>
    <x v="14"/>
    <x v="1"/>
  </r>
  <r>
    <x v="73"/>
    <x v="73"/>
    <x v="5"/>
    <x v="73"/>
    <x v="13"/>
    <x v="13"/>
    <x v="13"/>
    <x v="2"/>
    <x v="1"/>
  </r>
  <r>
    <x v="73"/>
    <x v="73"/>
    <x v="5"/>
    <x v="73"/>
    <x v="42"/>
    <x v="42"/>
    <x v="42"/>
    <x v="3"/>
    <x v="1"/>
  </r>
  <r>
    <x v="73"/>
    <x v="73"/>
    <x v="5"/>
    <x v="73"/>
    <x v="68"/>
    <x v="68"/>
    <x v="68"/>
    <x v="3"/>
    <x v="1"/>
  </r>
  <r>
    <x v="73"/>
    <x v="73"/>
    <x v="5"/>
    <x v="73"/>
    <x v="56"/>
    <x v="56"/>
    <x v="56"/>
    <x v="3"/>
    <x v="1"/>
  </r>
  <r>
    <x v="73"/>
    <x v="73"/>
    <x v="5"/>
    <x v="73"/>
    <x v="44"/>
    <x v="44"/>
    <x v="44"/>
    <x v="3"/>
    <x v="1"/>
  </r>
  <r>
    <x v="73"/>
    <x v="73"/>
    <x v="5"/>
    <x v="73"/>
    <x v="50"/>
    <x v="50"/>
    <x v="50"/>
    <x v="0"/>
    <x v="0"/>
  </r>
  <r>
    <x v="73"/>
    <x v="73"/>
    <x v="5"/>
    <x v="73"/>
    <x v="17"/>
    <x v="17"/>
    <x v="17"/>
    <x v="0"/>
    <x v="0"/>
  </r>
  <r>
    <x v="73"/>
    <x v="73"/>
    <x v="5"/>
    <x v="73"/>
    <x v="93"/>
    <x v="93"/>
    <x v="93"/>
    <x v="0"/>
    <x v="1"/>
  </r>
  <r>
    <x v="75"/>
    <x v="75"/>
    <x v="3"/>
    <x v="75"/>
    <x v="102"/>
    <x v="102"/>
    <x v="102"/>
    <x v="4"/>
    <x v="1"/>
  </r>
  <r>
    <x v="75"/>
    <x v="75"/>
    <x v="3"/>
    <x v="75"/>
    <x v="79"/>
    <x v="79"/>
    <x v="79"/>
    <x v="4"/>
    <x v="1"/>
  </r>
  <r>
    <x v="75"/>
    <x v="75"/>
    <x v="3"/>
    <x v="75"/>
    <x v="22"/>
    <x v="22"/>
    <x v="22"/>
    <x v="5"/>
    <x v="1"/>
  </r>
  <r>
    <x v="75"/>
    <x v="75"/>
    <x v="3"/>
    <x v="75"/>
    <x v="58"/>
    <x v="58"/>
    <x v="58"/>
    <x v="4"/>
    <x v="1"/>
  </r>
  <r>
    <x v="75"/>
    <x v="75"/>
    <x v="3"/>
    <x v="75"/>
    <x v="75"/>
    <x v="75"/>
    <x v="75"/>
    <x v="5"/>
    <x v="1"/>
  </r>
  <r>
    <x v="75"/>
    <x v="75"/>
    <x v="3"/>
    <x v="75"/>
    <x v="77"/>
    <x v="77"/>
    <x v="77"/>
    <x v="1"/>
    <x v="1"/>
  </r>
  <r>
    <x v="76"/>
    <x v="76"/>
    <x v="2"/>
    <x v="76"/>
    <x v="22"/>
    <x v="22"/>
    <x v="22"/>
    <x v="5"/>
    <x v="1"/>
  </r>
  <r>
    <x v="76"/>
    <x v="76"/>
    <x v="2"/>
    <x v="76"/>
    <x v="82"/>
    <x v="82"/>
    <x v="82"/>
    <x v="4"/>
    <x v="1"/>
  </r>
  <r>
    <x v="76"/>
    <x v="76"/>
    <x v="2"/>
    <x v="76"/>
    <x v="89"/>
    <x v="89"/>
    <x v="89"/>
    <x v="4"/>
    <x v="1"/>
  </r>
  <r>
    <x v="76"/>
    <x v="76"/>
    <x v="2"/>
    <x v="76"/>
    <x v="122"/>
    <x v="122"/>
    <x v="122"/>
    <x v="4"/>
    <x v="1"/>
  </r>
  <r>
    <x v="70"/>
    <x v="70"/>
    <x v="6"/>
    <x v="70"/>
    <x v="80"/>
    <x v="80"/>
    <x v="80"/>
    <x v="6"/>
    <x v="1"/>
  </r>
  <r>
    <x v="70"/>
    <x v="70"/>
    <x v="6"/>
    <x v="70"/>
    <x v="38"/>
    <x v="38"/>
    <x v="38"/>
    <x v="19"/>
    <x v="1"/>
  </r>
  <r>
    <x v="70"/>
    <x v="70"/>
    <x v="6"/>
    <x v="70"/>
    <x v="157"/>
    <x v="157"/>
    <x v="157"/>
    <x v="20"/>
    <x v="1"/>
  </r>
  <r>
    <x v="70"/>
    <x v="70"/>
    <x v="6"/>
    <x v="70"/>
    <x v="62"/>
    <x v="62"/>
    <x v="62"/>
    <x v="1"/>
    <x v="1"/>
  </r>
  <r>
    <x v="70"/>
    <x v="70"/>
    <x v="6"/>
    <x v="70"/>
    <x v="58"/>
    <x v="58"/>
    <x v="58"/>
    <x v="1"/>
    <x v="1"/>
  </r>
  <r>
    <x v="70"/>
    <x v="70"/>
    <x v="6"/>
    <x v="70"/>
    <x v="45"/>
    <x v="45"/>
    <x v="45"/>
    <x v="1"/>
    <x v="1"/>
  </r>
  <r>
    <x v="70"/>
    <x v="70"/>
    <x v="6"/>
    <x v="70"/>
    <x v="81"/>
    <x v="81"/>
    <x v="81"/>
    <x v="1"/>
    <x v="1"/>
  </r>
  <r>
    <x v="70"/>
    <x v="70"/>
    <x v="6"/>
    <x v="70"/>
    <x v="97"/>
    <x v="97"/>
    <x v="97"/>
    <x v="1"/>
    <x v="1"/>
  </r>
  <r>
    <x v="70"/>
    <x v="70"/>
    <x v="6"/>
    <x v="70"/>
    <x v="28"/>
    <x v="28"/>
    <x v="28"/>
    <x v="1"/>
    <x v="1"/>
  </r>
  <r>
    <x v="70"/>
    <x v="70"/>
    <x v="6"/>
    <x v="70"/>
    <x v="29"/>
    <x v="29"/>
    <x v="29"/>
    <x v="5"/>
    <x v="1"/>
  </r>
  <r>
    <x v="70"/>
    <x v="70"/>
    <x v="6"/>
    <x v="70"/>
    <x v="71"/>
    <x v="71"/>
    <x v="71"/>
    <x v="5"/>
    <x v="1"/>
  </r>
  <r>
    <x v="70"/>
    <x v="70"/>
    <x v="6"/>
    <x v="70"/>
    <x v="88"/>
    <x v="88"/>
    <x v="88"/>
    <x v="5"/>
    <x v="1"/>
  </r>
  <r>
    <x v="70"/>
    <x v="70"/>
    <x v="6"/>
    <x v="70"/>
    <x v="7"/>
    <x v="7"/>
    <x v="7"/>
    <x v="1"/>
    <x v="1"/>
  </r>
  <r>
    <x v="70"/>
    <x v="70"/>
    <x v="6"/>
    <x v="70"/>
    <x v="158"/>
    <x v="158"/>
    <x v="158"/>
    <x v="2"/>
    <x v="1"/>
  </r>
  <r>
    <x v="70"/>
    <x v="70"/>
    <x v="6"/>
    <x v="70"/>
    <x v="8"/>
    <x v="8"/>
    <x v="8"/>
    <x v="3"/>
    <x v="1"/>
  </r>
  <r>
    <x v="70"/>
    <x v="70"/>
    <x v="6"/>
    <x v="70"/>
    <x v="99"/>
    <x v="99"/>
    <x v="99"/>
    <x v="5"/>
    <x v="1"/>
  </r>
  <r>
    <x v="70"/>
    <x v="70"/>
    <x v="6"/>
    <x v="70"/>
    <x v="84"/>
    <x v="84"/>
    <x v="84"/>
    <x v="13"/>
    <x v="1"/>
  </r>
  <r>
    <x v="70"/>
    <x v="70"/>
    <x v="6"/>
    <x v="70"/>
    <x v="41"/>
    <x v="41"/>
    <x v="41"/>
    <x v="14"/>
    <x v="1"/>
  </r>
  <r>
    <x v="70"/>
    <x v="70"/>
    <x v="6"/>
    <x v="70"/>
    <x v="27"/>
    <x v="27"/>
    <x v="27"/>
    <x v="19"/>
    <x v="1"/>
  </r>
  <r>
    <x v="70"/>
    <x v="70"/>
    <x v="6"/>
    <x v="70"/>
    <x v="77"/>
    <x v="77"/>
    <x v="77"/>
    <x v="1"/>
    <x v="1"/>
  </r>
  <r>
    <x v="70"/>
    <x v="70"/>
    <x v="6"/>
    <x v="70"/>
    <x v="20"/>
    <x v="20"/>
    <x v="20"/>
    <x v="3"/>
    <x v="1"/>
  </r>
  <r>
    <x v="70"/>
    <x v="70"/>
    <x v="6"/>
    <x v="70"/>
    <x v="12"/>
    <x v="12"/>
    <x v="12"/>
    <x v="2"/>
    <x v="1"/>
  </r>
  <r>
    <x v="70"/>
    <x v="70"/>
    <x v="6"/>
    <x v="70"/>
    <x v="152"/>
    <x v="152"/>
    <x v="152"/>
    <x v="4"/>
    <x v="1"/>
  </r>
  <r>
    <x v="70"/>
    <x v="70"/>
    <x v="6"/>
    <x v="70"/>
    <x v="13"/>
    <x v="13"/>
    <x v="13"/>
    <x v="2"/>
    <x v="1"/>
  </r>
  <r>
    <x v="70"/>
    <x v="70"/>
    <x v="6"/>
    <x v="70"/>
    <x v="107"/>
    <x v="107"/>
    <x v="107"/>
    <x v="2"/>
    <x v="1"/>
  </r>
  <r>
    <x v="70"/>
    <x v="70"/>
    <x v="6"/>
    <x v="70"/>
    <x v="42"/>
    <x v="42"/>
    <x v="42"/>
    <x v="1"/>
    <x v="1"/>
  </r>
  <r>
    <x v="70"/>
    <x v="70"/>
    <x v="6"/>
    <x v="70"/>
    <x v="67"/>
    <x v="67"/>
    <x v="67"/>
    <x v="4"/>
    <x v="1"/>
  </r>
  <r>
    <x v="70"/>
    <x v="70"/>
    <x v="6"/>
    <x v="70"/>
    <x v="48"/>
    <x v="48"/>
    <x v="48"/>
    <x v="2"/>
    <x v="1"/>
  </r>
  <r>
    <x v="70"/>
    <x v="70"/>
    <x v="6"/>
    <x v="70"/>
    <x v="11"/>
    <x v="11"/>
    <x v="11"/>
    <x v="2"/>
    <x v="1"/>
  </r>
  <r>
    <x v="70"/>
    <x v="70"/>
    <x v="6"/>
    <x v="70"/>
    <x v="72"/>
    <x v="72"/>
    <x v="72"/>
    <x v="5"/>
    <x v="1"/>
  </r>
  <r>
    <x v="70"/>
    <x v="70"/>
    <x v="6"/>
    <x v="70"/>
    <x v="14"/>
    <x v="14"/>
    <x v="14"/>
    <x v="1"/>
    <x v="1"/>
  </r>
  <r>
    <x v="70"/>
    <x v="70"/>
    <x v="6"/>
    <x v="70"/>
    <x v="60"/>
    <x v="60"/>
    <x v="60"/>
    <x v="11"/>
    <x v="1"/>
  </r>
  <r>
    <x v="70"/>
    <x v="70"/>
    <x v="6"/>
    <x v="70"/>
    <x v="15"/>
    <x v="15"/>
    <x v="15"/>
    <x v="2"/>
    <x v="1"/>
  </r>
  <r>
    <x v="70"/>
    <x v="70"/>
    <x v="6"/>
    <x v="70"/>
    <x v="68"/>
    <x v="68"/>
    <x v="68"/>
    <x v="3"/>
    <x v="1"/>
  </r>
  <r>
    <x v="70"/>
    <x v="70"/>
    <x v="6"/>
    <x v="70"/>
    <x v="91"/>
    <x v="91"/>
    <x v="91"/>
    <x v="4"/>
    <x v="1"/>
  </r>
  <r>
    <x v="70"/>
    <x v="70"/>
    <x v="6"/>
    <x v="70"/>
    <x v="159"/>
    <x v="159"/>
    <x v="159"/>
    <x v="3"/>
    <x v="1"/>
  </r>
  <r>
    <x v="70"/>
    <x v="70"/>
    <x v="6"/>
    <x v="70"/>
    <x v="56"/>
    <x v="56"/>
    <x v="56"/>
    <x v="9"/>
    <x v="1"/>
  </r>
  <r>
    <x v="70"/>
    <x v="70"/>
    <x v="6"/>
    <x v="70"/>
    <x v="108"/>
    <x v="108"/>
    <x v="108"/>
    <x v="12"/>
    <x v="1"/>
  </r>
  <r>
    <x v="70"/>
    <x v="70"/>
    <x v="6"/>
    <x v="70"/>
    <x v="44"/>
    <x v="44"/>
    <x v="44"/>
    <x v="12"/>
    <x v="1"/>
  </r>
  <r>
    <x v="70"/>
    <x v="70"/>
    <x v="6"/>
    <x v="70"/>
    <x v="94"/>
    <x v="94"/>
    <x v="94"/>
    <x v="4"/>
    <x v="1"/>
  </r>
  <r>
    <x v="70"/>
    <x v="70"/>
    <x v="6"/>
    <x v="70"/>
    <x v="61"/>
    <x v="61"/>
    <x v="61"/>
    <x v="2"/>
    <x v="1"/>
  </r>
  <r>
    <x v="70"/>
    <x v="70"/>
    <x v="6"/>
    <x v="70"/>
    <x v="86"/>
    <x v="86"/>
    <x v="86"/>
    <x v="0"/>
    <x v="0"/>
  </r>
  <r>
    <x v="70"/>
    <x v="70"/>
    <x v="6"/>
    <x v="70"/>
    <x v="160"/>
    <x v="160"/>
    <x v="160"/>
    <x v="0"/>
    <x v="0"/>
  </r>
  <r>
    <x v="70"/>
    <x v="70"/>
    <x v="6"/>
    <x v="70"/>
    <x v="18"/>
    <x v="18"/>
    <x v="18"/>
    <x v="0"/>
    <x v="1"/>
  </r>
  <r>
    <x v="70"/>
    <x v="70"/>
    <x v="6"/>
    <x v="70"/>
    <x v="112"/>
    <x v="112"/>
    <x v="112"/>
    <x v="2"/>
    <x v="1"/>
  </r>
  <r>
    <x v="70"/>
    <x v="70"/>
    <x v="6"/>
    <x v="70"/>
    <x v="127"/>
    <x v="127"/>
    <x v="127"/>
    <x v="4"/>
    <x v="1"/>
  </r>
  <r>
    <x v="70"/>
    <x v="70"/>
    <x v="6"/>
    <x v="70"/>
    <x v="161"/>
    <x v="161"/>
    <x v="161"/>
    <x v="21"/>
    <x v="1"/>
  </r>
  <r>
    <x v="62"/>
    <x v="62"/>
    <x v="1"/>
    <x v="62"/>
    <x v="14"/>
    <x v="14"/>
    <x v="14"/>
    <x v="0"/>
    <x v="1"/>
  </r>
  <r>
    <x v="62"/>
    <x v="62"/>
    <x v="1"/>
    <x v="62"/>
    <x v="162"/>
    <x v="162"/>
    <x v="162"/>
    <x v="0"/>
    <x v="0"/>
  </r>
  <r>
    <x v="62"/>
    <x v="62"/>
    <x v="1"/>
    <x v="62"/>
    <x v="50"/>
    <x v="50"/>
    <x v="50"/>
    <x v="0"/>
    <x v="0"/>
  </r>
  <r>
    <x v="62"/>
    <x v="62"/>
    <x v="1"/>
    <x v="62"/>
    <x v="93"/>
    <x v="93"/>
    <x v="93"/>
    <x v="0"/>
    <x v="1"/>
  </r>
  <r>
    <x v="77"/>
    <x v="77"/>
    <x v="5"/>
    <x v="77"/>
    <x v="36"/>
    <x v="36"/>
    <x v="36"/>
    <x v="1"/>
    <x v="1"/>
  </r>
  <r>
    <x v="77"/>
    <x v="77"/>
    <x v="5"/>
    <x v="77"/>
    <x v="73"/>
    <x v="73"/>
    <x v="73"/>
    <x v="1"/>
    <x v="1"/>
  </r>
  <r>
    <x v="77"/>
    <x v="77"/>
    <x v="5"/>
    <x v="77"/>
    <x v="33"/>
    <x v="33"/>
    <x v="33"/>
    <x v="7"/>
    <x v="1"/>
  </r>
  <r>
    <x v="77"/>
    <x v="77"/>
    <x v="5"/>
    <x v="77"/>
    <x v="26"/>
    <x v="26"/>
    <x v="26"/>
    <x v="1"/>
    <x v="1"/>
  </r>
  <r>
    <x v="77"/>
    <x v="77"/>
    <x v="5"/>
    <x v="77"/>
    <x v="3"/>
    <x v="3"/>
    <x v="3"/>
    <x v="1"/>
    <x v="1"/>
  </r>
  <r>
    <x v="77"/>
    <x v="77"/>
    <x v="5"/>
    <x v="77"/>
    <x v="4"/>
    <x v="4"/>
    <x v="4"/>
    <x v="1"/>
    <x v="1"/>
  </r>
  <r>
    <x v="77"/>
    <x v="77"/>
    <x v="5"/>
    <x v="77"/>
    <x v="74"/>
    <x v="74"/>
    <x v="74"/>
    <x v="6"/>
    <x v="1"/>
  </r>
  <r>
    <x v="77"/>
    <x v="77"/>
    <x v="5"/>
    <x v="77"/>
    <x v="6"/>
    <x v="6"/>
    <x v="6"/>
    <x v="1"/>
    <x v="1"/>
  </r>
  <r>
    <x v="77"/>
    <x v="77"/>
    <x v="5"/>
    <x v="77"/>
    <x v="30"/>
    <x v="30"/>
    <x v="30"/>
    <x v="1"/>
    <x v="1"/>
  </r>
  <r>
    <x v="77"/>
    <x v="77"/>
    <x v="5"/>
    <x v="77"/>
    <x v="22"/>
    <x v="22"/>
    <x v="22"/>
    <x v="1"/>
    <x v="1"/>
  </r>
  <r>
    <x v="77"/>
    <x v="77"/>
    <x v="5"/>
    <x v="77"/>
    <x v="82"/>
    <x v="82"/>
    <x v="82"/>
    <x v="0"/>
    <x v="1"/>
  </r>
  <r>
    <x v="77"/>
    <x v="77"/>
    <x v="5"/>
    <x v="77"/>
    <x v="76"/>
    <x v="76"/>
    <x v="76"/>
    <x v="5"/>
    <x v="1"/>
  </r>
  <r>
    <x v="77"/>
    <x v="77"/>
    <x v="5"/>
    <x v="77"/>
    <x v="84"/>
    <x v="84"/>
    <x v="84"/>
    <x v="4"/>
    <x v="1"/>
  </r>
  <r>
    <x v="77"/>
    <x v="77"/>
    <x v="5"/>
    <x v="77"/>
    <x v="41"/>
    <x v="41"/>
    <x v="41"/>
    <x v="1"/>
    <x v="1"/>
  </r>
  <r>
    <x v="77"/>
    <x v="77"/>
    <x v="5"/>
    <x v="77"/>
    <x v="10"/>
    <x v="10"/>
    <x v="10"/>
    <x v="1"/>
    <x v="1"/>
  </r>
  <r>
    <x v="77"/>
    <x v="77"/>
    <x v="5"/>
    <x v="77"/>
    <x v="27"/>
    <x v="27"/>
    <x v="27"/>
    <x v="3"/>
    <x v="1"/>
  </r>
  <r>
    <x v="77"/>
    <x v="77"/>
    <x v="5"/>
    <x v="77"/>
    <x v="66"/>
    <x v="66"/>
    <x v="66"/>
    <x v="1"/>
    <x v="1"/>
  </r>
  <r>
    <x v="77"/>
    <x v="77"/>
    <x v="5"/>
    <x v="77"/>
    <x v="35"/>
    <x v="35"/>
    <x v="35"/>
    <x v="1"/>
    <x v="1"/>
  </r>
  <r>
    <x v="77"/>
    <x v="77"/>
    <x v="5"/>
    <x v="77"/>
    <x v="121"/>
    <x v="121"/>
    <x v="121"/>
    <x v="1"/>
    <x v="1"/>
  </r>
  <r>
    <x v="77"/>
    <x v="77"/>
    <x v="5"/>
    <x v="77"/>
    <x v="56"/>
    <x v="56"/>
    <x v="56"/>
    <x v="5"/>
    <x v="1"/>
  </r>
  <r>
    <x v="77"/>
    <x v="77"/>
    <x v="5"/>
    <x v="77"/>
    <x v="44"/>
    <x v="44"/>
    <x v="44"/>
    <x v="1"/>
    <x v="1"/>
  </r>
  <r>
    <x v="77"/>
    <x v="77"/>
    <x v="5"/>
    <x v="77"/>
    <x v="108"/>
    <x v="108"/>
    <x v="108"/>
    <x v="1"/>
    <x v="1"/>
  </r>
  <r>
    <x v="77"/>
    <x v="77"/>
    <x v="5"/>
    <x v="77"/>
    <x v="60"/>
    <x v="60"/>
    <x v="60"/>
    <x v="1"/>
    <x v="1"/>
  </r>
  <r>
    <x v="77"/>
    <x v="77"/>
    <x v="5"/>
    <x v="77"/>
    <x v="122"/>
    <x v="122"/>
    <x v="122"/>
    <x v="0"/>
    <x v="1"/>
  </r>
  <r>
    <x v="77"/>
    <x v="77"/>
    <x v="5"/>
    <x v="77"/>
    <x v="123"/>
    <x v="123"/>
    <x v="123"/>
    <x v="1"/>
    <x v="1"/>
  </r>
  <r>
    <x v="78"/>
    <x v="78"/>
    <x v="3"/>
    <x v="78"/>
    <x v="163"/>
    <x v="163"/>
    <x v="163"/>
    <x v="0"/>
    <x v="0"/>
  </r>
  <r>
    <x v="78"/>
    <x v="78"/>
    <x v="3"/>
    <x v="78"/>
    <x v="164"/>
    <x v="164"/>
    <x v="164"/>
    <x v="1"/>
    <x v="0"/>
  </r>
  <r>
    <x v="78"/>
    <x v="78"/>
    <x v="3"/>
    <x v="78"/>
    <x v="5"/>
    <x v="5"/>
    <x v="5"/>
    <x v="12"/>
    <x v="1"/>
  </r>
  <r>
    <x v="78"/>
    <x v="78"/>
    <x v="3"/>
    <x v="78"/>
    <x v="75"/>
    <x v="75"/>
    <x v="75"/>
    <x v="18"/>
    <x v="1"/>
  </r>
  <r>
    <x v="78"/>
    <x v="78"/>
    <x v="3"/>
    <x v="78"/>
    <x v="165"/>
    <x v="165"/>
    <x v="165"/>
    <x v="22"/>
    <x v="1"/>
  </r>
  <r>
    <x v="78"/>
    <x v="78"/>
    <x v="3"/>
    <x v="78"/>
    <x v="104"/>
    <x v="104"/>
    <x v="104"/>
    <x v="0"/>
    <x v="1"/>
  </r>
  <r>
    <x v="78"/>
    <x v="78"/>
    <x v="3"/>
    <x v="78"/>
    <x v="77"/>
    <x v="77"/>
    <x v="77"/>
    <x v="2"/>
    <x v="1"/>
  </r>
  <r>
    <x v="78"/>
    <x v="78"/>
    <x v="3"/>
    <x v="78"/>
    <x v="166"/>
    <x v="166"/>
    <x v="166"/>
    <x v="0"/>
    <x v="0"/>
  </r>
  <r>
    <x v="78"/>
    <x v="78"/>
    <x v="3"/>
    <x v="78"/>
    <x v="167"/>
    <x v="167"/>
    <x v="167"/>
    <x v="0"/>
    <x v="0"/>
  </r>
  <r>
    <x v="79"/>
    <x v="79"/>
    <x v="8"/>
    <x v="79"/>
    <x v="168"/>
    <x v="168"/>
    <x v="168"/>
    <x v="1"/>
    <x v="0"/>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PvtSalesSum1" cacheId="4" dataOnRows="1" dataCaption="データ" showError="0" showMissing="1" updatedVersion="8" minRefreshableVersion="0" asteriskTotals="0" showItems="0" editData="0" disableFieldList="0" showCalcMbrs="1" visualTotals="1" showMultipleLabel="0"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0" indent="0" showEmptyRow="0" showEmptyCol="0" showHeaders="1" compact="0" outline="0" outlineData="0" compactData="0" published="0" gridDropZones="1" immersive="1" multipleFieldFilters="0" chartFormat="0" fieldListSortAscending="1" mdxSubqueries="0" applyNumberFormats="0" applyBorderFormats="0" applyFontFormats="0" applyPatternFormats="0" applyAlignmentFormats="0" applyWidthHeightFormats="1" r:id="rId1">
  <location ref="A5:CF178" firstHeaderRow="1" firstDataRow="4" firstDataCol="3"/>
  <pivotFields count="9">
    <pivotField showDropDowns="1" compact="0" outline="0" subtotalTop="1" dragToRow="1" dragToCol="1" dragToPage="1" dragToData="1" dragOff="1" showAll="0" topAutoShow="1" includeNewItemsInFilter="1" itemPageCount="10" sortType="manual" defaultSubtotal="0">
      <items count="80">
        <item t="data" sd="1" x="74"/>
        <item t="data" sd="1" x="62"/>
        <item t="data" sd="1" x="73"/>
        <item t="data" sd="1" x="0"/>
        <item t="data" sd="1" x="4"/>
        <item t="data" sd="1" x="67"/>
        <item t="data" sd="1" x="44"/>
        <item t="data" sd="1" x="48"/>
        <item t="data" sd="1" x="34"/>
        <item t="data" sd="1" x="10"/>
        <item t="data" sd="1" x="16"/>
        <item t="data" sd="1" x="27"/>
        <item t="data" sd="1" x="66"/>
        <item t="data" sd="1" x="35"/>
        <item t="data" sd="1" x="49"/>
        <item t="data" sd="1" x="63"/>
        <item t="data" sd="1" x="40"/>
        <item t="data" sd="1" x="58"/>
        <item t="data" sd="1" x="28"/>
        <item t="data" sd="1" x="36"/>
        <item t="data" sd="1" x="50"/>
        <item t="data" sd="1" x="64"/>
        <item t="data" sd="1" x="41"/>
        <item t="data" sd="1" x="70"/>
        <item t="data" sd="1" x="77"/>
        <item t="data" sd="1" x="59"/>
        <item t="data" sd="1" x="54"/>
        <item t="data" sd="1" x="37"/>
        <item t="data" sd="1" x="51"/>
        <item t="data" sd="1" x="45"/>
        <item t="data" sd="1" x="69"/>
        <item t="data" sd="1" x="65"/>
        <item t="data" sd="1" x="42"/>
        <item t="data" sd="1" x="60"/>
        <item t="data" sd="1" x="18"/>
        <item t="data" sd="1" x="24"/>
        <item t="data" sd="1" x="3"/>
        <item t="data" sd="1" x="21"/>
        <item t="data" sd="1" x="33"/>
        <item t="data" sd="1" x="9"/>
        <item t="data" sd="1" x="71"/>
        <item t="data" sd="1" x="15"/>
        <item t="data" sd="1" x="26"/>
        <item t="data" sd="1" x="30"/>
        <item t="data" sd="1" x="6"/>
        <item t="data" sd="1" x="12"/>
        <item t="data" sd="1" x="23"/>
        <item t="data" sd="1" x="1"/>
        <item t="data" sd="1" x="68"/>
        <item t="data" sd="1" x="19"/>
        <item t="data" sd="1" x="38"/>
        <item t="data" sd="1" x="31"/>
        <item t="data" sd="1" x="7"/>
        <item t="data" sd="1" x="53"/>
        <item t="data" sd="1" x="13"/>
        <item t="data" sd="1" x="2"/>
        <item t="data" sd="1" x="55"/>
        <item t="data" sd="1" x="39"/>
        <item t="data" sd="1" x="56"/>
        <item t="data" sd="1" x="72"/>
        <item t="data" sd="1" x="20"/>
        <item t="data" sd="1" x="79"/>
        <item t="data" sd="1" x="61"/>
        <item t="data" sd="1" x="57"/>
        <item t="data" sd="1" x="17"/>
        <item t="data" sd="1" x="52"/>
        <item t="data" sd="1" x="46"/>
        <item t="data" sd="1" x="29"/>
        <item t="data" sd="1" x="43"/>
        <item t="data" sd="1" x="32"/>
        <item t="data" sd="1" x="8"/>
        <item t="data" sd="1" x="78"/>
        <item t="data" sd="1" x="14"/>
        <item t="data" sd="1" x="76"/>
        <item t="data" sd="1" x="47"/>
        <item t="data" sd="1" x="75"/>
        <item t="data" sd="1" x="22"/>
        <item t="data" sd="1" x="5"/>
        <item t="data" sd="1" x="11"/>
        <item t="data" sd="1" x="25"/>
      </items>
    </pivotField>
    <pivotField axis="axisCol" showDropDowns="1" compact="0" outline="0" subtotalTop="1" dragToRow="1" dragToCol="1" dragToPage="1" dragToData="1" dragOff="1" showAll="0" topAutoShow="1" includeNewItemsInFilter="1" itemPageCount="10" sortType="manual" defaultSubtotal="0">
      <items count="80">
        <item t="data" sd="1" x="74"/>
        <item t="data" sd="1" x="62"/>
        <item t="data" sd="1" x="73"/>
        <item t="data" sd="1" x="68"/>
        <item t="data" sd="1" x="72"/>
        <item t="data" sd="1" x="57"/>
        <item t="data" sd="1" x="44"/>
        <item t="data" sd="1" x="0"/>
        <item t="data" sd="1" x="18"/>
        <item t="data" sd="1" x="30"/>
        <item t="data" sd="1" x="6"/>
        <item t="data" sd="1" x="12"/>
        <item t="data" sd="1" x="23"/>
        <item t="data" sd="1" x="1"/>
        <item t="data" sd="1" x="19"/>
        <item t="data" sd="1" x="31"/>
        <item t="data" sd="1" x="7"/>
        <item t="data" sd="1" x="13"/>
        <item t="data" sd="1" x="24"/>
        <item t="data" sd="1" x="2"/>
        <item t="data" sd="1" x="20"/>
        <item t="data" sd="1" x="32"/>
        <item t="data" sd="1" x="8"/>
        <item t="data" sd="1" x="14"/>
        <item t="data" sd="1" x="25"/>
        <item t="data" sd="1" x="3"/>
        <item t="data" sd="1" x="21"/>
        <item t="data" sd="1" x="33"/>
        <item t="data" sd="1" x="9"/>
        <item t="data" sd="1" x="15"/>
        <item t="data" sd="1" x="26"/>
        <item t="data" sd="1" x="4"/>
        <item t="data" sd="1" x="48"/>
        <item t="data" sd="1" x="34"/>
        <item t="data" sd="1" x="10"/>
        <item t="data" sd="1" x="16"/>
        <item t="data" sd="1" x="27"/>
        <item t="data" sd="1" x="66"/>
        <item t="data" sd="1" x="35"/>
        <item t="data" sd="1" x="49"/>
        <item t="data" sd="1" x="63"/>
        <item t="data" sd="1" x="40"/>
        <item t="data" sd="1" x="58"/>
        <item t="data" sd="1" x="28"/>
        <item t="data" sd="1" x="36"/>
        <item t="data" sd="1" x="50"/>
        <item t="data" sd="1" x="64"/>
        <item t="data" sd="1" x="41"/>
        <item t="data" sd="1" x="77"/>
        <item t="data" sd="1" x="59"/>
        <item t="data" sd="1" x="54"/>
        <item t="data" sd="1" x="69"/>
        <item t="data" sd="1" x="37"/>
        <item t="data" sd="1" x="51"/>
        <item t="data" sd="1" x="65"/>
        <item t="data" sd="1" x="42"/>
        <item t="data" sd="1" x="55"/>
        <item t="data" sd="1" x="39"/>
        <item t="data" sd="1" x="56"/>
        <item t="data" sd="1" x="61"/>
        <item t="data" sd="1" x="17"/>
        <item t="data" sd="1" x="52"/>
        <item t="data" sd="1" x="46"/>
        <item t="data" sd="1" x="29"/>
        <item t="data" sd="1" x="43"/>
        <item t="data" sd="1" x="76"/>
        <item t="data" sd="1" x="75"/>
        <item t="data" sd="1" x="22"/>
        <item t="data" sd="1" x="5"/>
        <item t="data" sd="1" x="11"/>
        <item t="data" sd="1" x="45"/>
        <item t="data" sd="1" x="71"/>
        <item t="data" sd="1" x="53"/>
        <item t="data" sd="1" x="60"/>
        <item t="data" sd="1" x="79"/>
        <item t="data" sd="1" x="67"/>
        <item t="data" sd="1" x="78"/>
        <item t="data" sd="1" x="70"/>
        <item t="data" sd="1" x="38"/>
        <item t="data" sd="1" x="47"/>
      </items>
    </pivotField>
    <pivotField axis="axisCol" showDropDowns="1" compact="0" outline="0" subtotalTop="1" dragToRow="1" dragToCol="1" dragToPage="1" dragToData="1" dragOff="1" showAll="0" topAutoShow="1" includeNewItemsInFilter="1" itemPageCount="10" sortType="manual" defaultSubtotal="0">
      <items count="9">
        <item t="data" sd="1" x="7"/>
        <item t="data" sd="1" x="6"/>
        <item t="data" sd="1" x="1"/>
        <item t="data" sd="1" x="0"/>
        <item t="data" sd="1" x="5"/>
        <item t="data" sd="1" x="8"/>
        <item t="data" sd="1" x="2"/>
        <item t="data" sd="1" x="4"/>
        <item t="data" sd="1" x="3"/>
      </items>
    </pivotField>
    <pivotField axis="axisCol" showDropDowns="1" compact="0" outline="0" subtotalTop="1" dragToRow="1" dragToCol="1" dragToPage="1" dragToData="1" dragOff="1" showAll="0" topAutoShow="1" includeNewItemsInFilter="1" itemPageCount="10" sortType="manual" defaultSubtotal="0">
      <items count="80">
        <item t="data" sd="1" x="29"/>
        <item t="data" sd="1" x="62"/>
        <item t="data" sd="1" x="57"/>
        <item t="data" sd="1" x="44"/>
        <item t="data" sd="1" x="38"/>
        <item t="data" sd="1" x="0"/>
        <item t="data" sd="1" x="33"/>
        <item t="data" sd="1" x="24"/>
        <item t="data" sd="1" x="60"/>
        <item t="data" sd="1" x="13"/>
        <item t="data" sd="1" x="41"/>
        <item t="data" sd="1" x="42"/>
        <item t="data" sd="1" x="34"/>
        <item t="data" sd="1" x="3"/>
        <item t="data" sd="1" x="18"/>
        <item t="data" sd="1" x="7"/>
        <item t="data" sd="1" x="28"/>
        <item t="data" sd="1" x="37"/>
        <item t="data" sd="1" x="1"/>
        <item t="data" sd="1" x="21"/>
        <item t="data" sd="1" x="10"/>
        <item t="data" sd="1" x="12"/>
        <item t="data" sd="1" x="26"/>
        <item t="data" sd="1" x="63"/>
        <item t="data" sd="1" x="15"/>
        <item t="data" sd="1" x="65"/>
        <item t="data" sd="1" x="30"/>
        <item t="data" sd="1" x="2"/>
        <item t="data" sd="1" x="36"/>
        <item t="data" sd="1" x="59"/>
        <item t="data" sd="1" x="20"/>
        <item t="data" sd="1" x="49"/>
        <item t="data" sd="1" x="48"/>
        <item t="data" sd="1" x="32"/>
        <item t="data" sd="1" x="50"/>
        <item t="data" sd="1" x="25"/>
        <item t="data" sd="1" x="64"/>
        <item t="data" sd="1" x="31"/>
        <item t="data" sd="1" x="54"/>
        <item t="data" sd="1" x="35"/>
        <item t="data" sd="1" x="23"/>
        <item t="data" sd="1" x="51"/>
        <item t="data" sd="1" x="6"/>
        <item t="data" sd="1" x="8"/>
        <item t="data" sd="1" x="58"/>
        <item t="data" sd="1" x="9"/>
        <item t="data" sd="1" x="4"/>
        <item t="data" sd="1" x="27"/>
        <item t="data" sd="1" x="16"/>
        <item t="data" sd="1" x="19"/>
        <item t="data" sd="1" x="14"/>
        <item t="data" sd="1" x="40"/>
        <item t="data" sd="1" x="73"/>
        <item t="data" sd="1" x="72"/>
        <item t="data" sd="1" x="61"/>
        <item t="data" sd="1" x="45"/>
        <item t="data" sd="1" x="71"/>
        <item t="data" sd="1" x="74"/>
        <item t="data" sd="1" x="66"/>
        <item t="data" sd="1" x="77"/>
        <item t="data" sd="1" x="56"/>
        <item t="data" sd="1" x="43"/>
        <item t="data" sd="1" x="11"/>
        <item t="data" sd="1" x="76"/>
        <item t="data" sd="1" x="17"/>
        <item t="data" sd="1" x="75"/>
        <item t="data" sd="1" x="67"/>
        <item t="data" sd="1" x="68"/>
        <item t="data" sd="1" x="53"/>
        <item t="data" sd="1" x="79"/>
        <item t="data" sd="1" x="47"/>
        <item t="data" sd="1" x="70"/>
        <item t="data" sd="1" x="69"/>
        <item t="data" sd="1" x="55"/>
        <item t="data" sd="1" x="78"/>
        <item t="data" sd="1" x="22"/>
        <item t="data" sd="1" x="52"/>
        <item t="data" sd="1" x="39"/>
        <item t="data" sd="1" x="5"/>
        <item t="data" sd="1" x="46"/>
      </items>
    </pivotField>
    <pivotField showDropDowns="1" compact="0" outline="0" subtotalTop="1" dragToRow="1" dragToCol="1" dragToPage="1" dragToData="1" dragOff="1" showAll="0" topAutoShow="1" includeNewItemsInFilter="1" itemPageCount="10" sortType="manual" defaultSubtotal="0">
      <items count="169">
        <item t="data" sd="1" x="13"/>
        <item t="data" sd="1" x="66"/>
        <item t="data" sd="1" x="86"/>
        <item t="data" sd="1" x="19"/>
        <item t="data" sd="1" x="100"/>
        <item t="data" sd="1" x="55"/>
        <item t="data" sd="1" x="63"/>
        <item t="data" sd="1" x="47"/>
        <item t="data" sd="1" x="65"/>
        <item t="data" sd="1" x="77"/>
        <item t="data" sd="1" x="88"/>
        <item t="data" sd="1" x="78"/>
        <item t="data" sd="1" x="24"/>
        <item t="data" sd="1" x="2"/>
        <item t="data" sd="1" x="118"/>
        <item t="data" sd="1" x="161"/>
        <item t="data" sd="1" x="114"/>
        <item t="data" sd="1" x="7"/>
        <item t="data" sd="1" x="68"/>
        <item t="data" sd="1" x="80"/>
        <item t="data" sd="1" x="127"/>
        <item t="data" sd="1" x="120"/>
        <item t="data" sd="1" x="110"/>
        <item t="data" sd="1" x="158"/>
        <item t="data" sd="1" x="141"/>
        <item t="data" sd="1" x="146"/>
        <item t="data" sd="1" x="140"/>
        <item t="data" sd="1" x="142"/>
        <item t="data" sd="1" x="52"/>
        <item t="data" sd="1" x="122"/>
        <item t="data" sd="1" x="143"/>
        <item t="data" sd="1" x="29"/>
        <item t="data" sd="1" x="21"/>
        <item t="data" sd="1" x="81"/>
        <item t="data" sd="1" x="62"/>
        <item t="data" sd="1" x="32"/>
        <item t="data" sd="1" x="97"/>
        <item t="data" sd="1" x="28"/>
        <item t="data" sd="1" x="39"/>
        <item t="data" sd="1" x="45"/>
        <item t="data" sd="1" x="69"/>
        <item t="data" sd="1" x="56"/>
        <item t="data" sd="1" x="15"/>
        <item t="data" sd="1" x="144"/>
        <item t="data" sd="1" x="35"/>
        <item t="data" sd="1" x="108"/>
        <item t="data" sd="1" x="145"/>
        <item t="data" sd="1" x="105"/>
        <item t="data" sd="1" x="54"/>
        <item t="data" sd="1" x="27"/>
        <item t="data" sd="1" x="136"/>
        <item t="data" sd="1" x="126"/>
        <item t="data" sd="1" x="16"/>
        <item t="data" sd="1" x="44"/>
        <item t="data" sd="1" x="4"/>
        <item t="data" sd="1" x="155"/>
        <item t="data" sd="1" x="164"/>
        <item t="data" sd="1" x="3"/>
        <item t="data" sd="1" x="102"/>
        <item t="data" sd="1" x="25"/>
        <item t="data" sd="1" x="106"/>
        <item t="data" sd="1" x="124"/>
        <item t="data" sd="1" x="18"/>
        <item t="data" sd="1" x="58"/>
        <item t="data" sd="1" x="131"/>
        <item t="data" sd="1" x="0"/>
        <item t="data" sd="1" x="1"/>
        <item t="data" sd="1" x="36"/>
        <item t="data" sd="1" x="37"/>
        <item t="data" sd="1" x="82"/>
        <item t="data" sd="1" x="111"/>
        <item t="data" sd="1" x="133"/>
        <item t="data" sd="1" x="101"/>
        <item t="data" sd="1" x="61"/>
        <item t="data" sd="1" x="96"/>
        <item t="data" sd="1" x="42"/>
        <item t="data" sd="1" x="59"/>
        <item t="data" sd="1" x="46"/>
        <item t="data" sd="1" x="38"/>
        <item t="data" sd="1" x="31"/>
        <item t="data" sd="1" x="109"/>
        <item t="data" sd="1" x="73"/>
        <item t="data" sd="1" x="104"/>
        <item t="data" sd="1" x="84"/>
        <item t="data" sd="1" x="130"/>
        <item t="data" sd="1" x="72"/>
        <item t="data" sd="1" x="10"/>
        <item t="data" sd="1" x="166"/>
        <item t="data" sd="1" x="149"/>
        <item t="data" sd="1" x="152"/>
        <item t="data" sd="1" x="153"/>
        <item t="data" sd="1" x="139"/>
        <item t="data" sd="1" x="134"/>
        <item t="data" sd="1" x="51"/>
        <item t="data" sd="1" x="22"/>
        <item t="data" sd="1" x="30"/>
        <item t="data" sd="1" x="5"/>
        <item t="data" sd="1" x="23"/>
        <item t="data" sd="1" x="14"/>
        <item t="data" sd="1" x="163"/>
        <item t="data" sd="1" x="79"/>
        <item t="data" sd="1" x="67"/>
        <item t="data" sd="1" x="48"/>
        <item t="data" sd="1" x="138"/>
        <item t="data" sd="1" x="129"/>
        <item t="data" sd="1" x="12"/>
        <item t="data" sd="1" x="168"/>
        <item t="data" sd="1" x="53"/>
        <item t="data" sd="1" x="34"/>
        <item t="data" sd="1" x="83"/>
        <item t="data" sd="1" x="9"/>
        <item t="data" sd="1" x="89"/>
        <item t="data" sd="1" x="92"/>
        <item t="data" sd="1" x="87"/>
        <item t="data" sd="1" x="128"/>
        <item t="data" sd="1" x="159"/>
        <item t="data" sd="1" x="103"/>
        <item t="data" sd="1" x="154"/>
        <item t="data" sd="1" x="90"/>
        <item t="data" sd="1" x="135"/>
        <item t="data" sd="1" x="6"/>
        <item t="data" sd="1" x="125"/>
        <item t="data" sd="1" x="26"/>
        <item t="data" sd="1" x="75"/>
        <item t="data" sd="1" x="93"/>
        <item t="data" sd="1" x="64"/>
        <item t="data" sd="1" x="156"/>
        <item t="data" sd="1" x="71"/>
        <item t="data" sd="1" x="74"/>
        <item t="data" sd="1" x="11"/>
        <item t="data" sd="1" x="50"/>
        <item t="data" sd="1" x="119"/>
        <item t="data" sd="1" x="107"/>
        <item t="data" sd="1" x="121"/>
        <item t="data" sd="1" x="49"/>
        <item t="data" sd="1" x="57"/>
        <item t="data" sd="1" x="112"/>
        <item t="data" sd="1" x="94"/>
        <item t="data" sd="1" x="115"/>
        <item t="data" sd="1" x="148"/>
        <item t="data" sd="1" x="147"/>
        <item t="data" sd="1" x="116"/>
        <item t="data" sd="1" x="137"/>
        <item t="data" sd="1" x="41"/>
        <item t="data" sd="1" x="17"/>
        <item t="data" sd="1" x="113"/>
        <item t="data" sd="1" x="150"/>
        <item t="data" sd="1" x="60"/>
        <item t="data" sd="1" x="99"/>
        <item t="data" sd="1" x="123"/>
        <item t="data" sd="1" x="117"/>
        <item t="data" sd="1" x="167"/>
        <item t="data" sd="1" x="151"/>
        <item t="data" sd="1" x="162"/>
        <item t="data" sd="1" x="85"/>
        <item t="data" sd="1" x="43"/>
        <item t="data" sd="1" x="91"/>
        <item t="data" sd="1" x="20"/>
        <item t="data" sd="1" x="33"/>
        <item t="data" sd="1" x="95"/>
        <item t="data" sd="1" x="132"/>
        <item t="data" sd="1" x="40"/>
        <item t="data" sd="1" x="76"/>
        <item t="data" sd="1" x="70"/>
        <item t="data" sd="1" x="8"/>
        <item t="data" sd="1" x="160"/>
        <item t="data" sd="1" x="157"/>
        <item t="data" sd="1" x="165"/>
        <item t="data" sd="1" x="98"/>
      </items>
    </pivotField>
    <pivotField axis="axisRow" showDropDowns="1" compact="0" outline="0" subtotalTop="1" dragToRow="1" dragToCol="1" dragToPage="1" dragToData="1" dragOff="1" showAll="0" topAutoShow="1" includeNewItemsInFilter="1" itemPageCount="10" sortType="manual" defaultSubtotal="0">
      <items count="169">
        <item t="data" sd="1" x="61"/>
        <item t="data" sd="1" x="106"/>
        <item t="data" sd="1" x="122"/>
        <item t="data" sd="1" x="16"/>
        <item t="data" sd="1" x="111"/>
        <item t="data" sd="1" x="50"/>
        <item t="data" sd="1" x="112"/>
        <item t="data" sd="1" x="114"/>
        <item t="data" sd="1" x="17"/>
        <item t="data" sd="1" x="113"/>
        <item t="data" sd="1" x="120"/>
        <item t="data" sd="1" x="93"/>
        <item t="data" sd="1" x="94"/>
        <item t="data" sd="1" x="115"/>
        <item t="data" sd="1" x="116"/>
        <item t="data" sd="1" x="123"/>
        <item t="data" sd="1" x="161"/>
        <item t="data" sd="1" x="117"/>
        <item t="data" sd="1" x="160"/>
        <item t="data" sd="1" x="85"/>
        <item t="data" sd="1" x="43"/>
        <item t="data" sd="1" x="167"/>
        <item t="data" sd="1" x="55"/>
        <item t="data" sd="1" x="63"/>
        <item t="data" sd="1" x="108"/>
        <item t="data" sd="1" x="137"/>
        <item t="data" sd="1" x="44"/>
        <item t="data" sd="1" x="78"/>
        <item t="data" sd="1" x="136"/>
        <item t="data" sd="1" x="105"/>
        <item t="data" sd="1" x="69"/>
        <item t="data" sd="1" x="56"/>
        <item t="data" sd="1" x="149"/>
        <item t="data" sd="1" x="159"/>
        <item t="data" sd="1" x="135"/>
        <item t="data" sd="1" x="54"/>
        <item t="data" sd="1" x="35"/>
        <item t="data" sd="1" x="134"/>
        <item t="data" sd="1" x="57"/>
        <item t="data" sd="1" x="0"/>
        <item t="data" sd="1" x="36"/>
        <item t="data" sd="1" x="37"/>
        <item t="data" sd="1" x="46"/>
        <item t="data" sd="1" x="128"/>
        <item t="data" sd="1" x="103"/>
        <item t="data" sd="1" x="150"/>
        <item t="data" sd="1" x="73"/>
        <item t="data" sd="1" x="51"/>
        <item t="data" sd="1" x="121"/>
        <item t="data" sd="1" x="162"/>
        <item t="data" sd="1" x="91"/>
        <item t="data" sd="1" x="133"/>
        <item t="data" sd="1" x="68"/>
        <item t="data" sd="1" x="92"/>
        <item t="data" sd="1" x="52"/>
        <item t="data" sd="1" x="18"/>
        <item t="data" sd="1" x="109"/>
        <item t="data" sd="1" x="38"/>
        <item t="data" sd="1" x="64"/>
        <item t="data" sd="1" x="62"/>
        <item t="data" sd="1" x="130"/>
        <item t="data" sd="1" x="30"/>
        <item t="data" sd="1" x="168"/>
        <item t="data" sd="1" x="21"/>
        <item t="data" sd="1" x="22"/>
        <item t="data" sd="1" x="129"/>
        <item t="data" sd="1" x="157"/>
        <item t="data" sd="1" x="32"/>
        <item t="data" sd="1" x="58"/>
        <item t="data" sd="1" x="23"/>
        <item t="data" sd="1" x="75"/>
        <item t="data" sd="1" x="45"/>
        <item t="data" sd="1" x="24"/>
        <item t="data" sd="1" x="81"/>
        <item t="data" sd="1" x="31"/>
        <item t="data" sd="1" x="97"/>
        <item t="data" sd="1" x="95"/>
        <item t="data" sd="1" x="70"/>
        <item t="data" sd="1" x="96"/>
        <item t="data" sd="1" x="59"/>
        <item t="data" sd="1" x="166"/>
        <item t="data" sd="1" x="1"/>
        <item t="data" sd="1" x="125"/>
        <item t="data" sd="1" x="4"/>
        <item t="data" sd="1" x="164"/>
        <item t="data" sd="1" x="33"/>
        <item t="data" sd="1" x="3"/>
        <item t="data" sd="1" x="124"/>
        <item t="data" sd="1" x="163"/>
        <item t="data" sd="1" x="74"/>
        <item t="data" sd="1" x="39"/>
        <item t="data" sd="1" x="6"/>
        <item t="data" sd="1" x="156"/>
        <item t="data" sd="1" x="25"/>
        <item t="data" sd="1" x="102"/>
        <item t="data" sd="1" x="79"/>
        <item t="data" sd="1" x="5"/>
        <item t="data" sd="1" x="155"/>
        <item t="data" sd="1" x="26"/>
        <item t="data" sd="1" x="2"/>
        <item t="data" sd="1" x="158"/>
        <item t="data" sd="1" x="98"/>
        <item t="data" sd="1" x="118"/>
        <item t="data" sd="1" x="82"/>
        <item t="data" sd="1" x="40"/>
        <item t="data" sd="1" x="76"/>
        <item t="data" sd="1" x="83"/>
        <item t="data" sd="1" x="9"/>
        <item t="data" sd="1" x="100"/>
        <item t="data" sd="1" x="126"/>
        <item t="data" sd="1" x="104"/>
        <item t="data" sd="1" x="84"/>
        <item t="data" sd="1" x="89"/>
        <item t="data" sd="1" x="147"/>
        <item t="data" sd="1" x="41"/>
        <item t="data" sd="1" x="47"/>
        <item t="data" sd="1" x="99"/>
        <item t="data" sd="1" x="27"/>
        <item t="data" sd="1" x="8"/>
        <item t="data" sd="1" x="101"/>
        <item t="data" sd="1" x="151"/>
        <item t="data" sd="1" x="10"/>
        <item t="data" sd="1" x="148"/>
        <item t="data" sd="1" x="110"/>
        <item t="data" sd="1" x="65"/>
        <item t="data" sd="1" x="12"/>
        <item t="data" sd="1" x="152"/>
        <item t="data" sd="1" x="67"/>
        <item t="data" sd="1" x="48"/>
        <item t="data" sd="1" x="138"/>
        <item t="data" sd="1" x="13"/>
        <item t="data" sd="1" x="66"/>
        <item t="data" sd="1" x="107"/>
        <item t="data" sd="1" x="42"/>
        <item t="data" sd="1" x="77"/>
        <item t="data" sd="1" x="7"/>
        <item t="data" sd="1" x="87"/>
        <item t="data" sd="1" x="80"/>
        <item t="data" sd="1" x="49"/>
        <item t="data" sd="1" x="88"/>
        <item t="data" sd="1" x="60"/>
        <item t="data" sd="1" x="15"/>
        <item t="data" sd="1" x="11"/>
        <item t="data" sd="1" x="28"/>
        <item t="data" sd="1" x="131"/>
        <item t="data" sd="1" x="71"/>
        <item t="data" sd="1" x="153"/>
        <item t="data" sd="1" x="139"/>
        <item t="data" sd="1" x="29"/>
        <item t="data" sd="1" x="154"/>
        <item t="data" sd="1" x="90"/>
        <item t="data" sd="1" x="165"/>
        <item t="data" sd="1" x="20"/>
        <item t="data" sd="1" x="132"/>
        <item t="data" sd="1" x="119"/>
        <item t="data" sd="1" x="72"/>
        <item t="data" sd="1" x="14"/>
        <item t="data" sd="1" x="86"/>
        <item t="data" sd="1" x="53"/>
        <item t="data" sd="1" x="34"/>
        <item t="data" sd="1" x="146"/>
        <item t="data" sd="1" x="140"/>
        <item t="data" sd="1" x="141"/>
        <item t="data" sd="1" x="142"/>
        <item t="data" sd="1" x="143"/>
        <item t="data" sd="1" x="144"/>
        <item t="data" sd="1" x="145"/>
        <item t="data" sd="1" x="19"/>
        <item t="data" sd="1" x="127"/>
      </items>
    </pivotField>
    <pivotField axis="axisRow" showDropDowns="1" compact="0" outline="0" subtotalTop="1" dragToRow="1" dragToCol="1" dragToPage="1" dragToData="1" dragOff="1" showAll="0" topAutoShow="1" includeNewItemsInFilter="1" itemPageCount="10" sortType="manual" defaultSubtotal="0">
      <items count="169">
        <item t="data" sd="1" x="117"/>
        <item t="data" sd="1" x="70"/>
        <item t="data" sd="1" x="104"/>
        <item t="data" sd="1" x="162"/>
        <item t="data" sd="1" x="78"/>
        <item t="data" sd="1" x="85"/>
        <item t="data" sd="1" x="120"/>
        <item t="data" sd="1" x="93"/>
        <item t="data" sd="1" x="64"/>
        <item t="data" sd="1" x="40"/>
        <item t="data" sd="1" x="114"/>
        <item t="data" sd="1" x="17"/>
        <item t="data" sd="1" x="113"/>
        <item t="data" sd="1" x="50"/>
        <item t="data" sd="1" x="63"/>
        <item t="data" sd="1" x="167"/>
        <item t="data" sd="1" x="87"/>
        <item t="data" sd="1" x="86"/>
        <item t="data" sd="1" x="103"/>
        <item t="data" sd="1" x="55"/>
        <item t="data" sd="1" x="106"/>
        <item t="data" sd="1" x="160"/>
        <item t="data" sd="1" x="116"/>
        <item t="data" sd="1" x="166"/>
        <item t="data" sd="1" x="1"/>
        <item t="data" sd="1" x="164"/>
        <item t="data" sd="1" x="115"/>
        <item t="data" sd="1" x="118"/>
        <item t="data" sd="1" x="168"/>
        <item t="data" sd="1" x="9"/>
        <item t="data" sd="1" x="163"/>
        <item t="data" sd="1" x="16"/>
        <item t="data" sd="1" x="69"/>
        <item t="data" sd="1" x="0"/>
        <item t="data" sd="1" x="53"/>
        <item t="data" sd="1" x="34"/>
        <item t="data" sd="1" x="8"/>
        <item t="data" sd="1" x="13"/>
        <item t="data" sd="1" x="42"/>
        <item t="data" sd="1" x="12"/>
        <item t="data" sd="1" x="109"/>
        <item t="data" sd="1" x="95"/>
        <item t="data" sd="1" x="84"/>
        <item t="data" sd="1" x="126"/>
        <item t="data" sd="1" x="89"/>
        <item t="data" sd="1" x="33"/>
        <item t="data" sd="1" x="57"/>
        <item t="data" sd="1" x="91"/>
        <item t="data" sd="1" x="121"/>
        <item t="data" sd="1" x="65"/>
        <item t="data" sd="1" x="44"/>
        <item t="data" sd="1" x="43"/>
        <item t="data" sd="1" x="151"/>
        <item t="data" sd="1" x="148"/>
        <item t="data" sd="1" x="98"/>
        <item t="data" sd="1" x="158"/>
        <item t="data" sd="1" x="41"/>
        <item t="data" sd="1" x="60"/>
        <item t="data" sd="1" x="101"/>
        <item t="data" sd="1" x="146"/>
        <item t="data" sd="1" x="152"/>
        <item t="data" sd="1" x="74"/>
        <item t="data" sd="1" x="38"/>
        <item t="data" sd="1" x="76"/>
        <item t="data" sd="1" x="100"/>
        <item t="data" sd="1" x="26"/>
        <item t="data" sd="1" x="127"/>
        <item t="data" sd="1" x="52"/>
        <item t="data" sd="1" x="66"/>
        <item t="data" sd="1" x="19"/>
        <item t="data" sd="1" x="112"/>
        <item t="data" sd="1" x="145"/>
        <item t="data" sd="1" x="110"/>
        <item t="data" sd="1" x="142"/>
        <item t="data" sd="1" x="140"/>
        <item t="data" sd="1" x="141"/>
        <item t="data" sd="1" x="24"/>
        <item t="data" sd="1" x="107"/>
        <item t="data" sd="1" x="105"/>
        <item t="data" sd="1" x="18"/>
        <item t="data" sd="1" x="128"/>
        <item t="data" sd="1" x="47"/>
        <item t="data" sd="1" x="99"/>
        <item t="data" sd="1" x="6"/>
        <item t="data" sd="1" x="39"/>
        <item t="data" sd="1" x="3"/>
        <item t="data" sd="1" x="92"/>
        <item t="data" sd="1" x="136"/>
        <item t="data" sd="1" x="61"/>
        <item t="data" sd="1" x="77"/>
        <item t="data" sd="1" x="37"/>
        <item t="data" sd="1" x="73"/>
        <item t="data" sd="1" x="59"/>
        <item t="data" sd="1" x="123"/>
        <item t="data" sd="1" x="96"/>
        <item t="data" sd="1" x="75"/>
        <item t="data" sd="1" x="23"/>
        <item t="data" sd="1" x="35"/>
        <item t="data" sd="1" x="134"/>
        <item t="data" sd="1" x="125"/>
        <item t="data" sd="1" x="4"/>
        <item t="data" sd="1" x="29"/>
        <item t="data" sd="1" x="165"/>
        <item t="data" sd="1" x="94"/>
        <item t="data" sd="1" x="15"/>
        <item t="data" sd="1" x="10"/>
        <item t="data" sd="1" x="153"/>
        <item t="data" sd="1" x="139"/>
        <item t="data" sd="1" x="45"/>
        <item t="data" sd="1" x="82"/>
        <item t="data" sd="1" x="147"/>
        <item t="data" sd="1" x="88"/>
        <item t="data" sd="1" x="49"/>
        <item t="data" sd="1" x="28"/>
        <item t="data" sd="1" x="131"/>
        <item t="data" sd="1" x="7"/>
        <item t="data" sd="1" x="51"/>
        <item t="data" sd="1" x="27"/>
        <item t="data" sd="1" x="144"/>
        <item t="data" sd="1" x="119"/>
        <item t="data" sd="1" x="14"/>
        <item t="data" sd="1" x="58"/>
        <item t="data" sd="1" x="102"/>
        <item t="data" sd="1" x="154"/>
        <item t="data" sd="1" x="90"/>
        <item t="data" sd="1" x="2"/>
        <item t="data" sd="1" x="30"/>
        <item t="data" sd="1" x="21"/>
        <item t="data" sd="1" x="72"/>
        <item t="data" sd="1" x="83"/>
        <item t="data" sd="1" x="150"/>
        <item t="data" sd="1" x="71"/>
        <item t="data" sd="1" x="155"/>
        <item t="data" sd="1" x="5"/>
        <item t="data" sd="1" x="62"/>
        <item t="data" sd="1" x="130"/>
        <item t="data" sd="1" x="124"/>
        <item t="data" sd="1" x="79"/>
        <item t="data" sd="1" x="122"/>
        <item t="data" sd="1" x="111"/>
        <item t="data" sd="1" x="25"/>
        <item t="data" sd="1" x="108"/>
        <item t="data" sd="1" x="137"/>
        <item t="data" sd="1" x="31"/>
        <item t="data" sd="1" x="81"/>
        <item t="data" sd="1" x="157"/>
        <item t="data" sd="1" x="22"/>
        <item t="data" sd="1" x="32"/>
        <item t="data" sd="1" x="129"/>
        <item t="data" sd="1" x="149"/>
        <item t="data" sd="1" x="159"/>
        <item t="data" sd="1" x="56"/>
        <item t="data" sd="1" x="135"/>
        <item t="data" sd="1" x="97"/>
        <item t="data" sd="1" x="11"/>
        <item t="data" sd="1" x="67"/>
        <item t="data" sd="1" x="138"/>
        <item t="data" sd="1" x="48"/>
        <item t="data" sd="1" x="80"/>
        <item t="data" sd="1" x="161"/>
        <item t="data" sd="1" x="36"/>
        <item t="data" sd="1" x="20"/>
        <item t="data" sd="1" x="132"/>
        <item t="data" sd="1" x="46"/>
        <item t="data" sd="1" x="68"/>
        <item t="data" sd="1" x="133"/>
        <item t="data" sd="1" x="156"/>
        <item t="data" sd="1" x="143"/>
        <item t="data" sd="1" x="54"/>
      </items>
    </pivotField>
    <pivotField dataField="1" showDropDowns="1" compact="0" outline="0" subtotalTop="1" dragToRow="1" dragToCol="1" dragToPage="1" dragToData="1" dragOff="1" showAll="0" topAutoShow="1" includeNewItemsInFilter="1" itemPageCount="10" sortType="manual" defaultSubtotal="0">
      <items count="23">
        <item t="data" sd="1" x="15"/>
        <item t="data" sd="1" x="0"/>
        <item t="data" sd="1" x="1"/>
        <item t="data" sd="1" x="4"/>
        <item t="data" sd="1" x="5"/>
        <item t="data" sd="1" x="3"/>
        <item t="data" sd="1" x="6"/>
        <item t="data" sd="1" x="8"/>
        <item t="data" sd="1" x="7"/>
        <item t="data" sd="1" x="10"/>
        <item t="data" sd="1" x="2"/>
        <item t="data" sd="1" x="16"/>
        <item t="data" sd="1" x="11"/>
        <item t="data" sd="1" x="22"/>
        <item t="data" sd="1" x="9"/>
        <item t="data" sd="1" x="17"/>
        <item t="data" sd="1" x="12"/>
        <item t="data" sd="1" x="18"/>
        <item t="data" sd="1" x="21"/>
        <item t="data" sd="1" x="14"/>
        <item t="data" sd="1" x="19"/>
        <item t="data" sd="1" x="13"/>
        <item t="data" sd="1" x="20"/>
      </items>
    </pivotField>
    <pivotField axis="axisRow" showDropDowns="1" compact="0" outline="0" subtotalTop="1" dragToRow="1" dragToCol="1" dragToPage="1" dragToData="1" dragOff="1" showAll="0" topAutoShow="1" includeNewItemsInFilter="1" itemPageCount="10" sortType="manual" defaultSubtotal="0">
      <items count="3">
        <item t="data" sd="1" x="2"/>
        <item t="data" sd="1" x="1"/>
        <item t="data" sd="1" x="0"/>
      </items>
    </pivotField>
  </pivotFields>
  <rowFields count="3">
    <field x="5"/>
    <field x="6"/>
    <field x="8"/>
  </rowFields>
  <rowItems count="170">
    <i t="data" r="0" i="0">
      <x v="0"/>
      <x v="88"/>
      <x v="1"/>
    </i>
    <i t="data" r="0" i="0">
      <x v="1"/>
      <x v="20"/>
      <x v="2"/>
    </i>
    <i t="data" r="0" i="0">
      <x v="2"/>
      <x v="138"/>
      <x v="1"/>
    </i>
    <i t="data" r="0" i="0">
      <x v="3"/>
      <x v="31"/>
      <x v="2"/>
    </i>
    <i t="data" r="0" i="0">
      <x v="4"/>
      <x v="139"/>
      <x v="1"/>
    </i>
    <i t="data" r="0" i="0">
      <x v="5"/>
      <x v="13"/>
      <x v="2"/>
    </i>
    <i t="data" r="0" i="0">
      <x v="6"/>
      <x v="70"/>
      <x v="1"/>
    </i>
    <i t="data" r="0" i="0">
      <x v="7"/>
      <x v="10"/>
      <x v="1"/>
    </i>
    <i t="data" r="0" i="0">
      <x v="8"/>
      <x v="11"/>
      <x v="2"/>
    </i>
    <i t="data" r="0" i="0">
      <x v="9"/>
      <x v="12"/>
      <x v="2"/>
    </i>
    <i t="data" r="0" i="0">
      <x v="10"/>
      <x v="6"/>
      <x v="1"/>
    </i>
    <i t="data" r="0" i="0">
      <x v="11"/>
      <x v="7"/>
      <x v="1"/>
    </i>
    <i t="data" r="0" i="0">
      <x v="12"/>
      <x v="103"/>
      <x v="1"/>
    </i>
    <i t="data" r="0" i="0">
      <x v="13"/>
      <x v="26"/>
      <x v="2"/>
    </i>
    <i t="data" r="0" i="0">
      <x v="14"/>
      <x v="22"/>
      <x v="2"/>
    </i>
    <i t="data" r="0" i="0">
      <x v="15"/>
      <x v="93"/>
      <x v="1"/>
    </i>
    <i t="data" r="0" i="0">
      <x v="16"/>
      <x v="159"/>
      <x v="1"/>
    </i>
    <i t="data" r="0" i="0">
      <x v="17"/>
      <x v="0"/>
      <x v="2"/>
    </i>
    <i t="data" r="0" i="0">
      <x v="18"/>
      <x v="21"/>
      <x v="2"/>
    </i>
    <i t="data" r="0" i="0">
      <x v="19"/>
      <x v="5"/>
      <x v="2"/>
    </i>
    <i t="data" r="0" i="0">
      <x v="20"/>
      <x v="51"/>
      <x v="1"/>
    </i>
    <i t="data" r="0" i="0">
      <x v="21"/>
      <x v="15"/>
      <x v="2"/>
    </i>
    <i t="data" r="0" i="0">
      <x v="22"/>
      <x v="19"/>
      <x v="2"/>
    </i>
    <i t="data" r="0" i="0">
      <x v="23"/>
      <x v="14"/>
      <x v="2"/>
    </i>
    <i t="data" r="0" i="0">
      <x v="24"/>
      <x v="141"/>
      <x v="1"/>
    </i>
    <i t="data" r="0" i="0">
      <x v="25"/>
      <x v="142"/>
      <x v="1"/>
    </i>
    <i t="data" r="0" i="0">
      <x v="26"/>
      <x v="50"/>
      <x v="1"/>
    </i>
    <i t="data" r="0" i="0">
      <x v="27"/>
      <x v="4"/>
      <x v="2"/>
    </i>
    <i t="data" r="0" i="0">
      <x v="28"/>
      <x v="87"/>
      <x v="1"/>
    </i>
    <i t="data" r="0" i="0">
      <x v="29"/>
      <x v="78"/>
      <x v="1"/>
    </i>
    <i t="data" r="0" i="0">
      <x v="30"/>
      <x v="32"/>
      <x v="2"/>
    </i>
    <i t="data" r="0" i="0">
      <x v="31"/>
      <x v="151"/>
      <x v="1"/>
    </i>
    <i t="data" r="0" i="0">
      <x v="32"/>
      <x v="149"/>
      <x v="1"/>
    </i>
    <i t="data" r="0" i="0">
      <x v="33"/>
      <x v="150"/>
      <x v="1"/>
    </i>
    <i t="data" r="0" i="0">
      <x v="34"/>
      <x v="152"/>
      <x v="1"/>
    </i>
    <i t="data" r="0" i="0">
      <x v="35"/>
      <x v="168"/>
      <x v="1"/>
    </i>
    <i t="data" r="0" i="0">
      <x v="36"/>
      <x v="97"/>
      <x v="1"/>
    </i>
    <i t="data" r="0" i="0">
      <x v="37"/>
      <x v="98"/>
      <x v="1"/>
    </i>
    <i t="data" r="0" i="0">
      <x v="38"/>
      <x v="46"/>
      <x v="1"/>
    </i>
    <i t="data" r="0" i="0">
      <x v="39"/>
      <x v="33"/>
      <x v="2"/>
    </i>
    <i t="data" r="0" i="0">
      <x v="40"/>
      <x v="160"/>
      <x v="1"/>
    </i>
    <i t="data" r="0" i="0">
      <x v="41"/>
      <x v="90"/>
      <x v="1"/>
    </i>
    <i t="data" r="0" i="0">
      <x v="42"/>
      <x v="163"/>
      <x v="1"/>
    </i>
    <i t="data" r="0" i="0">
      <x v="43"/>
      <x v="80"/>
      <x v="1"/>
    </i>
    <i t="data" r="0" i="0">
      <x v="44"/>
      <x v="18"/>
      <x v="2"/>
    </i>
    <i t="data" r="0" i="0">
      <x v="45"/>
      <x v="130"/>
      <x v="1"/>
    </i>
    <i t="data" r="0" i="0">
      <x v="46"/>
      <x v="91"/>
      <x v="1"/>
    </i>
    <i t="data" r="0" i="0">
      <x v="47"/>
      <x v="116"/>
      <x v="1"/>
    </i>
    <i t="data" r="0" i="0">
      <x v="48"/>
      <x v="48"/>
      <x v="1"/>
    </i>
    <i t="data" r="0" i="0">
      <x v="49"/>
      <x v="3"/>
      <x v="2"/>
    </i>
    <i t="data" r="0" i="0">
      <x v="50"/>
      <x v="47"/>
      <x v="1"/>
    </i>
    <i t="data" r="0" i="0">
      <x v="51"/>
      <x v="165"/>
      <x v="1"/>
    </i>
    <i t="data" r="0" i="0">
      <x v="52"/>
      <x v="164"/>
      <x v="1"/>
    </i>
    <i t="data" r="0" i="0">
      <x v="53"/>
      <x v="86"/>
      <x v="1"/>
    </i>
    <i t="data" r="0" i="0">
      <x v="54"/>
      <x v="67"/>
      <x v="1"/>
    </i>
    <i t="data" r="0" i="0">
      <x v="55"/>
      <x v="79"/>
      <x v="1"/>
    </i>
    <i t="data" r="0" i="0">
      <x v="56"/>
      <x v="40"/>
      <x v="1"/>
    </i>
    <i t="data" r="0" i="0">
      <x v="57"/>
      <x v="62"/>
      <x v="1"/>
    </i>
    <i t="data" r="0" i="0">
      <x v="58"/>
      <x v="8"/>
      <x v="2"/>
    </i>
    <i t="data" r="0" i="0">
      <x v="59"/>
      <x v="134"/>
      <x v="1"/>
    </i>
    <i t="data" r="0" i="0">
      <x v="60"/>
      <x v="135"/>
      <x v="1"/>
    </i>
    <i t="data" r="0" i="0">
      <x v="61"/>
      <x v="126"/>
      <x v="1"/>
    </i>
    <i t="data" r="0" i="0">
      <x v="62"/>
      <x v="28"/>
      <x v="2"/>
    </i>
    <i t="data" r="0" i="0">
      <x v="63"/>
      <x v="127"/>
      <x v="1"/>
    </i>
    <i t="data" r="0" i="0">
      <x v="64"/>
      <x v="146"/>
      <x v="1"/>
    </i>
    <i t="data" r="0" i="0">
      <x v="65"/>
      <x v="148"/>
      <x v="1"/>
    </i>
    <i t="data" r="0" i="0">
      <x v="66"/>
      <x v="145"/>
      <x v="1"/>
    </i>
    <i t="data" r="0" i="0">
      <x v="67"/>
      <x v="147"/>
      <x v="1"/>
    </i>
    <i t="data" r="0" i="0">
      <x v="68"/>
      <x v="121"/>
      <x v="1"/>
    </i>
    <i t="data" r="0" i="0">
      <x v="69"/>
      <x v="96"/>
      <x v="1"/>
    </i>
    <i t="data" r="0" i="0">
      <x v="70"/>
      <x v="95"/>
      <x v="1"/>
    </i>
    <i t="data" r="0" i="0">
      <x v="71"/>
      <x v="108"/>
      <x v="1"/>
    </i>
    <i t="data" r="0" i="0">
      <x v="72"/>
      <x v="76"/>
      <x v="1"/>
    </i>
    <i t="data" r="0" i="0">
      <x v="73"/>
      <x v="144"/>
      <x v="1"/>
    </i>
    <i t="data" r="0" i="0">
      <x v="74"/>
      <x v="143"/>
      <x v="1"/>
    </i>
    <i t="data" r="0" i="0">
      <x v="75"/>
      <x v="153"/>
      <x v="1"/>
    </i>
    <i t="data" r="0" i="0">
      <x v="76"/>
      <x v="41"/>
      <x v="1"/>
    </i>
    <i t="data" r="0" i="0">
      <x v="77"/>
      <x v="1"/>
      <x v="2"/>
    </i>
    <i t="data" r="0" i="0">
      <x v="78"/>
      <x v="94"/>
      <x v="1"/>
    </i>
    <i t="data" r="0" i="0">
      <x v="79"/>
      <x v="92"/>
      <x v="1"/>
    </i>
    <i t="data" r="0" i="0">
      <x v="80"/>
      <x v="23"/>
      <x v="2"/>
    </i>
    <i t="data" r="0" i="0">
      <x v="81"/>
      <x v="24"/>
      <x v="2"/>
    </i>
    <i t="data" r="0" i="0">
      <x v="82"/>
      <x v="99"/>
      <x v="1"/>
    </i>
    <i t="data" r="0" i="0">
      <x v="83"/>
      <x v="100"/>
      <x v="1"/>
    </i>
    <i t="data" r="0" i="0">
      <x v="84"/>
      <x v="25"/>
      <x v="2"/>
    </i>
    <i t="data" r="0" i="0">
      <x v="85"/>
      <x v="45"/>
      <x v="1"/>
    </i>
    <i t="data" r="0" i="0">
      <x v="86"/>
      <x v="85"/>
      <x v="1"/>
    </i>
    <i t="data" r="0" i="0">
      <x v="87"/>
      <x v="136"/>
      <x v="1"/>
    </i>
    <i t="data" r="0" i="0">
      <x v="88"/>
      <x v="30"/>
      <x v="2"/>
    </i>
    <i t="data" r="0" i="0">
      <x v="89"/>
      <x v="61"/>
      <x v="1"/>
    </i>
    <i t="data" r="0" i="0">
      <x v="90"/>
      <x v="84"/>
      <x v="1"/>
    </i>
    <i t="data" r="0" i="0">
      <x v="91"/>
      <x v="83"/>
      <x v="1"/>
    </i>
    <i t="data" r="0" i="0">
      <x v="92"/>
      <x v="166"/>
      <x v="1"/>
    </i>
    <i t="data" r="0" i="0">
      <x v="93"/>
      <x v="140"/>
      <x v="1"/>
    </i>
    <i t="data" r="0" i="0">
      <x v="94"/>
      <x v="122"/>
      <x v="1"/>
    </i>
    <i t="data" r="0" i="0">
      <x v="95"/>
      <x v="137"/>
      <x v="1"/>
    </i>
    <i t="data" r="0" i="0">
      <x v="96"/>
      <x v="133"/>
      <x v="1"/>
    </i>
    <i t="data" r="0" i="0">
      <x v="97"/>
      <x v="132"/>
      <x v="1"/>
    </i>
    <i t="data" r="0" i="0">
      <x v="98"/>
      <x v="65"/>
      <x v="1"/>
    </i>
    <i t="data" r="0" i="0">
      <x v="99"/>
      <x v="125"/>
      <x v="1"/>
    </i>
    <i t="data" r="0" i="0">
      <x v="100"/>
      <x v="55"/>
      <x v="1"/>
    </i>
    <i t="data" r="0" i="0">
      <x v="101"/>
      <x v="54"/>
      <x v="1"/>
    </i>
    <i t="data" r="0" i="0">
      <x v="102"/>
      <x v="27"/>
      <x v="1"/>
    </i>
    <i t="data" r="0" i="0">
      <x v="103"/>
      <x v="109"/>
      <x v="1"/>
    </i>
    <i t="data" r="0" i="0">
      <x v="104"/>
      <x v="9"/>
      <x v="1"/>
    </i>
    <i t="data" r="0" i="0">
      <x v="105"/>
      <x v="63"/>
      <x v="1"/>
    </i>
    <i t="data" r="0" i="0">
      <x v="106"/>
      <x v="129"/>
      <x v="1"/>
    </i>
    <i t="data" r="0" i="0">
      <x v="107"/>
      <x v="29"/>
      <x v="1"/>
    </i>
    <i t="data" r="0" i="0">
      <x v="108"/>
      <x v="64"/>
      <x v="1"/>
    </i>
    <i t="data" r="0" i="0">
      <x v="109"/>
      <x v="43"/>
      <x v="1"/>
    </i>
    <i t="data" r="0" i="0">
      <x v="110"/>
      <x v="2"/>
      <x v="1"/>
    </i>
    <i t="data" r="0" i="0">
      <x v="111"/>
      <x v="42"/>
      <x v="1"/>
    </i>
    <i t="data" r="0" i="0">
      <x v="112"/>
      <x v="44"/>
      <x v="1"/>
    </i>
    <i t="data" r="0" i="0">
      <x v="113"/>
      <x v="110"/>
      <x v="1"/>
    </i>
    <i t="data" r="0" i="0">
      <x v="114"/>
      <x v="56"/>
      <x v="1"/>
    </i>
    <i t="data" r="0" i="0">
      <x v="115"/>
      <x v="81"/>
      <x v="1"/>
    </i>
    <i t="data" r="0" i="0">
      <x v="116"/>
      <x v="82"/>
      <x v="1"/>
    </i>
    <i t="data" r="0" i="0">
      <x v="117"/>
      <x v="117"/>
      <x v="1"/>
    </i>
    <i t="data" r="0" i="0">
      <x v="118"/>
      <x v="36"/>
      <x v="1"/>
    </i>
    <i t="data" r="0" i="0">
      <x v="119"/>
      <x v="58"/>
      <x v="1"/>
    </i>
    <i t="data" r="0" i="0">
      <x v="120"/>
      <x v="52"/>
      <x v="1"/>
    </i>
    <i t="data" r="0" i="0">
      <x v="121"/>
      <x v="105"/>
      <x v="1"/>
    </i>
    <i t="data" r="0" i="0">
      <x v="122"/>
      <x v="53"/>
      <x v="1"/>
    </i>
    <i t="data" r="0" i="0">
      <x v="123"/>
      <x v="72"/>
      <x v="1"/>
    </i>
    <i t="data" r="0" i="0">
      <x v="124"/>
      <x v="49"/>
      <x v="1"/>
    </i>
    <i t="data" r="0" i="0">
      <x v="125"/>
      <x v="39"/>
      <x v="1"/>
    </i>
    <i t="data" r="0" i="0">
      <x v="126"/>
      <x v="60"/>
      <x v="1"/>
    </i>
    <i t="data" r="0" i="0">
      <x v="127"/>
      <x v="155"/>
      <x v="1"/>
    </i>
    <i t="data" r="0" i="0">
      <x v="128"/>
      <x v="157"/>
      <x v="1"/>
    </i>
    <i t="data" r="0" i="0">
      <x v="129"/>
      <x v="156"/>
      <x v="1"/>
    </i>
    <i t="data" r="0" i="0">
      <x v="130"/>
      <x v="37"/>
      <x v="1"/>
    </i>
    <i t="data" r="0" i="0">
      <x v="131"/>
      <x v="68"/>
      <x v="1"/>
    </i>
    <i t="data" r="0" i="0">
      <x v="132"/>
      <x v="77"/>
      <x v="1"/>
    </i>
    <i t="data" r="0" i="0">
      <x v="133"/>
      <x v="38"/>
      <x v="1"/>
    </i>
    <i t="data" r="0" i="0">
      <x v="134"/>
      <x v="89"/>
      <x v="1"/>
    </i>
    <i t="data" r="0" i="0">
      <x v="135"/>
      <x v="115"/>
      <x v="1"/>
    </i>
    <i t="data" r="0" i="0">
      <x v="136"/>
      <x v="16"/>
      <x v="1"/>
    </i>
    <i t="data" r="0" i="0">
      <x v="137"/>
      <x v="158"/>
      <x v="1"/>
    </i>
    <i t="data" r="0" i="0">
      <x v="138"/>
      <x v="112"/>
      <x v="1"/>
    </i>
    <i t="data" r="0" i="0">
      <x v="139"/>
      <x v="111"/>
      <x v="1"/>
    </i>
    <i t="data" r="0" i="0">
      <x v="140"/>
      <x v="57"/>
      <x v="1"/>
    </i>
    <i t="data" r="0" i="0">
      <x v="141"/>
      <x v="104"/>
      <x v="1"/>
    </i>
    <i t="data" r="0" i="0">
      <x v="142"/>
      <x v="154"/>
      <x v="1"/>
    </i>
    <i t="data" r="0" i="0">
      <x v="143"/>
      <x v="113"/>
      <x v="1"/>
    </i>
    <i t="data" r="0" i="0">
      <x v="144"/>
      <x v="114"/>
      <x v="1"/>
    </i>
    <i t="data" r="0" i="0">
      <x v="145"/>
      <x v="131"/>
      <x v="1"/>
    </i>
    <i t="data" r="0" i="0">
      <x v="146"/>
      <x v="106"/>
      <x v="1"/>
    </i>
    <i t="data" r="0" i="0">
      <x v="147"/>
      <x v="107"/>
      <x v="1"/>
    </i>
    <i t="data" r="0" i="0">
      <x v="148"/>
      <x v="101"/>
      <x v="1"/>
    </i>
    <i t="data" r="0" i="0">
      <x v="149"/>
      <x v="123"/>
      <x v="1"/>
    </i>
    <i t="data" r="0" i="0">
      <x v="150"/>
      <x v="124"/>
      <x v="1"/>
    </i>
    <i t="data" r="0" i="0">
      <x v="151"/>
      <x v="102"/>
      <x v="1"/>
    </i>
    <i t="data" r="0" i="0">
      <x v="152"/>
      <x v="161"/>
      <x v="1"/>
    </i>
    <i t="data" r="0" i="0">
      <x v="153"/>
      <x v="162"/>
      <x v="1"/>
    </i>
    <i t="data" r="0" i="0">
      <x v="154"/>
      <x v="119"/>
      <x v="1"/>
    </i>
    <i t="data" r="0" i="0">
      <x v="155"/>
      <x v="128"/>
      <x v="1"/>
    </i>
    <i t="data" r="0" i="0">
      <x v="156"/>
      <x v="120"/>
      <x v="1"/>
    </i>
    <i t="data" r="0" i="0">
      <x v="157"/>
      <x v="17"/>
      <x v="2"/>
    </i>
    <i t="data" r="0" i="0">
      <x v="158"/>
      <x v="34"/>
      <x v="2"/>
    </i>
    <i t="data" r="0" i="0">
      <x v="159"/>
      <x v="35"/>
      <x v="2"/>
    </i>
    <i t="data" r="0" i="0">
      <x v="160"/>
      <x v="59"/>
      <x v="0"/>
    </i>
    <i t="data" r="0" i="0">
      <x v="161"/>
      <x v="74"/>
      <x v="0"/>
    </i>
    <i t="data" r="0" i="0">
      <x v="162"/>
      <x v="75"/>
      <x v="0"/>
    </i>
    <i t="data" r="0" i="0">
      <x v="163"/>
      <x v="73"/>
      <x v="0"/>
    </i>
    <i t="data" r="0" i="0">
      <x v="164"/>
      <x v="167"/>
      <x v="0"/>
    </i>
    <i t="data" r="0" i="0">
      <x v="165"/>
      <x v="118"/>
      <x v="0"/>
    </i>
    <i t="data" r="0" i="0">
      <x v="166"/>
      <x v="71"/>
      <x v="0"/>
    </i>
    <i t="data" r="0" i="0">
      <x v="167"/>
      <x v="69"/>
      <x v="0"/>
    </i>
    <i t="data" r="0" i="0">
      <x v="168"/>
      <x v="66"/>
      <x v="1"/>
    </i>
    <i t="grand" r="0" i="0">
      <x v="0"/>
    </i>
  </rowItems>
  <colFields count="3">
    <field x="1"/>
    <field x="2"/>
    <field x="3"/>
  </colFields>
  <colItems count="81">
    <i t="data" r="0" i="0">
      <x v="0"/>
      <x v="4"/>
      <x v="57"/>
    </i>
    <i t="data" r="0" i="0">
      <x v="1"/>
      <x v="2"/>
      <x v="1"/>
    </i>
    <i t="data" r="0" i="0">
      <x v="2"/>
      <x v="4"/>
      <x v="52"/>
    </i>
    <i t="data" r="0" i="0">
      <x v="3"/>
      <x v="4"/>
      <x v="67"/>
    </i>
    <i t="data" r="0" i="0">
      <x v="4"/>
      <x v="4"/>
      <x v="53"/>
    </i>
    <i t="data" r="0" i="0">
      <x v="5"/>
      <x v="4"/>
      <x v="2"/>
    </i>
    <i t="data" r="0" i="0">
      <x v="6"/>
      <x v="4"/>
      <x v="3"/>
    </i>
    <i t="data" r="0" i="0">
      <x v="7"/>
      <x v="3"/>
      <x v="5"/>
    </i>
    <i t="data" r="0" i="0">
      <x v="8"/>
      <x v="3"/>
      <x v="14"/>
    </i>
    <i t="data" r="0" i="0">
      <x v="9"/>
      <x v="3"/>
      <x v="26"/>
    </i>
    <i t="data" r="0" i="0">
      <x v="10"/>
      <x v="3"/>
      <x v="42"/>
    </i>
    <i t="data" r="0" i="0">
      <x v="11"/>
      <x v="3"/>
      <x v="21"/>
    </i>
    <i t="data" r="0" i="0">
      <x v="12"/>
      <x v="3"/>
      <x v="40"/>
    </i>
    <i t="data" r="0" i="0">
      <x v="13"/>
      <x v="3"/>
      <x v="18"/>
    </i>
    <i t="data" r="0" i="0">
      <x v="14"/>
      <x v="3"/>
      <x v="49"/>
    </i>
    <i t="data" r="0" i="0">
      <x v="15"/>
      <x v="3"/>
      <x v="37"/>
    </i>
    <i t="data" r="0" i="0">
      <x v="16"/>
      <x v="3"/>
      <x v="15"/>
    </i>
    <i t="data" r="0" i="0">
      <x v="17"/>
      <x v="3"/>
      <x v="9"/>
    </i>
    <i t="data" r="0" i="0">
      <x v="18"/>
      <x v="3"/>
      <x v="7"/>
    </i>
    <i t="data" r="0" i="0">
      <x v="19"/>
      <x v="3"/>
      <x v="27"/>
    </i>
    <i t="data" r="0" i="0">
      <x v="20"/>
      <x v="3"/>
      <x v="30"/>
    </i>
    <i t="data" r="0" i="0">
      <x v="21"/>
      <x v="3"/>
      <x v="33"/>
    </i>
    <i t="data" r="0" i="0">
      <x v="22"/>
      <x v="3"/>
      <x v="43"/>
    </i>
    <i t="data" r="0" i="0">
      <x v="23"/>
      <x v="3"/>
      <x v="50"/>
    </i>
    <i t="data" r="0" i="0">
      <x v="24"/>
      <x v="3"/>
      <x v="35"/>
    </i>
    <i t="data" r="0" i="0">
      <x v="25"/>
      <x v="3"/>
      <x v="13"/>
    </i>
    <i t="data" r="0" i="0">
      <x v="26"/>
      <x v="3"/>
      <x v="19"/>
    </i>
    <i t="data" r="0" i="0">
      <x v="27"/>
      <x v="3"/>
      <x v="6"/>
    </i>
    <i t="data" r="0" i="0">
      <x v="28"/>
      <x v="3"/>
      <x v="45"/>
    </i>
    <i t="data" r="0" i="0">
      <x v="29"/>
      <x v="3"/>
      <x v="24"/>
    </i>
    <i t="data" r="0" i="0">
      <x v="30"/>
      <x v="3"/>
      <x v="22"/>
    </i>
    <i t="data" r="0" i="0">
      <x v="31"/>
      <x v="3"/>
      <x v="46"/>
    </i>
    <i t="data" r="0" i="0">
      <x v="32"/>
      <x v="3"/>
      <x v="32"/>
    </i>
    <i t="data" r="0" i="0">
      <x v="33"/>
      <x v="3"/>
      <x v="12"/>
    </i>
    <i t="data" r="0" i="0">
      <x v="34"/>
      <x v="3"/>
      <x v="20"/>
    </i>
    <i t="data" r="0" i="0">
      <x v="35"/>
      <x v="3"/>
      <x v="48"/>
    </i>
    <i t="data" r="0" i="0">
      <x v="36"/>
      <x v="3"/>
      <x v="47"/>
    </i>
    <i t="data" r="0" i="0">
      <x v="37"/>
      <x v="4"/>
      <x v="58"/>
    </i>
    <i t="data" r="0" i="0">
      <x v="38"/>
      <x v="3"/>
      <x v="39"/>
    </i>
    <i t="data" r="0" i="0">
      <x v="39"/>
      <x v="3"/>
      <x v="31"/>
    </i>
    <i t="data" r="0" i="0">
      <x v="40"/>
      <x v="3"/>
      <x v="23"/>
    </i>
    <i t="data" r="0" i="0">
      <x v="41"/>
      <x v="3"/>
      <x v="51"/>
    </i>
    <i t="data" r="0" i="0">
      <x v="42"/>
      <x v="3"/>
      <x v="44"/>
    </i>
    <i t="data" r="0" i="0">
      <x v="43"/>
      <x v="3"/>
      <x v="16"/>
    </i>
    <i t="data" r="0" i="0">
      <x v="44"/>
      <x v="3"/>
      <x v="28"/>
    </i>
    <i t="data" r="0" i="0">
      <x v="45"/>
      <x v="3"/>
      <x v="34"/>
    </i>
    <i t="data" r="0" i="0">
      <x v="46"/>
      <x v="3"/>
      <x v="36"/>
    </i>
    <i t="data" r="0" i="0">
      <x v="47"/>
      <x v="3"/>
      <x v="10"/>
    </i>
    <i t="data" r="0" i="0">
      <x v="48"/>
      <x v="4"/>
      <x v="59"/>
    </i>
    <i t="data" r="0" i="0">
      <x v="49"/>
      <x v="3"/>
      <x v="29"/>
    </i>
    <i t="data" r="0" i="0">
      <x v="50"/>
      <x v="3"/>
      <x v="38"/>
    </i>
    <i t="data" r="0" i="0">
      <x v="51"/>
      <x v="6"/>
      <x v="72"/>
    </i>
    <i t="data" r="0" i="0">
      <x v="52"/>
      <x v="3"/>
      <x v="17"/>
    </i>
    <i t="data" r="0" i="0">
      <x v="53"/>
      <x v="3"/>
      <x v="41"/>
    </i>
    <i t="data" r="0" i="0">
      <x v="54"/>
      <x v="3"/>
      <x v="25"/>
    </i>
    <i t="data" r="0" i="0">
      <x v="55"/>
      <x v="3"/>
      <x v="11"/>
    </i>
    <i t="data" r="0" i="0">
      <x v="56"/>
      <x v="8"/>
      <x v="73"/>
    </i>
    <i t="data" r="0" i="0">
      <x v="57"/>
      <x v="2"/>
      <x v="77"/>
    </i>
    <i t="data" r="0" i="0">
      <x v="58"/>
      <x v="6"/>
      <x v="60"/>
    </i>
    <i t="data" r="0" i="0">
      <x v="59"/>
      <x v="8"/>
      <x v="54"/>
    </i>
    <i t="data" r="0" i="0">
      <x v="60"/>
      <x v="6"/>
      <x v="64"/>
    </i>
    <i t="data" r="0" i="0">
      <x v="61"/>
      <x v="8"/>
      <x v="76"/>
    </i>
    <i t="data" r="0" i="0">
      <x v="62"/>
      <x v="2"/>
      <x v="79"/>
    </i>
    <i t="data" r="0" i="0">
      <x v="63"/>
      <x v="6"/>
      <x v="0"/>
    </i>
    <i t="data" r="0" i="0">
      <x v="64"/>
      <x v="6"/>
      <x v="61"/>
    </i>
    <i t="data" r="0" i="0">
      <x v="65"/>
      <x v="6"/>
      <x v="63"/>
    </i>
    <i t="data" r="0" i="0">
      <x v="66"/>
      <x v="8"/>
      <x v="65"/>
    </i>
    <i t="data" r="0" i="0">
      <x v="67"/>
      <x v="8"/>
      <x v="75"/>
    </i>
    <i t="data" r="0" i="0">
      <x v="68"/>
      <x v="2"/>
      <x v="78"/>
    </i>
    <i t="data" r="0" i="0">
      <x v="69"/>
      <x v="6"/>
      <x v="62"/>
    </i>
    <i t="data" r="0" i="0">
      <x v="70"/>
      <x v="4"/>
      <x v="55"/>
    </i>
    <i t="data" r="0" i="0">
      <x v="71"/>
      <x v="4"/>
      <x v="56"/>
    </i>
    <i t="data" r="0" i="0">
      <x v="72"/>
      <x v="4"/>
      <x v="68"/>
    </i>
    <i t="data" r="0" i="0">
      <x v="73"/>
      <x v="3"/>
      <x v="8"/>
    </i>
    <i t="data" r="0" i="0">
      <x v="74"/>
      <x v="5"/>
      <x v="69"/>
    </i>
    <i t="data" r="0" i="0">
      <x v="75"/>
      <x v="0"/>
      <x v="66"/>
    </i>
    <i t="data" r="0" i="0">
      <x v="76"/>
      <x v="8"/>
      <x v="74"/>
    </i>
    <i t="data" r="0" i="0">
      <x v="77"/>
      <x v="1"/>
      <x v="71"/>
    </i>
    <i t="data" r="0" i="0">
      <x v="78"/>
      <x v="7"/>
      <x v="4"/>
    </i>
    <i t="data" r="0" i="0">
      <x v="79"/>
      <x v="1"/>
      <x v="70"/>
    </i>
    <i t="grand" r="0" i="0">
      <x v="0"/>
    </i>
  </colItems>
  <dataFields count="1">
    <dataField name="合計 / 数量" fld="7" subtotal="sum" showDataAs="normal" baseField="0" baseItem="0"/>
  </dataFields>
  <formats count="930">
    <format action="formatting" dxfId="934">
      <pivotArea type="all" dataOnly="0" outline="0" fieldPosition="0"/>
    </format>
    <format action="formatting" dxfId="933">
      <pivotArea type="normal" dataOnly="1" outline="0" fieldPosition="0"/>
    </format>
    <format action="formatting" dxfId="932">
      <pivotArea field="1" type="button" dataOnly="0" labelOnly="1" outline="0" axis="axisCol" fieldPosition="0"/>
    </format>
    <format action="formatting" dxfId="931">
      <pivotArea field="2" type="button" dataOnly="0" labelOnly="1" outline="0" axis="axisCol" fieldPosition="1"/>
    </format>
    <format action="formatting" dxfId="930">
      <pivotArea field="3" type="button" dataOnly="0" labelOnly="1" outline="0" axis="axisCol" fieldPosition="2"/>
    </format>
    <format action="formatting" dxfId="929">
      <pivotArea type="topRight" dataOnly="0" labelOnly="1" outline="0" fieldPosition="0"/>
    </format>
    <format action="formatting" dxfId="928">
      <pivotArea type="normal" dataOnly="0" labelOnly="1" outline="0" fieldPosition="0">
        <references count="2">
          <reference field="5" selected="0">
            <x v="0"/>
          </reference>
          <reference field="6">
            <x v="88"/>
          </reference>
        </references>
      </pivotArea>
    </format>
    <format action="formatting" dxfId="927">
      <pivotArea type="normal" dataOnly="0" labelOnly="1" outline="0" fieldPosition="0">
        <references count="2">
          <reference field="5" selected="0">
            <x v="1"/>
          </reference>
          <reference field="6">
            <x v="20"/>
          </reference>
        </references>
      </pivotArea>
    </format>
    <format action="formatting" dxfId="926">
      <pivotArea type="normal" dataOnly="0" labelOnly="1" outline="0" fieldPosition="0">
        <references count="2">
          <reference field="5" selected="0">
            <x v="2"/>
          </reference>
          <reference field="6">
            <x v="138"/>
          </reference>
        </references>
      </pivotArea>
    </format>
    <format action="formatting" dxfId="925">
      <pivotArea type="normal" dataOnly="0" labelOnly="1" outline="0" fieldPosition="0">
        <references count="2">
          <reference field="5" selected="0">
            <x v="3"/>
          </reference>
          <reference field="6">
            <x v="31"/>
          </reference>
        </references>
      </pivotArea>
    </format>
    <format action="formatting" dxfId="924">
      <pivotArea type="normal" dataOnly="0" labelOnly="1" outline="0" fieldPosition="0">
        <references count="2">
          <reference field="5" selected="0">
            <x v="4"/>
          </reference>
          <reference field="6">
            <x v="139"/>
          </reference>
        </references>
      </pivotArea>
    </format>
    <format action="formatting" dxfId="923">
      <pivotArea type="normal" dataOnly="0" labelOnly="1" outline="0" fieldPosition="0">
        <references count="2">
          <reference field="5" selected="0">
            <x v="5"/>
          </reference>
          <reference field="6">
            <x v="13"/>
          </reference>
        </references>
      </pivotArea>
    </format>
    <format action="formatting" dxfId="922">
      <pivotArea type="normal" dataOnly="0" labelOnly="1" outline="0" fieldPosition="0">
        <references count="2">
          <reference field="5" selected="0">
            <x v="6"/>
          </reference>
          <reference field="6">
            <x v="70"/>
          </reference>
        </references>
      </pivotArea>
    </format>
    <format action="formatting" dxfId="921">
      <pivotArea type="normal" dataOnly="0" labelOnly="1" outline="0" fieldPosition="0">
        <references count="2">
          <reference field="5" selected="0">
            <x v="7"/>
          </reference>
          <reference field="6">
            <x v="10"/>
          </reference>
        </references>
      </pivotArea>
    </format>
    <format action="formatting" dxfId="920">
      <pivotArea type="normal" dataOnly="0" labelOnly="1" outline="0" fieldPosition="0">
        <references count="2">
          <reference field="5" selected="0">
            <x v="8"/>
          </reference>
          <reference field="6">
            <x v="11"/>
          </reference>
        </references>
      </pivotArea>
    </format>
    <format action="formatting" dxfId="919">
      <pivotArea type="normal" dataOnly="0" labelOnly="1" outline="0" fieldPosition="0">
        <references count="2">
          <reference field="5" selected="0">
            <x v="9"/>
          </reference>
          <reference field="6">
            <x v="12"/>
          </reference>
        </references>
      </pivotArea>
    </format>
    <format action="formatting" dxfId="918">
      <pivotArea type="normal" dataOnly="0" labelOnly="1" outline="0" fieldPosition="0">
        <references count="2">
          <reference field="5" selected="0">
            <x v="10"/>
          </reference>
          <reference field="6">
            <x v="6"/>
          </reference>
        </references>
      </pivotArea>
    </format>
    <format action="formatting" dxfId="917">
      <pivotArea type="normal" dataOnly="0" labelOnly="1" outline="0" fieldPosition="0">
        <references count="2">
          <reference field="5" selected="0">
            <x v="11"/>
          </reference>
          <reference field="6">
            <x v="7"/>
          </reference>
        </references>
      </pivotArea>
    </format>
    <format action="formatting" dxfId="916">
      <pivotArea type="normal" dataOnly="0" labelOnly="1" outline="0" fieldPosition="0">
        <references count="2">
          <reference field="5" selected="0">
            <x v="12"/>
          </reference>
          <reference field="6">
            <x v="103"/>
          </reference>
        </references>
      </pivotArea>
    </format>
    <format action="formatting" dxfId="915">
      <pivotArea type="normal" dataOnly="0" labelOnly="1" outline="0" fieldPosition="0">
        <references count="2">
          <reference field="5" selected="0">
            <x v="13"/>
          </reference>
          <reference field="6">
            <x v="26"/>
          </reference>
        </references>
      </pivotArea>
    </format>
    <format action="formatting" dxfId="914">
      <pivotArea type="normal" dataOnly="0" labelOnly="1" outline="0" fieldPosition="0">
        <references count="2">
          <reference field="5" selected="0">
            <x v="14"/>
          </reference>
          <reference field="6">
            <x v="22"/>
          </reference>
        </references>
      </pivotArea>
    </format>
    <format action="formatting" dxfId="913">
      <pivotArea type="normal" dataOnly="0" labelOnly="1" outline="0" fieldPosition="0">
        <references count="2">
          <reference field="5" selected="0">
            <x v="15"/>
          </reference>
          <reference field="6">
            <x v="93"/>
          </reference>
        </references>
      </pivotArea>
    </format>
    <format action="formatting" dxfId="912">
      <pivotArea type="normal" dataOnly="0" labelOnly="1" outline="0" fieldPosition="0">
        <references count="2">
          <reference field="5" selected="0">
            <x v="16"/>
          </reference>
          <reference field="6">
            <x v="159"/>
          </reference>
        </references>
      </pivotArea>
    </format>
    <format action="formatting" dxfId="911">
      <pivotArea type="normal" dataOnly="0" labelOnly="1" outline="0" fieldPosition="0">
        <references count="2">
          <reference field="5" selected="0">
            <x v="17"/>
          </reference>
          <reference field="6">
            <x v="0"/>
          </reference>
        </references>
      </pivotArea>
    </format>
    <format action="formatting" dxfId="910">
      <pivotArea type="normal" dataOnly="0" labelOnly="1" outline="0" fieldPosition="0">
        <references count="2">
          <reference field="5" selected="0">
            <x v="18"/>
          </reference>
          <reference field="6">
            <x v="21"/>
          </reference>
        </references>
      </pivotArea>
    </format>
    <format action="formatting" dxfId="909">
      <pivotArea type="normal" dataOnly="0" labelOnly="1" outline="0" fieldPosition="0">
        <references count="2">
          <reference field="5" selected="0">
            <x v="19"/>
          </reference>
          <reference field="6">
            <x v="5"/>
          </reference>
        </references>
      </pivotArea>
    </format>
    <format action="formatting" dxfId="908">
      <pivotArea type="normal" dataOnly="0" labelOnly="1" outline="0" fieldPosition="0">
        <references count="2">
          <reference field="5" selected="0">
            <x v="20"/>
          </reference>
          <reference field="6">
            <x v="51"/>
          </reference>
        </references>
      </pivotArea>
    </format>
    <format action="formatting" dxfId="907">
      <pivotArea type="normal" dataOnly="0" labelOnly="1" outline="0" fieldPosition="0">
        <references count="2">
          <reference field="5" selected="0">
            <x v="21"/>
          </reference>
          <reference field="6">
            <x v="15"/>
          </reference>
        </references>
      </pivotArea>
    </format>
    <format action="formatting" dxfId="906">
      <pivotArea type="normal" dataOnly="0" labelOnly="1" outline="0" fieldPosition="0">
        <references count="2">
          <reference field="5" selected="0">
            <x v="22"/>
          </reference>
          <reference field="6">
            <x v="19"/>
          </reference>
        </references>
      </pivotArea>
    </format>
    <format action="formatting" dxfId="905">
      <pivotArea type="normal" dataOnly="0" labelOnly="1" outline="0" fieldPosition="0">
        <references count="2">
          <reference field="5" selected="0">
            <x v="23"/>
          </reference>
          <reference field="6">
            <x v="14"/>
          </reference>
        </references>
      </pivotArea>
    </format>
    <format action="formatting" dxfId="904">
      <pivotArea type="normal" dataOnly="0" labelOnly="1" outline="0" fieldPosition="0">
        <references count="2">
          <reference field="5" selected="0">
            <x v="24"/>
          </reference>
          <reference field="6">
            <x v="141"/>
          </reference>
        </references>
      </pivotArea>
    </format>
    <format action="formatting" dxfId="903">
      <pivotArea type="normal" dataOnly="0" labelOnly="1" outline="0" fieldPosition="0">
        <references count="2">
          <reference field="5" selected="0">
            <x v="25"/>
          </reference>
          <reference field="6">
            <x v="142"/>
          </reference>
        </references>
      </pivotArea>
    </format>
    <format action="formatting" dxfId="902">
      <pivotArea type="normal" dataOnly="0" labelOnly="1" outline="0" fieldPosition="0">
        <references count="2">
          <reference field="5" selected="0">
            <x v="26"/>
          </reference>
          <reference field="6">
            <x v="50"/>
          </reference>
        </references>
      </pivotArea>
    </format>
    <format action="formatting" dxfId="901">
      <pivotArea type="normal" dataOnly="0" labelOnly="1" outline="0" fieldPosition="0">
        <references count="2">
          <reference field="5" selected="0">
            <x v="27"/>
          </reference>
          <reference field="6">
            <x v="4"/>
          </reference>
        </references>
      </pivotArea>
    </format>
    <format action="formatting" dxfId="900">
      <pivotArea type="normal" dataOnly="0" labelOnly="1" outline="0" fieldPosition="0">
        <references count="2">
          <reference field="5" selected="0">
            <x v="28"/>
          </reference>
          <reference field="6">
            <x v="87"/>
          </reference>
        </references>
      </pivotArea>
    </format>
    <format action="formatting" dxfId="899">
      <pivotArea type="normal" dataOnly="0" labelOnly="1" outline="0" fieldPosition="0">
        <references count="2">
          <reference field="5" selected="0">
            <x v="29"/>
          </reference>
          <reference field="6">
            <x v="78"/>
          </reference>
        </references>
      </pivotArea>
    </format>
    <format action="formatting" dxfId="898">
      <pivotArea type="normal" dataOnly="0" labelOnly="1" outline="0" fieldPosition="0">
        <references count="2">
          <reference field="5" selected="0">
            <x v="30"/>
          </reference>
          <reference field="6">
            <x v="32"/>
          </reference>
        </references>
      </pivotArea>
    </format>
    <format action="formatting" dxfId="897">
      <pivotArea type="normal" dataOnly="0" labelOnly="1" outline="0" fieldPosition="0">
        <references count="2">
          <reference field="5" selected="0">
            <x v="31"/>
          </reference>
          <reference field="6">
            <x v="151"/>
          </reference>
        </references>
      </pivotArea>
    </format>
    <format action="formatting" dxfId="896">
      <pivotArea type="normal" dataOnly="0" labelOnly="1" outline="0" fieldPosition="0">
        <references count="2">
          <reference field="5" selected="0">
            <x v="32"/>
          </reference>
          <reference field="6">
            <x v="149"/>
          </reference>
        </references>
      </pivotArea>
    </format>
    <format action="formatting" dxfId="895">
      <pivotArea type="normal" dataOnly="0" labelOnly="1" outline="0" fieldPosition="0">
        <references count="2">
          <reference field="5" selected="0">
            <x v="33"/>
          </reference>
          <reference field="6">
            <x v="150"/>
          </reference>
        </references>
      </pivotArea>
    </format>
    <format action="formatting" dxfId="894">
      <pivotArea type="normal" dataOnly="0" labelOnly="1" outline="0" fieldPosition="0">
        <references count="2">
          <reference field="5" selected="0">
            <x v="34"/>
          </reference>
          <reference field="6">
            <x v="152"/>
          </reference>
        </references>
      </pivotArea>
    </format>
    <format action="formatting" dxfId="893">
      <pivotArea type="normal" dataOnly="0" labelOnly="1" outline="0" fieldPosition="0">
        <references count="2">
          <reference field="5" selected="0">
            <x v="35"/>
          </reference>
          <reference field="6">
            <x v="168"/>
          </reference>
        </references>
      </pivotArea>
    </format>
    <format action="formatting" dxfId="892">
      <pivotArea type="normal" dataOnly="0" labelOnly="1" outline="0" fieldPosition="0">
        <references count="2">
          <reference field="5" selected="0">
            <x v="36"/>
          </reference>
          <reference field="6">
            <x v="97"/>
          </reference>
        </references>
      </pivotArea>
    </format>
    <format action="formatting" dxfId="891">
      <pivotArea type="normal" dataOnly="0" labelOnly="1" outline="0" fieldPosition="0">
        <references count="2">
          <reference field="5" selected="0">
            <x v="37"/>
          </reference>
          <reference field="6">
            <x v="98"/>
          </reference>
        </references>
      </pivotArea>
    </format>
    <format action="formatting" dxfId="890">
      <pivotArea type="normal" dataOnly="0" labelOnly="1" outline="0" fieldPosition="0">
        <references count="2">
          <reference field="5" selected="0">
            <x v="38"/>
          </reference>
          <reference field="6">
            <x v="46"/>
          </reference>
        </references>
      </pivotArea>
    </format>
    <format action="formatting" dxfId="889">
      <pivotArea type="normal" dataOnly="0" labelOnly="1" outline="0" fieldPosition="0">
        <references count="2">
          <reference field="5" selected="0">
            <x v="39"/>
          </reference>
          <reference field="6">
            <x v="33"/>
          </reference>
        </references>
      </pivotArea>
    </format>
    <format action="formatting" dxfId="888">
      <pivotArea type="normal" dataOnly="0" labelOnly="1" outline="0" fieldPosition="0">
        <references count="2">
          <reference field="5" selected="0">
            <x v="40"/>
          </reference>
          <reference field="6">
            <x v="160"/>
          </reference>
        </references>
      </pivotArea>
    </format>
    <format action="formatting" dxfId="887">
      <pivotArea type="normal" dataOnly="0" labelOnly="1" outline="0" fieldPosition="0">
        <references count="2">
          <reference field="5" selected="0">
            <x v="41"/>
          </reference>
          <reference field="6">
            <x v="90"/>
          </reference>
        </references>
      </pivotArea>
    </format>
    <format action="formatting" dxfId="886">
      <pivotArea type="normal" dataOnly="0" labelOnly="1" outline="0" fieldPosition="0">
        <references count="2">
          <reference field="5" selected="0">
            <x v="42"/>
          </reference>
          <reference field="6">
            <x v="163"/>
          </reference>
        </references>
      </pivotArea>
    </format>
    <format action="formatting" dxfId="885">
      <pivotArea type="normal" dataOnly="0" labelOnly="1" outline="0" fieldPosition="0">
        <references count="2">
          <reference field="5" selected="0">
            <x v="43"/>
          </reference>
          <reference field="6">
            <x v="80"/>
          </reference>
        </references>
      </pivotArea>
    </format>
    <format action="formatting" dxfId="884">
      <pivotArea type="normal" dataOnly="0" labelOnly="1" outline="0" fieldPosition="0">
        <references count="2">
          <reference field="5" selected="0">
            <x v="44"/>
          </reference>
          <reference field="6">
            <x v="18"/>
          </reference>
        </references>
      </pivotArea>
    </format>
    <format action="formatting" dxfId="883">
      <pivotArea type="normal" dataOnly="0" labelOnly="1" outline="0" fieldPosition="0">
        <references count="2">
          <reference field="5" selected="0">
            <x v="45"/>
          </reference>
          <reference field="6">
            <x v="130"/>
          </reference>
        </references>
      </pivotArea>
    </format>
    <format action="formatting" dxfId="882">
      <pivotArea type="normal" dataOnly="0" labelOnly="1" outline="0" fieldPosition="0">
        <references count="2">
          <reference field="5" selected="0">
            <x v="46"/>
          </reference>
          <reference field="6">
            <x v="91"/>
          </reference>
        </references>
      </pivotArea>
    </format>
    <format action="formatting" dxfId="881">
      <pivotArea type="normal" dataOnly="0" labelOnly="1" outline="0" fieldPosition="0">
        <references count="2">
          <reference field="5" selected="0">
            <x v="47"/>
          </reference>
          <reference field="6">
            <x v="116"/>
          </reference>
        </references>
      </pivotArea>
    </format>
    <format action="formatting" dxfId="880">
      <pivotArea type="normal" dataOnly="0" labelOnly="1" outline="0" fieldPosition="0">
        <references count="2">
          <reference field="5" selected="0">
            <x v="48"/>
          </reference>
          <reference field="6">
            <x v="48"/>
          </reference>
        </references>
      </pivotArea>
    </format>
    <format action="formatting" dxfId="879">
      <pivotArea type="normal" dataOnly="0" labelOnly="1" outline="0" fieldPosition="0">
        <references count="2">
          <reference field="5" selected="0">
            <x v="49"/>
          </reference>
          <reference field="6">
            <x v="3"/>
          </reference>
        </references>
      </pivotArea>
    </format>
    <format action="formatting" dxfId="878">
      <pivotArea type="normal" dataOnly="0" labelOnly="1" outline="0" fieldPosition="0">
        <references count="2">
          <reference field="5" selected="0">
            <x v="50"/>
          </reference>
          <reference field="6">
            <x v="47"/>
          </reference>
        </references>
      </pivotArea>
    </format>
    <format action="formatting" dxfId="877">
      <pivotArea type="normal" dataOnly="0" labelOnly="1" outline="0" fieldPosition="0">
        <references count="2">
          <reference field="5" selected="0">
            <x v="51"/>
          </reference>
          <reference field="6">
            <x v="165"/>
          </reference>
        </references>
      </pivotArea>
    </format>
    <format action="formatting" dxfId="876">
      <pivotArea type="normal" dataOnly="0" labelOnly="1" outline="0" fieldPosition="0">
        <references count="2">
          <reference field="5" selected="0">
            <x v="52"/>
          </reference>
          <reference field="6">
            <x v="164"/>
          </reference>
        </references>
      </pivotArea>
    </format>
    <format action="formatting" dxfId="875">
      <pivotArea type="normal" dataOnly="0" labelOnly="1" outline="0" fieldPosition="0">
        <references count="2">
          <reference field="5" selected="0">
            <x v="53"/>
          </reference>
          <reference field="6">
            <x v="86"/>
          </reference>
        </references>
      </pivotArea>
    </format>
    <format action="formatting" dxfId="874">
      <pivotArea type="normal" dataOnly="0" labelOnly="1" outline="0" fieldPosition="0">
        <references count="2">
          <reference field="5" selected="0">
            <x v="54"/>
          </reference>
          <reference field="6">
            <x v="67"/>
          </reference>
        </references>
      </pivotArea>
    </format>
    <format action="formatting" dxfId="873">
      <pivotArea type="normal" dataOnly="0" labelOnly="1" outline="0" fieldPosition="0">
        <references count="2">
          <reference field="5" selected="0">
            <x v="55"/>
          </reference>
          <reference field="6">
            <x v="79"/>
          </reference>
        </references>
      </pivotArea>
    </format>
    <format action="formatting" dxfId="872">
      <pivotArea type="normal" dataOnly="0" labelOnly="1" outline="0" fieldPosition="0">
        <references count="2">
          <reference field="5" selected="0">
            <x v="56"/>
          </reference>
          <reference field="6">
            <x v="40"/>
          </reference>
        </references>
      </pivotArea>
    </format>
    <format action="formatting" dxfId="871">
      <pivotArea type="normal" dataOnly="0" labelOnly="1" outline="0" fieldPosition="0">
        <references count="2">
          <reference field="5" selected="0">
            <x v="57"/>
          </reference>
          <reference field="6">
            <x v="62"/>
          </reference>
        </references>
      </pivotArea>
    </format>
    <format action="formatting" dxfId="870">
      <pivotArea type="normal" dataOnly="0" labelOnly="1" outline="0" fieldPosition="0">
        <references count="2">
          <reference field="5" selected="0">
            <x v="58"/>
          </reference>
          <reference field="6">
            <x v="8"/>
          </reference>
        </references>
      </pivotArea>
    </format>
    <format action="formatting" dxfId="869">
      <pivotArea type="normal" dataOnly="0" labelOnly="1" outline="0" fieldPosition="0">
        <references count="2">
          <reference field="5" selected="0">
            <x v="59"/>
          </reference>
          <reference field="6">
            <x v="134"/>
          </reference>
        </references>
      </pivotArea>
    </format>
    <format action="formatting" dxfId="868">
      <pivotArea type="normal" dataOnly="0" labelOnly="1" outline="0" fieldPosition="0">
        <references count="2">
          <reference field="5" selected="0">
            <x v="60"/>
          </reference>
          <reference field="6">
            <x v="135"/>
          </reference>
        </references>
      </pivotArea>
    </format>
    <format action="formatting" dxfId="867">
      <pivotArea type="normal" dataOnly="0" labelOnly="1" outline="0" fieldPosition="0">
        <references count="2">
          <reference field="5" selected="0">
            <x v="61"/>
          </reference>
          <reference field="6">
            <x v="126"/>
          </reference>
        </references>
      </pivotArea>
    </format>
    <format action="formatting" dxfId="866">
      <pivotArea type="normal" dataOnly="0" labelOnly="1" outline="0" fieldPosition="0">
        <references count="2">
          <reference field="5" selected="0">
            <x v="62"/>
          </reference>
          <reference field="6">
            <x v="28"/>
          </reference>
        </references>
      </pivotArea>
    </format>
    <format action="formatting" dxfId="865">
      <pivotArea type="normal" dataOnly="0" labelOnly="1" outline="0" fieldPosition="0">
        <references count="2">
          <reference field="5" selected="0">
            <x v="63"/>
          </reference>
          <reference field="6">
            <x v="127"/>
          </reference>
        </references>
      </pivotArea>
    </format>
    <format action="formatting" dxfId="864">
      <pivotArea type="normal" dataOnly="0" labelOnly="1" outline="0" fieldPosition="0">
        <references count="2">
          <reference field="5" selected="0">
            <x v="64"/>
          </reference>
          <reference field="6">
            <x v="146"/>
          </reference>
        </references>
      </pivotArea>
    </format>
    <format action="formatting" dxfId="863">
      <pivotArea type="normal" dataOnly="0" labelOnly="1" outline="0" fieldPosition="0">
        <references count="2">
          <reference field="5" selected="0">
            <x v="65"/>
          </reference>
          <reference field="6">
            <x v="148"/>
          </reference>
        </references>
      </pivotArea>
    </format>
    <format action="formatting" dxfId="862">
      <pivotArea type="normal" dataOnly="0" labelOnly="1" outline="0" fieldPosition="0">
        <references count="2">
          <reference field="5" selected="0">
            <x v="66"/>
          </reference>
          <reference field="6">
            <x v="145"/>
          </reference>
        </references>
      </pivotArea>
    </format>
    <format action="formatting" dxfId="861">
      <pivotArea type="normal" dataOnly="0" labelOnly="1" outline="0" fieldPosition="0">
        <references count="2">
          <reference field="5" selected="0">
            <x v="67"/>
          </reference>
          <reference field="6">
            <x v="147"/>
          </reference>
        </references>
      </pivotArea>
    </format>
    <format action="formatting" dxfId="860">
      <pivotArea type="normal" dataOnly="0" labelOnly="1" outline="0" fieldPosition="0">
        <references count="2">
          <reference field="5" selected="0">
            <x v="68"/>
          </reference>
          <reference field="6">
            <x v="121"/>
          </reference>
        </references>
      </pivotArea>
    </format>
    <format action="formatting" dxfId="859">
      <pivotArea type="normal" dataOnly="0" labelOnly="1" outline="0" fieldPosition="0">
        <references count="2">
          <reference field="5" selected="0">
            <x v="69"/>
          </reference>
          <reference field="6">
            <x v="96"/>
          </reference>
        </references>
      </pivotArea>
    </format>
    <format action="formatting" dxfId="858">
      <pivotArea type="normal" dataOnly="0" labelOnly="1" outline="0" fieldPosition="0">
        <references count="2">
          <reference field="5" selected="0">
            <x v="70"/>
          </reference>
          <reference field="6">
            <x v="95"/>
          </reference>
        </references>
      </pivotArea>
    </format>
    <format action="formatting" dxfId="857">
      <pivotArea type="normal" dataOnly="0" labelOnly="1" outline="0" fieldPosition="0">
        <references count="2">
          <reference field="5" selected="0">
            <x v="71"/>
          </reference>
          <reference field="6">
            <x v="108"/>
          </reference>
        </references>
      </pivotArea>
    </format>
    <format action="formatting" dxfId="856">
      <pivotArea type="normal" dataOnly="0" labelOnly="1" outline="0" fieldPosition="0">
        <references count="2">
          <reference field="5" selected="0">
            <x v="72"/>
          </reference>
          <reference field="6">
            <x v="76"/>
          </reference>
        </references>
      </pivotArea>
    </format>
    <format action="formatting" dxfId="855">
      <pivotArea type="normal" dataOnly="0" labelOnly="1" outline="0" fieldPosition="0">
        <references count="2">
          <reference field="5" selected="0">
            <x v="73"/>
          </reference>
          <reference field="6">
            <x v="144"/>
          </reference>
        </references>
      </pivotArea>
    </format>
    <format action="formatting" dxfId="854">
      <pivotArea type="normal" dataOnly="0" labelOnly="1" outline="0" fieldPosition="0">
        <references count="2">
          <reference field="5" selected="0">
            <x v="74"/>
          </reference>
          <reference field="6">
            <x v="143"/>
          </reference>
        </references>
      </pivotArea>
    </format>
    <format action="formatting" dxfId="853">
      <pivotArea type="normal" dataOnly="0" labelOnly="1" outline="0" fieldPosition="0">
        <references count="2">
          <reference field="5" selected="0">
            <x v="75"/>
          </reference>
          <reference field="6">
            <x v="153"/>
          </reference>
        </references>
      </pivotArea>
    </format>
    <format action="formatting" dxfId="852">
      <pivotArea type="normal" dataOnly="0" labelOnly="1" outline="0" fieldPosition="0">
        <references count="2">
          <reference field="5" selected="0">
            <x v="76"/>
          </reference>
          <reference field="6">
            <x v="41"/>
          </reference>
        </references>
      </pivotArea>
    </format>
    <format action="formatting" dxfId="851">
      <pivotArea type="normal" dataOnly="0" labelOnly="1" outline="0" fieldPosition="0">
        <references count="2">
          <reference field="5" selected="0">
            <x v="77"/>
          </reference>
          <reference field="6">
            <x v="1"/>
          </reference>
        </references>
      </pivotArea>
    </format>
    <format action="formatting" dxfId="850">
      <pivotArea type="normal" dataOnly="0" labelOnly="1" outline="0" fieldPosition="0">
        <references count="2">
          <reference field="5" selected="0">
            <x v="78"/>
          </reference>
          <reference field="6">
            <x v="94"/>
          </reference>
        </references>
      </pivotArea>
    </format>
    <format action="formatting" dxfId="849">
      <pivotArea type="normal" dataOnly="0" labelOnly="1" outline="0" fieldPosition="0">
        <references count="2">
          <reference field="5" selected="0">
            <x v="79"/>
          </reference>
          <reference field="6">
            <x v="92"/>
          </reference>
        </references>
      </pivotArea>
    </format>
    <format action="formatting" dxfId="848">
      <pivotArea type="normal" dataOnly="0" labelOnly="1" outline="0" fieldPosition="0">
        <references count="2">
          <reference field="5" selected="0">
            <x v="80"/>
          </reference>
          <reference field="6">
            <x v="23"/>
          </reference>
        </references>
      </pivotArea>
    </format>
    <format action="formatting" dxfId="847">
      <pivotArea type="normal" dataOnly="0" labelOnly="1" outline="0" fieldPosition="0">
        <references count="2">
          <reference field="5" selected="0">
            <x v="81"/>
          </reference>
          <reference field="6">
            <x v="24"/>
          </reference>
        </references>
      </pivotArea>
    </format>
    <format action="formatting" dxfId="846">
      <pivotArea type="normal" dataOnly="0" labelOnly="1" outline="0" fieldPosition="0">
        <references count="2">
          <reference field="5" selected="0">
            <x v="82"/>
          </reference>
          <reference field="6">
            <x v="99"/>
          </reference>
        </references>
      </pivotArea>
    </format>
    <format action="formatting" dxfId="845">
      <pivotArea type="normal" dataOnly="0" labelOnly="1" outline="0" fieldPosition="0">
        <references count="2">
          <reference field="5" selected="0">
            <x v="83"/>
          </reference>
          <reference field="6">
            <x v="100"/>
          </reference>
        </references>
      </pivotArea>
    </format>
    <format action="formatting" dxfId="844">
      <pivotArea type="normal" dataOnly="0" labelOnly="1" outline="0" fieldPosition="0">
        <references count="2">
          <reference field="5" selected="0">
            <x v="84"/>
          </reference>
          <reference field="6">
            <x v="25"/>
          </reference>
        </references>
      </pivotArea>
    </format>
    <format action="formatting" dxfId="843">
      <pivotArea type="normal" dataOnly="0" labelOnly="1" outline="0" fieldPosition="0">
        <references count="2">
          <reference field="5" selected="0">
            <x v="85"/>
          </reference>
          <reference field="6">
            <x v="45"/>
          </reference>
        </references>
      </pivotArea>
    </format>
    <format action="formatting" dxfId="842">
      <pivotArea type="normal" dataOnly="0" labelOnly="1" outline="0" fieldPosition="0">
        <references count="2">
          <reference field="5" selected="0">
            <x v="86"/>
          </reference>
          <reference field="6">
            <x v="85"/>
          </reference>
        </references>
      </pivotArea>
    </format>
    <format action="formatting" dxfId="841">
      <pivotArea type="normal" dataOnly="0" labelOnly="1" outline="0" fieldPosition="0">
        <references count="2">
          <reference field="5" selected="0">
            <x v="87"/>
          </reference>
          <reference field="6">
            <x v="136"/>
          </reference>
        </references>
      </pivotArea>
    </format>
    <format action="formatting" dxfId="840">
      <pivotArea type="normal" dataOnly="0" labelOnly="1" outline="0" fieldPosition="0">
        <references count="2">
          <reference field="5" selected="0">
            <x v="88"/>
          </reference>
          <reference field="6">
            <x v="30"/>
          </reference>
        </references>
      </pivotArea>
    </format>
    <format action="formatting" dxfId="839">
      <pivotArea type="normal" dataOnly="0" labelOnly="1" outline="0" fieldPosition="0">
        <references count="2">
          <reference field="5" selected="0">
            <x v="89"/>
          </reference>
          <reference field="6">
            <x v="61"/>
          </reference>
        </references>
      </pivotArea>
    </format>
    <format action="formatting" dxfId="838">
      <pivotArea type="normal" dataOnly="0" labelOnly="1" outline="0" fieldPosition="0">
        <references count="2">
          <reference field="5" selected="0">
            <x v="90"/>
          </reference>
          <reference field="6">
            <x v="84"/>
          </reference>
        </references>
      </pivotArea>
    </format>
    <format action="formatting" dxfId="837">
      <pivotArea type="normal" dataOnly="0" labelOnly="1" outline="0" fieldPosition="0">
        <references count="2">
          <reference field="5" selected="0">
            <x v="91"/>
          </reference>
          <reference field="6">
            <x v="83"/>
          </reference>
        </references>
      </pivotArea>
    </format>
    <format action="formatting" dxfId="836">
      <pivotArea type="normal" dataOnly="0" labelOnly="1" outline="0" fieldPosition="0">
        <references count="2">
          <reference field="5" selected="0">
            <x v="92"/>
          </reference>
          <reference field="6">
            <x v="166"/>
          </reference>
        </references>
      </pivotArea>
    </format>
    <format action="formatting" dxfId="835">
      <pivotArea type="normal" dataOnly="0" labelOnly="1" outline="0" fieldPosition="0">
        <references count="2">
          <reference field="5" selected="0">
            <x v="93"/>
          </reference>
          <reference field="6">
            <x v="140"/>
          </reference>
        </references>
      </pivotArea>
    </format>
    <format action="formatting" dxfId="834">
      <pivotArea type="normal" dataOnly="0" labelOnly="1" outline="0" fieldPosition="0">
        <references count="2">
          <reference field="5" selected="0">
            <x v="94"/>
          </reference>
          <reference field="6">
            <x v="122"/>
          </reference>
        </references>
      </pivotArea>
    </format>
    <format action="formatting" dxfId="833">
      <pivotArea type="normal" dataOnly="0" labelOnly="1" outline="0" fieldPosition="0">
        <references count="2">
          <reference field="5" selected="0">
            <x v="95"/>
          </reference>
          <reference field="6">
            <x v="137"/>
          </reference>
        </references>
      </pivotArea>
    </format>
    <format action="formatting" dxfId="832">
      <pivotArea type="normal" dataOnly="0" labelOnly="1" outline="0" fieldPosition="0">
        <references count="2">
          <reference field="5" selected="0">
            <x v="96"/>
          </reference>
          <reference field="6">
            <x v="133"/>
          </reference>
        </references>
      </pivotArea>
    </format>
    <format action="formatting" dxfId="831">
      <pivotArea type="normal" dataOnly="0" labelOnly="1" outline="0" fieldPosition="0">
        <references count="2">
          <reference field="5" selected="0">
            <x v="97"/>
          </reference>
          <reference field="6">
            <x v="132"/>
          </reference>
        </references>
      </pivotArea>
    </format>
    <format action="formatting" dxfId="830">
      <pivotArea type="normal" dataOnly="0" labelOnly="1" outline="0" fieldPosition="0">
        <references count="2">
          <reference field="5" selected="0">
            <x v="98"/>
          </reference>
          <reference field="6">
            <x v="65"/>
          </reference>
        </references>
      </pivotArea>
    </format>
    <format action="formatting" dxfId="829">
      <pivotArea type="normal" dataOnly="0" labelOnly="1" outline="0" fieldPosition="0">
        <references count="2">
          <reference field="5" selected="0">
            <x v="99"/>
          </reference>
          <reference field="6">
            <x v="125"/>
          </reference>
        </references>
      </pivotArea>
    </format>
    <format action="formatting" dxfId="828">
      <pivotArea type="normal" dataOnly="0" labelOnly="1" outline="0" fieldPosition="0">
        <references count="2">
          <reference field="5" selected="0">
            <x v="100"/>
          </reference>
          <reference field="6">
            <x v="55"/>
          </reference>
        </references>
      </pivotArea>
    </format>
    <format action="formatting" dxfId="827">
      <pivotArea type="normal" dataOnly="0" labelOnly="1" outline="0" fieldPosition="0">
        <references count="2">
          <reference field="5" selected="0">
            <x v="101"/>
          </reference>
          <reference field="6">
            <x v="54"/>
          </reference>
        </references>
      </pivotArea>
    </format>
    <format action="formatting" dxfId="826">
      <pivotArea type="normal" dataOnly="0" labelOnly="1" outline="0" fieldPosition="0">
        <references count="2">
          <reference field="5" selected="0">
            <x v="102"/>
          </reference>
          <reference field="6">
            <x v="27"/>
          </reference>
        </references>
      </pivotArea>
    </format>
    <format action="formatting" dxfId="825">
      <pivotArea type="normal" dataOnly="0" labelOnly="1" outline="0" fieldPosition="0">
        <references count="2">
          <reference field="5" selected="0">
            <x v="103"/>
          </reference>
          <reference field="6">
            <x v="109"/>
          </reference>
        </references>
      </pivotArea>
    </format>
    <format action="formatting" dxfId="824">
      <pivotArea type="normal" dataOnly="0" labelOnly="1" outline="0" fieldPosition="0">
        <references count="2">
          <reference field="5" selected="0">
            <x v="104"/>
          </reference>
          <reference field="6">
            <x v="9"/>
          </reference>
        </references>
      </pivotArea>
    </format>
    <format action="formatting" dxfId="823">
      <pivotArea type="normal" dataOnly="0" labelOnly="1" outline="0" fieldPosition="0">
        <references count="2">
          <reference field="5" selected="0">
            <x v="105"/>
          </reference>
          <reference field="6">
            <x v="63"/>
          </reference>
        </references>
      </pivotArea>
    </format>
    <format action="formatting" dxfId="822">
      <pivotArea type="normal" dataOnly="0" labelOnly="1" outline="0" fieldPosition="0">
        <references count="2">
          <reference field="5" selected="0">
            <x v="106"/>
          </reference>
          <reference field="6">
            <x v="129"/>
          </reference>
        </references>
      </pivotArea>
    </format>
    <format action="formatting" dxfId="821">
      <pivotArea type="normal" dataOnly="0" labelOnly="1" outline="0" fieldPosition="0">
        <references count="2">
          <reference field="5" selected="0">
            <x v="107"/>
          </reference>
          <reference field="6">
            <x v="29"/>
          </reference>
        </references>
      </pivotArea>
    </format>
    <format action="formatting" dxfId="820">
      <pivotArea type="normal" dataOnly="0" labelOnly="1" outline="0" fieldPosition="0">
        <references count="2">
          <reference field="5" selected="0">
            <x v="108"/>
          </reference>
          <reference field="6">
            <x v="64"/>
          </reference>
        </references>
      </pivotArea>
    </format>
    <format action="formatting" dxfId="819">
      <pivotArea type="normal" dataOnly="0" labelOnly="1" outline="0" fieldPosition="0">
        <references count="2">
          <reference field="5" selected="0">
            <x v="109"/>
          </reference>
          <reference field="6">
            <x v="43"/>
          </reference>
        </references>
      </pivotArea>
    </format>
    <format action="formatting" dxfId="818">
      <pivotArea type="normal" dataOnly="0" labelOnly="1" outline="0" fieldPosition="0">
        <references count="2">
          <reference field="5" selected="0">
            <x v="110"/>
          </reference>
          <reference field="6">
            <x v="2"/>
          </reference>
        </references>
      </pivotArea>
    </format>
    <format action="formatting" dxfId="817">
      <pivotArea type="normal" dataOnly="0" labelOnly="1" outline="0" fieldPosition="0">
        <references count="2">
          <reference field="5" selected="0">
            <x v="111"/>
          </reference>
          <reference field="6">
            <x v="42"/>
          </reference>
        </references>
      </pivotArea>
    </format>
    <format action="formatting" dxfId="816">
      <pivotArea type="normal" dataOnly="0" labelOnly="1" outline="0" fieldPosition="0">
        <references count="2">
          <reference field="5" selected="0">
            <x v="112"/>
          </reference>
          <reference field="6">
            <x v="44"/>
          </reference>
        </references>
      </pivotArea>
    </format>
    <format action="formatting" dxfId="815">
      <pivotArea type="normal" dataOnly="0" labelOnly="1" outline="0" fieldPosition="0">
        <references count="2">
          <reference field="5" selected="0">
            <x v="113"/>
          </reference>
          <reference field="6">
            <x v="110"/>
          </reference>
        </references>
      </pivotArea>
    </format>
    <format action="formatting" dxfId="814">
      <pivotArea type="normal" dataOnly="0" labelOnly="1" outline="0" fieldPosition="0">
        <references count="2">
          <reference field="5" selected="0">
            <x v="114"/>
          </reference>
          <reference field="6">
            <x v="56"/>
          </reference>
        </references>
      </pivotArea>
    </format>
    <format action="formatting" dxfId="813">
      <pivotArea type="normal" dataOnly="0" labelOnly="1" outline="0" fieldPosition="0">
        <references count="2">
          <reference field="5" selected="0">
            <x v="115"/>
          </reference>
          <reference field="6">
            <x v="81"/>
          </reference>
        </references>
      </pivotArea>
    </format>
    <format action="formatting" dxfId="812">
      <pivotArea type="normal" dataOnly="0" labelOnly="1" outline="0" fieldPosition="0">
        <references count="2">
          <reference field="5" selected="0">
            <x v="116"/>
          </reference>
          <reference field="6">
            <x v="82"/>
          </reference>
        </references>
      </pivotArea>
    </format>
    <format action="formatting" dxfId="811">
      <pivotArea type="normal" dataOnly="0" labelOnly="1" outline="0" fieldPosition="0">
        <references count="2">
          <reference field="5" selected="0">
            <x v="117"/>
          </reference>
          <reference field="6">
            <x v="117"/>
          </reference>
        </references>
      </pivotArea>
    </format>
    <format action="formatting" dxfId="810">
      <pivotArea type="normal" dataOnly="0" labelOnly="1" outline="0" fieldPosition="0">
        <references count="2">
          <reference field="5" selected="0">
            <x v="118"/>
          </reference>
          <reference field="6">
            <x v="36"/>
          </reference>
        </references>
      </pivotArea>
    </format>
    <format action="formatting" dxfId="809">
      <pivotArea type="normal" dataOnly="0" labelOnly="1" outline="0" fieldPosition="0">
        <references count="2">
          <reference field="5" selected="0">
            <x v="119"/>
          </reference>
          <reference field="6">
            <x v="58"/>
          </reference>
        </references>
      </pivotArea>
    </format>
    <format action="formatting" dxfId="808">
      <pivotArea type="normal" dataOnly="0" labelOnly="1" outline="0" fieldPosition="0">
        <references count="2">
          <reference field="5" selected="0">
            <x v="120"/>
          </reference>
          <reference field="6">
            <x v="52"/>
          </reference>
        </references>
      </pivotArea>
    </format>
    <format action="formatting" dxfId="807">
      <pivotArea type="normal" dataOnly="0" labelOnly="1" outline="0" fieldPosition="0">
        <references count="2">
          <reference field="5" selected="0">
            <x v="121"/>
          </reference>
          <reference field="6">
            <x v="105"/>
          </reference>
        </references>
      </pivotArea>
    </format>
    <format action="formatting" dxfId="806">
      <pivotArea type="normal" dataOnly="0" labelOnly="1" outline="0" fieldPosition="0">
        <references count="2">
          <reference field="5" selected="0">
            <x v="122"/>
          </reference>
          <reference field="6">
            <x v="53"/>
          </reference>
        </references>
      </pivotArea>
    </format>
    <format action="formatting" dxfId="805">
      <pivotArea type="normal" dataOnly="0" labelOnly="1" outline="0" fieldPosition="0">
        <references count="2">
          <reference field="5" selected="0">
            <x v="123"/>
          </reference>
          <reference field="6">
            <x v="72"/>
          </reference>
        </references>
      </pivotArea>
    </format>
    <format action="formatting" dxfId="804">
      <pivotArea type="normal" dataOnly="0" labelOnly="1" outline="0" fieldPosition="0">
        <references count="2">
          <reference field="5" selected="0">
            <x v="124"/>
          </reference>
          <reference field="6">
            <x v="49"/>
          </reference>
        </references>
      </pivotArea>
    </format>
    <format action="formatting" dxfId="803">
      <pivotArea type="normal" dataOnly="0" labelOnly="1" outline="0" fieldPosition="0">
        <references count="2">
          <reference field="5" selected="0">
            <x v="125"/>
          </reference>
          <reference field="6">
            <x v="39"/>
          </reference>
        </references>
      </pivotArea>
    </format>
    <format action="formatting" dxfId="802">
      <pivotArea type="normal" dataOnly="0" labelOnly="1" outline="0" fieldPosition="0">
        <references count="2">
          <reference field="5" selected="0">
            <x v="126"/>
          </reference>
          <reference field="6">
            <x v="60"/>
          </reference>
        </references>
      </pivotArea>
    </format>
    <format action="formatting" dxfId="801">
      <pivotArea type="normal" dataOnly="0" labelOnly="1" outline="0" fieldPosition="0">
        <references count="2">
          <reference field="5" selected="0">
            <x v="127"/>
          </reference>
          <reference field="6">
            <x v="155"/>
          </reference>
        </references>
      </pivotArea>
    </format>
    <format action="formatting" dxfId="800">
      <pivotArea type="normal" dataOnly="0" labelOnly="1" outline="0" fieldPosition="0">
        <references count="2">
          <reference field="5" selected="0">
            <x v="128"/>
          </reference>
          <reference field="6">
            <x v="157"/>
          </reference>
        </references>
      </pivotArea>
    </format>
    <format action="formatting" dxfId="799">
      <pivotArea type="normal" dataOnly="0" labelOnly="1" outline="0" fieldPosition="0">
        <references count="2">
          <reference field="5" selected="0">
            <x v="129"/>
          </reference>
          <reference field="6">
            <x v="156"/>
          </reference>
        </references>
      </pivotArea>
    </format>
    <format action="formatting" dxfId="798">
      <pivotArea type="normal" dataOnly="0" labelOnly="1" outline="0" fieldPosition="0">
        <references count="2">
          <reference field="5" selected="0">
            <x v="130"/>
          </reference>
          <reference field="6">
            <x v="37"/>
          </reference>
        </references>
      </pivotArea>
    </format>
    <format action="formatting" dxfId="797">
      <pivotArea type="normal" dataOnly="0" labelOnly="1" outline="0" fieldPosition="0">
        <references count="2">
          <reference field="5" selected="0">
            <x v="131"/>
          </reference>
          <reference field="6">
            <x v="68"/>
          </reference>
        </references>
      </pivotArea>
    </format>
    <format action="formatting" dxfId="796">
      <pivotArea type="normal" dataOnly="0" labelOnly="1" outline="0" fieldPosition="0">
        <references count="2">
          <reference field="5" selected="0">
            <x v="132"/>
          </reference>
          <reference field="6">
            <x v="77"/>
          </reference>
        </references>
      </pivotArea>
    </format>
    <format action="formatting" dxfId="795">
      <pivotArea type="normal" dataOnly="0" labelOnly="1" outline="0" fieldPosition="0">
        <references count="2">
          <reference field="5" selected="0">
            <x v="133"/>
          </reference>
          <reference field="6">
            <x v="38"/>
          </reference>
        </references>
      </pivotArea>
    </format>
    <format action="formatting" dxfId="794">
      <pivotArea type="normal" dataOnly="0" labelOnly="1" outline="0" fieldPosition="0">
        <references count="2">
          <reference field="5" selected="0">
            <x v="134"/>
          </reference>
          <reference field="6">
            <x v="89"/>
          </reference>
        </references>
      </pivotArea>
    </format>
    <format action="formatting" dxfId="793">
      <pivotArea type="normal" dataOnly="0" labelOnly="1" outline="0" fieldPosition="0">
        <references count="2">
          <reference field="5" selected="0">
            <x v="135"/>
          </reference>
          <reference field="6">
            <x v="115"/>
          </reference>
        </references>
      </pivotArea>
    </format>
    <format action="formatting" dxfId="792">
      <pivotArea type="normal" dataOnly="0" labelOnly="1" outline="0" fieldPosition="0">
        <references count="2">
          <reference field="5" selected="0">
            <x v="136"/>
          </reference>
          <reference field="6">
            <x v="16"/>
          </reference>
        </references>
      </pivotArea>
    </format>
    <format action="formatting" dxfId="791">
      <pivotArea type="normal" dataOnly="0" labelOnly="1" outline="0" fieldPosition="0">
        <references count="2">
          <reference field="5" selected="0">
            <x v="137"/>
          </reference>
          <reference field="6">
            <x v="158"/>
          </reference>
        </references>
      </pivotArea>
    </format>
    <format action="formatting" dxfId="790">
      <pivotArea type="normal" dataOnly="0" labelOnly="1" outline="0" fieldPosition="0">
        <references count="2">
          <reference field="5" selected="0">
            <x v="138"/>
          </reference>
          <reference field="6">
            <x v="112"/>
          </reference>
        </references>
      </pivotArea>
    </format>
    <format action="formatting" dxfId="789">
      <pivotArea type="normal" dataOnly="0" labelOnly="1" outline="0" fieldPosition="0">
        <references count="2">
          <reference field="5" selected="0">
            <x v="139"/>
          </reference>
          <reference field="6">
            <x v="111"/>
          </reference>
        </references>
      </pivotArea>
    </format>
    <format action="formatting" dxfId="788">
      <pivotArea type="normal" dataOnly="0" labelOnly="1" outline="0" fieldPosition="0">
        <references count="2">
          <reference field="5" selected="0">
            <x v="140"/>
          </reference>
          <reference field="6">
            <x v="57"/>
          </reference>
        </references>
      </pivotArea>
    </format>
    <format action="formatting" dxfId="787">
      <pivotArea type="normal" dataOnly="0" labelOnly="1" outline="0" fieldPosition="0">
        <references count="2">
          <reference field="5" selected="0">
            <x v="141"/>
          </reference>
          <reference field="6">
            <x v="104"/>
          </reference>
        </references>
      </pivotArea>
    </format>
    <format action="formatting" dxfId="786">
      <pivotArea type="normal" dataOnly="0" labelOnly="1" outline="0" fieldPosition="0">
        <references count="2">
          <reference field="5" selected="0">
            <x v="142"/>
          </reference>
          <reference field="6">
            <x v="154"/>
          </reference>
        </references>
      </pivotArea>
    </format>
    <format action="formatting" dxfId="785">
      <pivotArea type="normal" dataOnly="0" labelOnly="1" outline="0" fieldPosition="0">
        <references count="2">
          <reference field="5" selected="0">
            <x v="143"/>
          </reference>
          <reference field="6">
            <x v="113"/>
          </reference>
        </references>
      </pivotArea>
    </format>
    <format action="formatting" dxfId="784">
      <pivotArea type="normal" dataOnly="0" labelOnly="1" outline="0" fieldPosition="0">
        <references count="2">
          <reference field="5" selected="0">
            <x v="144"/>
          </reference>
          <reference field="6">
            <x v="114"/>
          </reference>
        </references>
      </pivotArea>
    </format>
    <format action="formatting" dxfId="783">
      <pivotArea type="normal" dataOnly="0" labelOnly="1" outline="0" fieldPosition="0">
        <references count="2">
          <reference field="5" selected="0">
            <x v="145"/>
          </reference>
          <reference field="6">
            <x v="131"/>
          </reference>
        </references>
      </pivotArea>
    </format>
    <format action="formatting" dxfId="782">
      <pivotArea type="normal" dataOnly="0" labelOnly="1" outline="0" fieldPosition="0">
        <references count="2">
          <reference field="5" selected="0">
            <x v="146"/>
          </reference>
          <reference field="6">
            <x v="106"/>
          </reference>
        </references>
      </pivotArea>
    </format>
    <format action="formatting" dxfId="781">
      <pivotArea type="normal" dataOnly="0" labelOnly="1" outline="0" fieldPosition="0">
        <references count="2">
          <reference field="5" selected="0">
            <x v="147"/>
          </reference>
          <reference field="6">
            <x v="107"/>
          </reference>
        </references>
      </pivotArea>
    </format>
    <format action="formatting" dxfId="780">
      <pivotArea type="normal" dataOnly="0" labelOnly="1" outline="0" fieldPosition="0">
        <references count="2">
          <reference field="5" selected="0">
            <x v="148"/>
          </reference>
          <reference field="6">
            <x v="101"/>
          </reference>
        </references>
      </pivotArea>
    </format>
    <format action="formatting" dxfId="779">
      <pivotArea type="normal" dataOnly="0" labelOnly="1" outline="0" fieldPosition="0">
        <references count="2">
          <reference field="5" selected="0">
            <x v="149"/>
          </reference>
          <reference field="6">
            <x v="123"/>
          </reference>
        </references>
      </pivotArea>
    </format>
    <format action="formatting" dxfId="778">
      <pivotArea type="normal" dataOnly="0" labelOnly="1" outline="0" fieldPosition="0">
        <references count="2">
          <reference field="5" selected="0">
            <x v="150"/>
          </reference>
          <reference field="6">
            <x v="124"/>
          </reference>
        </references>
      </pivotArea>
    </format>
    <format action="formatting" dxfId="777">
      <pivotArea type="normal" dataOnly="0" labelOnly="1" outline="0" fieldPosition="0">
        <references count="2">
          <reference field="5" selected="0">
            <x v="151"/>
          </reference>
          <reference field="6">
            <x v="102"/>
          </reference>
        </references>
      </pivotArea>
    </format>
    <format action="formatting" dxfId="776">
      <pivotArea type="normal" dataOnly="0" labelOnly="1" outline="0" fieldPosition="0">
        <references count="2">
          <reference field="5" selected="0">
            <x v="152"/>
          </reference>
          <reference field="6">
            <x v="161"/>
          </reference>
        </references>
      </pivotArea>
    </format>
    <format action="formatting" dxfId="775">
      <pivotArea type="normal" dataOnly="0" labelOnly="1" outline="0" fieldPosition="0">
        <references count="2">
          <reference field="5" selected="0">
            <x v="153"/>
          </reference>
          <reference field="6">
            <x v="162"/>
          </reference>
        </references>
      </pivotArea>
    </format>
    <format action="formatting" dxfId="774">
      <pivotArea type="normal" dataOnly="0" labelOnly="1" outline="0" fieldPosition="0">
        <references count="2">
          <reference field="5" selected="0">
            <x v="154"/>
          </reference>
          <reference field="6">
            <x v="119"/>
          </reference>
        </references>
      </pivotArea>
    </format>
    <format action="formatting" dxfId="773">
      <pivotArea type="normal" dataOnly="0" labelOnly="1" outline="0" fieldPosition="0">
        <references count="2">
          <reference field="5" selected="0">
            <x v="155"/>
          </reference>
          <reference field="6">
            <x v="128"/>
          </reference>
        </references>
      </pivotArea>
    </format>
    <format action="formatting" dxfId="772">
      <pivotArea type="normal" dataOnly="0" labelOnly="1" outline="0" fieldPosition="0">
        <references count="2">
          <reference field="5" selected="0">
            <x v="156"/>
          </reference>
          <reference field="6">
            <x v="120"/>
          </reference>
        </references>
      </pivotArea>
    </format>
    <format action="formatting" dxfId="771">
      <pivotArea type="normal" dataOnly="0" labelOnly="1" outline="0" fieldPosition="0">
        <references count="2">
          <reference field="5" selected="0">
            <x v="157"/>
          </reference>
          <reference field="6">
            <x v="17"/>
          </reference>
        </references>
      </pivotArea>
    </format>
    <format action="formatting" dxfId="770">
      <pivotArea type="normal" dataOnly="0" labelOnly="1" outline="0" fieldPosition="0">
        <references count="2">
          <reference field="5" selected="0">
            <x v="158"/>
          </reference>
          <reference field="6">
            <x v="34"/>
          </reference>
        </references>
      </pivotArea>
    </format>
    <format action="formatting" dxfId="769">
      <pivotArea type="normal" dataOnly="0" labelOnly="1" outline="0" fieldPosition="0">
        <references count="2">
          <reference field="5" selected="0">
            <x v="159"/>
          </reference>
          <reference field="6">
            <x v="35"/>
          </reference>
        </references>
      </pivotArea>
    </format>
    <format action="formatting" dxfId="768">
      <pivotArea type="normal" dataOnly="0" labelOnly="1" outline="0" fieldPosition="0">
        <references count="2">
          <reference field="5" selected="0">
            <x v="160"/>
          </reference>
          <reference field="6">
            <x v="59"/>
          </reference>
        </references>
      </pivotArea>
    </format>
    <format action="formatting" dxfId="767">
      <pivotArea type="normal" dataOnly="0" labelOnly="1" outline="0" fieldPosition="0">
        <references count="2">
          <reference field="5" selected="0">
            <x v="161"/>
          </reference>
          <reference field="6">
            <x v="74"/>
          </reference>
        </references>
      </pivotArea>
    </format>
    <format action="formatting" dxfId="766">
      <pivotArea type="normal" dataOnly="0" labelOnly="1" outline="0" fieldPosition="0">
        <references count="2">
          <reference field="5" selected="0">
            <x v="162"/>
          </reference>
          <reference field="6">
            <x v="75"/>
          </reference>
        </references>
      </pivotArea>
    </format>
    <format action="formatting" dxfId="765">
      <pivotArea type="normal" dataOnly="0" labelOnly="1" outline="0" fieldPosition="0">
        <references count="2">
          <reference field="5" selected="0">
            <x v="163"/>
          </reference>
          <reference field="6">
            <x v="73"/>
          </reference>
        </references>
      </pivotArea>
    </format>
    <format action="formatting" dxfId="764">
      <pivotArea type="normal" dataOnly="0" labelOnly="1" outline="0" fieldPosition="0">
        <references count="2">
          <reference field="5" selected="0">
            <x v="164"/>
          </reference>
          <reference field="6">
            <x v="167"/>
          </reference>
        </references>
      </pivotArea>
    </format>
    <format action="formatting" dxfId="763">
      <pivotArea type="normal" dataOnly="0" labelOnly="1" outline="0" fieldPosition="0">
        <references count="2">
          <reference field="5" selected="0">
            <x v="165"/>
          </reference>
          <reference field="6">
            <x v="118"/>
          </reference>
        </references>
      </pivotArea>
    </format>
    <format action="formatting" dxfId="762">
      <pivotArea type="normal" dataOnly="0" labelOnly="1" outline="0" fieldPosition="0">
        <references count="2">
          <reference field="5" selected="0">
            <x v="166"/>
          </reference>
          <reference field="6">
            <x v="71"/>
          </reference>
        </references>
      </pivotArea>
    </format>
    <format action="formatting" dxfId="761">
      <pivotArea type="normal" dataOnly="0" labelOnly="1" outline="0" fieldPosition="0">
        <references count="2">
          <reference field="5" selected="0">
            <x v="167"/>
          </reference>
          <reference field="6">
            <x v="69"/>
          </reference>
        </references>
      </pivotArea>
    </format>
    <format action="formatting" dxfId="760">
      <pivotArea type="normal" dataOnly="0" labelOnly="1" outline="0" fieldPosition="0">
        <references count="2">
          <reference field="5" selected="0">
            <x v="168"/>
          </reference>
          <reference field="6">
            <x v="66"/>
          </reference>
        </references>
      </pivotArea>
    </format>
    <format action="formatting" dxfId="759">
      <pivotArea type="normal" dataOnly="0" labelOnly="1" outline="0" fieldPosition="0">
        <references count="3">
          <reference field="5" selected="0">
            <x v="0"/>
          </reference>
          <reference field="6" selected="0">
            <x v="88"/>
          </reference>
          <reference field="8">
            <x v="1"/>
          </reference>
        </references>
      </pivotArea>
    </format>
    <format action="formatting" dxfId="758">
      <pivotArea type="normal" dataOnly="0" labelOnly="1" outline="0" fieldPosition="0">
        <references count="3">
          <reference field="5" selected="0">
            <x v="1"/>
          </reference>
          <reference field="6" selected="0">
            <x v="20"/>
          </reference>
          <reference field="8">
            <x v="2"/>
          </reference>
        </references>
      </pivotArea>
    </format>
    <format action="formatting" dxfId="757">
      <pivotArea type="normal" dataOnly="0" labelOnly="1" outline="0" fieldPosition="0">
        <references count="3">
          <reference field="5" selected="0">
            <x v="2"/>
          </reference>
          <reference field="6" selected="0">
            <x v="138"/>
          </reference>
          <reference field="8">
            <x v="1"/>
          </reference>
        </references>
      </pivotArea>
    </format>
    <format action="formatting" dxfId="756">
      <pivotArea type="normal" dataOnly="0" labelOnly="1" outline="0" fieldPosition="0">
        <references count="3">
          <reference field="5" selected="0">
            <x v="3"/>
          </reference>
          <reference field="6" selected="0">
            <x v="31"/>
          </reference>
          <reference field="8">
            <x v="2"/>
          </reference>
        </references>
      </pivotArea>
    </format>
    <format action="formatting" dxfId="755">
      <pivotArea type="normal" dataOnly="0" labelOnly="1" outline="0" fieldPosition="0">
        <references count="3">
          <reference field="5" selected="0">
            <x v="4"/>
          </reference>
          <reference field="6" selected="0">
            <x v="139"/>
          </reference>
          <reference field="8">
            <x v="1"/>
          </reference>
        </references>
      </pivotArea>
    </format>
    <format action="formatting" dxfId="754">
      <pivotArea type="normal" dataOnly="0" labelOnly="1" outline="0" fieldPosition="0">
        <references count="3">
          <reference field="5" selected="0">
            <x v="5"/>
          </reference>
          <reference field="6" selected="0">
            <x v="13"/>
          </reference>
          <reference field="8">
            <x v="2"/>
          </reference>
        </references>
      </pivotArea>
    </format>
    <format action="formatting" dxfId="753">
      <pivotArea type="normal" dataOnly="0" labelOnly="1" outline="0" fieldPosition="0">
        <references count="3">
          <reference field="5" selected="0">
            <x v="6"/>
          </reference>
          <reference field="6" selected="0">
            <x v="70"/>
          </reference>
          <reference field="8">
            <x v="1"/>
          </reference>
        </references>
      </pivotArea>
    </format>
    <format action="formatting" dxfId="752">
      <pivotArea type="normal" dataOnly="0" labelOnly="1" outline="0" fieldPosition="0">
        <references count="3">
          <reference field="5" selected="0">
            <x v="7"/>
          </reference>
          <reference field="6" selected="0">
            <x v="10"/>
          </reference>
          <reference field="8">
            <x v="1"/>
          </reference>
        </references>
      </pivotArea>
    </format>
    <format action="formatting" dxfId="751">
      <pivotArea type="normal" dataOnly="0" labelOnly="1" outline="0" fieldPosition="0">
        <references count="3">
          <reference field="5" selected="0">
            <x v="8"/>
          </reference>
          <reference field="6" selected="0">
            <x v="11"/>
          </reference>
          <reference field="8">
            <x v="2"/>
          </reference>
        </references>
      </pivotArea>
    </format>
    <format action="formatting" dxfId="750">
      <pivotArea type="normal" dataOnly="0" labelOnly="1" outline="0" fieldPosition="0">
        <references count="3">
          <reference field="5" selected="0">
            <x v="9"/>
          </reference>
          <reference field="6" selected="0">
            <x v="12"/>
          </reference>
          <reference field="8">
            <x v="2"/>
          </reference>
        </references>
      </pivotArea>
    </format>
    <format action="formatting" dxfId="749">
      <pivotArea type="normal" dataOnly="0" labelOnly="1" outline="0" fieldPosition="0">
        <references count="3">
          <reference field="5" selected="0">
            <x v="10"/>
          </reference>
          <reference field="6" selected="0">
            <x v="6"/>
          </reference>
          <reference field="8">
            <x v="1"/>
          </reference>
        </references>
      </pivotArea>
    </format>
    <format action="formatting" dxfId="748">
      <pivotArea type="normal" dataOnly="0" labelOnly="1" outline="0" fieldPosition="0">
        <references count="3">
          <reference field="5" selected="0">
            <x v="11"/>
          </reference>
          <reference field="6" selected="0">
            <x v="7"/>
          </reference>
          <reference field="8">
            <x v="1"/>
          </reference>
        </references>
      </pivotArea>
    </format>
    <format action="formatting" dxfId="747">
      <pivotArea type="normal" dataOnly="0" labelOnly="1" outline="0" fieldPosition="0">
        <references count="3">
          <reference field="5" selected="0">
            <x v="12"/>
          </reference>
          <reference field="6" selected="0">
            <x v="103"/>
          </reference>
          <reference field="8">
            <x v="1"/>
          </reference>
        </references>
      </pivotArea>
    </format>
    <format action="formatting" dxfId="746">
      <pivotArea type="normal" dataOnly="0" labelOnly="1" outline="0" fieldPosition="0">
        <references count="3">
          <reference field="5" selected="0">
            <x v="13"/>
          </reference>
          <reference field="6" selected="0">
            <x v="26"/>
          </reference>
          <reference field="8">
            <x v="2"/>
          </reference>
        </references>
      </pivotArea>
    </format>
    <format action="formatting" dxfId="745">
      <pivotArea type="normal" dataOnly="0" labelOnly="1" outline="0" fieldPosition="0">
        <references count="3">
          <reference field="5" selected="0">
            <x v="14"/>
          </reference>
          <reference field="6" selected="0">
            <x v="22"/>
          </reference>
          <reference field="8">
            <x v="2"/>
          </reference>
        </references>
      </pivotArea>
    </format>
    <format action="formatting" dxfId="744">
      <pivotArea type="normal" dataOnly="0" labelOnly="1" outline="0" fieldPosition="0">
        <references count="3">
          <reference field="5" selected="0">
            <x v="15"/>
          </reference>
          <reference field="6" selected="0">
            <x v="93"/>
          </reference>
          <reference field="8">
            <x v="1"/>
          </reference>
        </references>
      </pivotArea>
    </format>
    <format action="formatting" dxfId="743">
      <pivotArea type="normal" dataOnly="0" labelOnly="1" outline="0" fieldPosition="0">
        <references count="3">
          <reference field="5" selected="0">
            <x v="16"/>
          </reference>
          <reference field="6" selected="0">
            <x v="159"/>
          </reference>
          <reference field="8">
            <x v="1"/>
          </reference>
        </references>
      </pivotArea>
    </format>
    <format action="formatting" dxfId="742">
      <pivotArea type="normal" dataOnly="0" labelOnly="1" outline="0" fieldPosition="0">
        <references count="3">
          <reference field="5" selected="0">
            <x v="17"/>
          </reference>
          <reference field="6" selected="0">
            <x v="0"/>
          </reference>
          <reference field="8">
            <x v="2"/>
          </reference>
        </references>
      </pivotArea>
    </format>
    <format action="formatting" dxfId="741">
      <pivotArea type="normal" dataOnly="0" labelOnly="1" outline="0" fieldPosition="0">
        <references count="3">
          <reference field="5" selected="0">
            <x v="18"/>
          </reference>
          <reference field="6" selected="0">
            <x v="21"/>
          </reference>
          <reference field="8">
            <x v="2"/>
          </reference>
        </references>
      </pivotArea>
    </format>
    <format action="formatting" dxfId="740">
      <pivotArea type="normal" dataOnly="0" labelOnly="1" outline="0" fieldPosition="0">
        <references count="3">
          <reference field="5" selected="0">
            <x v="19"/>
          </reference>
          <reference field="6" selected="0">
            <x v="5"/>
          </reference>
          <reference field="8">
            <x v="2"/>
          </reference>
        </references>
      </pivotArea>
    </format>
    <format action="formatting" dxfId="739">
      <pivotArea type="normal" dataOnly="0" labelOnly="1" outline="0" fieldPosition="0">
        <references count="3">
          <reference field="5" selected="0">
            <x v="20"/>
          </reference>
          <reference field="6" selected="0">
            <x v="51"/>
          </reference>
          <reference field="8">
            <x v="1"/>
          </reference>
        </references>
      </pivotArea>
    </format>
    <format action="formatting" dxfId="738">
      <pivotArea type="normal" dataOnly="0" labelOnly="1" outline="0" fieldPosition="0">
        <references count="3">
          <reference field="5" selected="0">
            <x v="21"/>
          </reference>
          <reference field="6" selected="0">
            <x v="15"/>
          </reference>
          <reference field="8">
            <x v="2"/>
          </reference>
        </references>
      </pivotArea>
    </format>
    <format action="formatting" dxfId="737">
      <pivotArea type="normal" dataOnly="0" labelOnly="1" outline="0" fieldPosition="0">
        <references count="3">
          <reference field="5" selected="0">
            <x v="22"/>
          </reference>
          <reference field="6" selected="0">
            <x v="19"/>
          </reference>
          <reference field="8">
            <x v="2"/>
          </reference>
        </references>
      </pivotArea>
    </format>
    <format action="formatting" dxfId="736">
      <pivotArea type="normal" dataOnly="0" labelOnly="1" outline="0" fieldPosition="0">
        <references count="3">
          <reference field="5" selected="0">
            <x v="23"/>
          </reference>
          <reference field="6" selected="0">
            <x v="14"/>
          </reference>
          <reference field="8">
            <x v="2"/>
          </reference>
        </references>
      </pivotArea>
    </format>
    <format action="formatting" dxfId="735">
      <pivotArea type="normal" dataOnly="0" labelOnly="1" outline="0" fieldPosition="0">
        <references count="3">
          <reference field="5" selected="0">
            <x v="24"/>
          </reference>
          <reference field="6" selected="0">
            <x v="141"/>
          </reference>
          <reference field="8">
            <x v="1"/>
          </reference>
        </references>
      </pivotArea>
    </format>
    <format action="formatting" dxfId="734">
      <pivotArea type="normal" dataOnly="0" labelOnly="1" outline="0" fieldPosition="0">
        <references count="3">
          <reference field="5" selected="0">
            <x v="25"/>
          </reference>
          <reference field="6" selected="0">
            <x v="142"/>
          </reference>
          <reference field="8">
            <x v="1"/>
          </reference>
        </references>
      </pivotArea>
    </format>
    <format action="formatting" dxfId="733">
      <pivotArea type="normal" dataOnly="0" labelOnly="1" outline="0" fieldPosition="0">
        <references count="3">
          <reference field="5" selected="0">
            <x v="26"/>
          </reference>
          <reference field="6" selected="0">
            <x v="50"/>
          </reference>
          <reference field="8">
            <x v="1"/>
          </reference>
        </references>
      </pivotArea>
    </format>
    <format action="formatting" dxfId="732">
      <pivotArea type="normal" dataOnly="0" labelOnly="1" outline="0" fieldPosition="0">
        <references count="3">
          <reference field="5" selected="0">
            <x v="27"/>
          </reference>
          <reference field="6" selected="0">
            <x v="4"/>
          </reference>
          <reference field="8">
            <x v="2"/>
          </reference>
        </references>
      </pivotArea>
    </format>
    <format action="formatting" dxfId="731">
      <pivotArea type="normal" dataOnly="0" labelOnly="1" outline="0" fieldPosition="0">
        <references count="3">
          <reference field="5" selected="0">
            <x v="28"/>
          </reference>
          <reference field="6" selected="0">
            <x v="87"/>
          </reference>
          <reference field="8">
            <x v="1"/>
          </reference>
        </references>
      </pivotArea>
    </format>
    <format action="formatting" dxfId="730">
      <pivotArea type="normal" dataOnly="0" labelOnly="1" outline="0" fieldPosition="0">
        <references count="3">
          <reference field="5" selected="0">
            <x v="29"/>
          </reference>
          <reference field="6" selected="0">
            <x v="78"/>
          </reference>
          <reference field="8">
            <x v="1"/>
          </reference>
        </references>
      </pivotArea>
    </format>
    <format action="formatting" dxfId="729">
      <pivotArea type="normal" dataOnly="0" labelOnly="1" outline="0" fieldPosition="0">
        <references count="3">
          <reference field="5" selected="0">
            <x v="30"/>
          </reference>
          <reference field="6" selected="0">
            <x v="32"/>
          </reference>
          <reference field="8">
            <x v="2"/>
          </reference>
        </references>
      </pivotArea>
    </format>
    <format action="formatting" dxfId="728">
      <pivotArea type="normal" dataOnly="0" labelOnly="1" outline="0" fieldPosition="0">
        <references count="3">
          <reference field="5" selected="0">
            <x v="31"/>
          </reference>
          <reference field="6" selected="0">
            <x v="151"/>
          </reference>
          <reference field="8">
            <x v="1"/>
          </reference>
        </references>
      </pivotArea>
    </format>
    <format action="formatting" dxfId="727">
      <pivotArea type="normal" dataOnly="0" labelOnly="1" outline="0" fieldPosition="0">
        <references count="3">
          <reference field="5" selected="0">
            <x v="32"/>
          </reference>
          <reference field="6" selected="0">
            <x v="149"/>
          </reference>
          <reference field="8">
            <x v="1"/>
          </reference>
        </references>
      </pivotArea>
    </format>
    <format action="formatting" dxfId="726">
      <pivotArea type="normal" dataOnly="0" labelOnly="1" outline="0" fieldPosition="0">
        <references count="3">
          <reference field="5" selected="0">
            <x v="33"/>
          </reference>
          <reference field="6" selected="0">
            <x v="150"/>
          </reference>
          <reference field="8">
            <x v="1"/>
          </reference>
        </references>
      </pivotArea>
    </format>
    <format action="formatting" dxfId="725">
      <pivotArea type="normal" dataOnly="0" labelOnly="1" outline="0" fieldPosition="0">
        <references count="3">
          <reference field="5" selected="0">
            <x v="34"/>
          </reference>
          <reference field="6" selected="0">
            <x v="152"/>
          </reference>
          <reference field="8">
            <x v="1"/>
          </reference>
        </references>
      </pivotArea>
    </format>
    <format action="formatting" dxfId="724">
      <pivotArea type="normal" dataOnly="0" labelOnly="1" outline="0" fieldPosition="0">
        <references count="3">
          <reference field="5" selected="0">
            <x v="35"/>
          </reference>
          <reference field="6" selected="0">
            <x v="168"/>
          </reference>
          <reference field="8">
            <x v="1"/>
          </reference>
        </references>
      </pivotArea>
    </format>
    <format action="formatting" dxfId="723">
      <pivotArea type="normal" dataOnly="0" labelOnly="1" outline="0" fieldPosition="0">
        <references count="3">
          <reference field="5" selected="0">
            <x v="36"/>
          </reference>
          <reference field="6" selected="0">
            <x v="97"/>
          </reference>
          <reference field="8">
            <x v="1"/>
          </reference>
        </references>
      </pivotArea>
    </format>
    <format action="formatting" dxfId="722">
      <pivotArea type="normal" dataOnly="0" labelOnly="1" outline="0" fieldPosition="0">
        <references count="3">
          <reference field="5" selected="0">
            <x v="37"/>
          </reference>
          <reference field="6" selected="0">
            <x v="98"/>
          </reference>
          <reference field="8">
            <x v="1"/>
          </reference>
        </references>
      </pivotArea>
    </format>
    <format action="formatting" dxfId="721">
      <pivotArea type="normal" dataOnly="0" labelOnly="1" outline="0" fieldPosition="0">
        <references count="3">
          <reference field="5" selected="0">
            <x v="38"/>
          </reference>
          <reference field="6" selected="0">
            <x v="46"/>
          </reference>
          <reference field="8">
            <x v="1"/>
          </reference>
        </references>
      </pivotArea>
    </format>
    <format action="formatting" dxfId="720">
      <pivotArea type="normal" dataOnly="0" labelOnly="1" outline="0" fieldPosition="0">
        <references count="3">
          <reference field="5" selected="0">
            <x v="39"/>
          </reference>
          <reference field="6" selected="0">
            <x v="33"/>
          </reference>
          <reference field="8">
            <x v="2"/>
          </reference>
        </references>
      </pivotArea>
    </format>
    <format action="formatting" dxfId="719">
      <pivotArea type="normal" dataOnly="0" labelOnly="1" outline="0" fieldPosition="0">
        <references count="3">
          <reference field="5" selected="0">
            <x v="40"/>
          </reference>
          <reference field="6" selected="0">
            <x v="160"/>
          </reference>
          <reference field="8">
            <x v="1"/>
          </reference>
        </references>
      </pivotArea>
    </format>
    <format action="formatting" dxfId="718">
      <pivotArea type="normal" dataOnly="0" labelOnly="1" outline="0" fieldPosition="0">
        <references count="3">
          <reference field="5" selected="0">
            <x v="41"/>
          </reference>
          <reference field="6" selected="0">
            <x v="90"/>
          </reference>
          <reference field="8">
            <x v="1"/>
          </reference>
        </references>
      </pivotArea>
    </format>
    <format action="formatting" dxfId="717">
      <pivotArea type="normal" dataOnly="0" labelOnly="1" outline="0" fieldPosition="0">
        <references count="3">
          <reference field="5" selected="0">
            <x v="42"/>
          </reference>
          <reference field="6" selected="0">
            <x v="163"/>
          </reference>
          <reference field="8">
            <x v="1"/>
          </reference>
        </references>
      </pivotArea>
    </format>
    <format action="formatting" dxfId="716">
      <pivotArea type="normal" dataOnly="0" labelOnly="1" outline="0" fieldPosition="0">
        <references count="3">
          <reference field="5" selected="0">
            <x v="43"/>
          </reference>
          <reference field="6" selected="0">
            <x v="80"/>
          </reference>
          <reference field="8">
            <x v="1"/>
          </reference>
        </references>
      </pivotArea>
    </format>
    <format action="formatting" dxfId="715">
      <pivotArea type="normal" dataOnly="0" labelOnly="1" outline="0" fieldPosition="0">
        <references count="3">
          <reference field="5" selected="0">
            <x v="44"/>
          </reference>
          <reference field="6" selected="0">
            <x v="18"/>
          </reference>
          <reference field="8">
            <x v="2"/>
          </reference>
        </references>
      </pivotArea>
    </format>
    <format action="formatting" dxfId="714">
      <pivotArea type="normal" dataOnly="0" labelOnly="1" outline="0" fieldPosition="0">
        <references count="3">
          <reference field="5" selected="0">
            <x v="45"/>
          </reference>
          <reference field="6" selected="0">
            <x v="130"/>
          </reference>
          <reference field="8">
            <x v="1"/>
          </reference>
        </references>
      </pivotArea>
    </format>
    <format action="formatting" dxfId="713">
      <pivotArea type="normal" dataOnly="0" labelOnly="1" outline="0" fieldPosition="0">
        <references count="3">
          <reference field="5" selected="0">
            <x v="46"/>
          </reference>
          <reference field="6" selected="0">
            <x v="91"/>
          </reference>
          <reference field="8">
            <x v="1"/>
          </reference>
        </references>
      </pivotArea>
    </format>
    <format action="formatting" dxfId="712">
      <pivotArea type="normal" dataOnly="0" labelOnly="1" outline="0" fieldPosition="0">
        <references count="3">
          <reference field="5" selected="0">
            <x v="47"/>
          </reference>
          <reference field="6" selected="0">
            <x v="116"/>
          </reference>
          <reference field="8">
            <x v="1"/>
          </reference>
        </references>
      </pivotArea>
    </format>
    <format action="formatting" dxfId="711">
      <pivotArea type="normal" dataOnly="0" labelOnly="1" outline="0" fieldPosition="0">
        <references count="3">
          <reference field="5" selected="0">
            <x v="48"/>
          </reference>
          <reference field="6" selected="0">
            <x v="48"/>
          </reference>
          <reference field="8">
            <x v="1"/>
          </reference>
        </references>
      </pivotArea>
    </format>
    <format action="formatting" dxfId="710">
      <pivotArea type="normal" dataOnly="0" labelOnly="1" outline="0" fieldPosition="0">
        <references count="3">
          <reference field="5" selected="0">
            <x v="49"/>
          </reference>
          <reference field="6" selected="0">
            <x v="3"/>
          </reference>
          <reference field="8">
            <x v="2"/>
          </reference>
        </references>
      </pivotArea>
    </format>
    <format action="formatting" dxfId="709">
      <pivotArea type="normal" dataOnly="0" labelOnly="1" outline="0" fieldPosition="0">
        <references count="3">
          <reference field="5" selected="0">
            <x v="50"/>
          </reference>
          <reference field="6" selected="0">
            <x v="47"/>
          </reference>
          <reference field="8">
            <x v="1"/>
          </reference>
        </references>
      </pivotArea>
    </format>
    <format action="formatting" dxfId="708">
      <pivotArea type="normal" dataOnly="0" labelOnly="1" outline="0" fieldPosition="0">
        <references count="3">
          <reference field="5" selected="0">
            <x v="51"/>
          </reference>
          <reference field="6" selected="0">
            <x v="165"/>
          </reference>
          <reference field="8">
            <x v="1"/>
          </reference>
        </references>
      </pivotArea>
    </format>
    <format action="formatting" dxfId="707">
      <pivotArea type="normal" dataOnly="0" labelOnly="1" outline="0" fieldPosition="0">
        <references count="3">
          <reference field="5" selected="0">
            <x v="52"/>
          </reference>
          <reference field="6" selected="0">
            <x v="164"/>
          </reference>
          <reference field="8">
            <x v="1"/>
          </reference>
        </references>
      </pivotArea>
    </format>
    <format action="formatting" dxfId="706">
      <pivotArea type="normal" dataOnly="0" labelOnly="1" outline="0" fieldPosition="0">
        <references count="3">
          <reference field="5" selected="0">
            <x v="53"/>
          </reference>
          <reference field="6" selected="0">
            <x v="86"/>
          </reference>
          <reference field="8">
            <x v="1"/>
          </reference>
        </references>
      </pivotArea>
    </format>
    <format action="formatting" dxfId="705">
      <pivotArea type="normal" dataOnly="0" labelOnly="1" outline="0" fieldPosition="0">
        <references count="3">
          <reference field="5" selected="0">
            <x v="54"/>
          </reference>
          <reference field="6" selected="0">
            <x v="67"/>
          </reference>
          <reference field="8">
            <x v="1"/>
          </reference>
        </references>
      </pivotArea>
    </format>
    <format action="formatting" dxfId="704">
      <pivotArea type="normal" dataOnly="0" labelOnly="1" outline="0" fieldPosition="0">
        <references count="3">
          <reference field="5" selected="0">
            <x v="55"/>
          </reference>
          <reference field="6" selected="0">
            <x v="79"/>
          </reference>
          <reference field="8">
            <x v="1"/>
          </reference>
        </references>
      </pivotArea>
    </format>
    <format action="formatting" dxfId="703">
      <pivotArea type="normal" dataOnly="0" labelOnly="1" outline="0" fieldPosition="0">
        <references count="3">
          <reference field="5" selected="0">
            <x v="56"/>
          </reference>
          <reference field="6" selected="0">
            <x v="40"/>
          </reference>
          <reference field="8">
            <x v="1"/>
          </reference>
        </references>
      </pivotArea>
    </format>
    <format action="formatting" dxfId="702">
      <pivotArea type="normal" dataOnly="0" labelOnly="1" outline="0" fieldPosition="0">
        <references count="3">
          <reference field="5" selected="0">
            <x v="57"/>
          </reference>
          <reference field="6" selected="0">
            <x v="62"/>
          </reference>
          <reference field="8">
            <x v="1"/>
          </reference>
        </references>
      </pivotArea>
    </format>
    <format action="formatting" dxfId="701">
      <pivotArea type="normal" dataOnly="0" labelOnly="1" outline="0" fieldPosition="0">
        <references count="3">
          <reference field="5" selected="0">
            <x v="58"/>
          </reference>
          <reference field="6" selected="0">
            <x v="8"/>
          </reference>
          <reference field="8">
            <x v="2"/>
          </reference>
        </references>
      </pivotArea>
    </format>
    <format action="formatting" dxfId="700">
      <pivotArea type="normal" dataOnly="0" labelOnly="1" outline="0" fieldPosition="0">
        <references count="3">
          <reference field="5" selected="0">
            <x v="59"/>
          </reference>
          <reference field="6" selected="0">
            <x v="134"/>
          </reference>
          <reference field="8">
            <x v="1"/>
          </reference>
        </references>
      </pivotArea>
    </format>
    <format action="formatting" dxfId="699">
      <pivotArea type="normal" dataOnly="0" labelOnly="1" outline="0" fieldPosition="0">
        <references count="3">
          <reference field="5" selected="0">
            <x v="60"/>
          </reference>
          <reference field="6" selected="0">
            <x v="135"/>
          </reference>
          <reference field="8">
            <x v="1"/>
          </reference>
        </references>
      </pivotArea>
    </format>
    <format action="formatting" dxfId="698">
      <pivotArea type="normal" dataOnly="0" labelOnly="1" outline="0" fieldPosition="0">
        <references count="3">
          <reference field="5" selected="0">
            <x v="61"/>
          </reference>
          <reference field="6" selected="0">
            <x v="126"/>
          </reference>
          <reference field="8">
            <x v="1"/>
          </reference>
        </references>
      </pivotArea>
    </format>
    <format action="formatting" dxfId="697">
      <pivotArea type="normal" dataOnly="0" labelOnly="1" outline="0" fieldPosition="0">
        <references count="3">
          <reference field="5" selected="0">
            <x v="62"/>
          </reference>
          <reference field="6" selected="0">
            <x v="28"/>
          </reference>
          <reference field="8">
            <x v="2"/>
          </reference>
        </references>
      </pivotArea>
    </format>
    <format action="formatting" dxfId="696">
      <pivotArea type="normal" dataOnly="0" labelOnly="1" outline="0" fieldPosition="0">
        <references count="3">
          <reference field="5" selected="0">
            <x v="63"/>
          </reference>
          <reference field="6" selected="0">
            <x v="127"/>
          </reference>
          <reference field="8">
            <x v="1"/>
          </reference>
        </references>
      </pivotArea>
    </format>
    <format action="formatting" dxfId="695">
      <pivotArea type="normal" dataOnly="0" labelOnly="1" outline="0" fieldPosition="0">
        <references count="3">
          <reference field="5" selected="0">
            <x v="64"/>
          </reference>
          <reference field="6" selected="0">
            <x v="146"/>
          </reference>
          <reference field="8">
            <x v="1"/>
          </reference>
        </references>
      </pivotArea>
    </format>
    <format action="formatting" dxfId="694">
      <pivotArea type="normal" dataOnly="0" labelOnly="1" outline="0" fieldPosition="0">
        <references count="3">
          <reference field="5" selected="0">
            <x v="65"/>
          </reference>
          <reference field="6" selected="0">
            <x v="148"/>
          </reference>
          <reference field="8">
            <x v="1"/>
          </reference>
        </references>
      </pivotArea>
    </format>
    <format action="formatting" dxfId="693">
      <pivotArea type="normal" dataOnly="0" labelOnly="1" outline="0" fieldPosition="0">
        <references count="3">
          <reference field="5" selected="0">
            <x v="66"/>
          </reference>
          <reference field="6" selected="0">
            <x v="145"/>
          </reference>
          <reference field="8">
            <x v="1"/>
          </reference>
        </references>
      </pivotArea>
    </format>
    <format action="formatting" dxfId="692">
      <pivotArea type="normal" dataOnly="0" labelOnly="1" outline="0" fieldPosition="0">
        <references count="3">
          <reference field="5" selected="0">
            <x v="67"/>
          </reference>
          <reference field="6" selected="0">
            <x v="147"/>
          </reference>
          <reference field="8">
            <x v="1"/>
          </reference>
        </references>
      </pivotArea>
    </format>
    <format action="formatting" dxfId="691">
      <pivotArea type="normal" dataOnly="0" labelOnly="1" outline="0" fieldPosition="0">
        <references count="3">
          <reference field="5" selected="0">
            <x v="68"/>
          </reference>
          <reference field="6" selected="0">
            <x v="121"/>
          </reference>
          <reference field="8">
            <x v="1"/>
          </reference>
        </references>
      </pivotArea>
    </format>
    <format action="formatting" dxfId="690">
      <pivotArea type="normal" dataOnly="0" labelOnly="1" outline="0" fieldPosition="0">
        <references count="3">
          <reference field="5" selected="0">
            <x v="69"/>
          </reference>
          <reference field="6" selected="0">
            <x v="96"/>
          </reference>
          <reference field="8">
            <x v="1"/>
          </reference>
        </references>
      </pivotArea>
    </format>
    <format action="formatting" dxfId="689">
      <pivotArea type="normal" dataOnly="0" labelOnly="1" outline="0" fieldPosition="0">
        <references count="3">
          <reference field="5" selected="0">
            <x v="70"/>
          </reference>
          <reference field="6" selected="0">
            <x v="95"/>
          </reference>
          <reference field="8">
            <x v="1"/>
          </reference>
        </references>
      </pivotArea>
    </format>
    <format action="formatting" dxfId="688">
      <pivotArea type="normal" dataOnly="0" labelOnly="1" outline="0" fieldPosition="0">
        <references count="3">
          <reference field="5" selected="0">
            <x v="71"/>
          </reference>
          <reference field="6" selected="0">
            <x v="108"/>
          </reference>
          <reference field="8">
            <x v="1"/>
          </reference>
        </references>
      </pivotArea>
    </format>
    <format action="formatting" dxfId="687">
      <pivotArea type="normal" dataOnly="0" labelOnly="1" outline="0" fieldPosition="0">
        <references count="3">
          <reference field="5" selected="0">
            <x v="72"/>
          </reference>
          <reference field="6" selected="0">
            <x v="76"/>
          </reference>
          <reference field="8">
            <x v="1"/>
          </reference>
        </references>
      </pivotArea>
    </format>
    <format action="formatting" dxfId="686">
      <pivotArea type="normal" dataOnly="0" labelOnly="1" outline="0" fieldPosition="0">
        <references count="3">
          <reference field="5" selected="0">
            <x v="73"/>
          </reference>
          <reference field="6" selected="0">
            <x v="144"/>
          </reference>
          <reference field="8">
            <x v="1"/>
          </reference>
        </references>
      </pivotArea>
    </format>
    <format action="formatting" dxfId="685">
      <pivotArea type="normal" dataOnly="0" labelOnly="1" outline="0" fieldPosition="0">
        <references count="3">
          <reference field="5" selected="0">
            <x v="74"/>
          </reference>
          <reference field="6" selected="0">
            <x v="143"/>
          </reference>
          <reference field="8">
            <x v="1"/>
          </reference>
        </references>
      </pivotArea>
    </format>
    <format action="formatting" dxfId="684">
      <pivotArea type="normal" dataOnly="0" labelOnly="1" outline="0" fieldPosition="0">
        <references count="3">
          <reference field="5" selected="0">
            <x v="75"/>
          </reference>
          <reference field="6" selected="0">
            <x v="153"/>
          </reference>
          <reference field="8">
            <x v="1"/>
          </reference>
        </references>
      </pivotArea>
    </format>
    <format action="formatting" dxfId="683">
      <pivotArea type="normal" dataOnly="0" labelOnly="1" outline="0" fieldPosition="0">
        <references count="3">
          <reference field="5" selected="0">
            <x v="76"/>
          </reference>
          <reference field="6" selected="0">
            <x v="41"/>
          </reference>
          <reference field="8">
            <x v="1"/>
          </reference>
        </references>
      </pivotArea>
    </format>
    <format action="formatting" dxfId="682">
      <pivotArea type="normal" dataOnly="0" labelOnly="1" outline="0" fieldPosition="0">
        <references count="3">
          <reference field="5" selected="0">
            <x v="77"/>
          </reference>
          <reference field="6" selected="0">
            <x v="1"/>
          </reference>
          <reference field="8">
            <x v="2"/>
          </reference>
        </references>
      </pivotArea>
    </format>
    <format action="formatting" dxfId="681">
      <pivotArea type="normal" dataOnly="0" labelOnly="1" outline="0" fieldPosition="0">
        <references count="3">
          <reference field="5" selected="0">
            <x v="78"/>
          </reference>
          <reference field="6" selected="0">
            <x v="94"/>
          </reference>
          <reference field="8">
            <x v="1"/>
          </reference>
        </references>
      </pivotArea>
    </format>
    <format action="formatting" dxfId="680">
      <pivotArea type="normal" dataOnly="0" labelOnly="1" outline="0" fieldPosition="0">
        <references count="3">
          <reference field="5" selected="0">
            <x v="79"/>
          </reference>
          <reference field="6" selected="0">
            <x v="92"/>
          </reference>
          <reference field="8">
            <x v="1"/>
          </reference>
        </references>
      </pivotArea>
    </format>
    <format action="formatting" dxfId="679">
      <pivotArea type="normal" dataOnly="0" labelOnly="1" outline="0" fieldPosition="0">
        <references count="3">
          <reference field="5" selected="0">
            <x v="80"/>
          </reference>
          <reference field="6" selected="0">
            <x v="23"/>
          </reference>
          <reference field="8">
            <x v="2"/>
          </reference>
        </references>
      </pivotArea>
    </format>
    <format action="formatting" dxfId="678">
      <pivotArea type="normal" dataOnly="0" labelOnly="1" outline="0" fieldPosition="0">
        <references count="3">
          <reference field="5" selected="0">
            <x v="81"/>
          </reference>
          <reference field="6" selected="0">
            <x v="24"/>
          </reference>
          <reference field="8">
            <x v="2"/>
          </reference>
        </references>
      </pivotArea>
    </format>
    <format action="formatting" dxfId="677">
      <pivotArea type="normal" dataOnly="0" labelOnly="1" outline="0" fieldPosition="0">
        <references count="3">
          <reference field="5" selected="0">
            <x v="82"/>
          </reference>
          <reference field="6" selected="0">
            <x v="99"/>
          </reference>
          <reference field="8">
            <x v="1"/>
          </reference>
        </references>
      </pivotArea>
    </format>
    <format action="formatting" dxfId="676">
      <pivotArea type="normal" dataOnly="0" labelOnly="1" outline="0" fieldPosition="0">
        <references count="3">
          <reference field="5" selected="0">
            <x v="83"/>
          </reference>
          <reference field="6" selected="0">
            <x v="100"/>
          </reference>
          <reference field="8">
            <x v="1"/>
          </reference>
        </references>
      </pivotArea>
    </format>
    <format action="formatting" dxfId="675">
      <pivotArea type="normal" dataOnly="0" labelOnly="1" outline="0" fieldPosition="0">
        <references count="3">
          <reference field="5" selected="0">
            <x v="84"/>
          </reference>
          <reference field="6" selected="0">
            <x v="25"/>
          </reference>
          <reference field="8">
            <x v="2"/>
          </reference>
        </references>
      </pivotArea>
    </format>
    <format action="formatting" dxfId="674">
      <pivotArea type="normal" dataOnly="0" labelOnly="1" outline="0" fieldPosition="0">
        <references count="3">
          <reference field="5" selected="0">
            <x v="85"/>
          </reference>
          <reference field="6" selected="0">
            <x v="45"/>
          </reference>
          <reference field="8">
            <x v="1"/>
          </reference>
        </references>
      </pivotArea>
    </format>
    <format action="formatting" dxfId="673">
      <pivotArea type="normal" dataOnly="0" labelOnly="1" outline="0" fieldPosition="0">
        <references count="3">
          <reference field="5" selected="0">
            <x v="86"/>
          </reference>
          <reference field="6" selected="0">
            <x v="85"/>
          </reference>
          <reference field="8">
            <x v="1"/>
          </reference>
        </references>
      </pivotArea>
    </format>
    <format action="formatting" dxfId="672">
      <pivotArea type="normal" dataOnly="0" labelOnly="1" outline="0" fieldPosition="0">
        <references count="3">
          <reference field="5" selected="0">
            <x v="87"/>
          </reference>
          <reference field="6" selected="0">
            <x v="136"/>
          </reference>
          <reference field="8">
            <x v="1"/>
          </reference>
        </references>
      </pivotArea>
    </format>
    <format action="formatting" dxfId="671">
      <pivotArea type="normal" dataOnly="0" labelOnly="1" outline="0" fieldPosition="0">
        <references count="3">
          <reference field="5" selected="0">
            <x v="88"/>
          </reference>
          <reference field="6" selected="0">
            <x v="30"/>
          </reference>
          <reference field="8">
            <x v="2"/>
          </reference>
        </references>
      </pivotArea>
    </format>
    <format action="formatting" dxfId="670">
      <pivotArea type="normal" dataOnly="0" labelOnly="1" outline="0" fieldPosition="0">
        <references count="3">
          <reference field="5" selected="0">
            <x v="89"/>
          </reference>
          <reference field="6" selected="0">
            <x v="61"/>
          </reference>
          <reference field="8">
            <x v="1"/>
          </reference>
        </references>
      </pivotArea>
    </format>
    <format action="formatting" dxfId="669">
      <pivotArea type="normal" dataOnly="0" labelOnly="1" outline="0" fieldPosition="0">
        <references count="3">
          <reference field="5" selected="0">
            <x v="90"/>
          </reference>
          <reference field="6" selected="0">
            <x v="84"/>
          </reference>
          <reference field="8">
            <x v="1"/>
          </reference>
        </references>
      </pivotArea>
    </format>
    <format action="formatting" dxfId="668">
      <pivotArea type="normal" dataOnly="0" labelOnly="1" outline="0" fieldPosition="0">
        <references count="3">
          <reference field="5" selected="0">
            <x v="91"/>
          </reference>
          <reference field="6" selected="0">
            <x v="83"/>
          </reference>
          <reference field="8">
            <x v="1"/>
          </reference>
        </references>
      </pivotArea>
    </format>
    <format action="formatting" dxfId="667">
      <pivotArea type="normal" dataOnly="0" labelOnly="1" outline="0" fieldPosition="0">
        <references count="3">
          <reference field="5" selected="0">
            <x v="92"/>
          </reference>
          <reference field="6" selected="0">
            <x v="166"/>
          </reference>
          <reference field="8">
            <x v="1"/>
          </reference>
        </references>
      </pivotArea>
    </format>
    <format action="formatting" dxfId="666">
      <pivotArea type="normal" dataOnly="0" labelOnly="1" outline="0" fieldPosition="0">
        <references count="3">
          <reference field="5" selected="0">
            <x v="93"/>
          </reference>
          <reference field="6" selected="0">
            <x v="140"/>
          </reference>
          <reference field="8">
            <x v="1"/>
          </reference>
        </references>
      </pivotArea>
    </format>
    <format action="formatting" dxfId="665">
      <pivotArea type="normal" dataOnly="0" labelOnly="1" outline="0" fieldPosition="0">
        <references count="3">
          <reference field="5" selected="0">
            <x v="94"/>
          </reference>
          <reference field="6" selected="0">
            <x v="122"/>
          </reference>
          <reference field="8">
            <x v="1"/>
          </reference>
        </references>
      </pivotArea>
    </format>
    <format action="formatting" dxfId="664">
      <pivotArea type="normal" dataOnly="0" labelOnly="1" outline="0" fieldPosition="0">
        <references count="3">
          <reference field="5" selected="0">
            <x v="95"/>
          </reference>
          <reference field="6" selected="0">
            <x v="137"/>
          </reference>
          <reference field="8">
            <x v="1"/>
          </reference>
        </references>
      </pivotArea>
    </format>
    <format action="formatting" dxfId="663">
      <pivotArea type="normal" dataOnly="0" labelOnly="1" outline="0" fieldPosition="0">
        <references count="3">
          <reference field="5" selected="0">
            <x v="96"/>
          </reference>
          <reference field="6" selected="0">
            <x v="133"/>
          </reference>
          <reference field="8">
            <x v="1"/>
          </reference>
        </references>
      </pivotArea>
    </format>
    <format action="formatting" dxfId="662">
      <pivotArea type="normal" dataOnly="0" labelOnly="1" outline="0" fieldPosition="0">
        <references count="3">
          <reference field="5" selected="0">
            <x v="97"/>
          </reference>
          <reference field="6" selected="0">
            <x v="132"/>
          </reference>
          <reference field="8">
            <x v="1"/>
          </reference>
        </references>
      </pivotArea>
    </format>
    <format action="formatting" dxfId="661">
      <pivotArea type="normal" dataOnly="0" labelOnly="1" outline="0" fieldPosition="0">
        <references count="3">
          <reference field="5" selected="0">
            <x v="98"/>
          </reference>
          <reference field="6" selected="0">
            <x v="65"/>
          </reference>
          <reference field="8">
            <x v="1"/>
          </reference>
        </references>
      </pivotArea>
    </format>
    <format action="formatting" dxfId="660">
      <pivotArea type="normal" dataOnly="0" labelOnly="1" outline="0" fieldPosition="0">
        <references count="3">
          <reference field="5" selected="0">
            <x v="99"/>
          </reference>
          <reference field="6" selected="0">
            <x v="125"/>
          </reference>
          <reference field="8">
            <x v="1"/>
          </reference>
        </references>
      </pivotArea>
    </format>
    <format action="formatting" dxfId="659">
      <pivotArea type="normal" dataOnly="0" labelOnly="1" outline="0" fieldPosition="0">
        <references count="3">
          <reference field="5" selected="0">
            <x v="100"/>
          </reference>
          <reference field="6" selected="0">
            <x v="55"/>
          </reference>
          <reference field="8">
            <x v="1"/>
          </reference>
        </references>
      </pivotArea>
    </format>
    <format action="formatting" dxfId="658">
      <pivotArea type="normal" dataOnly="0" labelOnly="1" outline="0" fieldPosition="0">
        <references count="3">
          <reference field="5" selected="0">
            <x v="101"/>
          </reference>
          <reference field="6" selected="0">
            <x v="54"/>
          </reference>
          <reference field="8">
            <x v="1"/>
          </reference>
        </references>
      </pivotArea>
    </format>
    <format action="formatting" dxfId="657">
      <pivotArea type="normal" dataOnly="0" labelOnly="1" outline="0" fieldPosition="0">
        <references count="3">
          <reference field="5" selected="0">
            <x v="102"/>
          </reference>
          <reference field="6" selected="0">
            <x v="27"/>
          </reference>
          <reference field="8">
            <x v="1"/>
          </reference>
        </references>
      </pivotArea>
    </format>
    <format action="formatting" dxfId="656">
      <pivotArea type="normal" dataOnly="0" labelOnly="1" outline="0" fieldPosition="0">
        <references count="3">
          <reference field="5" selected="0">
            <x v="103"/>
          </reference>
          <reference field="6" selected="0">
            <x v="109"/>
          </reference>
          <reference field="8">
            <x v="1"/>
          </reference>
        </references>
      </pivotArea>
    </format>
    <format action="formatting" dxfId="655">
      <pivotArea type="normal" dataOnly="0" labelOnly="1" outline="0" fieldPosition="0">
        <references count="3">
          <reference field="5" selected="0">
            <x v="104"/>
          </reference>
          <reference field="6" selected="0">
            <x v="9"/>
          </reference>
          <reference field="8">
            <x v="1"/>
          </reference>
        </references>
      </pivotArea>
    </format>
    <format action="formatting" dxfId="654">
      <pivotArea type="normal" dataOnly="0" labelOnly="1" outline="0" fieldPosition="0">
        <references count="3">
          <reference field="5" selected="0">
            <x v="105"/>
          </reference>
          <reference field="6" selected="0">
            <x v="63"/>
          </reference>
          <reference field="8">
            <x v="1"/>
          </reference>
        </references>
      </pivotArea>
    </format>
    <format action="formatting" dxfId="653">
      <pivotArea type="normal" dataOnly="0" labelOnly="1" outline="0" fieldPosition="0">
        <references count="3">
          <reference field="5" selected="0">
            <x v="106"/>
          </reference>
          <reference field="6" selected="0">
            <x v="129"/>
          </reference>
          <reference field="8">
            <x v="1"/>
          </reference>
        </references>
      </pivotArea>
    </format>
    <format action="formatting" dxfId="652">
      <pivotArea type="normal" dataOnly="0" labelOnly="1" outline="0" fieldPosition="0">
        <references count="3">
          <reference field="5" selected="0">
            <x v="107"/>
          </reference>
          <reference field="6" selected="0">
            <x v="29"/>
          </reference>
          <reference field="8">
            <x v="1"/>
          </reference>
        </references>
      </pivotArea>
    </format>
    <format action="formatting" dxfId="651">
      <pivotArea type="normal" dataOnly="0" labelOnly="1" outline="0" fieldPosition="0">
        <references count="3">
          <reference field="5" selected="0">
            <x v="108"/>
          </reference>
          <reference field="6" selected="0">
            <x v="64"/>
          </reference>
          <reference field="8">
            <x v="1"/>
          </reference>
        </references>
      </pivotArea>
    </format>
    <format action="formatting" dxfId="650">
      <pivotArea type="normal" dataOnly="0" labelOnly="1" outline="0" fieldPosition="0">
        <references count="3">
          <reference field="5" selected="0">
            <x v="109"/>
          </reference>
          <reference field="6" selected="0">
            <x v="43"/>
          </reference>
          <reference field="8">
            <x v="1"/>
          </reference>
        </references>
      </pivotArea>
    </format>
    <format action="formatting" dxfId="649">
      <pivotArea type="normal" dataOnly="0" labelOnly="1" outline="0" fieldPosition="0">
        <references count="3">
          <reference field="5" selected="0">
            <x v="110"/>
          </reference>
          <reference field="6" selected="0">
            <x v="2"/>
          </reference>
          <reference field="8">
            <x v="1"/>
          </reference>
        </references>
      </pivotArea>
    </format>
    <format action="formatting" dxfId="648">
      <pivotArea type="normal" dataOnly="0" labelOnly="1" outline="0" fieldPosition="0">
        <references count="3">
          <reference field="5" selected="0">
            <x v="111"/>
          </reference>
          <reference field="6" selected="0">
            <x v="42"/>
          </reference>
          <reference field="8">
            <x v="1"/>
          </reference>
        </references>
      </pivotArea>
    </format>
    <format action="formatting" dxfId="647">
      <pivotArea type="normal" dataOnly="0" labelOnly="1" outline="0" fieldPosition="0">
        <references count="3">
          <reference field="5" selected="0">
            <x v="112"/>
          </reference>
          <reference field="6" selected="0">
            <x v="44"/>
          </reference>
          <reference field="8">
            <x v="1"/>
          </reference>
        </references>
      </pivotArea>
    </format>
    <format action="formatting" dxfId="646">
      <pivotArea type="normal" dataOnly="0" labelOnly="1" outline="0" fieldPosition="0">
        <references count="3">
          <reference field="5" selected="0">
            <x v="113"/>
          </reference>
          <reference field="6" selected="0">
            <x v="110"/>
          </reference>
          <reference field="8">
            <x v="1"/>
          </reference>
        </references>
      </pivotArea>
    </format>
    <format action="formatting" dxfId="645">
      <pivotArea type="normal" dataOnly="0" labelOnly="1" outline="0" fieldPosition="0">
        <references count="3">
          <reference field="5" selected="0">
            <x v="114"/>
          </reference>
          <reference field="6" selected="0">
            <x v="56"/>
          </reference>
          <reference field="8">
            <x v="1"/>
          </reference>
        </references>
      </pivotArea>
    </format>
    <format action="formatting" dxfId="644">
      <pivotArea type="normal" dataOnly="0" labelOnly="1" outline="0" fieldPosition="0">
        <references count="3">
          <reference field="5" selected="0">
            <x v="115"/>
          </reference>
          <reference field="6" selected="0">
            <x v="81"/>
          </reference>
          <reference field="8">
            <x v="1"/>
          </reference>
        </references>
      </pivotArea>
    </format>
    <format action="formatting" dxfId="643">
      <pivotArea type="normal" dataOnly="0" labelOnly="1" outline="0" fieldPosition="0">
        <references count="3">
          <reference field="5" selected="0">
            <x v="116"/>
          </reference>
          <reference field="6" selected="0">
            <x v="82"/>
          </reference>
          <reference field="8">
            <x v="1"/>
          </reference>
        </references>
      </pivotArea>
    </format>
    <format action="formatting" dxfId="642">
      <pivotArea type="normal" dataOnly="0" labelOnly="1" outline="0" fieldPosition="0">
        <references count="3">
          <reference field="5" selected="0">
            <x v="117"/>
          </reference>
          <reference field="6" selected="0">
            <x v="117"/>
          </reference>
          <reference field="8">
            <x v="1"/>
          </reference>
        </references>
      </pivotArea>
    </format>
    <format action="formatting" dxfId="641">
      <pivotArea type="normal" dataOnly="0" labelOnly="1" outline="0" fieldPosition="0">
        <references count="3">
          <reference field="5" selected="0">
            <x v="118"/>
          </reference>
          <reference field="6" selected="0">
            <x v="36"/>
          </reference>
          <reference field="8">
            <x v="1"/>
          </reference>
        </references>
      </pivotArea>
    </format>
    <format action="formatting" dxfId="640">
      <pivotArea type="normal" dataOnly="0" labelOnly="1" outline="0" fieldPosition="0">
        <references count="3">
          <reference field="5" selected="0">
            <x v="119"/>
          </reference>
          <reference field="6" selected="0">
            <x v="58"/>
          </reference>
          <reference field="8">
            <x v="1"/>
          </reference>
        </references>
      </pivotArea>
    </format>
    <format action="formatting" dxfId="639">
      <pivotArea type="normal" dataOnly="0" labelOnly="1" outline="0" fieldPosition="0">
        <references count="3">
          <reference field="5" selected="0">
            <x v="120"/>
          </reference>
          <reference field="6" selected="0">
            <x v="52"/>
          </reference>
          <reference field="8">
            <x v="1"/>
          </reference>
        </references>
      </pivotArea>
    </format>
    <format action="formatting" dxfId="638">
      <pivotArea type="normal" dataOnly="0" labelOnly="1" outline="0" fieldPosition="0">
        <references count="3">
          <reference field="5" selected="0">
            <x v="121"/>
          </reference>
          <reference field="6" selected="0">
            <x v="105"/>
          </reference>
          <reference field="8">
            <x v="1"/>
          </reference>
        </references>
      </pivotArea>
    </format>
    <format action="formatting" dxfId="637">
      <pivotArea type="normal" dataOnly="0" labelOnly="1" outline="0" fieldPosition="0">
        <references count="3">
          <reference field="5" selected="0">
            <x v="122"/>
          </reference>
          <reference field="6" selected="0">
            <x v="53"/>
          </reference>
          <reference field="8">
            <x v="1"/>
          </reference>
        </references>
      </pivotArea>
    </format>
    <format action="formatting" dxfId="636">
      <pivotArea type="normal" dataOnly="0" labelOnly="1" outline="0" fieldPosition="0">
        <references count="3">
          <reference field="5" selected="0">
            <x v="123"/>
          </reference>
          <reference field="6" selected="0">
            <x v="72"/>
          </reference>
          <reference field="8">
            <x v="1"/>
          </reference>
        </references>
      </pivotArea>
    </format>
    <format action="formatting" dxfId="635">
      <pivotArea type="normal" dataOnly="0" labelOnly="1" outline="0" fieldPosition="0">
        <references count="3">
          <reference field="5" selected="0">
            <x v="124"/>
          </reference>
          <reference field="6" selected="0">
            <x v="49"/>
          </reference>
          <reference field="8">
            <x v="1"/>
          </reference>
        </references>
      </pivotArea>
    </format>
    <format action="formatting" dxfId="634">
      <pivotArea type="normal" dataOnly="0" labelOnly="1" outline="0" fieldPosition="0">
        <references count="3">
          <reference field="5" selected="0">
            <x v="125"/>
          </reference>
          <reference field="6" selected="0">
            <x v="39"/>
          </reference>
          <reference field="8">
            <x v="1"/>
          </reference>
        </references>
      </pivotArea>
    </format>
    <format action="formatting" dxfId="633">
      <pivotArea type="normal" dataOnly="0" labelOnly="1" outline="0" fieldPosition="0">
        <references count="3">
          <reference field="5" selected="0">
            <x v="126"/>
          </reference>
          <reference field="6" selected="0">
            <x v="60"/>
          </reference>
          <reference field="8">
            <x v="1"/>
          </reference>
        </references>
      </pivotArea>
    </format>
    <format action="formatting" dxfId="632">
      <pivotArea type="normal" dataOnly="0" labelOnly="1" outline="0" fieldPosition="0">
        <references count="3">
          <reference field="5" selected="0">
            <x v="127"/>
          </reference>
          <reference field="6" selected="0">
            <x v="155"/>
          </reference>
          <reference field="8">
            <x v="1"/>
          </reference>
        </references>
      </pivotArea>
    </format>
    <format action="formatting" dxfId="631">
      <pivotArea type="normal" dataOnly="0" labelOnly="1" outline="0" fieldPosition="0">
        <references count="3">
          <reference field="5" selected="0">
            <x v="128"/>
          </reference>
          <reference field="6" selected="0">
            <x v="157"/>
          </reference>
          <reference field="8">
            <x v="1"/>
          </reference>
        </references>
      </pivotArea>
    </format>
    <format action="formatting" dxfId="630">
      <pivotArea type="normal" dataOnly="0" labelOnly="1" outline="0" fieldPosition="0">
        <references count="3">
          <reference field="5" selected="0">
            <x v="129"/>
          </reference>
          <reference field="6" selected="0">
            <x v="156"/>
          </reference>
          <reference field="8">
            <x v="1"/>
          </reference>
        </references>
      </pivotArea>
    </format>
    <format action="formatting" dxfId="629">
      <pivotArea type="normal" dataOnly="0" labelOnly="1" outline="0" fieldPosition="0">
        <references count="3">
          <reference field="5" selected="0">
            <x v="130"/>
          </reference>
          <reference field="6" selected="0">
            <x v="37"/>
          </reference>
          <reference field="8">
            <x v="1"/>
          </reference>
        </references>
      </pivotArea>
    </format>
    <format action="formatting" dxfId="628">
      <pivotArea type="normal" dataOnly="0" labelOnly="1" outline="0" fieldPosition="0">
        <references count="3">
          <reference field="5" selected="0">
            <x v="131"/>
          </reference>
          <reference field="6" selected="0">
            <x v="68"/>
          </reference>
          <reference field="8">
            <x v="1"/>
          </reference>
        </references>
      </pivotArea>
    </format>
    <format action="formatting" dxfId="627">
      <pivotArea type="normal" dataOnly="0" labelOnly="1" outline="0" fieldPosition="0">
        <references count="3">
          <reference field="5" selected="0">
            <x v="132"/>
          </reference>
          <reference field="6" selected="0">
            <x v="77"/>
          </reference>
          <reference field="8">
            <x v="1"/>
          </reference>
        </references>
      </pivotArea>
    </format>
    <format action="formatting" dxfId="626">
      <pivotArea type="normal" dataOnly="0" labelOnly="1" outline="0" fieldPosition="0">
        <references count="3">
          <reference field="5" selected="0">
            <x v="133"/>
          </reference>
          <reference field="6" selected="0">
            <x v="38"/>
          </reference>
          <reference field="8">
            <x v="1"/>
          </reference>
        </references>
      </pivotArea>
    </format>
    <format action="formatting" dxfId="625">
      <pivotArea type="normal" dataOnly="0" labelOnly="1" outline="0" fieldPosition="0">
        <references count="3">
          <reference field="5" selected="0">
            <x v="134"/>
          </reference>
          <reference field="6" selected="0">
            <x v="89"/>
          </reference>
          <reference field="8">
            <x v="1"/>
          </reference>
        </references>
      </pivotArea>
    </format>
    <format action="formatting" dxfId="624">
      <pivotArea type="normal" dataOnly="0" labelOnly="1" outline="0" fieldPosition="0">
        <references count="3">
          <reference field="5" selected="0">
            <x v="135"/>
          </reference>
          <reference field="6" selected="0">
            <x v="115"/>
          </reference>
          <reference field="8">
            <x v="1"/>
          </reference>
        </references>
      </pivotArea>
    </format>
    <format action="formatting" dxfId="623">
      <pivotArea type="normal" dataOnly="0" labelOnly="1" outline="0" fieldPosition="0">
        <references count="3">
          <reference field="5" selected="0">
            <x v="136"/>
          </reference>
          <reference field="6" selected="0">
            <x v="16"/>
          </reference>
          <reference field="8">
            <x v="1"/>
          </reference>
        </references>
      </pivotArea>
    </format>
    <format action="formatting" dxfId="622">
      <pivotArea type="normal" dataOnly="0" labelOnly="1" outline="0" fieldPosition="0">
        <references count="3">
          <reference field="5" selected="0">
            <x v="137"/>
          </reference>
          <reference field="6" selected="0">
            <x v="158"/>
          </reference>
          <reference field="8">
            <x v="1"/>
          </reference>
        </references>
      </pivotArea>
    </format>
    <format action="formatting" dxfId="621">
      <pivotArea type="normal" dataOnly="0" labelOnly="1" outline="0" fieldPosition="0">
        <references count="3">
          <reference field="5" selected="0">
            <x v="138"/>
          </reference>
          <reference field="6" selected="0">
            <x v="112"/>
          </reference>
          <reference field="8">
            <x v="1"/>
          </reference>
        </references>
      </pivotArea>
    </format>
    <format action="formatting" dxfId="620">
      <pivotArea type="normal" dataOnly="0" labelOnly="1" outline="0" fieldPosition="0">
        <references count="3">
          <reference field="5" selected="0">
            <x v="139"/>
          </reference>
          <reference field="6" selected="0">
            <x v="111"/>
          </reference>
          <reference field="8">
            <x v="1"/>
          </reference>
        </references>
      </pivotArea>
    </format>
    <format action="formatting" dxfId="619">
      <pivotArea type="normal" dataOnly="0" labelOnly="1" outline="0" fieldPosition="0">
        <references count="3">
          <reference field="5" selected="0">
            <x v="140"/>
          </reference>
          <reference field="6" selected="0">
            <x v="57"/>
          </reference>
          <reference field="8">
            <x v="1"/>
          </reference>
        </references>
      </pivotArea>
    </format>
    <format action="formatting" dxfId="618">
      <pivotArea type="normal" dataOnly="0" labelOnly="1" outline="0" fieldPosition="0">
        <references count="3">
          <reference field="5" selected="0">
            <x v="141"/>
          </reference>
          <reference field="6" selected="0">
            <x v="104"/>
          </reference>
          <reference field="8">
            <x v="1"/>
          </reference>
        </references>
      </pivotArea>
    </format>
    <format action="formatting" dxfId="617">
      <pivotArea type="normal" dataOnly="0" labelOnly="1" outline="0" fieldPosition="0">
        <references count="3">
          <reference field="5" selected="0">
            <x v="142"/>
          </reference>
          <reference field="6" selected="0">
            <x v="154"/>
          </reference>
          <reference field="8">
            <x v="1"/>
          </reference>
        </references>
      </pivotArea>
    </format>
    <format action="formatting" dxfId="616">
      <pivotArea type="normal" dataOnly="0" labelOnly="1" outline="0" fieldPosition="0">
        <references count="3">
          <reference field="5" selected="0">
            <x v="143"/>
          </reference>
          <reference field="6" selected="0">
            <x v="113"/>
          </reference>
          <reference field="8">
            <x v="1"/>
          </reference>
        </references>
      </pivotArea>
    </format>
    <format action="formatting" dxfId="615">
      <pivotArea type="normal" dataOnly="0" labelOnly="1" outline="0" fieldPosition="0">
        <references count="3">
          <reference field="5" selected="0">
            <x v="144"/>
          </reference>
          <reference field="6" selected="0">
            <x v="114"/>
          </reference>
          <reference field="8">
            <x v="1"/>
          </reference>
        </references>
      </pivotArea>
    </format>
    <format action="formatting" dxfId="614">
      <pivotArea type="normal" dataOnly="0" labelOnly="1" outline="0" fieldPosition="0">
        <references count="3">
          <reference field="5" selected="0">
            <x v="145"/>
          </reference>
          <reference field="6" selected="0">
            <x v="131"/>
          </reference>
          <reference field="8">
            <x v="1"/>
          </reference>
        </references>
      </pivotArea>
    </format>
    <format action="formatting" dxfId="613">
      <pivotArea type="normal" dataOnly="0" labelOnly="1" outline="0" fieldPosition="0">
        <references count="3">
          <reference field="5" selected="0">
            <x v="146"/>
          </reference>
          <reference field="6" selected="0">
            <x v="106"/>
          </reference>
          <reference field="8">
            <x v="1"/>
          </reference>
        </references>
      </pivotArea>
    </format>
    <format action="formatting" dxfId="612">
      <pivotArea type="normal" dataOnly="0" labelOnly="1" outline="0" fieldPosition="0">
        <references count="3">
          <reference field="5" selected="0">
            <x v="147"/>
          </reference>
          <reference field="6" selected="0">
            <x v="107"/>
          </reference>
          <reference field="8">
            <x v="1"/>
          </reference>
        </references>
      </pivotArea>
    </format>
    <format action="formatting" dxfId="611">
      <pivotArea type="normal" dataOnly="0" labelOnly="1" outline="0" fieldPosition="0">
        <references count="3">
          <reference field="5" selected="0">
            <x v="148"/>
          </reference>
          <reference field="6" selected="0">
            <x v="101"/>
          </reference>
          <reference field="8">
            <x v="1"/>
          </reference>
        </references>
      </pivotArea>
    </format>
    <format action="formatting" dxfId="610">
      <pivotArea type="normal" dataOnly="0" labelOnly="1" outline="0" fieldPosition="0">
        <references count="3">
          <reference field="5" selected="0">
            <x v="149"/>
          </reference>
          <reference field="6" selected="0">
            <x v="123"/>
          </reference>
          <reference field="8">
            <x v="1"/>
          </reference>
        </references>
      </pivotArea>
    </format>
    <format action="formatting" dxfId="609">
      <pivotArea type="normal" dataOnly="0" labelOnly="1" outline="0" fieldPosition="0">
        <references count="3">
          <reference field="5" selected="0">
            <x v="150"/>
          </reference>
          <reference field="6" selected="0">
            <x v="124"/>
          </reference>
          <reference field="8">
            <x v="1"/>
          </reference>
        </references>
      </pivotArea>
    </format>
    <format action="formatting" dxfId="608">
      <pivotArea type="normal" dataOnly="0" labelOnly="1" outline="0" fieldPosition="0">
        <references count="3">
          <reference field="5" selected="0">
            <x v="151"/>
          </reference>
          <reference field="6" selected="0">
            <x v="102"/>
          </reference>
          <reference field="8">
            <x v="1"/>
          </reference>
        </references>
      </pivotArea>
    </format>
    <format action="formatting" dxfId="607">
      <pivotArea type="normal" dataOnly="0" labelOnly="1" outline="0" fieldPosition="0">
        <references count="3">
          <reference field="5" selected="0">
            <x v="152"/>
          </reference>
          <reference field="6" selected="0">
            <x v="161"/>
          </reference>
          <reference field="8">
            <x v="1"/>
          </reference>
        </references>
      </pivotArea>
    </format>
    <format action="formatting" dxfId="606">
      <pivotArea type="normal" dataOnly="0" labelOnly="1" outline="0" fieldPosition="0">
        <references count="3">
          <reference field="5" selected="0">
            <x v="153"/>
          </reference>
          <reference field="6" selected="0">
            <x v="162"/>
          </reference>
          <reference field="8">
            <x v="1"/>
          </reference>
        </references>
      </pivotArea>
    </format>
    <format action="formatting" dxfId="605">
      <pivotArea type="normal" dataOnly="0" labelOnly="1" outline="0" fieldPosition="0">
        <references count="3">
          <reference field="5" selected="0">
            <x v="154"/>
          </reference>
          <reference field="6" selected="0">
            <x v="119"/>
          </reference>
          <reference field="8">
            <x v="1"/>
          </reference>
        </references>
      </pivotArea>
    </format>
    <format action="formatting" dxfId="604">
      <pivotArea type="normal" dataOnly="0" labelOnly="1" outline="0" fieldPosition="0">
        <references count="3">
          <reference field="5" selected="0">
            <x v="155"/>
          </reference>
          <reference field="6" selected="0">
            <x v="128"/>
          </reference>
          <reference field="8">
            <x v="1"/>
          </reference>
        </references>
      </pivotArea>
    </format>
    <format action="formatting" dxfId="603">
      <pivotArea type="normal" dataOnly="0" labelOnly="1" outline="0" fieldPosition="0">
        <references count="3">
          <reference field="5" selected="0">
            <x v="156"/>
          </reference>
          <reference field="6" selected="0">
            <x v="120"/>
          </reference>
          <reference field="8">
            <x v="1"/>
          </reference>
        </references>
      </pivotArea>
    </format>
    <format action="formatting" dxfId="602">
      <pivotArea type="normal" dataOnly="0" labelOnly="1" outline="0" fieldPosition="0">
        <references count="3">
          <reference field="5" selected="0">
            <x v="157"/>
          </reference>
          <reference field="6" selected="0">
            <x v="17"/>
          </reference>
          <reference field="8">
            <x v="2"/>
          </reference>
        </references>
      </pivotArea>
    </format>
    <format action="formatting" dxfId="601">
      <pivotArea type="normal" dataOnly="0" labelOnly="1" outline="0" fieldPosition="0">
        <references count="3">
          <reference field="5" selected="0">
            <x v="158"/>
          </reference>
          <reference field="6" selected="0">
            <x v="34"/>
          </reference>
          <reference field="8">
            <x v="2"/>
          </reference>
        </references>
      </pivotArea>
    </format>
    <format action="formatting" dxfId="600">
      <pivotArea type="normal" dataOnly="0" labelOnly="1" outline="0" fieldPosition="0">
        <references count="3">
          <reference field="5" selected="0">
            <x v="159"/>
          </reference>
          <reference field="6" selected="0">
            <x v="35"/>
          </reference>
          <reference field="8">
            <x v="2"/>
          </reference>
        </references>
      </pivotArea>
    </format>
    <format action="formatting" dxfId="599">
      <pivotArea type="normal" dataOnly="0" labelOnly="1" outline="0" fieldPosition="0">
        <references count="3">
          <reference field="5" selected="0">
            <x v="160"/>
          </reference>
          <reference field="6" selected="0">
            <x v="59"/>
          </reference>
          <reference field="8">
            <x v="0"/>
          </reference>
        </references>
      </pivotArea>
    </format>
    <format action="formatting" dxfId="598">
      <pivotArea type="normal" dataOnly="0" labelOnly="1" outline="0" fieldPosition="0">
        <references count="3">
          <reference field="5" selected="0">
            <x v="161"/>
          </reference>
          <reference field="6" selected="0">
            <x v="74"/>
          </reference>
          <reference field="8">
            <x v="0"/>
          </reference>
        </references>
      </pivotArea>
    </format>
    <format action="formatting" dxfId="597">
      <pivotArea type="normal" dataOnly="0" labelOnly="1" outline="0" fieldPosition="0">
        <references count="3">
          <reference field="5" selected="0">
            <x v="162"/>
          </reference>
          <reference field="6" selected="0">
            <x v="75"/>
          </reference>
          <reference field="8">
            <x v="0"/>
          </reference>
        </references>
      </pivotArea>
    </format>
    <format action="formatting" dxfId="596">
      <pivotArea type="normal" dataOnly="0" labelOnly="1" outline="0" fieldPosition="0">
        <references count="3">
          <reference field="5" selected="0">
            <x v="163"/>
          </reference>
          <reference field="6" selected="0">
            <x v="73"/>
          </reference>
          <reference field="8">
            <x v="0"/>
          </reference>
        </references>
      </pivotArea>
    </format>
    <format action="formatting" dxfId="595">
      <pivotArea type="normal" dataOnly="0" labelOnly="1" outline="0" fieldPosition="0">
        <references count="3">
          <reference field="5" selected="0">
            <x v="164"/>
          </reference>
          <reference field="6" selected="0">
            <x v="167"/>
          </reference>
          <reference field="8">
            <x v="0"/>
          </reference>
        </references>
      </pivotArea>
    </format>
    <format action="formatting" dxfId="594">
      <pivotArea type="normal" dataOnly="0" labelOnly="1" outline="0" fieldPosition="0">
        <references count="3">
          <reference field="5" selected="0">
            <x v="165"/>
          </reference>
          <reference field="6" selected="0">
            <x v="118"/>
          </reference>
          <reference field="8">
            <x v="0"/>
          </reference>
        </references>
      </pivotArea>
    </format>
    <format action="formatting" dxfId="593">
      <pivotArea type="normal" dataOnly="0" labelOnly="1" outline="0" fieldPosition="0">
        <references count="3">
          <reference field="5" selected="0">
            <x v="166"/>
          </reference>
          <reference field="6" selected="0">
            <x v="71"/>
          </reference>
          <reference field="8">
            <x v="0"/>
          </reference>
        </references>
      </pivotArea>
    </format>
    <format action="formatting" dxfId="592">
      <pivotArea type="normal" dataOnly="0" labelOnly="1" outline="0" fieldPosition="0">
        <references count="3">
          <reference field="5" selected="0">
            <x v="167"/>
          </reference>
          <reference field="6" selected="0">
            <x v="69"/>
          </reference>
          <reference field="8">
            <x v="0"/>
          </reference>
        </references>
      </pivotArea>
    </format>
    <format action="formatting" dxfId="591">
      <pivotArea type="normal" dataOnly="0" labelOnly="1" outline="0" fieldPosition="0">
        <references count="3">
          <reference field="5" selected="0">
            <x v="168"/>
          </reference>
          <reference field="6" selected="0">
            <x v="66"/>
          </reference>
          <reference field="8">
            <x v="1"/>
          </reference>
        </references>
      </pivotArea>
    </format>
    <format action="formatting" dxfId="590">
      <pivotArea type="normal" dataOnly="0" labelOnly="1" outline="0" fieldPosition="0">
        <references count="1">
          <reference field="1">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action="formatting" dxfId="589">
      <pivotArea type="normal" dataOnly="0" labelOnly="1" outline="0" fieldPosition="0">
        <references count="1">
          <reference field="1">
            <x v="50"/>
            <x v="51"/>
            <x v="52"/>
            <x v="53"/>
            <x v="54"/>
            <x v="55"/>
            <x v="56"/>
            <x v="57"/>
            <x v="58"/>
            <x v="59"/>
            <x v="60"/>
            <x v="61"/>
            <x v="62"/>
            <x v="63"/>
            <x v="64"/>
            <x v="65"/>
            <x v="66"/>
            <x v="67"/>
            <x v="68"/>
            <x v="69"/>
            <x v="70"/>
            <x v="71"/>
            <x v="72"/>
            <x v="73"/>
            <x v="74"/>
            <x v="75"/>
            <x v="76"/>
            <x v="77"/>
            <x v="78"/>
            <x v="79"/>
          </reference>
        </references>
      </pivotArea>
    </format>
    <format action="formatting" dxfId="588">
      <pivotArea type="normal" dataOnly="0" labelOnly="1" grandCol="1" outline="0" fieldPosition="0"/>
    </format>
    <format action="formatting" dxfId="587">
      <pivotArea type="normal" dataOnly="0" labelOnly="1" outline="0" fieldPosition="0">
        <references count="2">
          <reference field="1" selected="0">
            <x v="0"/>
          </reference>
          <reference field="2">
            <x v="4"/>
          </reference>
        </references>
      </pivotArea>
    </format>
    <format action="formatting" dxfId="586">
      <pivotArea type="normal" dataOnly="0" labelOnly="1" outline="0" fieldPosition="0">
        <references count="2">
          <reference field="1" selected="0">
            <x v="1"/>
          </reference>
          <reference field="2">
            <x v="2"/>
          </reference>
        </references>
      </pivotArea>
    </format>
    <format action="formatting" dxfId="585">
      <pivotArea type="normal" dataOnly="0" labelOnly="1" outline="0" fieldPosition="0">
        <references count="2">
          <reference field="1" selected="0">
            <x v="2"/>
          </reference>
          <reference field="2">
            <x v="4"/>
          </reference>
        </references>
      </pivotArea>
    </format>
    <format action="formatting" dxfId="584">
      <pivotArea type="normal" dataOnly="0" labelOnly="1" outline="0" fieldPosition="0">
        <references count="2">
          <reference field="1" selected="0">
            <x v="7"/>
          </reference>
          <reference field="2">
            <x v="3"/>
          </reference>
        </references>
      </pivotArea>
    </format>
    <format action="formatting" dxfId="583">
      <pivotArea type="normal" dataOnly="0" labelOnly="1" outline="0" fieldPosition="0">
        <references count="2">
          <reference field="1" selected="0">
            <x v="37"/>
          </reference>
          <reference field="2">
            <x v="4"/>
          </reference>
        </references>
      </pivotArea>
    </format>
    <format action="formatting" dxfId="582">
      <pivotArea type="normal" dataOnly="0" labelOnly="1" outline="0" fieldPosition="0">
        <references count="2">
          <reference field="1" selected="0">
            <x v="38"/>
          </reference>
          <reference field="2">
            <x v="3"/>
          </reference>
        </references>
      </pivotArea>
    </format>
    <format action="formatting" dxfId="581">
      <pivotArea type="normal" dataOnly="0" labelOnly="1" outline="0" fieldPosition="0">
        <references count="2">
          <reference field="1" selected="0">
            <x v="48"/>
          </reference>
          <reference field="2">
            <x v="4"/>
          </reference>
        </references>
      </pivotArea>
    </format>
    <format action="formatting" dxfId="580">
      <pivotArea type="normal" dataOnly="0" labelOnly="1" outline="0" fieldPosition="0">
        <references count="2">
          <reference field="1" selected="0">
            <x v="49"/>
          </reference>
          <reference field="2">
            <x v="3"/>
          </reference>
        </references>
      </pivotArea>
    </format>
    <format action="formatting" dxfId="579">
      <pivotArea type="normal" dataOnly="0" labelOnly="1" outline="0" fieldPosition="0">
        <references count="2">
          <reference field="1" selected="0">
            <x v="51"/>
          </reference>
          <reference field="2">
            <x v="6"/>
          </reference>
        </references>
      </pivotArea>
    </format>
    <format action="formatting" dxfId="578">
      <pivotArea type="normal" dataOnly="0" labelOnly="1" outline="0" fieldPosition="0">
        <references count="2">
          <reference field="1" selected="0">
            <x v="52"/>
          </reference>
          <reference field="2">
            <x v="3"/>
          </reference>
        </references>
      </pivotArea>
    </format>
    <format action="formatting" dxfId="577">
      <pivotArea type="normal" dataOnly="0" labelOnly="1" outline="0" fieldPosition="0">
        <references count="2">
          <reference field="1" selected="0">
            <x v="56"/>
          </reference>
          <reference field="2">
            <x v="8"/>
          </reference>
        </references>
      </pivotArea>
    </format>
    <format action="formatting" dxfId="576">
      <pivotArea type="normal" dataOnly="0" labelOnly="1" outline="0" fieldPosition="0">
        <references count="2">
          <reference field="1" selected="0">
            <x v="57"/>
          </reference>
          <reference field="2">
            <x v="2"/>
          </reference>
        </references>
      </pivotArea>
    </format>
    <format action="formatting" dxfId="575">
      <pivotArea type="normal" dataOnly="0" labelOnly="1" outline="0" fieldPosition="0">
        <references count="2">
          <reference field="1" selected="0">
            <x v="58"/>
          </reference>
          <reference field="2">
            <x v="6"/>
          </reference>
        </references>
      </pivotArea>
    </format>
    <format action="formatting" dxfId="574">
      <pivotArea type="normal" dataOnly="0" labelOnly="1" outline="0" fieldPosition="0">
        <references count="2">
          <reference field="1" selected="0">
            <x v="59"/>
          </reference>
          <reference field="2">
            <x v="8"/>
          </reference>
        </references>
      </pivotArea>
    </format>
    <format action="formatting" dxfId="573">
      <pivotArea type="normal" dataOnly="0" labelOnly="1" outline="0" fieldPosition="0">
        <references count="2">
          <reference field="1" selected="0">
            <x v="60"/>
          </reference>
          <reference field="2">
            <x v="6"/>
          </reference>
        </references>
      </pivotArea>
    </format>
    <format action="formatting" dxfId="572">
      <pivotArea type="normal" dataOnly="0" labelOnly="1" outline="0" fieldPosition="0">
        <references count="2">
          <reference field="1" selected="0">
            <x v="61"/>
          </reference>
          <reference field="2">
            <x v="8"/>
          </reference>
        </references>
      </pivotArea>
    </format>
    <format action="formatting" dxfId="571">
      <pivotArea type="normal" dataOnly="0" labelOnly="1" outline="0" fieldPosition="0">
        <references count="2">
          <reference field="1" selected="0">
            <x v="62"/>
          </reference>
          <reference field="2">
            <x v="2"/>
          </reference>
        </references>
      </pivotArea>
    </format>
    <format action="formatting" dxfId="570">
      <pivotArea type="normal" dataOnly="0" labelOnly="1" outline="0" fieldPosition="0">
        <references count="2">
          <reference field="1" selected="0">
            <x v="63"/>
          </reference>
          <reference field="2">
            <x v="6"/>
          </reference>
        </references>
      </pivotArea>
    </format>
    <format action="formatting" dxfId="569">
      <pivotArea type="normal" dataOnly="0" labelOnly="1" outline="0" fieldPosition="0">
        <references count="2">
          <reference field="1" selected="0">
            <x v="66"/>
          </reference>
          <reference field="2">
            <x v="8"/>
          </reference>
        </references>
      </pivotArea>
    </format>
    <format action="formatting" dxfId="568">
      <pivotArea type="normal" dataOnly="0" labelOnly="1" outline="0" fieldPosition="0">
        <references count="2">
          <reference field="1" selected="0">
            <x v="68"/>
          </reference>
          <reference field="2">
            <x v="2"/>
          </reference>
        </references>
      </pivotArea>
    </format>
    <format action="formatting" dxfId="567">
      <pivotArea type="normal" dataOnly="0" labelOnly="1" outline="0" fieldPosition="0">
        <references count="2">
          <reference field="1" selected="0">
            <x v="69"/>
          </reference>
          <reference field="2">
            <x v="6"/>
          </reference>
        </references>
      </pivotArea>
    </format>
    <format action="formatting" dxfId="566">
      <pivotArea type="normal" dataOnly="0" labelOnly="1" outline="0" fieldPosition="0">
        <references count="2">
          <reference field="1" selected="0">
            <x v="70"/>
          </reference>
          <reference field="2">
            <x v="4"/>
          </reference>
        </references>
      </pivotArea>
    </format>
    <format action="formatting" dxfId="565">
      <pivotArea type="normal" dataOnly="0" labelOnly="1" outline="0" fieldPosition="0">
        <references count="2">
          <reference field="1" selected="0">
            <x v="73"/>
          </reference>
          <reference field="2">
            <x v="3"/>
          </reference>
        </references>
      </pivotArea>
    </format>
    <format action="formatting" dxfId="564">
      <pivotArea type="normal" dataOnly="0" labelOnly="1" outline="0" fieldPosition="0">
        <references count="2">
          <reference field="1" selected="0">
            <x v="74"/>
          </reference>
          <reference field="2">
            <x v="5"/>
          </reference>
        </references>
      </pivotArea>
    </format>
    <format action="formatting" dxfId="563">
      <pivotArea type="normal" dataOnly="0" labelOnly="1" outline="0" fieldPosition="0">
        <references count="2">
          <reference field="1" selected="0">
            <x v="75"/>
          </reference>
          <reference field="2">
            <x v="0"/>
          </reference>
        </references>
      </pivotArea>
    </format>
    <format action="formatting" dxfId="562">
      <pivotArea type="normal" dataOnly="0" labelOnly="1" outline="0" fieldPosition="0">
        <references count="2">
          <reference field="1" selected="0">
            <x v="76"/>
          </reference>
          <reference field="2">
            <x v="8"/>
          </reference>
        </references>
      </pivotArea>
    </format>
    <format action="formatting" dxfId="561">
      <pivotArea type="normal" dataOnly="0" labelOnly="1" outline="0" fieldPosition="0">
        <references count="2">
          <reference field="1" selected="0">
            <x v="77"/>
          </reference>
          <reference field="2">
            <x v="1"/>
          </reference>
        </references>
      </pivotArea>
    </format>
    <format action="formatting" dxfId="560">
      <pivotArea type="normal" dataOnly="0" labelOnly="1" outline="0" fieldPosition="0">
        <references count="2">
          <reference field="1" selected="0">
            <x v="78"/>
          </reference>
          <reference field="2">
            <x v="7"/>
          </reference>
        </references>
      </pivotArea>
    </format>
    <format action="formatting" dxfId="559">
      <pivotArea type="normal" dataOnly="0" labelOnly="1" outline="0" fieldPosition="0">
        <references count="2">
          <reference field="1" selected="0">
            <x v="79"/>
          </reference>
          <reference field="2">
            <x v="1"/>
          </reference>
        </references>
      </pivotArea>
    </format>
    <format action="formatting" dxfId="558">
      <pivotArea type="normal" dataOnly="0" labelOnly="1" outline="0" fieldPosition="0">
        <references count="3">
          <reference field="1" selected="0">
            <x v="0"/>
          </reference>
          <reference field="2" selected="0">
            <x v="4"/>
          </reference>
          <reference field="3">
            <x v="57"/>
          </reference>
        </references>
      </pivotArea>
    </format>
    <format action="formatting" dxfId="557">
      <pivotArea type="normal" dataOnly="0" labelOnly="1" outline="0" fieldPosition="0">
        <references count="3">
          <reference field="1" selected="0">
            <x v="1"/>
          </reference>
          <reference field="2" selected="0">
            <x v="2"/>
          </reference>
          <reference field="3">
            <x v="1"/>
          </reference>
        </references>
      </pivotArea>
    </format>
    <format action="formatting" dxfId="556">
      <pivotArea type="normal" dataOnly="0" labelOnly="1" outline="0" fieldPosition="0">
        <references count="3">
          <reference field="1" selected="0">
            <x v="2"/>
          </reference>
          <reference field="2" selected="0">
            <x v="4"/>
          </reference>
          <reference field="3">
            <x v="52"/>
          </reference>
        </references>
      </pivotArea>
    </format>
    <format action="formatting" dxfId="555">
      <pivotArea type="normal" dataOnly="0" labelOnly="1" outline="0" fieldPosition="0">
        <references count="3">
          <reference field="1" selected="0">
            <x v="3"/>
          </reference>
          <reference field="2" selected="0">
            <x v="4"/>
          </reference>
          <reference field="3">
            <x v="67"/>
          </reference>
        </references>
      </pivotArea>
    </format>
    <format action="formatting" dxfId="554">
      <pivotArea type="normal" dataOnly="0" labelOnly="1" outline="0" fieldPosition="0">
        <references count="3">
          <reference field="1" selected="0">
            <x v="4"/>
          </reference>
          <reference field="2" selected="0">
            <x v="4"/>
          </reference>
          <reference field="3">
            <x v="53"/>
          </reference>
        </references>
      </pivotArea>
    </format>
    <format action="formatting" dxfId="553">
      <pivotArea type="normal" dataOnly="0" labelOnly="1" outline="0" fieldPosition="0">
        <references count="3">
          <reference field="1" selected="0">
            <x v="5"/>
          </reference>
          <reference field="2" selected="0">
            <x v="4"/>
          </reference>
          <reference field="3">
            <x v="2"/>
          </reference>
        </references>
      </pivotArea>
    </format>
    <format action="formatting" dxfId="552">
      <pivotArea type="normal" dataOnly="0" labelOnly="1" outline="0" fieldPosition="0">
        <references count="3">
          <reference field="1" selected="0">
            <x v="6"/>
          </reference>
          <reference field="2" selected="0">
            <x v="4"/>
          </reference>
          <reference field="3">
            <x v="3"/>
          </reference>
        </references>
      </pivotArea>
    </format>
    <format action="formatting" dxfId="551">
      <pivotArea type="normal" dataOnly="0" labelOnly="1" outline="0" fieldPosition="0">
        <references count="3">
          <reference field="1" selected="0">
            <x v="7"/>
          </reference>
          <reference field="2" selected="0">
            <x v="3"/>
          </reference>
          <reference field="3">
            <x v="5"/>
          </reference>
        </references>
      </pivotArea>
    </format>
    <format action="formatting" dxfId="550">
      <pivotArea type="normal" dataOnly="0" labelOnly="1" outline="0" fieldPosition="0">
        <references count="3">
          <reference field="1" selected="0">
            <x v="8"/>
          </reference>
          <reference field="2" selected="0">
            <x v="3"/>
          </reference>
          <reference field="3">
            <x v="14"/>
          </reference>
        </references>
      </pivotArea>
    </format>
    <format action="formatting" dxfId="549">
      <pivotArea type="normal" dataOnly="0" labelOnly="1" outline="0" fieldPosition="0">
        <references count="3">
          <reference field="1" selected="0">
            <x v="9"/>
          </reference>
          <reference field="2" selected="0">
            <x v="3"/>
          </reference>
          <reference field="3">
            <x v="26"/>
          </reference>
        </references>
      </pivotArea>
    </format>
    <format action="formatting" dxfId="548">
      <pivotArea type="normal" dataOnly="0" labelOnly="1" outline="0" fieldPosition="0">
        <references count="3">
          <reference field="1" selected="0">
            <x v="10"/>
          </reference>
          <reference field="2" selected="0">
            <x v="3"/>
          </reference>
          <reference field="3">
            <x v="42"/>
          </reference>
        </references>
      </pivotArea>
    </format>
    <format action="formatting" dxfId="547">
      <pivotArea type="normal" dataOnly="0" labelOnly="1" outline="0" fieldPosition="0">
        <references count="3">
          <reference field="1" selected="0">
            <x v="11"/>
          </reference>
          <reference field="2" selected="0">
            <x v="3"/>
          </reference>
          <reference field="3">
            <x v="21"/>
          </reference>
        </references>
      </pivotArea>
    </format>
    <format action="formatting" dxfId="546">
      <pivotArea type="normal" dataOnly="0" labelOnly="1" outline="0" fieldPosition="0">
        <references count="3">
          <reference field="1" selected="0">
            <x v="12"/>
          </reference>
          <reference field="2" selected="0">
            <x v="3"/>
          </reference>
          <reference field="3">
            <x v="40"/>
          </reference>
        </references>
      </pivotArea>
    </format>
    <format action="formatting" dxfId="545">
      <pivotArea type="normal" dataOnly="0" labelOnly="1" outline="0" fieldPosition="0">
        <references count="3">
          <reference field="1" selected="0">
            <x v="13"/>
          </reference>
          <reference field="2" selected="0">
            <x v="3"/>
          </reference>
          <reference field="3">
            <x v="18"/>
          </reference>
        </references>
      </pivotArea>
    </format>
    <format action="formatting" dxfId="544">
      <pivotArea type="normal" dataOnly="0" labelOnly="1" outline="0" fieldPosition="0">
        <references count="3">
          <reference field="1" selected="0">
            <x v="14"/>
          </reference>
          <reference field="2" selected="0">
            <x v="3"/>
          </reference>
          <reference field="3">
            <x v="49"/>
          </reference>
        </references>
      </pivotArea>
    </format>
    <format action="formatting" dxfId="543">
      <pivotArea type="normal" dataOnly="0" labelOnly="1" outline="0" fieldPosition="0">
        <references count="3">
          <reference field="1" selected="0">
            <x v="15"/>
          </reference>
          <reference field="2" selected="0">
            <x v="3"/>
          </reference>
          <reference field="3">
            <x v="37"/>
          </reference>
        </references>
      </pivotArea>
    </format>
    <format action="formatting" dxfId="542">
      <pivotArea type="normal" dataOnly="0" labelOnly="1" outline="0" fieldPosition="0">
        <references count="3">
          <reference field="1" selected="0">
            <x v="16"/>
          </reference>
          <reference field="2" selected="0">
            <x v="3"/>
          </reference>
          <reference field="3">
            <x v="15"/>
          </reference>
        </references>
      </pivotArea>
    </format>
    <format action="formatting" dxfId="541">
      <pivotArea type="normal" dataOnly="0" labelOnly="1" outline="0" fieldPosition="0">
        <references count="3">
          <reference field="1" selected="0">
            <x v="17"/>
          </reference>
          <reference field="2" selected="0">
            <x v="3"/>
          </reference>
          <reference field="3">
            <x v="9"/>
          </reference>
        </references>
      </pivotArea>
    </format>
    <format action="formatting" dxfId="540">
      <pivotArea type="normal" dataOnly="0" labelOnly="1" outline="0" fieldPosition="0">
        <references count="3">
          <reference field="1" selected="0">
            <x v="18"/>
          </reference>
          <reference field="2" selected="0">
            <x v="3"/>
          </reference>
          <reference field="3">
            <x v="7"/>
          </reference>
        </references>
      </pivotArea>
    </format>
    <format action="formatting" dxfId="539">
      <pivotArea type="normal" dataOnly="0" labelOnly="1" outline="0" fieldPosition="0">
        <references count="3">
          <reference field="1" selected="0">
            <x v="19"/>
          </reference>
          <reference field="2" selected="0">
            <x v="3"/>
          </reference>
          <reference field="3">
            <x v="27"/>
          </reference>
        </references>
      </pivotArea>
    </format>
    <format action="formatting" dxfId="538">
      <pivotArea type="normal" dataOnly="0" labelOnly="1" outline="0" fieldPosition="0">
        <references count="3">
          <reference field="1" selected="0">
            <x v="20"/>
          </reference>
          <reference field="2" selected="0">
            <x v="3"/>
          </reference>
          <reference field="3">
            <x v="30"/>
          </reference>
        </references>
      </pivotArea>
    </format>
    <format action="formatting" dxfId="537">
      <pivotArea type="normal" dataOnly="0" labelOnly="1" outline="0" fieldPosition="0">
        <references count="3">
          <reference field="1" selected="0">
            <x v="21"/>
          </reference>
          <reference field="2" selected="0">
            <x v="3"/>
          </reference>
          <reference field="3">
            <x v="33"/>
          </reference>
        </references>
      </pivotArea>
    </format>
    <format action="formatting" dxfId="536">
      <pivotArea type="normal" dataOnly="0" labelOnly="1" outline="0" fieldPosition="0">
        <references count="3">
          <reference field="1" selected="0">
            <x v="22"/>
          </reference>
          <reference field="2" selected="0">
            <x v="3"/>
          </reference>
          <reference field="3">
            <x v="43"/>
          </reference>
        </references>
      </pivotArea>
    </format>
    <format action="formatting" dxfId="535">
      <pivotArea type="normal" dataOnly="0" labelOnly="1" outline="0" fieldPosition="0">
        <references count="3">
          <reference field="1" selected="0">
            <x v="23"/>
          </reference>
          <reference field="2" selected="0">
            <x v="3"/>
          </reference>
          <reference field="3">
            <x v="50"/>
          </reference>
        </references>
      </pivotArea>
    </format>
    <format action="formatting" dxfId="534">
      <pivotArea type="normal" dataOnly="0" labelOnly="1" outline="0" fieldPosition="0">
        <references count="3">
          <reference field="1" selected="0">
            <x v="24"/>
          </reference>
          <reference field="2" selected="0">
            <x v="3"/>
          </reference>
          <reference field="3">
            <x v="35"/>
          </reference>
        </references>
      </pivotArea>
    </format>
    <format action="formatting" dxfId="533">
      <pivotArea type="normal" dataOnly="0" labelOnly="1" outline="0" fieldPosition="0">
        <references count="3">
          <reference field="1" selected="0">
            <x v="25"/>
          </reference>
          <reference field="2" selected="0">
            <x v="3"/>
          </reference>
          <reference field="3">
            <x v="13"/>
          </reference>
        </references>
      </pivotArea>
    </format>
    <format action="formatting" dxfId="532">
      <pivotArea type="normal" dataOnly="0" labelOnly="1" outline="0" fieldPosition="0">
        <references count="3">
          <reference field="1" selected="0">
            <x v="26"/>
          </reference>
          <reference field="2" selected="0">
            <x v="3"/>
          </reference>
          <reference field="3">
            <x v="19"/>
          </reference>
        </references>
      </pivotArea>
    </format>
    <format action="formatting" dxfId="531">
      <pivotArea type="normal" dataOnly="0" labelOnly="1" outline="0" fieldPosition="0">
        <references count="3">
          <reference field="1" selected="0">
            <x v="27"/>
          </reference>
          <reference field="2" selected="0">
            <x v="3"/>
          </reference>
          <reference field="3">
            <x v="6"/>
          </reference>
        </references>
      </pivotArea>
    </format>
    <format action="formatting" dxfId="530">
      <pivotArea type="normal" dataOnly="0" labelOnly="1" outline="0" fieldPosition="0">
        <references count="3">
          <reference field="1" selected="0">
            <x v="28"/>
          </reference>
          <reference field="2" selected="0">
            <x v="3"/>
          </reference>
          <reference field="3">
            <x v="45"/>
          </reference>
        </references>
      </pivotArea>
    </format>
    <format action="formatting" dxfId="529">
      <pivotArea type="normal" dataOnly="0" labelOnly="1" outline="0" fieldPosition="0">
        <references count="3">
          <reference field="1" selected="0">
            <x v="29"/>
          </reference>
          <reference field="2" selected="0">
            <x v="3"/>
          </reference>
          <reference field="3">
            <x v="24"/>
          </reference>
        </references>
      </pivotArea>
    </format>
    <format action="formatting" dxfId="528">
      <pivotArea type="normal" dataOnly="0" labelOnly="1" outline="0" fieldPosition="0">
        <references count="3">
          <reference field="1" selected="0">
            <x v="30"/>
          </reference>
          <reference field="2" selected="0">
            <x v="3"/>
          </reference>
          <reference field="3">
            <x v="22"/>
          </reference>
        </references>
      </pivotArea>
    </format>
    <format action="formatting" dxfId="527">
      <pivotArea type="normal" dataOnly="0" labelOnly="1" outline="0" fieldPosition="0">
        <references count="3">
          <reference field="1" selected="0">
            <x v="31"/>
          </reference>
          <reference field="2" selected="0">
            <x v="3"/>
          </reference>
          <reference field="3">
            <x v="46"/>
          </reference>
        </references>
      </pivotArea>
    </format>
    <format action="formatting" dxfId="526">
      <pivotArea type="normal" dataOnly="0" labelOnly="1" outline="0" fieldPosition="0">
        <references count="3">
          <reference field="1" selected="0">
            <x v="32"/>
          </reference>
          <reference field="2" selected="0">
            <x v="3"/>
          </reference>
          <reference field="3">
            <x v="32"/>
          </reference>
        </references>
      </pivotArea>
    </format>
    <format action="formatting" dxfId="525">
      <pivotArea type="normal" dataOnly="0" labelOnly="1" outline="0" fieldPosition="0">
        <references count="3">
          <reference field="1" selected="0">
            <x v="33"/>
          </reference>
          <reference field="2" selected="0">
            <x v="3"/>
          </reference>
          <reference field="3">
            <x v="12"/>
          </reference>
        </references>
      </pivotArea>
    </format>
    <format action="formatting" dxfId="524">
      <pivotArea type="normal" dataOnly="0" labelOnly="1" outline="0" fieldPosition="0">
        <references count="3">
          <reference field="1" selected="0">
            <x v="34"/>
          </reference>
          <reference field="2" selected="0">
            <x v="3"/>
          </reference>
          <reference field="3">
            <x v="20"/>
          </reference>
        </references>
      </pivotArea>
    </format>
    <format action="formatting" dxfId="523">
      <pivotArea type="normal" dataOnly="0" labelOnly="1" outline="0" fieldPosition="0">
        <references count="3">
          <reference field="1" selected="0">
            <x v="35"/>
          </reference>
          <reference field="2" selected="0">
            <x v="3"/>
          </reference>
          <reference field="3">
            <x v="48"/>
          </reference>
        </references>
      </pivotArea>
    </format>
    <format action="formatting" dxfId="522">
      <pivotArea type="normal" dataOnly="0" labelOnly="1" outline="0" fieldPosition="0">
        <references count="3">
          <reference field="1" selected="0">
            <x v="36"/>
          </reference>
          <reference field="2" selected="0">
            <x v="3"/>
          </reference>
          <reference field="3">
            <x v="47"/>
          </reference>
        </references>
      </pivotArea>
    </format>
    <format action="formatting" dxfId="521">
      <pivotArea type="normal" dataOnly="0" labelOnly="1" outline="0" fieldPosition="0">
        <references count="3">
          <reference field="1" selected="0">
            <x v="37"/>
          </reference>
          <reference field="2" selected="0">
            <x v="4"/>
          </reference>
          <reference field="3">
            <x v="58"/>
          </reference>
        </references>
      </pivotArea>
    </format>
    <format action="formatting" dxfId="520">
      <pivotArea type="normal" dataOnly="0" labelOnly="1" outline="0" fieldPosition="0">
        <references count="3">
          <reference field="1" selected="0">
            <x v="38"/>
          </reference>
          <reference field="2" selected="0">
            <x v="3"/>
          </reference>
          <reference field="3">
            <x v="39"/>
          </reference>
        </references>
      </pivotArea>
    </format>
    <format action="formatting" dxfId="519">
      <pivotArea type="normal" dataOnly="0" labelOnly="1" outline="0" fieldPosition="0">
        <references count="3">
          <reference field="1" selected="0">
            <x v="39"/>
          </reference>
          <reference field="2" selected="0">
            <x v="3"/>
          </reference>
          <reference field="3">
            <x v="31"/>
          </reference>
        </references>
      </pivotArea>
    </format>
    <format action="formatting" dxfId="518">
      <pivotArea type="normal" dataOnly="0" labelOnly="1" outline="0" fieldPosition="0">
        <references count="3">
          <reference field="1" selected="0">
            <x v="40"/>
          </reference>
          <reference field="2" selected="0">
            <x v="3"/>
          </reference>
          <reference field="3">
            <x v="23"/>
          </reference>
        </references>
      </pivotArea>
    </format>
    <format action="formatting" dxfId="517">
      <pivotArea type="normal" dataOnly="0" labelOnly="1" outline="0" fieldPosition="0">
        <references count="3">
          <reference field="1" selected="0">
            <x v="41"/>
          </reference>
          <reference field="2" selected="0">
            <x v="3"/>
          </reference>
          <reference field="3">
            <x v="51"/>
          </reference>
        </references>
      </pivotArea>
    </format>
    <format action="formatting" dxfId="516">
      <pivotArea type="normal" dataOnly="0" labelOnly="1" outline="0" fieldPosition="0">
        <references count="3">
          <reference field="1" selected="0">
            <x v="42"/>
          </reference>
          <reference field="2" selected="0">
            <x v="3"/>
          </reference>
          <reference field="3">
            <x v="44"/>
          </reference>
        </references>
      </pivotArea>
    </format>
    <format action="formatting" dxfId="515">
      <pivotArea type="normal" dataOnly="0" labelOnly="1" outline="0" fieldPosition="0">
        <references count="3">
          <reference field="1" selected="0">
            <x v="43"/>
          </reference>
          <reference field="2" selected="0">
            <x v="3"/>
          </reference>
          <reference field="3">
            <x v="16"/>
          </reference>
        </references>
      </pivotArea>
    </format>
    <format action="formatting" dxfId="514">
      <pivotArea type="normal" dataOnly="0" labelOnly="1" outline="0" fieldPosition="0">
        <references count="3">
          <reference field="1" selected="0">
            <x v="44"/>
          </reference>
          <reference field="2" selected="0">
            <x v="3"/>
          </reference>
          <reference field="3">
            <x v="28"/>
          </reference>
        </references>
      </pivotArea>
    </format>
    <format action="formatting" dxfId="513">
      <pivotArea type="normal" dataOnly="0" labelOnly="1" outline="0" fieldPosition="0">
        <references count="3">
          <reference field="1" selected="0">
            <x v="45"/>
          </reference>
          <reference field="2" selected="0">
            <x v="3"/>
          </reference>
          <reference field="3">
            <x v="34"/>
          </reference>
        </references>
      </pivotArea>
    </format>
    <format action="formatting" dxfId="512">
      <pivotArea type="normal" dataOnly="0" labelOnly="1" outline="0" fieldPosition="0">
        <references count="3">
          <reference field="1" selected="0">
            <x v="46"/>
          </reference>
          <reference field="2" selected="0">
            <x v="3"/>
          </reference>
          <reference field="3">
            <x v="36"/>
          </reference>
        </references>
      </pivotArea>
    </format>
    <format action="formatting" dxfId="511">
      <pivotArea type="normal" dataOnly="0" labelOnly="1" outline="0" fieldPosition="0">
        <references count="3">
          <reference field="1" selected="0">
            <x v="47"/>
          </reference>
          <reference field="2" selected="0">
            <x v="3"/>
          </reference>
          <reference field="3">
            <x v="10"/>
          </reference>
        </references>
      </pivotArea>
    </format>
    <format action="formatting" dxfId="510">
      <pivotArea type="normal" dataOnly="0" labelOnly="1" outline="0" fieldPosition="0">
        <references count="3">
          <reference field="1" selected="0">
            <x v="48"/>
          </reference>
          <reference field="2" selected="0">
            <x v="4"/>
          </reference>
          <reference field="3">
            <x v="59"/>
          </reference>
        </references>
      </pivotArea>
    </format>
    <format action="formatting" dxfId="509">
      <pivotArea type="normal" dataOnly="0" labelOnly="1" outline="0" fieldPosition="0">
        <references count="3">
          <reference field="1" selected="0">
            <x v="49"/>
          </reference>
          <reference field="2" selected="0">
            <x v="3"/>
          </reference>
          <reference field="3">
            <x v="29"/>
          </reference>
        </references>
      </pivotArea>
    </format>
    <format action="formatting" dxfId="508">
      <pivotArea type="normal" dataOnly="0" labelOnly="1" outline="0" fieldPosition="0">
        <references count="3">
          <reference field="1" selected="0">
            <x v="50"/>
          </reference>
          <reference field="2" selected="0">
            <x v="3"/>
          </reference>
          <reference field="3">
            <x v="38"/>
          </reference>
        </references>
      </pivotArea>
    </format>
    <format action="formatting" dxfId="507">
      <pivotArea type="normal" dataOnly="0" labelOnly="1" outline="0" fieldPosition="0">
        <references count="3">
          <reference field="1" selected="0">
            <x v="51"/>
          </reference>
          <reference field="2" selected="0">
            <x v="6"/>
          </reference>
          <reference field="3">
            <x v="72"/>
          </reference>
        </references>
      </pivotArea>
    </format>
    <format action="formatting" dxfId="506">
      <pivotArea type="normal" dataOnly="0" labelOnly="1" outline="0" fieldPosition="0">
        <references count="3">
          <reference field="1" selected="0">
            <x v="52"/>
          </reference>
          <reference field="2" selected="0">
            <x v="3"/>
          </reference>
          <reference field="3">
            <x v="17"/>
          </reference>
        </references>
      </pivotArea>
    </format>
    <format action="formatting" dxfId="505">
      <pivotArea type="normal" dataOnly="0" labelOnly="1" outline="0" fieldPosition="0">
        <references count="3">
          <reference field="1" selected="0">
            <x v="53"/>
          </reference>
          <reference field="2" selected="0">
            <x v="3"/>
          </reference>
          <reference field="3">
            <x v="41"/>
          </reference>
        </references>
      </pivotArea>
    </format>
    <format action="formatting" dxfId="504">
      <pivotArea type="normal" dataOnly="0" labelOnly="1" outline="0" fieldPosition="0">
        <references count="3">
          <reference field="1" selected="0">
            <x v="54"/>
          </reference>
          <reference field="2" selected="0">
            <x v="3"/>
          </reference>
          <reference field="3">
            <x v="25"/>
          </reference>
        </references>
      </pivotArea>
    </format>
    <format action="formatting" dxfId="503">
      <pivotArea type="normal" dataOnly="0" labelOnly="1" outline="0" fieldPosition="0">
        <references count="3">
          <reference field="1" selected="0">
            <x v="55"/>
          </reference>
          <reference field="2" selected="0">
            <x v="3"/>
          </reference>
          <reference field="3">
            <x v="11"/>
          </reference>
        </references>
      </pivotArea>
    </format>
    <format action="formatting" dxfId="502">
      <pivotArea type="normal" dataOnly="0" labelOnly="1" outline="0" fieldPosition="0">
        <references count="3">
          <reference field="1" selected="0">
            <x v="56"/>
          </reference>
          <reference field="2" selected="0">
            <x v="8"/>
          </reference>
          <reference field="3">
            <x v="73"/>
          </reference>
        </references>
      </pivotArea>
    </format>
    <format action="formatting" dxfId="501">
      <pivotArea type="normal" dataOnly="0" labelOnly="1" outline="0" fieldPosition="0">
        <references count="3">
          <reference field="1" selected="0">
            <x v="57"/>
          </reference>
          <reference field="2" selected="0">
            <x v="2"/>
          </reference>
          <reference field="3">
            <x v="77"/>
          </reference>
        </references>
      </pivotArea>
    </format>
    <format action="formatting" dxfId="500">
      <pivotArea type="normal" dataOnly="0" labelOnly="1" outline="0" fieldPosition="0">
        <references count="3">
          <reference field="1" selected="0">
            <x v="58"/>
          </reference>
          <reference field="2" selected="0">
            <x v="6"/>
          </reference>
          <reference field="3">
            <x v="60"/>
          </reference>
        </references>
      </pivotArea>
    </format>
    <format action="formatting" dxfId="499">
      <pivotArea type="normal" dataOnly="0" labelOnly="1" outline="0" fieldPosition="0">
        <references count="3">
          <reference field="1" selected="0">
            <x v="59"/>
          </reference>
          <reference field="2" selected="0">
            <x v="8"/>
          </reference>
          <reference field="3">
            <x v="54"/>
          </reference>
        </references>
      </pivotArea>
    </format>
    <format action="formatting" dxfId="498">
      <pivotArea type="normal" dataOnly="0" labelOnly="1" outline="0" fieldPosition="0">
        <references count="3">
          <reference field="1" selected="0">
            <x v="60"/>
          </reference>
          <reference field="2" selected="0">
            <x v="6"/>
          </reference>
          <reference field="3">
            <x v="64"/>
          </reference>
        </references>
      </pivotArea>
    </format>
    <format action="formatting" dxfId="497">
      <pivotArea type="normal" dataOnly="0" labelOnly="1" outline="0" fieldPosition="0">
        <references count="3">
          <reference field="1" selected="0">
            <x v="61"/>
          </reference>
          <reference field="2" selected="0">
            <x v="8"/>
          </reference>
          <reference field="3">
            <x v="76"/>
          </reference>
        </references>
      </pivotArea>
    </format>
    <format action="formatting" dxfId="496">
      <pivotArea type="normal" dataOnly="0" labelOnly="1" outline="0" fieldPosition="0">
        <references count="3">
          <reference field="1" selected="0">
            <x v="62"/>
          </reference>
          <reference field="2" selected="0">
            <x v="2"/>
          </reference>
          <reference field="3">
            <x v="79"/>
          </reference>
        </references>
      </pivotArea>
    </format>
    <format action="formatting" dxfId="495">
      <pivotArea type="normal" dataOnly="0" labelOnly="1" outline="0" fieldPosition="0">
        <references count="3">
          <reference field="1" selected="0">
            <x v="63"/>
          </reference>
          <reference field="2" selected="0">
            <x v="6"/>
          </reference>
          <reference field="3">
            <x v="0"/>
          </reference>
        </references>
      </pivotArea>
    </format>
    <format action="formatting" dxfId="494">
      <pivotArea type="normal" dataOnly="0" labelOnly="1" outline="0" fieldPosition="0">
        <references count="3">
          <reference field="1" selected="0">
            <x v="64"/>
          </reference>
          <reference field="2" selected="0">
            <x v="6"/>
          </reference>
          <reference field="3">
            <x v="61"/>
          </reference>
        </references>
      </pivotArea>
    </format>
    <format action="formatting" dxfId="493">
      <pivotArea type="normal" dataOnly="0" labelOnly="1" outline="0" fieldPosition="0">
        <references count="3">
          <reference field="1" selected="0">
            <x v="65"/>
          </reference>
          <reference field="2" selected="0">
            <x v="6"/>
          </reference>
          <reference field="3">
            <x v="63"/>
          </reference>
        </references>
      </pivotArea>
    </format>
    <format action="formatting" dxfId="492">
      <pivotArea type="normal" dataOnly="0" labelOnly="1" outline="0" fieldPosition="0">
        <references count="3">
          <reference field="1" selected="0">
            <x v="66"/>
          </reference>
          <reference field="2" selected="0">
            <x v="8"/>
          </reference>
          <reference field="3">
            <x v="65"/>
          </reference>
        </references>
      </pivotArea>
    </format>
    <format action="formatting" dxfId="491">
      <pivotArea type="normal" dataOnly="0" labelOnly="1" outline="0" fieldPosition="0">
        <references count="3">
          <reference field="1" selected="0">
            <x v="67"/>
          </reference>
          <reference field="2" selected="0">
            <x v="8"/>
          </reference>
          <reference field="3">
            <x v="75"/>
          </reference>
        </references>
      </pivotArea>
    </format>
    <format action="formatting" dxfId="490">
      <pivotArea type="normal" dataOnly="0" labelOnly="1" outline="0" fieldPosition="0">
        <references count="3">
          <reference field="1" selected="0">
            <x v="68"/>
          </reference>
          <reference field="2" selected="0">
            <x v="2"/>
          </reference>
          <reference field="3">
            <x v="78"/>
          </reference>
        </references>
      </pivotArea>
    </format>
    <format action="formatting" dxfId="489">
      <pivotArea type="normal" dataOnly="0" labelOnly="1" outline="0" fieldPosition="0">
        <references count="3">
          <reference field="1" selected="0">
            <x v="69"/>
          </reference>
          <reference field="2" selected="0">
            <x v="6"/>
          </reference>
          <reference field="3">
            <x v="62"/>
          </reference>
        </references>
      </pivotArea>
    </format>
    <format action="formatting" dxfId="488">
      <pivotArea type="normal" dataOnly="0" labelOnly="1" outline="0" fieldPosition="0">
        <references count="3">
          <reference field="1" selected="0">
            <x v="70"/>
          </reference>
          <reference field="2" selected="0">
            <x v="4"/>
          </reference>
          <reference field="3">
            <x v="55"/>
          </reference>
        </references>
      </pivotArea>
    </format>
    <format action="formatting" dxfId="487">
      <pivotArea type="normal" dataOnly="0" labelOnly="1" outline="0" fieldPosition="0">
        <references count="3">
          <reference field="1" selected="0">
            <x v="71"/>
          </reference>
          <reference field="2" selected="0">
            <x v="4"/>
          </reference>
          <reference field="3">
            <x v="56"/>
          </reference>
        </references>
      </pivotArea>
    </format>
    <format action="formatting" dxfId="486">
      <pivotArea type="normal" dataOnly="0" labelOnly="1" outline="0" fieldPosition="0">
        <references count="3">
          <reference field="1" selected="0">
            <x v="72"/>
          </reference>
          <reference field="2" selected="0">
            <x v="4"/>
          </reference>
          <reference field="3">
            <x v="68"/>
          </reference>
        </references>
      </pivotArea>
    </format>
    <format action="formatting" dxfId="485">
      <pivotArea type="normal" dataOnly="0" labelOnly="1" outline="0" fieldPosition="0">
        <references count="3">
          <reference field="1" selected="0">
            <x v="73"/>
          </reference>
          <reference field="2" selected="0">
            <x v="3"/>
          </reference>
          <reference field="3">
            <x v="8"/>
          </reference>
        </references>
      </pivotArea>
    </format>
    <format action="formatting" dxfId="484">
      <pivotArea type="normal" dataOnly="0" labelOnly="1" outline="0" fieldPosition="0">
        <references count="3">
          <reference field="1" selected="0">
            <x v="74"/>
          </reference>
          <reference field="2" selected="0">
            <x v="5"/>
          </reference>
          <reference field="3">
            <x v="69"/>
          </reference>
        </references>
      </pivotArea>
    </format>
    <format action="formatting" dxfId="483">
      <pivotArea type="normal" dataOnly="0" labelOnly="1" outline="0" fieldPosition="0">
        <references count="3">
          <reference field="1" selected="0">
            <x v="75"/>
          </reference>
          <reference field="2" selected="0">
            <x v="0"/>
          </reference>
          <reference field="3">
            <x v="66"/>
          </reference>
        </references>
      </pivotArea>
    </format>
    <format action="formatting" dxfId="482">
      <pivotArea type="normal" dataOnly="0" labelOnly="1" outline="0" fieldPosition="0">
        <references count="3">
          <reference field="1" selected="0">
            <x v="76"/>
          </reference>
          <reference field="2" selected="0">
            <x v="8"/>
          </reference>
          <reference field="3">
            <x v="74"/>
          </reference>
        </references>
      </pivotArea>
    </format>
    <format action="formatting" dxfId="481">
      <pivotArea type="normal" dataOnly="0" labelOnly="1" outline="0" fieldPosition="0">
        <references count="3">
          <reference field="1" selected="0">
            <x v="77"/>
          </reference>
          <reference field="2" selected="0">
            <x v="1"/>
          </reference>
          <reference field="3">
            <x v="71"/>
          </reference>
        </references>
      </pivotArea>
    </format>
    <format action="formatting" dxfId="480">
      <pivotArea type="normal" dataOnly="0" labelOnly="1" outline="0" fieldPosition="0">
        <references count="3">
          <reference field="1" selected="0">
            <x v="78"/>
          </reference>
          <reference field="2" selected="0">
            <x v="7"/>
          </reference>
          <reference field="3">
            <x v="4"/>
          </reference>
        </references>
      </pivotArea>
    </format>
    <format action="formatting" dxfId="479">
      <pivotArea type="normal" dataOnly="0" labelOnly="1" outline="0" fieldPosition="0">
        <references count="3">
          <reference field="1" selected="0">
            <x v="79"/>
          </reference>
          <reference field="2" selected="0">
            <x v="1"/>
          </reference>
          <reference field="3">
            <x v="70"/>
          </reference>
        </references>
      </pivotArea>
    </format>
    <format action="formatting" dxfId="478">
      <pivotArea type="all" dataOnly="0" outline="0" fieldPosition="0"/>
    </format>
    <format action="formatting" dxfId="477">
      <pivotArea type="normal" dataOnly="1" outline="0" fieldPosition="0"/>
    </format>
    <format action="formatting" dxfId="476">
      <pivotArea type="origin" dataOnly="0" labelOnly="1" outline="0" fieldPosition="0"/>
    </format>
    <format action="formatting" dxfId="475">
      <pivotArea field="1" type="button" dataOnly="0" labelOnly="1" outline="0" axis="axisCol" fieldPosition="0"/>
    </format>
    <format action="formatting" dxfId="474">
      <pivotArea field="2" type="button" dataOnly="0" labelOnly="1" outline="0" axis="axisCol" fieldPosition="1"/>
    </format>
    <format action="formatting" dxfId="473">
      <pivotArea field="3" type="button" dataOnly="0" labelOnly="1" outline="0" axis="axisCol" fieldPosition="2"/>
    </format>
    <format action="formatting" dxfId="472">
      <pivotArea type="topRight" dataOnly="0" labelOnly="1" outline="0" fieldPosition="0"/>
    </format>
    <format action="formatting" dxfId="471">
      <pivotArea field="5" type="button" dataOnly="0" labelOnly="1" outline="0" axis="axisRow" fieldPosition="0"/>
    </format>
    <format action="formatting" dxfId="470">
      <pivotArea field="6" type="button" dataOnly="0" labelOnly="1" outline="0" axis="axisRow" fieldPosition="1"/>
    </format>
    <format action="formatting" dxfId="469">
      <pivotArea field="8" type="button" dataOnly="0" labelOnly="1" outline="0" axis="axisRow" fieldPosition="2"/>
    </format>
    <format action="formatting" dxfId="468">
      <pivotArea type="normal" dataOnly="0" labelOnly="1" outline="0" fieldPosition="0">
        <references count="1">
          <reference field="5">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action="formatting" dxfId="467">
      <pivotArea type="normal" dataOnly="0" labelOnly="1" outline="0" fieldPosition="0">
        <references count="1">
          <reference field="5">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action="formatting" dxfId="466">
      <pivotArea type="normal" dataOnly="0" labelOnly="1" outline="0" fieldPosition="0">
        <references count="1">
          <reference field="5">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action="formatting" dxfId="465">
      <pivotArea type="normal" dataOnly="0" labelOnly="1" outline="0" fieldPosition="0">
        <references count="1">
          <reference field="5">
            <x v="150"/>
            <x v="151"/>
            <x v="152"/>
            <x v="153"/>
            <x v="154"/>
            <x v="155"/>
            <x v="156"/>
            <x v="157"/>
            <x v="158"/>
            <x v="159"/>
            <x v="160"/>
            <x v="161"/>
            <x v="162"/>
            <x v="163"/>
            <x v="164"/>
            <x v="165"/>
            <x v="166"/>
            <x v="167"/>
            <x v="168"/>
          </reference>
        </references>
      </pivotArea>
    </format>
    <format action="formatting" dxfId="464">
      <pivotArea type="normal" dataOnly="0" labelOnly="1" grandRow="1" outline="0" fieldPosition="0"/>
    </format>
    <format action="formatting" dxfId="463">
      <pivotArea type="normal" dataOnly="0" labelOnly="1" outline="0" fieldPosition="0">
        <references count="2">
          <reference field="5" selected="0">
            <x v="0"/>
          </reference>
          <reference field="6">
            <x v="88"/>
          </reference>
        </references>
      </pivotArea>
    </format>
    <format action="formatting" dxfId="462">
      <pivotArea type="normal" dataOnly="0" labelOnly="1" outline="0" fieldPosition="0">
        <references count="2">
          <reference field="5" selected="0">
            <x v="1"/>
          </reference>
          <reference field="6">
            <x v="20"/>
          </reference>
        </references>
      </pivotArea>
    </format>
    <format action="formatting" dxfId="461">
      <pivotArea type="normal" dataOnly="0" labelOnly="1" outline="0" fieldPosition="0">
        <references count="2">
          <reference field="5" selected="0">
            <x v="2"/>
          </reference>
          <reference field="6">
            <x v="138"/>
          </reference>
        </references>
      </pivotArea>
    </format>
    <format action="formatting" dxfId="460">
      <pivotArea type="normal" dataOnly="0" labelOnly="1" outline="0" fieldPosition="0">
        <references count="2">
          <reference field="5" selected="0">
            <x v="3"/>
          </reference>
          <reference field="6">
            <x v="31"/>
          </reference>
        </references>
      </pivotArea>
    </format>
    <format action="formatting" dxfId="459">
      <pivotArea type="normal" dataOnly="0" labelOnly="1" outline="0" fieldPosition="0">
        <references count="2">
          <reference field="5" selected="0">
            <x v="4"/>
          </reference>
          <reference field="6">
            <x v="139"/>
          </reference>
        </references>
      </pivotArea>
    </format>
    <format action="formatting" dxfId="458">
      <pivotArea type="normal" dataOnly="0" labelOnly="1" outline="0" fieldPosition="0">
        <references count="2">
          <reference field="5" selected="0">
            <x v="5"/>
          </reference>
          <reference field="6">
            <x v="13"/>
          </reference>
        </references>
      </pivotArea>
    </format>
    <format action="formatting" dxfId="457">
      <pivotArea type="normal" dataOnly="0" labelOnly="1" outline="0" fieldPosition="0">
        <references count="2">
          <reference field="5" selected="0">
            <x v="6"/>
          </reference>
          <reference field="6">
            <x v="70"/>
          </reference>
        </references>
      </pivotArea>
    </format>
    <format action="formatting" dxfId="456">
      <pivotArea type="normal" dataOnly="0" labelOnly="1" outline="0" fieldPosition="0">
        <references count="2">
          <reference field="5" selected="0">
            <x v="7"/>
          </reference>
          <reference field="6">
            <x v="10"/>
          </reference>
        </references>
      </pivotArea>
    </format>
    <format action="formatting" dxfId="455">
      <pivotArea type="normal" dataOnly="0" labelOnly="1" outline="0" fieldPosition="0">
        <references count="2">
          <reference field="5" selected="0">
            <x v="8"/>
          </reference>
          <reference field="6">
            <x v="11"/>
          </reference>
        </references>
      </pivotArea>
    </format>
    <format action="formatting" dxfId="454">
      <pivotArea type="normal" dataOnly="0" labelOnly="1" outline="0" fieldPosition="0">
        <references count="2">
          <reference field="5" selected="0">
            <x v="9"/>
          </reference>
          <reference field="6">
            <x v="12"/>
          </reference>
        </references>
      </pivotArea>
    </format>
    <format action="formatting" dxfId="453">
      <pivotArea type="normal" dataOnly="0" labelOnly="1" outline="0" fieldPosition="0">
        <references count="2">
          <reference field="5" selected="0">
            <x v="10"/>
          </reference>
          <reference field="6">
            <x v="6"/>
          </reference>
        </references>
      </pivotArea>
    </format>
    <format action="formatting" dxfId="452">
      <pivotArea type="normal" dataOnly="0" labelOnly="1" outline="0" fieldPosition="0">
        <references count="2">
          <reference field="5" selected="0">
            <x v="11"/>
          </reference>
          <reference field="6">
            <x v="7"/>
          </reference>
        </references>
      </pivotArea>
    </format>
    <format action="formatting" dxfId="451">
      <pivotArea type="normal" dataOnly="0" labelOnly="1" outline="0" fieldPosition="0">
        <references count="2">
          <reference field="5" selected="0">
            <x v="12"/>
          </reference>
          <reference field="6">
            <x v="103"/>
          </reference>
        </references>
      </pivotArea>
    </format>
    <format action="formatting" dxfId="450">
      <pivotArea type="normal" dataOnly="0" labelOnly="1" outline="0" fieldPosition="0">
        <references count="2">
          <reference field="5" selected="0">
            <x v="13"/>
          </reference>
          <reference field="6">
            <x v="26"/>
          </reference>
        </references>
      </pivotArea>
    </format>
    <format action="formatting" dxfId="449">
      <pivotArea type="normal" dataOnly="0" labelOnly="1" outline="0" fieldPosition="0">
        <references count="2">
          <reference field="5" selected="0">
            <x v="14"/>
          </reference>
          <reference field="6">
            <x v="22"/>
          </reference>
        </references>
      </pivotArea>
    </format>
    <format action="formatting" dxfId="448">
      <pivotArea type="normal" dataOnly="0" labelOnly="1" outline="0" fieldPosition="0">
        <references count="2">
          <reference field="5" selected="0">
            <x v="15"/>
          </reference>
          <reference field="6">
            <x v="93"/>
          </reference>
        </references>
      </pivotArea>
    </format>
    <format action="formatting" dxfId="447">
      <pivotArea type="normal" dataOnly="0" labelOnly="1" outline="0" fieldPosition="0">
        <references count="2">
          <reference field="5" selected="0">
            <x v="16"/>
          </reference>
          <reference field="6">
            <x v="159"/>
          </reference>
        </references>
      </pivotArea>
    </format>
    <format action="formatting" dxfId="446">
      <pivotArea type="normal" dataOnly="0" labelOnly="1" outline="0" fieldPosition="0">
        <references count="2">
          <reference field="5" selected="0">
            <x v="17"/>
          </reference>
          <reference field="6">
            <x v="0"/>
          </reference>
        </references>
      </pivotArea>
    </format>
    <format action="formatting" dxfId="445">
      <pivotArea type="normal" dataOnly="0" labelOnly="1" outline="0" fieldPosition="0">
        <references count="2">
          <reference field="5" selected="0">
            <x v="18"/>
          </reference>
          <reference field="6">
            <x v="21"/>
          </reference>
        </references>
      </pivotArea>
    </format>
    <format action="formatting" dxfId="444">
      <pivotArea type="normal" dataOnly="0" labelOnly="1" outline="0" fieldPosition="0">
        <references count="2">
          <reference field="5" selected="0">
            <x v="19"/>
          </reference>
          <reference field="6">
            <x v="5"/>
          </reference>
        </references>
      </pivotArea>
    </format>
    <format action="formatting" dxfId="443">
      <pivotArea type="normal" dataOnly="0" labelOnly="1" outline="0" fieldPosition="0">
        <references count="2">
          <reference field="5" selected="0">
            <x v="20"/>
          </reference>
          <reference field="6">
            <x v="51"/>
          </reference>
        </references>
      </pivotArea>
    </format>
    <format action="formatting" dxfId="442">
      <pivotArea type="normal" dataOnly="0" labelOnly="1" outline="0" fieldPosition="0">
        <references count="2">
          <reference field="5" selected="0">
            <x v="21"/>
          </reference>
          <reference field="6">
            <x v="15"/>
          </reference>
        </references>
      </pivotArea>
    </format>
    <format action="formatting" dxfId="441">
      <pivotArea type="normal" dataOnly="0" labelOnly="1" outline="0" fieldPosition="0">
        <references count="2">
          <reference field="5" selected="0">
            <x v="22"/>
          </reference>
          <reference field="6">
            <x v="19"/>
          </reference>
        </references>
      </pivotArea>
    </format>
    <format action="formatting" dxfId="440">
      <pivotArea type="normal" dataOnly="0" labelOnly="1" outline="0" fieldPosition="0">
        <references count="2">
          <reference field="5" selected="0">
            <x v="23"/>
          </reference>
          <reference field="6">
            <x v="14"/>
          </reference>
        </references>
      </pivotArea>
    </format>
    <format action="formatting" dxfId="439">
      <pivotArea type="normal" dataOnly="0" labelOnly="1" outline="0" fieldPosition="0">
        <references count="2">
          <reference field="5" selected="0">
            <x v="24"/>
          </reference>
          <reference field="6">
            <x v="141"/>
          </reference>
        </references>
      </pivotArea>
    </format>
    <format action="formatting" dxfId="438">
      <pivotArea type="normal" dataOnly="0" labelOnly="1" outline="0" fieldPosition="0">
        <references count="2">
          <reference field="5" selected="0">
            <x v="25"/>
          </reference>
          <reference field="6">
            <x v="142"/>
          </reference>
        </references>
      </pivotArea>
    </format>
    <format action="formatting" dxfId="437">
      <pivotArea type="normal" dataOnly="0" labelOnly="1" outline="0" fieldPosition="0">
        <references count="2">
          <reference field="5" selected="0">
            <x v="26"/>
          </reference>
          <reference field="6">
            <x v="50"/>
          </reference>
        </references>
      </pivotArea>
    </format>
    <format action="formatting" dxfId="436">
      <pivotArea type="normal" dataOnly="0" labelOnly="1" outline="0" fieldPosition="0">
        <references count="2">
          <reference field="5" selected="0">
            <x v="27"/>
          </reference>
          <reference field="6">
            <x v="4"/>
          </reference>
        </references>
      </pivotArea>
    </format>
    <format action="formatting" dxfId="435">
      <pivotArea type="normal" dataOnly="0" labelOnly="1" outline="0" fieldPosition="0">
        <references count="2">
          <reference field="5" selected="0">
            <x v="28"/>
          </reference>
          <reference field="6">
            <x v="87"/>
          </reference>
        </references>
      </pivotArea>
    </format>
    <format action="formatting" dxfId="434">
      <pivotArea type="normal" dataOnly="0" labelOnly="1" outline="0" fieldPosition="0">
        <references count="2">
          <reference field="5" selected="0">
            <x v="29"/>
          </reference>
          <reference field="6">
            <x v="78"/>
          </reference>
        </references>
      </pivotArea>
    </format>
    <format action="formatting" dxfId="433">
      <pivotArea type="normal" dataOnly="0" labelOnly="1" outline="0" fieldPosition="0">
        <references count="2">
          <reference field="5" selected="0">
            <x v="30"/>
          </reference>
          <reference field="6">
            <x v="32"/>
          </reference>
        </references>
      </pivotArea>
    </format>
    <format action="formatting" dxfId="432">
      <pivotArea type="normal" dataOnly="0" labelOnly="1" outline="0" fieldPosition="0">
        <references count="2">
          <reference field="5" selected="0">
            <x v="31"/>
          </reference>
          <reference field="6">
            <x v="151"/>
          </reference>
        </references>
      </pivotArea>
    </format>
    <format action="formatting" dxfId="431">
      <pivotArea type="normal" dataOnly="0" labelOnly="1" outline="0" fieldPosition="0">
        <references count="2">
          <reference field="5" selected="0">
            <x v="32"/>
          </reference>
          <reference field="6">
            <x v="149"/>
          </reference>
        </references>
      </pivotArea>
    </format>
    <format action="formatting" dxfId="430">
      <pivotArea type="normal" dataOnly="0" labelOnly="1" outline="0" fieldPosition="0">
        <references count="2">
          <reference field="5" selected="0">
            <x v="33"/>
          </reference>
          <reference field="6">
            <x v="150"/>
          </reference>
        </references>
      </pivotArea>
    </format>
    <format action="formatting" dxfId="429">
      <pivotArea type="normal" dataOnly="0" labelOnly="1" outline="0" fieldPosition="0">
        <references count="2">
          <reference field="5" selected="0">
            <x v="34"/>
          </reference>
          <reference field="6">
            <x v="152"/>
          </reference>
        </references>
      </pivotArea>
    </format>
    <format action="formatting" dxfId="428">
      <pivotArea type="normal" dataOnly="0" labelOnly="1" outline="0" fieldPosition="0">
        <references count="2">
          <reference field="5" selected="0">
            <x v="35"/>
          </reference>
          <reference field="6">
            <x v="168"/>
          </reference>
        </references>
      </pivotArea>
    </format>
    <format action="formatting" dxfId="427">
      <pivotArea type="normal" dataOnly="0" labelOnly="1" outline="0" fieldPosition="0">
        <references count="2">
          <reference field="5" selected="0">
            <x v="36"/>
          </reference>
          <reference field="6">
            <x v="97"/>
          </reference>
        </references>
      </pivotArea>
    </format>
    <format action="formatting" dxfId="426">
      <pivotArea type="normal" dataOnly="0" labelOnly="1" outline="0" fieldPosition="0">
        <references count="2">
          <reference field="5" selected="0">
            <x v="37"/>
          </reference>
          <reference field="6">
            <x v="98"/>
          </reference>
        </references>
      </pivotArea>
    </format>
    <format action="formatting" dxfId="425">
      <pivotArea type="normal" dataOnly="0" labelOnly="1" outline="0" fieldPosition="0">
        <references count="2">
          <reference field="5" selected="0">
            <x v="38"/>
          </reference>
          <reference field="6">
            <x v="46"/>
          </reference>
        </references>
      </pivotArea>
    </format>
    <format action="formatting" dxfId="424">
      <pivotArea type="normal" dataOnly="0" labelOnly="1" outline="0" fieldPosition="0">
        <references count="2">
          <reference field="5" selected="0">
            <x v="39"/>
          </reference>
          <reference field="6">
            <x v="33"/>
          </reference>
        </references>
      </pivotArea>
    </format>
    <format action="formatting" dxfId="423">
      <pivotArea type="normal" dataOnly="0" labelOnly="1" outline="0" fieldPosition="0">
        <references count="2">
          <reference field="5" selected="0">
            <x v="40"/>
          </reference>
          <reference field="6">
            <x v="160"/>
          </reference>
        </references>
      </pivotArea>
    </format>
    <format action="formatting" dxfId="422">
      <pivotArea type="normal" dataOnly="0" labelOnly="1" outline="0" fieldPosition="0">
        <references count="2">
          <reference field="5" selected="0">
            <x v="41"/>
          </reference>
          <reference field="6">
            <x v="90"/>
          </reference>
        </references>
      </pivotArea>
    </format>
    <format action="formatting" dxfId="421">
      <pivotArea type="normal" dataOnly="0" labelOnly="1" outline="0" fieldPosition="0">
        <references count="2">
          <reference field="5" selected="0">
            <x v="42"/>
          </reference>
          <reference field="6">
            <x v="163"/>
          </reference>
        </references>
      </pivotArea>
    </format>
    <format action="formatting" dxfId="420">
      <pivotArea type="normal" dataOnly="0" labelOnly="1" outline="0" fieldPosition="0">
        <references count="2">
          <reference field="5" selected="0">
            <x v="43"/>
          </reference>
          <reference field="6">
            <x v="80"/>
          </reference>
        </references>
      </pivotArea>
    </format>
    <format action="formatting" dxfId="419">
      <pivotArea type="normal" dataOnly="0" labelOnly="1" outline="0" fieldPosition="0">
        <references count="2">
          <reference field="5" selected="0">
            <x v="44"/>
          </reference>
          <reference field="6">
            <x v="18"/>
          </reference>
        </references>
      </pivotArea>
    </format>
    <format action="formatting" dxfId="418">
      <pivotArea type="normal" dataOnly="0" labelOnly="1" outline="0" fieldPosition="0">
        <references count="2">
          <reference field="5" selected="0">
            <x v="45"/>
          </reference>
          <reference field="6">
            <x v="130"/>
          </reference>
        </references>
      </pivotArea>
    </format>
    <format action="formatting" dxfId="417">
      <pivotArea type="normal" dataOnly="0" labelOnly="1" outline="0" fieldPosition="0">
        <references count="2">
          <reference field="5" selected="0">
            <x v="46"/>
          </reference>
          <reference field="6">
            <x v="91"/>
          </reference>
        </references>
      </pivotArea>
    </format>
    <format action="formatting" dxfId="416">
      <pivotArea type="normal" dataOnly="0" labelOnly="1" outline="0" fieldPosition="0">
        <references count="2">
          <reference field="5" selected="0">
            <x v="47"/>
          </reference>
          <reference field="6">
            <x v="116"/>
          </reference>
        </references>
      </pivotArea>
    </format>
    <format action="formatting" dxfId="415">
      <pivotArea type="normal" dataOnly="0" labelOnly="1" outline="0" fieldPosition="0">
        <references count="2">
          <reference field="5" selected="0">
            <x v="48"/>
          </reference>
          <reference field="6">
            <x v="48"/>
          </reference>
        </references>
      </pivotArea>
    </format>
    <format action="formatting" dxfId="414">
      <pivotArea type="normal" dataOnly="0" labelOnly="1" outline="0" fieldPosition="0">
        <references count="2">
          <reference field="5" selected="0">
            <x v="49"/>
          </reference>
          <reference field="6">
            <x v="3"/>
          </reference>
        </references>
      </pivotArea>
    </format>
    <format action="formatting" dxfId="413">
      <pivotArea type="normal" dataOnly="0" labelOnly="1" outline="0" fieldPosition="0">
        <references count="2">
          <reference field="5" selected="0">
            <x v="50"/>
          </reference>
          <reference field="6">
            <x v="47"/>
          </reference>
        </references>
      </pivotArea>
    </format>
    <format action="formatting" dxfId="412">
      <pivotArea type="normal" dataOnly="0" labelOnly="1" outline="0" fieldPosition="0">
        <references count="2">
          <reference field="5" selected="0">
            <x v="51"/>
          </reference>
          <reference field="6">
            <x v="165"/>
          </reference>
        </references>
      </pivotArea>
    </format>
    <format action="formatting" dxfId="411">
      <pivotArea type="normal" dataOnly="0" labelOnly="1" outline="0" fieldPosition="0">
        <references count="2">
          <reference field="5" selected="0">
            <x v="52"/>
          </reference>
          <reference field="6">
            <x v="164"/>
          </reference>
        </references>
      </pivotArea>
    </format>
    <format action="formatting" dxfId="410">
      <pivotArea type="normal" dataOnly="0" labelOnly="1" outline="0" fieldPosition="0">
        <references count="2">
          <reference field="5" selected="0">
            <x v="53"/>
          </reference>
          <reference field="6">
            <x v="86"/>
          </reference>
        </references>
      </pivotArea>
    </format>
    <format action="formatting" dxfId="409">
      <pivotArea type="normal" dataOnly="0" labelOnly="1" outline="0" fieldPosition="0">
        <references count="2">
          <reference field="5" selected="0">
            <x v="54"/>
          </reference>
          <reference field="6">
            <x v="67"/>
          </reference>
        </references>
      </pivotArea>
    </format>
    <format action="formatting" dxfId="408">
      <pivotArea type="normal" dataOnly="0" labelOnly="1" outline="0" fieldPosition="0">
        <references count="2">
          <reference field="5" selected="0">
            <x v="55"/>
          </reference>
          <reference field="6">
            <x v="79"/>
          </reference>
        </references>
      </pivotArea>
    </format>
    <format action="formatting" dxfId="407">
      <pivotArea type="normal" dataOnly="0" labelOnly="1" outline="0" fieldPosition="0">
        <references count="2">
          <reference field="5" selected="0">
            <x v="56"/>
          </reference>
          <reference field="6">
            <x v="40"/>
          </reference>
        </references>
      </pivotArea>
    </format>
    <format action="formatting" dxfId="406">
      <pivotArea type="normal" dataOnly="0" labelOnly="1" outline="0" fieldPosition="0">
        <references count="2">
          <reference field="5" selected="0">
            <x v="57"/>
          </reference>
          <reference field="6">
            <x v="62"/>
          </reference>
        </references>
      </pivotArea>
    </format>
    <format action="formatting" dxfId="405">
      <pivotArea type="normal" dataOnly="0" labelOnly="1" outline="0" fieldPosition="0">
        <references count="2">
          <reference field="5" selected="0">
            <x v="58"/>
          </reference>
          <reference field="6">
            <x v="8"/>
          </reference>
        </references>
      </pivotArea>
    </format>
    <format action="formatting" dxfId="404">
      <pivotArea type="normal" dataOnly="0" labelOnly="1" outline="0" fieldPosition="0">
        <references count="2">
          <reference field="5" selected="0">
            <x v="59"/>
          </reference>
          <reference field="6">
            <x v="134"/>
          </reference>
        </references>
      </pivotArea>
    </format>
    <format action="formatting" dxfId="403">
      <pivotArea type="normal" dataOnly="0" labelOnly="1" outline="0" fieldPosition="0">
        <references count="2">
          <reference field="5" selected="0">
            <x v="60"/>
          </reference>
          <reference field="6">
            <x v="135"/>
          </reference>
        </references>
      </pivotArea>
    </format>
    <format action="formatting" dxfId="402">
      <pivotArea type="normal" dataOnly="0" labelOnly="1" outline="0" fieldPosition="0">
        <references count="2">
          <reference field="5" selected="0">
            <x v="61"/>
          </reference>
          <reference field="6">
            <x v="126"/>
          </reference>
        </references>
      </pivotArea>
    </format>
    <format action="formatting" dxfId="401">
      <pivotArea type="normal" dataOnly="0" labelOnly="1" outline="0" fieldPosition="0">
        <references count="2">
          <reference field="5" selected="0">
            <x v="62"/>
          </reference>
          <reference field="6">
            <x v="28"/>
          </reference>
        </references>
      </pivotArea>
    </format>
    <format action="formatting" dxfId="400">
      <pivotArea type="normal" dataOnly="0" labelOnly="1" outline="0" fieldPosition="0">
        <references count="2">
          <reference field="5" selected="0">
            <x v="63"/>
          </reference>
          <reference field="6">
            <x v="127"/>
          </reference>
        </references>
      </pivotArea>
    </format>
    <format action="formatting" dxfId="399">
      <pivotArea type="normal" dataOnly="0" labelOnly="1" outline="0" fieldPosition="0">
        <references count="2">
          <reference field="5" selected="0">
            <x v="64"/>
          </reference>
          <reference field="6">
            <x v="146"/>
          </reference>
        </references>
      </pivotArea>
    </format>
    <format action="formatting" dxfId="398">
      <pivotArea type="normal" dataOnly="0" labelOnly="1" outline="0" fieldPosition="0">
        <references count="2">
          <reference field="5" selected="0">
            <x v="65"/>
          </reference>
          <reference field="6">
            <x v="148"/>
          </reference>
        </references>
      </pivotArea>
    </format>
    <format action="formatting" dxfId="397">
      <pivotArea type="normal" dataOnly="0" labelOnly="1" outline="0" fieldPosition="0">
        <references count="2">
          <reference field="5" selected="0">
            <x v="66"/>
          </reference>
          <reference field="6">
            <x v="145"/>
          </reference>
        </references>
      </pivotArea>
    </format>
    <format action="formatting" dxfId="396">
      <pivotArea type="normal" dataOnly="0" labelOnly="1" outline="0" fieldPosition="0">
        <references count="2">
          <reference field="5" selected="0">
            <x v="67"/>
          </reference>
          <reference field="6">
            <x v="147"/>
          </reference>
        </references>
      </pivotArea>
    </format>
    <format action="formatting" dxfId="395">
      <pivotArea type="normal" dataOnly="0" labelOnly="1" outline="0" fieldPosition="0">
        <references count="2">
          <reference field="5" selected="0">
            <x v="68"/>
          </reference>
          <reference field="6">
            <x v="121"/>
          </reference>
        </references>
      </pivotArea>
    </format>
    <format action="formatting" dxfId="394">
      <pivotArea type="normal" dataOnly="0" labelOnly="1" outline="0" fieldPosition="0">
        <references count="2">
          <reference field="5" selected="0">
            <x v="69"/>
          </reference>
          <reference field="6">
            <x v="96"/>
          </reference>
        </references>
      </pivotArea>
    </format>
    <format action="formatting" dxfId="393">
      <pivotArea type="normal" dataOnly="0" labelOnly="1" outline="0" fieldPosition="0">
        <references count="2">
          <reference field="5" selected="0">
            <x v="70"/>
          </reference>
          <reference field="6">
            <x v="95"/>
          </reference>
        </references>
      </pivotArea>
    </format>
    <format action="formatting" dxfId="392">
      <pivotArea type="normal" dataOnly="0" labelOnly="1" outline="0" fieldPosition="0">
        <references count="2">
          <reference field="5" selected="0">
            <x v="71"/>
          </reference>
          <reference field="6">
            <x v="108"/>
          </reference>
        </references>
      </pivotArea>
    </format>
    <format action="formatting" dxfId="391">
      <pivotArea type="normal" dataOnly="0" labelOnly="1" outline="0" fieldPosition="0">
        <references count="2">
          <reference field="5" selected="0">
            <x v="72"/>
          </reference>
          <reference field="6">
            <x v="76"/>
          </reference>
        </references>
      </pivotArea>
    </format>
    <format action="formatting" dxfId="390">
      <pivotArea type="normal" dataOnly="0" labelOnly="1" outline="0" fieldPosition="0">
        <references count="2">
          <reference field="5" selected="0">
            <x v="73"/>
          </reference>
          <reference field="6">
            <x v="144"/>
          </reference>
        </references>
      </pivotArea>
    </format>
    <format action="formatting" dxfId="389">
      <pivotArea type="normal" dataOnly="0" labelOnly="1" outline="0" fieldPosition="0">
        <references count="2">
          <reference field="5" selected="0">
            <x v="74"/>
          </reference>
          <reference field="6">
            <x v="143"/>
          </reference>
        </references>
      </pivotArea>
    </format>
    <format action="formatting" dxfId="388">
      <pivotArea type="normal" dataOnly="0" labelOnly="1" outline="0" fieldPosition="0">
        <references count="2">
          <reference field="5" selected="0">
            <x v="75"/>
          </reference>
          <reference field="6">
            <x v="153"/>
          </reference>
        </references>
      </pivotArea>
    </format>
    <format action="formatting" dxfId="387">
      <pivotArea type="normal" dataOnly="0" labelOnly="1" outline="0" fieldPosition="0">
        <references count="2">
          <reference field="5" selected="0">
            <x v="76"/>
          </reference>
          <reference field="6">
            <x v="41"/>
          </reference>
        </references>
      </pivotArea>
    </format>
    <format action="formatting" dxfId="386">
      <pivotArea type="normal" dataOnly="0" labelOnly="1" outline="0" fieldPosition="0">
        <references count="2">
          <reference field="5" selected="0">
            <x v="77"/>
          </reference>
          <reference field="6">
            <x v="1"/>
          </reference>
        </references>
      </pivotArea>
    </format>
    <format action="formatting" dxfId="385">
      <pivotArea type="normal" dataOnly="0" labelOnly="1" outline="0" fieldPosition="0">
        <references count="2">
          <reference field="5" selected="0">
            <x v="78"/>
          </reference>
          <reference field="6">
            <x v="94"/>
          </reference>
        </references>
      </pivotArea>
    </format>
    <format action="formatting" dxfId="384">
      <pivotArea type="normal" dataOnly="0" labelOnly="1" outline="0" fieldPosition="0">
        <references count="2">
          <reference field="5" selected="0">
            <x v="79"/>
          </reference>
          <reference field="6">
            <x v="92"/>
          </reference>
        </references>
      </pivotArea>
    </format>
    <format action="formatting" dxfId="383">
      <pivotArea type="normal" dataOnly="0" labelOnly="1" outline="0" fieldPosition="0">
        <references count="2">
          <reference field="5" selected="0">
            <x v="80"/>
          </reference>
          <reference field="6">
            <x v="23"/>
          </reference>
        </references>
      </pivotArea>
    </format>
    <format action="formatting" dxfId="382">
      <pivotArea type="normal" dataOnly="0" labelOnly="1" outline="0" fieldPosition="0">
        <references count="2">
          <reference field="5" selected="0">
            <x v="81"/>
          </reference>
          <reference field="6">
            <x v="24"/>
          </reference>
        </references>
      </pivotArea>
    </format>
    <format action="formatting" dxfId="381">
      <pivotArea type="normal" dataOnly="0" labelOnly="1" outline="0" fieldPosition="0">
        <references count="2">
          <reference field="5" selected="0">
            <x v="82"/>
          </reference>
          <reference field="6">
            <x v="99"/>
          </reference>
        </references>
      </pivotArea>
    </format>
    <format action="formatting" dxfId="380">
      <pivotArea type="normal" dataOnly="0" labelOnly="1" outline="0" fieldPosition="0">
        <references count="2">
          <reference field="5" selected="0">
            <x v="83"/>
          </reference>
          <reference field="6">
            <x v="100"/>
          </reference>
        </references>
      </pivotArea>
    </format>
    <format action="formatting" dxfId="379">
      <pivotArea type="normal" dataOnly="0" labelOnly="1" outline="0" fieldPosition="0">
        <references count="2">
          <reference field="5" selected="0">
            <x v="84"/>
          </reference>
          <reference field="6">
            <x v="25"/>
          </reference>
        </references>
      </pivotArea>
    </format>
    <format action="formatting" dxfId="378">
      <pivotArea type="normal" dataOnly="0" labelOnly="1" outline="0" fieldPosition="0">
        <references count="2">
          <reference field="5" selected="0">
            <x v="85"/>
          </reference>
          <reference field="6">
            <x v="45"/>
          </reference>
        </references>
      </pivotArea>
    </format>
    <format action="formatting" dxfId="377">
      <pivotArea type="normal" dataOnly="0" labelOnly="1" outline="0" fieldPosition="0">
        <references count="2">
          <reference field="5" selected="0">
            <x v="86"/>
          </reference>
          <reference field="6">
            <x v="85"/>
          </reference>
        </references>
      </pivotArea>
    </format>
    <format action="formatting" dxfId="376">
      <pivotArea type="normal" dataOnly="0" labelOnly="1" outline="0" fieldPosition="0">
        <references count="2">
          <reference field="5" selected="0">
            <x v="87"/>
          </reference>
          <reference field="6">
            <x v="136"/>
          </reference>
        </references>
      </pivotArea>
    </format>
    <format action="formatting" dxfId="375">
      <pivotArea type="normal" dataOnly="0" labelOnly="1" outline="0" fieldPosition="0">
        <references count="2">
          <reference field="5" selected="0">
            <x v="88"/>
          </reference>
          <reference field="6">
            <x v="30"/>
          </reference>
        </references>
      </pivotArea>
    </format>
    <format action="formatting" dxfId="374">
      <pivotArea type="normal" dataOnly="0" labelOnly="1" outline="0" fieldPosition="0">
        <references count="2">
          <reference field="5" selected="0">
            <x v="89"/>
          </reference>
          <reference field="6">
            <x v="61"/>
          </reference>
        </references>
      </pivotArea>
    </format>
    <format action="formatting" dxfId="373">
      <pivotArea type="normal" dataOnly="0" labelOnly="1" outline="0" fieldPosition="0">
        <references count="2">
          <reference field="5" selected="0">
            <x v="90"/>
          </reference>
          <reference field="6">
            <x v="84"/>
          </reference>
        </references>
      </pivotArea>
    </format>
    <format action="formatting" dxfId="372">
      <pivotArea type="normal" dataOnly="0" labelOnly="1" outline="0" fieldPosition="0">
        <references count="2">
          <reference field="5" selected="0">
            <x v="91"/>
          </reference>
          <reference field="6">
            <x v="83"/>
          </reference>
        </references>
      </pivotArea>
    </format>
    <format action="formatting" dxfId="371">
      <pivotArea type="normal" dataOnly="0" labelOnly="1" outline="0" fieldPosition="0">
        <references count="2">
          <reference field="5" selected="0">
            <x v="92"/>
          </reference>
          <reference field="6">
            <x v="166"/>
          </reference>
        </references>
      </pivotArea>
    </format>
    <format action="formatting" dxfId="370">
      <pivotArea type="normal" dataOnly="0" labelOnly="1" outline="0" fieldPosition="0">
        <references count="2">
          <reference field="5" selected="0">
            <x v="93"/>
          </reference>
          <reference field="6">
            <x v="140"/>
          </reference>
        </references>
      </pivotArea>
    </format>
    <format action="formatting" dxfId="369">
      <pivotArea type="normal" dataOnly="0" labelOnly="1" outline="0" fieldPosition="0">
        <references count="2">
          <reference field="5" selected="0">
            <x v="94"/>
          </reference>
          <reference field="6">
            <x v="122"/>
          </reference>
        </references>
      </pivotArea>
    </format>
    <format action="formatting" dxfId="368">
      <pivotArea type="normal" dataOnly="0" labelOnly="1" outline="0" fieldPosition="0">
        <references count="2">
          <reference field="5" selected="0">
            <x v="95"/>
          </reference>
          <reference field="6">
            <x v="137"/>
          </reference>
        </references>
      </pivotArea>
    </format>
    <format action="formatting" dxfId="367">
      <pivotArea type="normal" dataOnly="0" labelOnly="1" outline="0" fieldPosition="0">
        <references count="2">
          <reference field="5" selected="0">
            <x v="96"/>
          </reference>
          <reference field="6">
            <x v="133"/>
          </reference>
        </references>
      </pivotArea>
    </format>
    <format action="formatting" dxfId="366">
      <pivotArea type="normal" dataOnly="0" labelOnly="1" outline="0" fieldPosition="0">
        <references count="2">
          <reference field="5" selected="0">
            <x v="97"/>
          </reference>
          <reference field="6">
            <x v="132"/>
          </reference>
        </references>
      </pivotArea>
    </format>
    <format action="formatting" dxfId="365">
      <pivotArea type="normal" dataOnly="0" labelOnly="1" outline="0" fieldPosition="0">
        <references count="2">
          <reference field="5" selected="0">
            <x v="98"/>
          </reference>
          <reference field="6">
            <x v="65"/>
          </reference>
        </references>
      </pivotArea>
    </format>
    <format action="formatting" dxfId="364">
      <pivotArea type="normal" dataOnly="0" labelOnly="1" outline="0" fieldPosition="0">
        <references count="2">
          <reference field="5" selected="0">
            <x v="99"/>
          </reference>
          <reference field="6">
            <x v="125"/>
          </reference>
        </references>
      </pivotArea>
    </format>
    <format action="formatting" dxfId="363">
      <pivotArea type="normal" dataOnly="0" labelOnly="1" outline="0" fieldPosition="0">
        <references count="2">
          <reference field="5" selected="0">
            <x v="100"/>
          </reference>
          <reference field="6">
            <x v="55"/>
          </reference>
        </references>
      </pivotArea>
    </format>
    <format action="formatting" dxfId="362">
      <pivotArea type="normal" dataOnly="0" labelOnly="1" outline="0" fieldPosition="0">
        <references count="2">
          <reference field="5" selected="0">
            <x v="101"/>
          </reference>
          <reference field="6">
            <x v="54"/>
          </reference>
        </references>
      </pivotArea>
    </format>
    <format action="formatting" dxfId="361">
      <pivotArea type="normal" dataOnly="0" labelOnly="1" outline="0" fieldPosition="0">
        <references count="2">
          <reference field="5" selected="0">
            <x v="102"/>
          </reference>
          <reference field="6">
            <x v="27"/>
          </reference>
        </references>
      </pivotArea>
    </format>
    <format action="formatting" dxfId="360">
      <pivotArea type="normal" dataOnly="0" labelOnly="1" outline="0" fieldPosition="0">
        <references count="2">
          <reference field="5" selected="0">
            <x v="103"/>
          </reference>
          <reference field="6">
            <x v="109"/>
          </reference>
        </references>
      </pivotArea>
    </format>
    <format action="formatting" dxfId="359">
      <pivotArea type="normal" dataOnly="0" labelOnly="1" outline="0" fieldPosition="0">
        <references count="2">
          <reference field="5" selected="0">
            <x v="104"/>
          </reference>
          <reference field="6">
            <x v="9"/>
          </reference>
        </references>
      </pivotArea>
    </format>
    <format action="formatting" dxfId="358">
      <pivotArea type="normal" dataOnly="0" labelOnly="1" outline="0" fieldPosition="0">
        <references count="2">
          <reference field="5" selected="0">
            <x v="105"/>
          </reference>
          <reference field="6">
            <x v="63"/>
          </reference>
        </references>
      </pivotArea>
    </format>
    <format action="formatting" dxfId="357">
      <pivotArea type="normal" dataOnly="0" labelOnly="1" outline="0" fieldPosition="0">
        <references count="2">
          <reference field="5" selected="0">
            <x v="106"/>
          </reference>
          <reference field="6">
            <x v="129"/>
          </reference>
        </references>
      </pivotArea>
    </format>
    <format action="formatting" dxfId="356">
      <pivotArea type="normal" dataOnly="0" labelOnly="1" outline="0" fieldPosition="0">
        <references count="2">
          <reference field="5" selected="0">
            <x v="107"/>
          </reference>
          <reference field="6">
            <x v="29"/>
          </reference>
        </references>
      </pivotArea>
    </format>
    <format action="formatting" dxfId="355">
      <pivotArea type="normal" dataOnly="0" labelOnly="1" outline="0" fieldPosition="0">
        <references count="2">
          <reference field="5" selected="0">
            <x v="108"/>
          </reference>
          <reference field="6">
            <x v="64"/>
          </reference>
        </references>
      </pivotArea>
    </format>
    <format action="formatting" dxfId="354">
      <pivotArea type="normal" dataOnly="0" labelOnly="1" outline="0" fieldPosition="0">
        <references count="2">
          <reference field="5" selected="0">
            <x v="109"/>
          </reference>
          <reference field="6">
            <x v="43"/>
          </reference>
        </references>
      </pivotArea>
    </format>
    <format action="formatting" dxfId="353">
      <pivotArea type="normal" dataOnly="0" labelOnly="1" outline="0" fieldPosition="0">
        <references count="2">
          <reference field="5" selected="0">
            <x v="110"/>
          </reference>
          <reference field="6">
            <x v="2"/>
          </reference>
        </references>
      </pivotArea>
    </format>
    <format action="formatting" dxfId="352">
      <pivotArea type="normal" dataOnly="0" labelOnly="1" outline="0" fieldPosition="0">
        <references count="2">
          <reference field="5" selected="0">
            <x v="111"/>
          </reference>
          <reference field="6">
            <x v="42"/>
          </reference>
        </references>
      </pivotArea>
    </format>
    <format action="formatting" dxfId="351">
      <pivotArea type="normal" dataOnly="0" labelOnly="1" outline="0" fieldPosition="0">
        <references count="2">
          <reference field="5" selected="0">
            <x v="112"/>
          </reference>
          <reference field="6">
            <x v="44"/>
          </reference>
        </references>
      </pivotArea>
    </format>
    <format action="formatting" dxfId="350">
      <pivotArea type="normal" dataOnly="0" labelOnly="1" outline="0" fieldPosition="0">
        <references count="2">
          <reference field="5" selected="0">
            <x v="113"/>
          </reference>
          <reference field="6">
            <x v="110"/>
          </reference>
        </references>
      </pivotArea>
    </format>
    <format action="formatting" dxfId="349">
      <pivotArea type="normal" dataOnly="0" labelOnly="1" outline="0" fieldPosition="0">
        <references count="2">
          <reference field="5" selected="0">
            <x v="114"/>
          </reference>
          <reference field="6">
            <x v="56"/>
          </reference>
        </references>
      </pivotArea>
    </format>
    <format action="formatting" dxfId="348">
      <pivotArea type="normal" dataOnly="0" labelOnly="1" outline="0" fieldPosition="0">
        <references count="2">
          <reference field="5" selected="0">
            <x v="115"/>
          </reference>
          <reference field="6">
            <x v="81"/>
          </reference>
        </references>
      </pivotArea>
    </format>
    <format action="formatting" dxfId="347">
      <pivotArea type="normal" dataOnly="0" labelOnly="1" outline="0" fieldPosition="0">
        <references count="2">
          <reference field="5" selected="0">
            <x v="116"/>
          </reference>
          <reference field="6">
            <x v="82"/>
          </reference>
        </references>
      </pivotArea>
    </format>
    <format action="formatting" dxfId="346">
      <pivotArea type="normal" dataOnly="0" labelOnly="1" outline="0" fieldPosition="0">
        <references count="2">
          <reference field="5" selected="0">
            <x v="117"/>
          </reference>
          <reference field="6">
            <x v="117"/>
          </reference>
        </references>
      </pivotArea>
    </format>
    <format action="formatting" dxfId="345">
      <pivotArea type="normal" dataOnly="0" labelOnly="1" outline="0" fieldPosition="0">
        <references count="2">
          <reference field="5" selected="0">
            <x v="118"/>
          </reference>
          <reference field="6">
            <x v="36"/>
          </reference>
        </references>
      </pivotArea>
    </format>
    <format action="formatting" dxfId="344">
      <pivotArea type="normal" dataOnly="0" labelOnly="1" outline="0" fieldPosition="0">
        <references count="2">
          <reference field="5" selected="0">
            <x v="119"/>
          </reference>
          <reference field="6">
            <x v="58"/>
          </reference>
        </references>
      </pivotArea>
    </format>
    <format action="formatting" dxfId="343">
      <pivotArea type="normal" dataOnly="0" labelOnly="1" outline="0" fieldPosition="0">
        <references count="2">
          <reference field="5" selected="0">
            <x v="120"/>
          </reference>
          <reference field="6">
            <x v="52"/>
          </reference>
        </references>
      </pivotArea>
    </format>
    <format action="formatting" dxfId="342">
      <pivotArea type="normal" dataOnly="0" labelOnly="1" outline="0" fieldPosition="0">
        <references count="2">
          <reference field="5" selected="0">
            <x v="121"/>
          </reference>
          <reference field="6">
            <x v="105"/>
          </reference>
        </references>
      </pivotArea>
    </format>
    <format action="formatting" dxfId="341">
      <pivotArea type="normal" dataOnly="0" labelOnly="1" outline="0" fieldPosition="0">
        <references count="2">
          <reference field="5" selected="0">
            <x v="122"/>
          </reference>
          <reference field="6">
            <x v="53"/>
          </reference>
        </references>
      </pivotArea>
    </format>
    <format action="formatting" dxfId="340">
      <pivotArea type="normal" dataOnly="0" labelOnly="1" outline="0" fieldPosition="0">
        <references count="2">
          <reference field="5" selected="0">
            <x v="123"/>
          </reference>
          <reference field="6">
            <x v="72"/>
          </reference>
        </references>
      </pivotArea>
    </format>
    <format action="formatting" dxfId="339">
      <pivotArea type="normal" dataOnly="0" labelOnly="1" outline="0" fieldPosition="0">
        <references count="2">
          <reference field="5" selected="0">
            <x v="124"/>
          </reference>
          <reference field="6">
            <x v="49"/>
          </reference>
        </references>
      </pivotArea>
    </format>
    <format action="formatting" dxfId="338">
      <pivotArea type="normal" dataOnly="0" labelOnly="1" outline="0" fieldPosition="0">
        <references count="2">
          <reference field="5" selected="0">
            <x v="125"/>
          </reference>
          <reference field="6">
            <x v="39"/>
          </reference>
        </references>
      </pivotArea>
    </format>
    <format action="formatting" dxfId="337">
      <pivotArea type="normal" dataOnly="0" labelOnly="1" outline="0" fieldPosition="0">
        <references count="2">
          <reference field="5" selected="0">
            <x v="126"/>
          </reference>
          <reference field="6">
            <x v="60"/>
          </reference>
        </references>
      </pivotArea>
    </format>
    <format action="formatting" dxfId="336">
      <pivotArea type="normal" dataOnly="0" labelOnly="1" outline="0" fieldPosition="0">
        <references count="2">
          <reference field="5" selected="0">
            <x v="127"/>
          </reference>
          <reference field="6">
            <x v="155"/>
          </reference>
        </references>
      </pivotArea>
    </format>
    <format action="formatting" dxfId="335">
      <pivotArea type="normal" dataOnly="0" labelOnly="1" outline="0" fieldPosition="0">
        <references count="2">
          <reference field="5" selected="0">
            <x v="128"/>
          </reference>
          <reference field="6">
            <x v="157"/>
          </reference>
        </references>
      </pivotArea>
    </format>
    <format action="formatting" dxfId="334">
      <pivotArea type="normal" dataOnly="0" labelOnly="1" outline="0" fieldPosition="0">
        <references count="2">
          <reference field="5" selected="0">
            <x v="129"/>
          </reference>
          <reference field="6">
            <x v="156"/>
          </reference>
        </references>
      </pivotArea>
    </format>
    <format action="formatting" dxfId="333">
      <pivotArea type="normal" dataOnly="0" labelOnly="1" outline="0" fieldPosition="0">
        <references count="2">
          <reference field="5" selected="0">
            <x v="130"/>
          </reference>
          <reference field="6">
            <x v="37"/>
          </reference>
        </references>
      </pivotArea>
    </format>
    <format action="formatting" dxfId="332">
      <pivotArea type="normal" dataOnly="0" labelOnly="1" outline="0" fieldPosition="0">
        <references count="2">
          <reference field="5" selected="0">
            <x v="131"/>
          </reference>
          <reference field="6">
            <x v="68"/>
          </reference>
        </references>
      </pivotArea>
    </format>
    <format action="formatting" dxfId="331">
      <pivotArea type="normal" dataOnly="0" labelOnly="1" outline="0" fieldPosition="0">
        <references count="2">
          <reference field="5" selected="0">
            <x v="132"/>
          </reference>
          <reference field="6">
            <x v="77"/>
          </reference>
        </references>
      </pivotArea>
    </format>
    <format action="formatting" dxfId="330">
      <pivotArea type="normal" dataOnly="0" labelOnly="1" outline="0" fieldPosition="0">
        <references count="2">
          <reference field="5" selected="0">
            <x v="133"/>
          </reference>
          <reference field="6">
            <x v="38"/>
          </reference>
        </references>
      </pivotArea>
    </format>
    <format action="formatting" dxfId="329">
      <pivotArea type="normal" dataOnly="0" labelOnly="1" outline="0" fieldPosition="0">
        <references count="2">
          <reference field="5" selected="0">
            <x v="134"/>
          </reference>
          <reference field="6">
            <x v="89"/>
          </reference>
        </references>
      </pivotArea>
    </format>
    <format action="formatting" dxfId="328">
      <pivotArea type="normal" dataOnly="0" labelOnly="1" outline="0" fieldPosition="0">
        <references count="2">
          <reference field="5" selected="0">
            <x v="135"/>
          </reference>
          <reference field="6">
            <x v="115"/>
          </reference>
        </references>
      </pivotArea>
    </format>
    <format action="formatting" dxfId="327">
      <pivotArea type="normal" dataOnly="0" labelOnly="1" outline="0" fieldPosition="0">
        <references count="2">
          <reference field="5" selected="0">
            <x v="136"/>
          </reference>
          <reference field="6">
            <x v="16"/>
          </reference>
        </references>
      </pivotArea>
    </format>
    <format action="formatting" dxfId="326">
      <pivotArea type="normal" dataOnly="0" labelOnly="1" outline="0" fieldPosition="0">
        <references count="2">
          <reference field="5" selected="0">
            <x v="137"/>
          </reference>
          <reference field="6">
            <x v="158"/>
          </reference>
        </references>
      </pivotArea>
    </format>
    <format action="formatting" dxfId="325">
      <pivotArea type="normal" dataOnly="0" labelOnly="1" outline="0" fieldPosition="0">
        <references count="2">
          <reference field="5" selected="0">
            <x v="138"/>
          </reference>
          <reference field="6">
            <x v="112"/>
          </reference>
        </references>
      </pivotArea>
    </format>
    <format action="formatting" dxfId="324">
      <pivotArea type="normal" dataOnly="0" labelOnly="1" outline="0" fieldPosition="0">
        <references count="2">
          <reference field="5" selected="0">
            <x v="139"/>
          </reference>
          <reference field="6">
            <x v="111"/>
          </reference>
        </references>
      </pivotArea>
    </format>
    <format action="formatting" dxfId="323">
      <pivotArea type="normal" dataOnly="0" labelOnly="1" outline="0" fieldPosition="0">
        <references count="2">
          <reference field="5" selected="0">
            <x v="140"/>
          </reference>
          <reference field="6">
            <x v="57"/>
          </reference>
        </references>
      </pivotArea>
    </format>
    <format action="formatting" dxfId="322">
      <pivotArea type="normal" dataOnly="0" labelOnly="1" outline="0" fieldPosition="0">
        <references count="2">
          <reference field="5" selected="0">
            <x v="141"/>
          </reference>
          <reference field="6">
            <x v="104"/>
          </reference>
        </references>
      </pivotArea>
    </format>
    <format action="formatting" dxfId="321">
      <pivotArea type="normal" dataOnly="0" labelOnly="1" outline="0" fieldPosition="0">
        <references count="2">
          <reference field="5" selected="0">
            <x v="142"/>
          </reference>
          <reference field="6">
            <x v="154"/>
          </reference>
        </references>
      </pivotArea>
    </format>
    <format action="formatting" dxfId="320">
      <pivotArea type="normal" dataOnly="0" labelOnly="1" outline="0" fieldPosition="0">
        <references count="2">
          <reference field="5" selected="0">
            <x v="143"/>
          </reference>
          <reference field="6">
            <x v="113"/>
          </reference>
        </references>
      </pivotArea>
    </format>
    <format action="formatting" dxfId="319">
      <pivotArea type="normal" dataOnly="0" labelOnly="1" outline="0" fieldPosition="0">
        <references count="2">
          <reference field="5" selected="0">
            <x v="144"/>
          </reference>
          <reference field="6">
            <x v="114"/>
          </reference>
        </references>
      </pivotArea>
    </format>
    <format action="formatting" dxfId="318">
      <pivotArea type="normal" dataOnly="0" labelOnly="1" outline="0" fieldPosition="0">
        <references count="2">
          <reference field="5" selected="0">
            <x v="145"/>
          </reference>
          <reference field="6">
            <x v="131"/>
          </reference>
        </references>
      </pivotArea>
    </format>
    <format action="formatting" dxfId="317">
      <pivotArea type="normal" dataOnly="0" labelOnly="1" outline="0" fieldPosition="0">
        <references count="2">
          <reference field="5" selected="0">
            <x v="146"/>
          </reference>
          <reference field="6">
            <x v="106"/>
          </reference>
        </references>
      </pivotArea>
    </format>
    <format action="formatting" dxfId="316">
      <pivotArea type="normal" dataOnly="0" labelOnly="1" outline="0" fieldPosition="0">
        <references count="2">
          <reference field="5" selected="0">
            <x v="147"/>
          </reference>
          <reference field="6">
            <x v="107"/>
          </reference>
        </references>
      </pivotArea>
    </format>
    <format action="formatting" dxfId="315">
      <pivotArea type="normal" dataOnly="0" labelOnly="1" outline="0" fieldPosition="0">
        <references count="2">
          <reference field="5" selected="0">
            <x v="148"/>
          </reference>
          <reference field="6">
            <x v="101"/>
          </reference>
        </references>
      </pivotArea>
    </format>
    <format action="formatting" dxfId="314">
      <pivotArea type="normal" dataOnly="0" labelOnly="1" outline="0" fieldPosition="0">
        <references count="2">
          <reference field="5" selected="0">
            <x v="149"/>
          </reference>
          <reference field="6">
            <x v="123"/>
          </reference>
        </references>
      </pivotArea>
    </format>
    <format action="formatting" dxfId="313">
      <pivotArea type="normal" dataOnly="0" labelOnly="1" outline="0" fieldPosition="0">
        <references count="2">
          <reference field="5" selected="0">
            <x v="150"/>
          </reference>
          <reference field="6">
            <x v="124"/>
          </reference>
        </references>
      </pivotArea>
    </format>
    <format action="formatting" dxfId="312">
      <pivotArea type="normal" dataOnly="0" labelOnly="1" outline="0" fieldPosition="0">
        <references count="2">
          <reference field="5" selected="0">
            <x v="151"/>
          </reference>
          <reference field="6">
            <x v="102"/>
          </reference>
        </references>
      </pivotArea>
    </format>
    <format action="formatting" dxfId="311">
      <pivotArea type="normal" dataOnly="0" labelOnly="1" outline="0" fieldPosition="0">
        <references count="2">
          <reference field="5" selected="0">
            <x v="152"/>
          </reference>
          <reference field="6">
            <x v="161"/>
          </reference>
        </references>
      </pivotArea>
    </format>
    <format action="formatting" dxfId="310">
      <pivotArea type="normal" dataOnly="0" labelOnly="1" outline="0" fieldPosition="0">
        <references count="2">
          <reference field="5" selected="0">
            <x v="153"/>
          </reference>
          <reference field="6">
            <x v="162"/>
          </reference>
        </references>
      </pivotArea>
    </format>
    <format action="formatting" dxfId="309">
      <pivotArea type="normal" dataOnly="0" labelOnly="1" outline="0" fieldPosition="0">
        <references count="2">
          <reference field="5" selected="0">
            <x v="154"/>
          </reference>
          <reference field="6">
            <x v="119"/>
          </reference>
        </references>
      </pivotArea>
    </format>
    <format action="formatting" dxfId="308">
      <pivotArea type="normal" dataOnly="0" labelOnly="1" outline="0" fieldPosition="0">
        <references count="2">
          <reference field="5" selected="0">
            <x v="155"/>
          </reference>
          <reference field="6">
            <x v="128"/>
          </reference>
        </references>
      </pivotArea>
    </format>
    <format action="formatting" dxfId="307">
      <pivotArea type="normal" dataOnly="0" labelOnly="1" outline="0" fieldPosition="0">
        <references count="2">
          <reference field="5" selected="0">
            <x v="156"/>
          </reference>
          <reference field="6">
            <x v="120"/>
          </reference>
        </references>
      </pivotArea>
    </format>
    <format action="formatting" dxfId="306">
      <pivotArea type="normal" dataOnly="0" labelOnly="1" outline="0" fieldPosition="0">
        <references count="2">
          <reference field="5" selected="0">
            <x v="157"/>
          </reference>
          <reference field="6">
            <x v="17"/>
          </reference>
        </references>
      </pivotArea>
    </format>
    <format action="formatting" dxfId="305">
      <pivotArea type="normal" dataOnly="0" labelOnly="1" outline="0" fieldPosition="0">
        <references count="2">
          <reference field="5" selected="0">
            <x v="158"/>
          </reference>
          <reference field="6">
            <x v="34"/>
          </reference>
        </references>
      </pivotArea>
    </format>
    <format action="formatting" dxfId="304">
      <pivotArea type="normal" dataOnly="0" labelOnly="1" outline="0" fieldPosition="0">
        <references count="2">
          <reference field="5" selected="0">
            <x v="159"/>
          </reference>
          <reference field="6">
            <x v="35"/>
          </reference>
        </references>
      </pivotArea>
    </format>
    <format action="formatting" dxfId="303">
      <pivotArea type="normal" dataOnly="0" labelOnly="1" outline="0" fieldPosition="0">
        <references count="2">
          <reference field="5" selected="0">
            <x v="160"/>
          </reference>
          <reference field="6">
            <x v="59"/>
          </reference>
        </references>
      </pivotArea>
    </format>
    <format action="formatting" dxfId="302">
      <pivotArea type="normal" dataOnly="0" labelOnly="1" outline="0" fieldPosition="0">
        <references count="2">
          <reference field="5" selected="0">
            <x v="161"/>
          </reference>
          <reference field="6">
            <x v="74"/>
          </reference>
        </references>
      </pivotArea>
    </format>
    <format action="formatting" dxfId="301">
      <pivotArea type="normal" dataOnly="0" labelOnly="1" outline="0" fieldPosition="0">
        <references count="2">
          <reference field="5" selected="0">
            <x v="162"/>
          </reference>
          <reference field="6">
            <x v="75"/>
          </reference>
        </references>
      </pivotArea>
    </format>
    <format action="formatting" dxfId="300">
      <pivotArea type="normal" dataOnly="0" labelOnly="1" outline="0" fieldPosition="0">
        <references count="2">
          <reference field="5" selected="0">
            <x v="163"/>
          </reference>
          <reference field="6">
            <x v="73"/>
          </reference>
        </references>
      </pivotArea>
    </format>
    <format action="formatting" dxfId="299">
      <pivotArea type="normal" dataOnly="0" labelOnly="1" outline="0" fieldPosition="0">
        <references count="2">
          <reference field="5" selected="0">
            <x v="164"/>
          </reference>
          <reference field="6">
            <x v="167"/>
          </reference>
        </references>
      </pivotArea>
    </format>
    <format action="formatting" dxfId="298">
      <pivotArea type="normal" dataOnly="0" labelOnly="1" outline="0" fieldPosition="0">
        <references count="2">
          <reference field="5" selected="0">
            <x v="165"/>
          </reference>
          <reference field="6">
            <x v="118"/>
          </reference>
        </references>
      </pivotArea>
    </format>
    <format action="formatting" dxfId="297">
      <pivotArea type="normal" dataOnly="0" labelOnly="1" outline="0" fieldPosition="0">
        <references count="2">
          <reference field="5" selected="0">
            <x v="166"/>
          </reference>
          <reference field="6">
            <x v="71"/>
          </reference>
        </references>
      </pivotArea>
    </format>
    <format action="formatting" dxfId="296">
      <pivotArea type="normal" dataOnly="0" labelOnly="1" outline="0" fieldPosition="0">
        <references count="2">
          <reference field="5" selected="0">
            <x v="167"/>
          </reference>
          <reference field="6">
            <x v="69"/>
          </reference>
        </references>
      </pivotArea>
    </format>
    <format action="formatting" dxfId="295">
      <pivotArea type="normal" dataOnly="0" labelOnly="1" outline="0" fieldPosition="0">
        <references count="2">
          <reference field="5" selected="0">
            <x v="168"/>
          </reference>
          <reference field="6">
            <x v="66"/>
          </reference>
        </references>
      </pivotArea>
    </format>
    <format action="formatting" dxfId="294">
      <pivotArea type="normal" dataOnly="0" labelOnly="1" outline="0" fieldPosition="0">
        <references count="3">
          <reference field="5" selected="0">
            <x v="0"/>
          </reference>
          <reference field="6" selected="0">
            <x v="88"/>
          </reference>
          <reference field="8">
            <x v="1"/>
          </reference>
        </references>
      </pivotArea>
    </format>
    <format action="formatting" dxfId="293">
      <pivotArea type="normal" dataOnly="0" labelOnly="1" outline="0" fieldPosition="0">
        <references count="3">
          <reference field="5" selected="0">
            <x v="1"/>
          </reference>
          <reference field="6" selected="0">
            <x v="20"/>
          </reference>
          <reference field="8">
            <x v="2"/>
          </reference>
        </references>
      </pivotArea>
    </format>
    <format action="formatting" dxfId="292">
      <pivotArea type="normal" dataOnly="0" labelOnly="1" outline="0" fieldPosition="0">
        <references count="3">
          <reference field="5" selected="0">
            <x v="2"/>
          </reference>
          <reference field="6" selected="0">
            <x v="138"/>
          </reference>
          <reference field="8">
            <x v="1"/>
          </reference>
        </references>
      </pivotArea>
    </format>
    <format action="formatting" dxfId="291">
      <pivotArea type="normal" dataOnly="0" labelOnly="1" outline="0" fieldPosition="0">
        <references count="3">
          <reference field="5" selected="0">
            <x v="3"/>
          </reference>
          <reference field="6" selected="0">
            <x v="31"/>
          </reference>
          <reference field="8">
            <x v="2"/>
          </reference>
        </references>
      </pivotArea>
    </format>
    <format action="formatting" dxfId="290">
      <pivotArea type="normal" dataOnly="0" labelOnly="1" outline="0" fieldPosition="0">
        <references count="3">
          <reference field="5" selected="0">
            <x v="4"/>
          </reference>
          <reference field="6" selected="0">
            <x v="139"/>
          </reference>
          <reference field="8">
            <x v="1"/>
          </reference>
        </references>
      </pivotArea>
    </format>
    <format action="formatting" dxfId="289">
      <pivotArea type="normal" dataOnly="0" labelOnly="1" outline="0" fieldPosition="0">
        <references count="3">
          <reference field="5" selected="0">
            <x v="5"/>
          </reference>
          <reference field="6" selected="0">
            <x v="13"/>
          </reference>
          <reference field="8">
            <x v="2"/>
          </reference>
        </references>
      </pivotArea>
    </format>
    <format action="formatting" dxfId="288">
      <pivotArea type="normal" dataOnly="0" labelOnly="1" outline="0" fieldPosition="0">
        <references count="3">
          <reference field="5" selected="0">
            <x v="6"/>
          </reference>
          <reference field="6" selected="0">
            <x v="70"/>
          </reference>
          <reference field="8">
            <x v="1"/>
          </reference>
        </references>
      </pivotArea>
    </format>
    <format action="formatting" dxfId="287">
      <pivotArea type="normal" dataOnly="0" labelOnly="1" outline="0" fieldPosition="0">
        <references count="3">
          <reference field="5" selected="0">
            <x v="7"/>
          </reference>
          <reference field="6" selected="0">
            <x v="10"/>
          </reference>
          <reference field="8">
            <x v="1"/>
          </reference>
        </references>
      </pivotArea>
    </format>
    <format action="formatting" dxfId="286">
      <pivotArea type="normal" dataOnly="0" labelOnly="1" outline="0" fieldPosition="0">
        <references count="3">
          <reference field="5" selected="0">
            <x v="8"/>
          </reference>
          <reference field="6" selected="0">
            <x v="11"/>
          </reference>
          <reference field="8">
            <x v="2"/>
          </reference>
        </references>
      </pivotArea>
    </format>
    <format action="formatting" dxfId="285">
      <pivotArea type="normal" dataOnly="0" labelOnly="1" outline="0" fieldPosition="0">
        <references count="3">
          <reference field="5" selected="0">
            <x v="9"/>
          </reference>
          <reference field="6" selected="0">
            <x v="12"/>
          </reference>
          <reference field="8">
            <x v="2"/>
          </reference>
        </references>
      </pivotArea>
    </format>
    <format action="formatting" dxfId="284">
      <pivotArea type="normal" dataOnly="0" labelOnly="1" outline="0" fieldPosition="0">
        <references count="3">
          <reference field="5" selected="0">
            <x v="10"/>
          </reference>
          <reference field="6" selected="0">
            <x v="6"/>
          </reference>
          <reference field="8">
            <x v="1"/>
          </reference>
        </references>
      </pivotArea>
    </format>
    <format action="formatting" dxfId="283">
      <pivotArea type="normal" dataOnly="0" labelOnly="1" outline="0" fieldPosition="0">
        <references count="3">
          <reference field="5" selected="0">
            <x v="11"/>
          </reference>
          <reference field="6" selected="0">
            <x v="7"/>
          </reference>
          <reference field="8">
            <x v="1"/>
          </reference>
        </references>
      </pivotArea>
    </format>
    <format action="formatting" dxfId="282">
      <pivotArea type="normal" dataOnly="0" labelOnly="1" outline="0" fieldPosition="0">
        <references count="3">
          <reference field="5" selected="0">
            <x v="12"/>
          </reference>
          <reference field="6" selected="0">
            <x v="103"/>
          </reference>
          <reference field="8">
            <x v="1"/>
          </reference>
        </references>
      </pivotArea>
    </format>
    <format action="formatting" dxfId="281">
      <pivotArea type="normal" dataOnly="0" labelOnly="1" outline="0" fieldPosition="0">
        <references count="3">
          <reference field="5" selected="0">
            <x v="13"/>
          </reference>
          <reference field="6" selected="0">
            <x v="26"/>
          </reference>
          <reference field="8">
            <x v="2"/>
          </reference>
        </references>
      </pivotArea>
    </format>
    <format action="formatting" dxfId="280">
      <pivotArea type="normal" dataOnly="0" labelOnly="1" outline="0" fieldPosition="0">
        <references count="3">
          <reference field="5" selected="0">
            <x v="14"/>
          </reference>
          <reference field="6" selected="0">
            <x v="22"/>
          </reference>
          <reference field="8">
            <x v="2"/>
          </reference>
        </references>
      </pivotArea>
    </format>
    <format action="formatting" dxfId="279">
      <pivotArea type="normal" dataOnly="0" labelOnly="1" outline="0" fieldPosition="0">
        <references count="3">
          <reference field="5" selected="0">
            <x v="15"/>
          </reference>
          <reference field="6" selected="0">
            <x v="93"/>
          </reference>
          <reference field="8">
            <x v="1"/>
          </reference>
        </references>
      </pivotArea>
    </format>
    <format action="formatting" dxfId="278">
      <pivotArea type="normal" dataOnly="0" labelOnly="1" outline="0" fieldPosition="0">
        <references count="3">
          <reference field="5" selected="0">
            <x v="16"/>
          </reference>
          <reference field="6" selected="0">
            <x v="159"/>
          </reference>
          <reference field="8">
            <x v="1"/>
          </reference>
        </references>
      </pivotArea>
    </format>
    <format action="formatting" dxfId="277">
      <pivotArea type="normal" dataOnly="0" labelOnly="1" outline="0" fieldPosition="0">
        <references count="3">
          <reference field="5" selected="0">
            <x v="17"/>
          </reference>
          <reference field="6" selected="0">
            <x v="0"/>
          </reference>
          <reference field="8">
            <x v="2"/>
          </reference>
        </references>
      </pivotArea>
    </format>
    <format action="formatting" dxfId="276">
      <pivotArea type="normal" dataOnly="0" labelOnly="1" outline="0" fieldPosition="0">
        <references count="3">
          <reference field="5" selected="0">
            <x v="18"/>
          </reference>
          <reference field="6" selected="0">
            <x v="21"/>
          </reference>
          <reference field="8">
            <x v="2"/>
          </reference>
        </references>
      </pivotArea>
    </format>
    <format action="formatting" dxfId="275">
      <pivotArea type="normal" dataOnly="0" labelOnly="1" outline="0" fieldPosition="0">
        <references count="3">
          <reference field="5" selected="0">
            <x v="19"/>
          </reference>
          <reference field="6" selected="0">
            <x v="5"/>
          </reference>
          <reference field="8">
            <x v="2"/>
          </reference>
        </references>
      </pivotArea>
    </format>
    <format action="formatting" dxfId="274">
      <pivotArea type="normal" dataOnly="0" labelOnly="1" outline="0" fieldPosition="0">
        <references count="3">
          <reference field="5" selected="0">
            <x v="20"/>
          </reference>
          <reference field="6" selected="0">
            <x v="51"/>
          </reference>
          <reference field="8">
            <x v="1"/>
          </reference>
        </references>
      </pivotArea>
    </format>
    <format action="formatting" dxfId="273">
      <pivotArea type="normal" dataOnly="0" labelOnly="1" outline="0" fieldPosition="0">
        <references count="3">
          <reference field="5" selected="0">
            <x v="21"/>
          </reference>
          <reference field="6" selected="0">
            <x v="15"/>
          </reference>
          <reference field="8">
            <x v="2"/>
          </reference>
        </references>
      </pivotArea>
    </format>
    <format action="formatting" dxfId="272">
      <pivotArea type="normal" dataOnly="0" labelOnly="1" outline="0" fieldPosition="0">
        <references count="3">
          <reference field="5" selected="0">
            <x v="22"/>
          </reference>
          <reference field="6" selected="0">
            <x v="19"/>
          </reference>
          <reference field="8">
            <x v="2"/>
          </reference>
        </references>
      </pivotArea>
    </format>
    <format action="formatting" dxfId="271">
      <pivotArea type="normal" dataOnly="0" labelOnly="1" outline="0" fieldPosition="0">
        <references count="3">
          <reference field="5" selected="0">
            <x v="23"/>
          </reference>
          <reference field="6" selected="0">
            <x v="14"/>
          </reference>
          <reference field="8">
            <x v="2"/>
          </reference>
        </references>
      </pivotArea>
    </format>
    <format action="formatting" dxfId="270">
      <pivotArea type="normal" dataOnly="0" labelOnly="1" outline="0" fieldPosition="0">
        <references count="3">
          <reference field="5" selected="0">
            <x v="24"/>
          </reference>
          <reference field="6" selected="0">
            <x v="141"/>
          </reference>
          <reference field="8">
            <x v="1"/>
          </reference>
        </references>
      </pivotArea>
    </format>
    <format action="formatting" dxfId="269">
      <pivotArea type="normal" dataOnly="0" labelOnly="1" outline="0" fieldPosition="0">
        <references count="3">
          <reference field="5" selected="0">
            <x v="25"/>
          </reference>
          <reference field="6" selected="0">
            <x v="142"/>
          </reference>
          <reference field="8">
            <x v="1"/>
          </reference>
        </references>
      </pivotArea>
    </format>
    <format action="formatting" dxfId="268">
      <pivotArea type="normal" dataOnly="0" labelOnly="1" outline="0" fieldPosition="0">
        <references count="3">
          <reference field="5" selected="0">
            <x v="26"/>
          </reference>
          <reference field="6" selected="0">
            <x v="50"/>
          </reference>
          <reference field="8">
            <x v="1"/>
          </reference>
        </references>
      </pivotArea>
    </format>
    <format action="formatting" dxfId="267">
      <pivotArea type="normal" dataOnly="0" labelOnly="1" outline="0" fieldPosition="0">
        <references count="3">
          <reference field="5" selected="0">
            <x v="27"/>
          </reference>
          <reference field="6" selected="0">
            <x v="4"/>
          </reference>
          <reference field="8">
            <x v="2"/>
          </reference>
        </references>
      </pivotArea>
    </format>
    <format action="formatting" dxfId="266">
      <pivotArea type="normal" dataOnly="0" labelOnly="1" outline="0" fieldPosition="0">
        <references count="3">
          <reference field="5" selected="0">
            <x v="28"/>
          </reference>
          <reference field="6" selected="0">
            <x v="87"/>
          </reference>
          <reference field="8">
            <x v="1"/>
          </reference>
        </references>
      </pivotArea>
    </format>
    <format action="formatting" dxfId="265">
      <pivotArea type="normal" dataOnly="0" labelOnly="1" outline="0" fieldPosition="0">
        <references count="3">
          <reference field="5" selected="0">
            <x v="29"/>
          </reference>
          <reference field="6" selected="0">
            <x v="78"/>
          </reference>
          <reference field="8">
            <x v="1"/>
          </reference>
        </references>
      </pivotArea>
    </format>
    <format action="formatting" dxfId="264">
      <pivotArea type="normal" dataOnly="0" labelOnly="1" outline="0" fieldPosition="0">
        <references count="3">
          <reference field="5" selected="0">
            <x v="30"/>
          </reference>
          <reference field="6" selected="0">
            <x v="32"/>
          </reference>
          <reference field="8">
            <x v="2"/>
          </reference>
        </references>
      </pivotArea>
    </format>
    <format action="formatting" dxfId="263">
      <pivotArea type="normal" dataOnly="0" labelOnly="1" outline="0" fieldPosition="0">
        <references count="3">
          <reference field="5" selected="0">
            <x v="31"/>
          </reference>
          <reference field="6" selected="0">
            <x v="151"/>
          </reference>
          <reference field="8">
            <x v="1"/>
          </reference>
        </references>
      </pivotArea>
    </format>
    <format action="formatting" dxfId="262">
      <pivotArea type="normal" dataOnly="0" labelOnly="1" outline="0" fieldPosition="0">
        <references count="3">
          <reference field="5" selected="0">
            <x v="32"/>
          </reference>
          <reference field="6" selected="0">
            <x v="149"/>
          </reference>
          <reference field="8">
            <x v="1"/>
          </reference>
        </references>
      </pivotArea>
    </format>
    <format action="formatting" dxfId="261">
      <pivotArea type="normal" dataOnly="0" labelOnly="1" outline="0" fieldPosition="0">
        <references count="3">
          <reference field="5" selected="0">
            <x v="33"/>
          </reference>
          <reference field="6" selected="0">
            <x v="150"/>
          </reference>
          <reference field="8">
            <x v="1"/>
          </reference>
        </references>
      </pivotArea>
    </format>
    <format action="formatting" dxfId="260">
      <pivotArea type="normal" dataOnly="0" labelOnly="1" outline="0" fieldPosition="0">
        <references count="3">
          <reference field="5" selected="0">
            <x v="34"/>
          </reference>
          <reference field="6" selected="0">
            <x v="152"/>
          </reference>
          <reference field="8">
            <x v="1"/>
          </reference>
        </references>
      </pivotArea>
    </format>
    <format action="formatting" dxfId="259">
      <pivotArea type="normal" dataOnly="0" labelOnly="1" outline="0" fieldPosition="0">
        <references count="3">
          <reference field="5" selected="0">
            <x v="35"/>
          </reference>
          <reference field="6" selected="0">
            <x v="168"/>
          </reference>
          <reference field="8">
            <x v="1"/>
          </reference>
        </references>
      </pivotArea>
    </format>
    <format action="formatting" dxfId="258">
      <pivotArea type="normal" dataOnly="0" labelOnly="1" outline="0" fieldPosition="0">
        <references count="3">
          <reference field="5" selected="0">
            <x v="36"/>
          </reference>
          <reference field="6" selected="0">
            <x v="97"/>
          </reference>
          <reference field="8">
            <x v="1"/>
          </reference>
        </references>
      </pivotArea>
    </format>
    <format action="formatting" dxfId="257">
      <pivotArea type="normal" dataOnly="0" labelOnly="1" outline="0" fieldPosition="0">
        <references count="3">
          <reference field="5" selected="0">
            <x v="37"/>
          </reference>
          <reference field="6" selected="0">
            <x v="98"/>
          </reference>
          <reference field="8">
            <x v="1"/>
          </reference>
        </references>
      </pivotArea>
    </format>
    <format action="formatting" dxfId="256">
      <pivotArea type="normal" dataOnly="0" labelOnly="1" outline="0" fieldPosition="0">
        <references count="3">
          <reference field="5" selected="0">
            <x v="38"/>
          </reference>
          <reference field="6" selected="0">
            <x v="46"/>
          </reference>
          <reference field="8">
            <x v="1"/>
          </reference>
        </references>
      </pivotArea>
    </format>
    <format action="formatting" dxfId="255">
      <pivotArea type="normal" dataOnly="0" labelOnly="1" outline="0" fieldPosition="0">
        <references count="3">
          <reference field="5" selected="0">
            <x v="39"/>
          </reference>
          <reference field="6" selected="0">
            <x v="33"/>
          </reference>
          <reference field="8">
            <x v="2"/>
          </reference>
        </references>
      </pivotArea>
    </format>
    <format action="formatting" dxfId="254">
      <pivotArea type="normal" dataOnly="0" labelOnly="1" outline="0" fieldPosition="0">
        <references count="3">
          <reference field="5" selected="0">
            <x v="40"/>
          </reference>
          <reference field="6" selected="0">
            <x v="160"/>
          </reference>
          <reference field="8">
            <x v="1"/>
          </reference>
        </references>
      </pivotArea>
    </format>
    <format action="formatting" dxfId="253">
      <pivotArea type="normal" dataOnly="0" labelOnly="1" outline="0" fieldPosition="0">
        <references count="3">
          <reference field="5" selected="0">
            <x v="41"/>
          </reference>
          <reference field="6" selected="0">
            <x v="90"/>
          </reference>
          <reference field="8">
            <x v="1"/>
          </reference>
        </references>
      </pivotArea>
    </format>
    <format action="formatting" dxfId="252">
      <pivotArea type="normal" dataOnly="0" labelOnly="1" outline="0" fieldPosition="0">
        <references count="3">
          <reference field="5" selected="0">
            <x v="42"/>
          </reference>
          <reference field="6" selected="0">
            <x v="163"/>
          </reference>
          <reference field="8">
            <x v="1"/>
          </reference>
        </references>
      </pivotArea>
    </format>
    <format action="formatting" dxfId="251">
      <pivotArea type="normal" dataOnly="0" labelOnly="1" outline="0" fieldPosition="0">
        <references count="3">
          <reference field="5" selected="0">
            <x v="43"/>
          </reference>
          <reference field="6" selected="0">
            <x v="80"/>
          </reference>
          <reference field="8">
            <x v="1"/>
          </reference>
        </references>
      </pivotArea>
    </format>
    <format action="formatting" dxfId="250">
      <pivotArea type="normal" dataOnly="0" labelOnly="1" outline="0" fieldPosition="0">
        <references count="3">
          <reference field="5" selected="0">
            <x v="44"/>
          </reference>
          <reference field="6" selected="0">
            <x v="18"/>
          </reference>
          <reference field="8">
            <x v="2"/>
          </reference>
        </references>
      </pivotArea>
    </format>
    <format action="formatting" dxfId="249">
      <pivotArea type="normal" dataOnly="0" labelOnly="1" outline="0" fieldPosition="0">
        <references count="3">
          <reference field="5" selected="0">
            <x v="45"/>
          </reference>
          <reference field="6" selected="0">
            <x v="130"/>
          </reference>
          <reference field="8">
            <x v="1"/>
          </reference>
        </references>
      </pivotArea>
    </format>
    <format action="formatting" dxfId="248">
      <pivotArea type="normal" dataOnly="0" labelOnly="1" outline="0" fieldPosition="0">
        <references count="3">
          <reference field="5" selected="0">
            <x v="46"/>
          </reference>
          <reference field="6" selected="0">
            <x v="91"/>
          </reference>
          <reference field="8">
            <x v="1"/>
          </reference>
        </references>
      </pivotArea>
    </format>
    <format action="formatting" dxfId="247">
      <pivotArea type="normal" dataOnly="0" labelOnly="1" outline="0" fieldPosition="0">
        <references count="3">
          <reference field="5" selected="0">
            <x v="47"/>
          </reference>
          <reference field="6" selected="0">
            <x v="116"/>
          </reference>
          <reference field="8">
            <x v="1"/>
          </reference>
        </references>
      </pivotArea>
    </format>
    <format action="formatting" dxfId="246">
      <pivotArea type="normal" dataOnly="0" labelOnly="1" outline="0" fieldPosition="0">
        <references count="3">
          <reference field="5" selected="0">
            <x v="48"/>
          </reference>
          <reference field="6" selected="0">
            <x v="48"/>
          </reference>
          <reference field="8">
            <x v="1"/>
          </reference>
        </references>
      </pivotArea>
    </format>
    <format action="formatting" dxfId="245">
      <pivotArea type="normal" dataOnly="0" labelOnly="1" outline="0" fieldPosition="0">
        <references count="3">
          <reference field="5" selected="0">
            <x v="49"/>
          </reference>
          <reference field="6" selected="0">
            <x v="3"/>
          </reference>
          <reference field="8">
            <x v="2"/>
          </reference>
        </references>
      </pivotArea>
    </format>
    <format action="formatting" dxfId="244">
      <pivotArea type="normal" dataOnly="0" labelOnly="1" outline="0" fieldPosition="0">
        <references count="3">
          <reference field="5" selected="0">
            <x v="50"/>
          </reference>
          <reference field="6" selected="0">
            <x v="47"/>
          </reference>
          <reference field="8">
            <x v="1"/>
          </reference>
        </references>
      </pivotArea>
    </format>
    <format action="formatting" dxfId="243">
      <pivotArea type="normal" dataOnly="0" labelOnly="1" outline="0" fieldPosition="0">
        <references count="3">
          <reference field="5" selected="0">
            <x v="51"/>
          </reference>
          <reference field="6" selected="0">
            <x v="165"/>
          </reference>
          <reference field="8">
            <x v="1"/>
          </reference>
        </references>
      </pivotArea>
    </format>
    <format action="formatting" dxfId="242">
      <pivotArea type="normal" dataOnly="0" labelOnly="1" outline="0" fieldPosition="0">
        <references count="3">
          <reference field="5" selected="0">
            <x v="52"/>
          </reference>
          <reference field="6" selected="0">
            <x v="164"/>
          </reference>
          <reference field="8">
            <x v="1"/>
          </reference>
        </references>
      </pivotArea>
    </format>
    <format action="formatting" dxfId="241">
      <pivotArea type="normal" dataOnly="0" labelOnly="1" outline="0" fieldPosition="0">
        <references count="3">
          <reference field="5" selected="0">
            <x v="53"/>
          </reference>
          <reference field="6" selected="0">
            <x v="86"/>
          </reference>
          <reference field="8">
            <x v="1"/>
          </reference>
        </references>
      </pivotArea>
    </format>
    <format action="formatting" dxfId="240">
      <pivotArea type="normal" dataOnly="0" labelOnly="1" outline="0" fieldPosition="0">
        <references count="3">
          <reference field="5" selected="0">
            <x v="54"/>
          </reference>
          <reference field="6" selected="0">
            <x v="67"/>
          </reference>
          <reference field="8">
            <x v="1"/>
          </reference>
        </references>
      </pivotArea>
    </format>
    <format action="formatting" dxfId="239">
      <pivotArea type="normal" dataOnly="0" labelOnly="1" outline="0" fieldPosition="0">
        <references count="3">
          <reference field="5" selected="0">
            <x v="55"/>
          </reference>
          <reference field="6" selected="0">
            <x v="79"/>
          </reference>
          <reference field="8">
            <x v="1"/>
          </reference>
        </references>
      </pivotArea>
    </format>
    <format action="formatting" dxfId="238">
      <pivotArea type="normal" dataOnly="0" labelOnly="1" outline="0" fieldPosition="0">
        <references count="3">
          <reference field="5" selected="0">
            <x v="56"/>
          </reference>
          <reference field="6" selected="0">
            <x v="40"/>
          </reference>
          <reference field="8">
            <x v="1"/>
          </reference>
        </references>
      </pivotArea>
    </format>
    <format action="formatting" dxfId="237">
      <pivotArea type="normal" dataOnly="0" labelOnly="1" outline="0" fieldPosition="0">
        <references count="3">
          <reference field="5" selected="0">
            <x v="57"/>
          </reference>
          <reference field="6" selected="0">
            <x v="62"/>
          </reference>
          <reference field="8">
            <x v="1"/>
          </reference>
        </references>
      </pivotArea>
    </format>
    <format action="formatting" dxfId="236">
      <pivotArea type="normal" dataOnly="0" labelOnly="1" outline="0" fieldPosition="0">
        <references count="3">
          <reference field="5" selected="0">
            <x v="58"/>
          </reference>
          <reference field="6" selected="0">
            <x v="8"/>
          </reference>
          <reference field="8">
            <x v="2"/>
          </reference>
        </references>
      </pivotArea>
    </format>
    <format action="formatting" dxfId="235">
      <pivotArea type="normal" dataOnly="0" labelOnly="1" outline="0" fieldPosition="0">
        <references count="3">
          <reference field="5" selected="0">
            <x v="59"/>
          </reference>
          <reference field="6" selected="0">
            <x v="134"/>
          </reference>
          <reference field="8">
            <x v="1"/>
          </reference>
        </references>
      </pivotArea>
    </format>
    <format action="formatting" dxfId="234">
      <pivotArea type="normal" dataOnly="0" labelOnly="1" outline="0" fieldPosition="0">
        <references count="3">
          <reference field="5" selected="0">
            <x v="60"/>
          </reference>
          <reference field="6" selected="0">
            <x v="135"/>
          </reference>
          <reference field="8">
            <x v="1"/>
          </reference>
        </references>
      </pivotArea>
    </format>
    <format action="formatting" dxfId="233">
      <pivotArea type="normal" dataOnly="0" labelOnly="1" outline="0" fieldPosition="0">
        <references count="3">
          <reference field="5" selected="0">
            <x v="61"/>
          </reference>
          <reference field="6" selected="0">
            <x v="126"/>
          </reference>
          <reference field="8">
            <x v="1"/>
          </reference>
        </references>
      </pivotArea>
    </format>
    <format action="formatting" dxfId="232">
      <pivotArea type="normal" dataOnly="0" labelOnly="1" outline="0" fieldPosition="0">
        <references count="3">
          <reference field="5" selected="0">
            <x v="62"/>
          </reference>
          <reference field="6" selected="0">
            <x v="28"/>
          </reference>
          <reference field="8">
            <x v="2"/>
          </reference>
        </references>
      </pivotArea>
    </format>
    <format action="formatting" dxfId="231">
      <pivotArea type="normal" dataOnly="0" labelOnly="1" outline="0" fieldPosition="0">
        <references count="3">
          <reference field="5" selected="0">
            <x v="63"/>
          </reference>
          <reference field="6" selected="0">
            <x v="127"/>
          </reference>
          <reference field="8">
            <x v="1"/>
          </reference>
        </references>
      </pivotArea>
    </format>
    <format action="formatting" dxfId="230">
      <pivotArea type="normal" dataOnly="0" labelOnly="1" outline="0" fieldPosition="0">
        <references count="3">
          <reference field="5" selected="0">
            <x v="64"/>
          </reference>
          <reference field="6" selected="0">
            <x v="146"/>
          </reference>
          <reference field="8">
            <x v="1"/>
          </reference>
        </references>
      </pivotArea>
    </format>
    <format action="formatting" dxfId="229">
      <pivotArea type="normal" dataOnly="0" labelOnly="1" outline="0" fieldPosition="0">
        <references count="3">
          <reference field="5" selected="0">
            <x v="65"/>
          </reference>
          <reference field="6" selected="0">
            <x v="148"/>
          </reference>
          <reference field="8">
            <x v="1"/>
          </reference>
        </references>
      </pivotArea>
    </format>
    <format action="formatting" dxfId="228">
      <pivotArea type="normal" dataOnly="0" labelOnly="1" outline="0" fieldPosition="0">
        <references count="3">
          <reference field="5" selected="0">
            <x v="66"/>
          </reference>
          <reference field="6" selected="0">
            <x v="145"/>
          </reference>
          <reference field="8">
            <x v="1"/>
          </reference>
        </references>
      </pivotArea>
    </format>
    <format action="formatting" dxfId="227">
      <pivotArea type="normal" dataOnly="0" labelOnly="1" outline="0" fieldPosition="0">
        <references count="3">
          <reference field="5" selected="0">
            <x v="67"/>
          </reference>
          <reference field="6" selected="0">
            <x v="147"/>
          </reference>
          <reference field="8">
            <x v="1"/>
          </reference>
        </references>
      </pivotArea>
    </format>
    <format action="formatting" dxfId="226">
      <pivotArea type="normal" dataOnly="0" labelOnly="1" outline="0" fieldPosition="0">
        <references count="3">
          <reference field="5" selected="0">
            <x v="68"/>
          </reference>
          <reference field="6" selected="0">
            <x v="121"/>
          </reference>
          <reference field="8">
            <x v="1"/>
          </reference>
        </references>
      </pivotArea>
    </format>
    <format action="formatting" dxfId="225">
      <pivotArea type="normal" dataOnly="0" labelOnly="1" outline="0" fieldPosition="0">
        <references count="3">
          <reference field="5" selected="0">
            <x v="69"/>
          </reference>
          <reference field="6" selected="0">
            <x v="96"/>
          </reference>
          <reference field="8">
            <x v="1"/>
          </reference>
        </references>
      </pivotArea>
    </format>
    <format action="formatting" dxfId="224">
      <pivotArea type="normal" dataOnly="0" labelOnly="1" outline="0" fieldPosition="0">
        <references count="3">
          <reference field="5" selected="0">
            <x v="70"/>
          </reference>
          <reference field="6" selected="0">
            <x v="95"/>
          </reference>
          <reference field="8">
            <x v="1"/>
          </reference>
        </references>
      </pivotArea>
    </format>
    <format action="formatting" dxfId="223">
      <pivotArea type="normal" dataOnly="0" labelOnly="1" outline="0" fieldPosition="0">
        <references count="3">
          <reference field="5" selected="0">
            <x v="71"/>
          </reference>
          <reference field="6" selected="0">
            <x v="108"/>
          </reference>
          <reference field="8">
            <x v="1"/>
          </reference>
        </references>
      </pivotArea>
    </format>
    <format action="formatting" dxfId="222">
      <pivotArea type="normal" dataOnly="0" labelOnly="1" outline="0" fieldPosition="0">
        <references count="3">
          <reference field="5" selected="0">
            <x v="72"/>
          </reference>
          <reference field="6" selected="0">
            <x v="76"/>
          </reference>
          <reference field="8">
            <x v="1"/>
          </reference>
        </references>
      </pivotArea>
    </format>
    <format action="formatting" dxfId="221">
      <pivotArea type="normal" dataOnly="0" labelOnly="1" outline="0" fieldPosition="0">
        <references count="3">
          <reference field="5" selected="0">
            <x v="73"/>
          </reference>
          <reference field="6" selected="0">
            <x v="144"/>
          </reference>
          <reference field="8">
            <x v="1"/>
          </reference>
        </references>
      </pivotArea>
    </format>
    <format action="formatting" dxfId="220">
      <pivotArea type="normal" dataOnly="0" labelOnly="1" outline="0" fieldPosition="0">
        <references count="3">
          <reference field="5" selected="0">
            <x v="74"/>
          </reference>
          <reference field="6" selected="0">
            <x v="143"/>
          </reference>
          <reference field="8">
            <x v="1"/>
          </reference>
        </references>
      </pivotArea>
    </format>
    <format action="formatting" dxfId="219">
      <pivotArea type="normal" dataOnly="0" labelOnly="1" outline="0" fieldPosition="0">
        <references count="3">
          <reference field="5" selected="0">
            <x v="75"/>
          </reference>
          <reference field="6" selected="0">
            <x v="153"/>
          </reference>
          <reference field="8">
            <x v="1"/>
          </reference>
        </references>
      </pivotArea>
    </format>
    <format action="formatting" dxfId="218">
      <pivotArea type="normal" dataOnly="0" labelOnly="1" outline="0" fieldPosition="0">
        <references count="3">
          <reference field="5" selected="0">
            <x v="76"/>
          </reference>
          <reference field="6" selected="0">
            <x v="41"/>
          </reference>
          <reference field="8">
            <x v="1"/>
          </reference>
        </references>
      </pivotArea>
    </format>
    <format action="formatting" dxfId="217">
      <pivotArea type="normal" dataOnly="0" labelOnly="1" outline="0" fieldPosition="0">
        <references count="3">
          <reference field="5" selected="0">
            <x v="77"/>
          </reference>
          <reference field="6" selected="0">
            <x v="1"/>
          </reference>
          <reference field="8">
            <x v="2"/>
          </reference>
        </references>
      </pivotArea>
    </format>
    <format action="formatting" dxfId="216">
      <pivotArea type="normal" dataOnly="0" labelOnly="1" outline="0" fieldPosition="0">
        <references count="3">
          <reference field="5" selected="0">
            <x v="78"/>
          </reference>
          <reference field="6" selected="0">
            <x v="94"/>
          </reference>
          <reference field="8">
            <x v="1"/>
          </reference>
        </references>
      </pivotArea>
    </format>
    <format action="formatting" dxfId="215">
      <pivotArea type="normal" dataOnly="0" labelOnly="1" outline="0" fieldPosition="0">
        <references count="3">
          <reference field="5" selected="0">
            <x v="79"/>
          </reference>
          <reference field="6" selected="0">
            <x v="92"/>
          </reference>
          <reference field="8">
            <x v="1"/>
          </reference>
        </references>
      </pivotArea>
    </format>
    <format action="formatting" dxfId="214">
      <pivotArea type="normal" dataOnly="0" labelOnly="1" outline="0" fieldPosition="0">
        <references count="3">
          <reference field="5" selected="0">
            <x v="80"/>
          </reference>
          <reference field="6" selected="0">
            <x v="23"/>
          </reference>
          <reference field="8">
            <x v="2"/>
          </reference>
        </references>
      </pivotArea>
    </format>
    <format action="formatting" dxfId="213">
      <pivotArea type="normal" dataOnly="0" labelOnly="1" outline="0" fieldPosition="0">
        <references count="3">
          <reference field="5" selected="0">
            <x v="81"/>
          </reference>
          <reference field="6" selected="0">
            <x v="24"/>
          </reference>
          <reference field="8">
            <x v="2"/>
          </reference>
        </references>
      </pivotArea>
    </format>
    <format action="formatting" dxfId="212">
      <pivotArea type="normal" dataOnly="0" labelOnly="1" outline="0" fieldPosition="0">
        <references count="3">
          <reference field="5" selected="0">
            <x v="82"/>
          </reference>
          <reference field="6" selected="0">
            <x v="99"/>
          </reference>
          <reference field="8">
            <x v="1"/>
          </reference>
        </references>
      </pivotArea>
    </format>
    <format action="formatting" dxfId="211">
      <pivotArea type="normal" dataOnly="0" labelOnly="1" outline="0" fieldPosition="0">
        <references count="3">
          <reference field="5" selected="0">
            <x v="83"/>
          </reference>
          <reference field="6" selected="0">
            <x v="100"/>
          </reference>
          <reference field="8">
            <x v="1"/>
          </reference>
        </references>
      </pivotArea>
    </format>
    <format action="formatting" dxfId="210">
      <pivotArea type="normal" dataOnly="0" labelOnly="1" outline="0" fieldPosition="0">
        <references count="3">
          <reference field="5" selected="0">
            <x v="84"/>
          </reference>
          <reference field="6" selected="0">
            <x v="25"/>
          </reference>
          <reference field="8">
            <x v="2"/>
          </reference>
        </references>
      </pivotArea>
    </format>
    <format action="formatting" dxfId="209">
      <pivotArea type="normal" dataOnly="0" labelOnly="1" outline="0" fieldPosition="0">
        <references count="3">
          <reference field="5" selected="0">
            <x v="85"/>
          </reference>
          <reference field="6" selected="0">
            <x v="45"/>
          </reference>
          <reference field="8">
            <x v="1"/>
          </reference>
        </references>
      </pivotArea>
    </format>
    <format action="formatting" dxfId="208">
      <pivotArea type="normal" dataOnly="0" labelOnly="1" outline="0" fieldPosition="0">
        <references count="3">
          <reference field="5" selected="0">
            <x v="86"/>
          </reference>
          <reference field="6" selected="0">
            <x v="85"/>
          </reference>
          <reference field="8">
            <x v="1"/>
          </reference>
        </references>
      </pivotArea>
    </format>
    <format action="formatting" dxfId="207">
      <pivotArea type="normal" dataOnly="0" labelOnly="1" outline="0" fieldPosition="0">
        <references count="3">
          <reference field="5" selected="0">
            <x v="87"/>
          </reference>
          <reference field="6" selected="0">
            <x v="136"/>
          </reference>
          <reference field="8">
            <x v="1"/>
          </reference>
        </references>
      </pivotArea>
    </format>
    <format action="formatting" dxfId="206">
      <pivotArea type="normal" dataOnly="0" labelOnly="1" outline="0" fieldPosition="0">
        <references count="3">
          <reference field="5" selected="0">
            <x v="88"/>
          </reference>
          <reference field="6" selected="0">
            <x v="30"/>
          </reference>
          <reference field="8">
            <x v="2"/>
          </reference>
        </references>
      </pivotArea>
    </format>
    <format action="formatting" dxfId="205">
      <pivotArea type="normal" dataOnly="0" labelOnly="1" outline="0" fieldPosition="0">
        <references count="3">
          <reference field="5" selected="0">
            <x v="89"/>
          </reference>
          <reference field="6" selected="0">
            <x v="61"/>
          </reference>
          <reference field="8">
            <x v="1"/>
          </reference>
        </references>
      </pivotArea>
    </format>
    <format action="formatting" dxfId="204">
      <pivotArea type="normal" dataOnly="0" labelOnly="1" outline="0" fieldPosition="0">
        <references count="3">
          <reference field="5" selected="0">
            <x v="90"/>
          </reference>
          <reference field="6" selected="0">
            <x v="84"/>
          </reference>
          <reference field="8">
            <x v="1"/>
          </reference>
        </references>
      </pivotArea>
    </format>
    <format action="formatting" dxfId="203">
      <pivotArea type="normal" dataOnly="0" labelOnly="1" outline="0" fieldPosition="0">
        <references count="3">
          <reference field="5" selected="0">
            <x v="91"/>
          </reference>
          <reference field="6" selected="0">
            <x v="83"/>
          </reference>
          <reference field="8">
            <x v="1"/>
          </reference>
        </references>
      </pivotArea>
    </format>
    <format action="formatting" dxfId="202">
      <pivotArea type="normal" dataOnly="0" labelOnly="1" outline="0" fieldPosition="0">
        <references count="3">
          <reference field="5" selected="0">
            <x v="92"/>
          </reference>
          <reference field="6" selected="0">
            <x v="166"/>
          </reference>
          <reference field="8">
            <x v="1"/>
          </reference>
        </references>
      </pivotArea>
    </format>
    <format action="formatting" dxfId="201">
      <pivotArea type="normal" dataOnly="0" labelOnly="1" outline="0" fieldPosition="0">
        <references count="3">
          <reference field="5" selected="0">
            <x v="93"/>
          </reference>
          <reference field="6" selected="0">
            <x v="140"/>
          </reference>
          <reference field="8">
            <x v="1"/>
          </reference>
        </references>
      </pivotArea>
    </format>
    <format action="formatting" dxfId="200">
      <pivotArea type="normal" dataOnly="0" labelOnly="1" outline="0" fieldPosition="0">
        <references count="3">
          <reference field="5" selected="0">
            <x v="94"/>
          </reference>
          <reference field="6" selected="0">
            <x v="122"/>
          </reference>
          <reference field="8">
            <x v="1"/>
          </reference>
        </references>
      </pivotArea>
    </format>
    <format action="formatting" dxfId="199">
      <pivotArea type="normal" dataOnly="0" labelOnly="1" outline="0" fieldPosition="0">
        <references count="3">
          <reference field="5" selected="0">
            <x v="95"/>
          </reference>
          <reference field="6" selected="0">
            <x v="137"/>
          </reference>
          <reference field="8">
            <x v="1"/>
          </reference>
        </references>
      </pivotArea>
    </format>
    <format action="formatting" dxfId="198">
      <pivotArea type="normal" dataOnly="0" labelOnly="1" outline="0" fieldPosition="0">
        <references count="3">
          <reference field="5" selected="0">
            <x v="96"/>
          </reference>
          <reference field="6" selected="0">
            <x v="133"/>
          </reference>
          <reference field="8">
            <x v="1"/>
          </reference>
        </references>
      </pivotArea>
    </format>
    <format action="formatting" dxfId="197">
      <pivotArea type="normal" dataOnly="0" labelOnly="1" outline="0" fieldPosition="0">
        <references count="3">
          <reference field="5" selected="0">
            <x v="97"/>
          </reference>
          <reference field="6" selected="0">
            <x v="132"/>
          </reference>
          <reference field="8">
            <x v="1"/>
          </reference>
        </references>
      </pivotArea>
    </format>
    <format action="formatting" dxfId="196">
      <pivotArea type="normal" dataOnly="0" labelOnly="1" outline="0" fieldPosition="0">
        <references count="3">
          <reference field="5" selected="0">
            <x v="98"/>
          </reference>
          <reference field="6" selected="0">
            <x v="65"/>
          </reference>
          <reference field="8">
            <x v="1"/>
          </reference>
        </references>
      </pivotArea>
    </format>
    <format action="formatting" dxfId="195">
      <pivotArea type="normal" dataOnly="0" labelOnly="1" outline="0" fieldPosition="0">
        <references count="3">
          <reference field="5" selected="0">
            <x v="99"/>
          </reference>
          <reference field="6" selected="0">
            <x v="125"/>
          </reference>
          <reference field="8">
            <x v="1"/>
          </reference>
        </references>
      </pivotArea>
    </format>
    <format action="formatting" dxfId="194">
      <pivotArea type="normal" dataOnly="0" labelOnly="1" outline="0" fieldPosition="0">
        <references count="3">
          <reference field="5" selected="0">
            <x v="100"/>
          </reference>
          <reference field="6" selected="0">
            <x v="55"/>
          </reference>
          <reference field="8">
            <x v="1"/>
          </reference>
        </references>
      </pivotArea>
    </format>
    <format action="formatting" dxfId="193">
      <pivotArea type="normal" dataOnly="0" labelOnly="1" outline="0" fieldPosition="0">
        <references count="3">
          <reference field="5" selected="0">
            <x v="101"/>
          </reference>
          <reference field="6" selected="0">
            <x v="54"/>
          </reference>
          <reference field="8">
            <x v="1"/>
          </reference>
        </references>
      </pivotArea>
    </format>
    <format action="formatting" dxfId="192">
      <pivotArea type="normal" dataOnly="0" labelOnly="1" outline="0" fieldPosition="0">
        <references count="3">
          <reference field="5" selected="0">
            <x v="102"/>
          </reference>
          <reference field="6" selected="0">
            <x v="27"/>
          </reference>
          <reference field="8">
            <x v="1"/>
          </reference>
        </references>
      </pivotArea>
    </format>
    <format action="formatting" dxfId="191">
      <pivotArea type="normal" dataOnly="0" labelOnly="1" outline="0" fieldPosition="0">
        <references count="3">
          <reference field="5" selected="0">
            <x v="103"/>
          </reference>
          <reference field="6" selected="0">
            <x v="109"/>
          </reference>
          <reference field="8">
            <x v="1"/>
          </reference>
        </references>
      </pivotArea>
    </format>
    <format action="formatting" dxfId="190">
      <pivotArea type="normal" dataOnly="0" labelOnly="1" outline="0" fieldPosition="0">
        <references count="3">
          <reference field="5" selected="0">
            <x v="104"/>
          </reference>
          <reference field="6" selected="0">
            <x v="9"/>
          </reference>
          <reference field="8">
            <x v="1"/>
          </reference>
        </references>
      </pivotArea>
    </format>
    <format action="formatting" dxfId="189">
      <pivotArea type="normal" dataOnly="0" labelOnly="1" outline="0" fieldPosition="0">
        <references count="3">
          <reference field="5" selected="0">
            <x v="105"/>
          </reference>
          <reference field="6" selected="0">
            <x v="63"/>
          </reference>
          <reference field="8">
            <x v="1"/>
          </reference>
        </references>
      </pivotArea>
    </format>
    <format action="formatting" dxfId="188">
      <pivotArea type="normal" dataOnly="0" labelOnly="1" outline="0" fieldPosition="0">
        <references count="3">
          <reference field="5" selected="0">
            <x v="106"/>
          </reference>
          <reference field="6" selected="0">
            <x v="129"/>
          </reference>
          <reference field="8">
            <x v="1"/>
          </reference>
        </references>
      </pivotArea>
    </format>
    <format action="formatting" dxfId="187">
      <pivotArea type="normal" dataOnly="0" labelOnly="1" outline="0" fieldPosition="0">
        <references count="3">
          <reference field="5" selected="0">
            <x v="107"/>
          </reference>
          <reference field="6" selected="0">
            <x v="29"/>
          </reference>
          <reference field="8">
            <x v="1"/>
          </reference>
        </references>
      </pivotArea>
    </format>
    <format action="formatting" dxfId="186">
      <pivotArea type="normal" dataOnly="0" labelOnly="1" outline="0" fieldPosition="0">
        <references count="3">
          <reference field="5" selected="0">
            <x v="108"/>
          </reference>
          <reference field="6" selected="0">
            <x v="64"/>
          </reference>
          <reference field="8">
            <x v="1"/>
          </reference>
        </references>
      </pivotArea>
    </format>
    <format action="formatting" dxfId="185">
      <pivotArea type="normal" dataOnly="0" labelOnly="1" outline="0" fieldPosition="0">
        <references count="3">
          <reference field="5" selected="0">
            <x v="109"/>
          </reference>
          <reference field="6" selected="0">
            <x v="43"/>
          </reference>
          <reference field="8">
            <x v="1"/>
          </reference>
        </references>
      </pivotArea>
    </format>
    <format action="formatting" dxfId="184">
      <pivotArea type="normal" dataOnly="0" labelOnly="1" outline="0" fieldPosition="0">
        <references count="3">
          <reference field="5" selected="0">
            <x v="110"/>
          </reference>
          <reference field="6" selected="0">
            <x v="2"/>
          </reference>
          <reference field="8">
            <x v="1"/>
          </reference>
        </references>
      </pivotArea>
    </format>
    <format action="formatting" dxfId="183">
      <pivotArea type="normal" dataOnly="0" labelOnly="1" outline="0" fieldPosition="0">
        <references count="3">
          <reference field="5" selected="0">
            <x v="111"/>
          </reference>
          <reference field="6" selected="0">
            <x v="42"/>
          </reference>
          <reference field="8">
            <x v="1"/>
          </reference>
        </references>
      </pivotArea>
    </format>
    <format action="formatting" dxfId="182">
      <pivotArea type="normal" dataOnly="0" labelOnly="1" outline="0" fieldPosition="0">
        <references count="3">
          <reference field="5" selected="0">
            <x v="112"/>
          </reference>
          <reference field="6" selected="0">
            <x v="44"/>
          </reference>
          <reference field="8">
            <x v="1"/>
          </reference>
        </references>
      </pivotArea>
    </format>
    <format action="formatting" dxfId="181">
      <pivotArea type="normal" dataOnly="0" labelOnly="1" outline="0" fieldPosition="0">
        <references count="3">
          <reference field="5" selected="0">
            <x v="113"/>
          </reference>
          <reference field="6" selected="0">
            <x v="110"/>
          </reference>
          <reference field="8">
            <x v="1"/>
          </reference>
        </references>
      </pivotArea>
    </format>
    <format action="formatting" dxfId="180">
      <pivotArea type="normal" dataOnly="0" labelOnly="1" outline="0" fieldPosition="0">
        <references count="3">
          <reference field="5" selected="0">
            <x v="114"/>
          </reference>
          <reference field="6" selected="0">
            <x v="56"/>
          </reference>
          <reference field="8">
            <x v="1"/>
          </reference>
        </references>
      </pivotArea>
    </format>
    <format action="formatting" dxfId="179">
      <pivotArea type="normal" dataOnly="0" labelOnly="1" outline="0" fieldPosition="0">
        <references count="3">
          <reference field="5" selected="0">
            <x v="115"/>
          </reference>
          <reference field="6" selected="0">
            <x v="81"/>
          </reference>
          <reference field="8">
            <x v="1"/>
          </reference>
        </references>
      </pivotArea>
    </format>
    <format action="formatting" dxfId="178">
      <pivotArea type="normal" dataOnly="0" labelOnly="1" outline="0" fieldPosition="0">
        <references count="3">
          <reference field="5" selected="0">
            <x v="116"/>
          </reference>
          <reference field="6" selected="0">
            <x v="82"/>
          </reference>
          <reference field="8">
            <x v="1"/>
          </reference>
        </references>
      </pivotArea>
    </format>
    <format action="formatting" dxfId="177">
      <pivotArea type="normal" dataOnly="0" labelOnly="1" outline="0" fieldPosition="0">
        <references count="3">
          <reference field="5" selected="0">
            <x v="117"/>
          </reference>
          <reference field="6" selected="0">
            <x v="117"/>
          </reference>
          <reference field="8">
            <x v="1"/>
          </reference>
        </references>
      </pivotArea>
    </format>
    <format action="formatting" dxfId="176">
      <pivotArea type="normal" dataOnly="0" labelOnly="1" outline="0" fieldPosition="0">
        <references count="3">
          <reference field="5" selected="0">
            <x v="118"/>
          </reference>
          <reference field="6" selected="0">
            <x v="36"/>
          </reference>
          <reference field="8">
            <x v="1"/>
          </reference>
        </references>
      </pivotArea>
    </format>
    <format action="formatting" dxfId="175">
      <pivotArea type="normal" dataOnly="0" labelOnly="1" outline="0" fieldPosition="0">
        <references count="3">
          <reference field="5" selected="0">
            <x v="119"/>
          </reference>
          <reference field="6" selected="0">
            <x v="58"/>
          </reference>
          <reference field="8">
            <x v="1"/>
          </reference>
        </references>
      </pivotArea>
    </format>
    <format action="formatting" dxfId="174">
      <pivotArea type="normal" dataOnly="0" labelOnly="1" outline="0" fieldPosition="0">
        <references count="3">
          <reference field="5" selected="0">
            <x v="120"/>
          </reference>
          <reference field="6" selected="0">
            <x v="52"/>
          </reference>
          <reference field="8">
            <x v="1"/>
          </reference>
        </references>
      </pivotArea>
    </format>
    <format action="formatting" dxfId="173">
      <pivotArea type="normal" dataOnly="0" labelOnly="1" outline="0" fieldPosition="0">
        <references count="3">
          <reference field="5" selected="0">
            <x v="121"/>
          </reference>
          <reference field="6" selected="0">
            <x v="105"/>
          </reference>
          <reference field="8">
            <x v="1"/>
          </reference>
        </references>
      </pivotArea>
    </format>
    <format action="formatting" dxfId="172">
      <pivotArea type="normal" dataOnly="0" labelOnly="1" outline="0" fieldPosition="0">
        <references count="3">
          <reference field="5" selected="0">
            <x v="122"/>
          </reference>
          <reference field="6" selected="0">
            <x v="53"/>
          </reference>
          <reference field="8">
            <x v="1"/>
          </reference>
        </references>
      </pivotArea>
    </format>
    <format action="formatting" dxfId="171">
      <pivotArea type="normal" dataOnly="0" labelOnly="1" outline="0" fieldPosition="0">
        <references count="3">
          <reference field="5" selected="0">
            <x v="123"/>
          </reference>
          <reference field="6" selected="0">
            <x v="72"/>
          </reference>
          <reference field="8">
            <x v="1"/>
          </reference>
        </references>
      </pivotArea>
    </format>
    <format action="formatting" dxfId="170">
      <pivotArea type="normal" dataOnly="0" labelOnly="1" outline="0" fieldPosition="0">
        <references count="3">
          <reference field="5" selected="0">
            <x v="124"/>
          </reference>
          <reference field="6" selected="0">
            <x v="49"/>
          </reference>
          <reference field="8">
            <x v="1"/>
          </reference>
        </references>
      </pivotArea>
    </format>
    <format action="formatting" dxfId="169">
      <pivotArea type="normal" dataOnly="0" labelOnly="1" outline="0" fieldPosition="0">
        <references count="3">
          <reference field="5" selected="0">
            <x v="125"/>
          </reference>
          <reference field="6" selected="0">
            <x v="39"/>
          </reference>
          <reference field="8">
            <x v="1"/>
          </reference>
        </references>
      </pivotArea>
    </format>
    <format action="formatting" dxfId="168">
      <pivotArea type="normal" dataOnly="0" labelOnly="1" outline="0" fieldPosition="0">
        <references count="3">
          <reference field="5" selected="0">
            <x v="126"/>
          </reference>
          <reference field="6" selected="0">
            <x v="60"/>
          </reference>
          <reference field="8">
            <x v="1"/>
          </reference>
        </references>
      </pivotArea>
    </format>
    <format action="formatting" dxfId="167">
      <pivotArea type="normal" dataOnly="0" labelOnly="1" outline="0" fieldPosition="0">
        <references count="3">
          <reference field="5" selected="0">
            <x v="127"/>
          </reference>
          <reference field="6" selected="0">
            <x v="155"/>
          </reference>
          <reference field="8">
            <x v="1"/>
          </reference>
        </references>
      </pivotArea>
    </format>
    <format action="formatting" dxfId="166">
      <pivotArea type="normal" dataOnly="0" labelOnly="1" outline="0" fieldPosition="0">
        <references count="3">
          <reference field="5" selected="0">
            <x v="128"/>
          </reference>
          <reference field="6" selected="0">
            <x v="157"/>
          </reference>
          <reference field="8">
            <x v="1"/>
          </reference>
        </references>
      </pivotArea>
    </format>
    <format action="formatting" dxfId="165">
      <pivotArea type="normal" dataOnly="0" labelOnly="1" outline="0" fieldPosition="0">
        <references count="3">
          <reference field="5" selected="0">
            <x v="129"/>
          </reference>
          <reference field="6" selected="0">
            <x v="156"/>
          </reference>
          <reference field="8">
            <x v="1"/>
          </reference>
        </references>
      </pivotArea>
    </format>
    <format action="formatting" dxfId="164">
      <pivotArea type="normal" dataOnly="0" labelOnly="1" outline="0" fieldPosition="0">
        <references count="3">
          <reference field="5" selected="0">
            <x v="130"/>
          </reference>
          <reference field="6" selected="0">
            <x v="37"/>
          </reference>
          <reference field="8">
            <x v="1"/>
          </reference>
        </references>
      </pivotArea>
    </format>
    <format action="formatting" dxfId="163">
      <pivotArea type="normal" dataOnly="0" labelOnly="1" outline="0" fieldPosition="0">
        <references count="3">
          <reference field="5" selected="0">
            <x v="131"/>
          </reference>
          <reference field="6" selected="0">
            <x v="68"/>
          </reference>
          <reference field="8">
            <x v="1"/>
          </reference>
        </references>
      </pivotArea>
    </format>
    <format action="formatting" dxfId="162">
      <pivotArea type="normal" dataOnly="0" labelOnly="1" outline="0" fieldPosition="0">
        <references count="3">
          <reference field="5" selected="0">
            <x v="132"/>
          </reference>
          <reference field="6" selected="0">
            <x v="77"/>
          </reference>
          <reference field="8">
            <x v="1"/>
          </reference>
        </references>
      </pivotArea>
    </format>
    <format action="formatting" dxfId="161">
      <pivotArea type="normal" dataOnly="0" labelOnly="1" outline="0" fieldPosition="0">
        <references count="3">
          <reference field="5" selected="0">
            <x v="133"/>
          </reference>
          <reference field="6" selected="0">
            <x v="38"/>
          </reference>
          <reference field="8">
            <x v="1"/>
          </reference>
        </references>
      </pivotArea>
    </format>
    <format action="formatting" dxfId="160">
      <pivotArea type="normal" dataOnly="0" labelOnly="1" outline="0" fieldPosition="0">
        <references count="3">
          <reference field="5" selected="0">
            <x v="134"/>
          </reference>
          <reference field="6" selected="0">
            <x v="89"/>
          </reference>
          <reference field="8">
            <x v="1"/>
          </reference>
        </references>
      </pivotArea>
    </format>
    <format action="formatting" dxfId="159">
      <pivotArea type="normal" dataOnly="0" labelOnly="1" outline="0" fieldPosition="0">
        <references count="3">
          <reference field="5" selected="0">
            <x v="135"/>
          </reference>
          <reference field="6" selected="0">
            <x v="115"/>
          </reference>
          <reference field="8">
            <x v="1"/>
          </reference>
        </references>
      </pivotArea>
    </format>
    <format action="formatting" dxfId="158">
      <pivotArea type="normal" dataOnly="0" labelOnly="1" outline="0" fieldPosition="0">
        <references count="3">
          <reference field="5" selected="0">
            <x v="136"/>
          </reference>
          <reference field="6" selected="0">
            <x v="16"/>
          </reference>
          <reference field="8">
            <x v="1"/>
          </reference>
        </references>
      </pivotArea>
    </format>
    <format action="formatting" dxfId="157">
      <pivotArea type="normal" dataOnly="0" labelOnly="1" outline="0" fieldPosition="0">
        <references count="3">
          <reference field="5" selected="0">
            <x v="137"/>
          </reference>
          <reference field="6" selected="0">
            <x v="158"/>
          </reference>
          <reference field="8">
            <x v="1"/>
          </reference>
        </references>
      </pivotArea>
    </format>
    <format action="formatting" dxfId="156">
      <pivotArea type="normal" dataOnly="0" labelOnly="1" outline="0" fieldPosition="0">
        <references count="3">
          <reference field="5" selected="0">
            <x v="138"/>
          </reference>
          <reference field="6" selected="0">
            <x v="112"/>
          </reference>
          <reference field="8">
            <x v="1"/>
          </reference>
        </references>
      </pivotArea>
    </format>
    <format action="formatting" dxfId="155">
      <pivotArea type="normal" dataOnly="0" labelOnly="1" outline="0" fieldPosition="0">
        <references count="3">
          <reference field="5" selected="0">
            <x v="139"/>
          </reference>
          <reference field="6" selected="0">
            <x v="111"/>
          </reference>
          <reference field="8">
            <x v="1"/>
          </reference>
        </references>
      </pivotArea>
    </format>
    <format action="formatting" dxfId="154">
      <pivotArea type="normal" dataOnly="0" labelOnly="1" outline="0" fieldPosition="0">
        <references count="3">
          <reference field="5" selected="0">
            <x v="140"/>
          </reference>
          <reference field="6" selected="0">
            <x v="57"/>
          </reference>
          <reference field="8">
            <x v="1"/>
          </reference>
        </references>
      </pivotArea>
    </format>
    <format action="formatting" dxfId="153">
      <pivotArea type="normal" dataOnly="0" labelOnly="1" outline="0" fieldPosition="0">
        <references count="3">
          <reference field="5" selected="0">
            <x v="141"/>
          </reference>
          <reference field="6" selected="0">
            <x v="104"/>
          </reference>
          <reference field="8">
            <x v="1"/>
          </reference>
        </references>
      </pivotArea>
    </format>
    <format action="formatting" dxfId="152">
      <pivotArea type="normal" dataOnly="0" labelOnly="1" outline="0" fieldPosition="0">
        <references count="3">
          <reference field="5" selected="0">
            <x v="142"/>
          </reference>
          <reference field="6" selected="0">
            <x v="154"/>
          </reference>
          <reference field="8">
            <x v="1"/>
          </reference>
        </references>
      </pivotArea>
    </format>
    <format action="formatting" dxfId="151">
      <pivotArea type="normal" dataOnly="0" labelOnly="1" outline="0" fieldPosition="0">
        <references count="3">
          <reference field="5" selected="0">
            <x v="143"/>
          </reference>
          <reference field="6" selected="0">
            <x v="113"/>
          </reference>
          <reference field="8">
            <x v="1"/>
          </reference>
        </references>
      </pivotArea>
    </format>
    <format action="formatting" dxfId="150">
      <pivotArea type="normal" dataOnly="0" labelOnly="1" outline="0" fieldPosition="0">
        <references count="3">
          <reference field="5" selected="0">
            <x v="144"/>
          </reference>
          <reference field="6" selected="0">
            <x v="114"/>
          </reference>
          <reference field="8">
            <x v="1"/>
          </reference>
        </references>
      </pivotArea>
    </format>
    <format action="formatting" dxfId="149">
      <pivotArea type="normal" dataOnly="0" labelOnly="1" outline="0" fieldPosition="0">
        <references count="3">
          <reference field="5" selected="0">
            <x v="145"/>
          </reference>
          <reference field="6" selected="0">
            <x v="131"/>
          </reference>
          <reference field="8">
            <x v="1"/>
          </reference>
        </references>
      </pivotArea>
    </format>
    <format action="formatting" dxfId="148">
      <pivotArea type="normal" dataOnly="0" labelOnly="1" outline="0" fieldPosition="0">
        <references count="3">
          <reference field="5" selected="0">
            <x v="146"/>
          </reference>
          <reference field="6" selected="0">
            <x v="106"/>
          </reference>
          <reference field="8">
            <x v="1"/>
          </reference>
        </references>
      </pivotArea>
    </format>
    <format action="formatting" dxfId="147">
      <pivotArea type="normal" dataOnly="0" labelOnly="1" outline="0" fieldPosition="0">
        <references count="3">
          <reference field="5" selected="0">
            <x v="147"/>
          </reference>
          <reference field="6" selected="0">
            <x v="107"/>
          </reference>
          <reference field="8">
            <x v="1"/>
          </reference>
        </references>
      </pivotArea>
    </format>
    <format action="formatting" dxfId="146">
      <pivotArea type="normal" dataOnly="0" labelOnly="1" outline="0" fieldPosition="0">
        <references count="3">
          <reference field="5" selected="0">
            <x v="148"/>
          </reference>
          <reference field="6" selected="0">
            <x v="101"/>
          </reference>
          <reference field="8">
            <x v="1"/>
          </reference>
        </references>
      </pivotArea>
    </format>
    <format action="formatting" dxfId="145">
      <pivotArea type="normal" dataOnly="0" labelOnly="1" outline="0" fieldPosition="0">
        <references count="3">
          <reference field="5" selected="0">
            <x v="149"/>
          </reference>
          <reference field="6" selected="0">
            <x v="123"/>
          </reference>
          <reference field="8">
            <x v="1"/>
          </reference>
        </references>
      </pivotArea>
    </format>
    <format action="formatting" dxfId="144">
      <pivotArea type="normal" dataOnly="0" labelOnly="1" outline="0" fieldPosition="0">
        <references count="3">
          <reference field="5" selected="0">
            <x v="150"/>
          </reference>
          <reference field="6" selected="0">
            <x v="124"/>
          </reference>
          <reference field="8">
            <x v="1"/>
          </reference>
        </references>
      </pivotArea>
    </format>
    <format action="formatting" dxfId="143">
      <pivotArea type="normal" dataOnly="0" labelOnly="1" outline="0" fieldPosition="0">
        <references count="3">
          <reference field="5" selected="0">
            <x v="151"/>
          </reference>
          <reference field="6" selected="0">
            <x v="102"/>
          </reference>
          <reference field="8">
            <x v="1"/>
          </reference>
        </references>
      </pivotArea>
    </format>
    <format action="formatting" dxfId="142">
      <pivotArea type="normal" dataOnly="0" labelOnly="1" outline="0" fieldPosition="0">
        <references count="3">
          <reference field="5" selected="0">
            <x v="152"/>
          </reference>
          <reference field="6" selected="0">
            <x v="161"/>
          </reference>
          <reference field="8">
            <x v="1"/>
          </reference>
        </references>
      </pivotArea>
    </format>
    <format action="formatting" dxfId="141">
      <pivotArea type="normal" dataOnly="0" labelOnly="1" outline="0" fieldPosition="0">
        <references count="3">
          <reference field="5" selected="0">
            <x v="153"/>
          </reference>
          <reference field="6" selected="0">
            <x v="162"/>
          </reference>
          <reference field="8">
            <x v="1"/>
          </reference>
        </references>
      </pivotArea>
    </format>
    <format action="formatting" dxfId="140">
      <pivotArea type="normal" dataOnly="0" labelOnly="1" outline="0" fieldPosition="0">
        <references count="3">
          <reference field="5" selected="0">
            <x v="154"/>
          </reference>
          <reference field="6" selected="0">
            <x v="119"/>
          </reference>
          <reference field="8">
            <x v="1"/>
          </reference>
        </references>
      </pivotArea>
    </format>
    <format action="formatting" dxfId="139">
      <pivotArea type="normal" dataOnly="0" labelOnly="1" outline="0" fieldPosition="0">
        <references count="3">
          <reference field="5" selected="0">
            <x v="155"/>
          </reference>
          <reference field="6" selected="0">
            <x v="128"/>
          </reference>
          <reference field="8">
            <x v="1"/>
          </reference>
        </references>
      </pivotArea>
    </format>
    <format action="formatting" dxfId="138">
      <pivotArea type="normal" dataOnly="0" labelOnly="1" outline="0" fieldPosition="0">
        <references count="3">
          <reference field="5" selected="0">
            <x v="156"/>
          </reference>
          <reference field="6" selected="0">
            <x v="120"/>
          </reference>
          <reference field="8">
            <x v="1"/>
          </reference>
        </references>
      </pivotArea>
    </format>
    <format action="formatting" dxfId="137">
      <pivotArea type="normal" dataOnly="0" labelOnly="1" outline="0" fieldPosition="0">
        <references count="3">
          <reference field="5" selected="0">
            <x v="157"/>
          </reference>
          <reference field="6" selected="0">
            <x v="17"/>
          </reference>
          <reference field="8">
            <x v="2"/>
          </reference>
        </references>
      </pivotArea>
    </format>
    <format action="formatting" dxfId="136">
      <pivotArea type="normal" dataOnly="0" labelOnly="1" outline="0" fieldPosition="0">
        <references count="3">
          <reference field="5" selected="0">
            <x v="158"/>
          </reference>
          <reference field="6" selected="0">
            <x v="34"/>
          </reference>
          <reference field="8">
            <x v="2"/>
          </reference>
        </references>
      </pivotArea>
    </format>
    <format action="formatting" dxfId="135">
      <pivotArea type="normal" dataOnly="0" labelOnly="1" outline="0" fieldPosition="0">
        <references count="3">
          <reference field="5" selected="0">
            <x v="159"/>
          </reference>
          <reference field="6" selected="0">
            <x v="35"/>
          </reference>
          <reference field="8">
            <x v="2"/>
          </reference>
        </references>
      </pivotArea>
    </format>
    <format action="formatting" dxfId="134">
      <pivotArea type="normal" dataOnly="0" labelOnly="1" outline="0" fieldPosition="0">
        <references count="3">
          <reference field="5" selected="0">
            <x v="160"/>
          </reference>
          <reference field="6" selected="0">
            <x v="59"/>
          </reference>
          <reference field="8">
            <x v="0"/>
          </reference>
        </references>
      </pivotArea>
    </format>
    <format action="formatting" dxfId="133">
      <pivotArea type="normal" dataOnly="0" labelOnly="1" outline="0" fieldPosition="0">
        <references count="3">
          <reference field="5" selected="0">
            <x v="161"/>
          </reference>
          <reference field="6" selected="0">
            <x v="74"/>
          </reference>
          <reference field="8">
            <x v="0"/>
          </reference>
        </references>
      </pivotArea>
    </format>
    <format action="formatting" dxfId="132">
      <pivotArea type="normal" dataOnly="0" labelOnly="1" outline="0" fieldPosition="0">
        <references count="3">
          <reference field="5" selected="0">
            <x v="162"/>
          </reference>
          <reference field="6" selected="0">
            <x v="75"/>
          </reference>
          <reference field="8">
            <x v="0"/>
          </reference>
        </references>
      </pivotArea>
    </format>
    <format action="formatting" dxfId="131">
      <pivotArea type="normal" dataOnly="0" labelOnly="1" outline="0" fieldPosition="0">
        <references count="3">
          <reference field="5" selected="0">
            <x v="163"/>
          </reference>
          <reference field="6" selected="0">
            <x v="73"/>
          </reference>
          <reference field="8">
            <x v="0"/>
          </reference>
        </references>
      </pivotArea>
    </format>
    <format action="formatting" dxfId="130">
      <pivotArea type="normal" dataOnly="0" labelOnly="1" outline="0" fieldPosition="0">
        <references count="3">
          <reference field="5" selected="0">
            <x v="164"/>
          </reference>
          <reference field="6" selected="0">
            <x v="167"/>
          </reference>
          <reference field="8">
            <x v="0"/>
          </reference>
        </references>
      </pivotArea>
    </format>
    <format action="formatting" dxfId="129">
      <pivotArea type="normal" dataOnly="0" labelOnly="1" outline="0" fieldPosition="0">
        <references count="3">
          <reference field="5" selected="0">
            <x v="165"/>
          </reference>
          <reference field="6" selected="0">
            <x v="118"/>
          </reference>
          <reference field="8">
            <x v="0"/>
          </reference>
        </references>
      </pivotArea>
    </format>
    <format action="formatting" dxfId="128">
      <pivotArea type="normal" dataOnly="0" labelOnly="1" outline="0" fieldPosition="0">
        <references count="3">
          <reference field="5" selected="0">
            <x v="166"/>
          </reference>
          <reference field="6" selected="0">
            <x v="71"/>
          </reference>
          <reference field="8">
            <x v="0"/>
          </reference>
        </references>
      </pivotArea>
    </format>
    <format action="formatting" dxfId="127">
      <pivotArea type="normal" dataOnly="0" labelOnly="1" outline="0" fieldPosition="0">
        <references count="3">
          <reference field="5" selected="0">
            <x v="167"/>
          </reference>
          <reference field="6" selected="0">
            <x v="69"/>
          </reference>
          <reference field="8">
            <x v="0"/>
          </reference>
        </references>
      </pivotArea>
    </format>
    <format action="formatting" dxfId="126">
      <pivotArea type="normal" dataOnly="0" labelOnly="1" outline="0" fieldPosition="0">
        <references count="3">
          <reference field="5" selected="0">
            <x v="168"/>
          </reference>
          <reference field="6" selected="0">
            <x v="66"/>
          </reference>
          <reference field="8">
            <x v="1"/>
          </reference>
        </references>
      </pivotArea>
    </format>
    <format action="formatting" dxfId="125">
      <pivotArea type="normal" dataOnly="0" labelOnly="1" outline="0" fieldPosition="0">
        <references count="1">
          <reference field="1">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action="formatting" dxfId="124">
      <pivotArea type="normal" dataOnly="0" labelOnly="1" outline="0" fieldPosition="0">
        <references count="1">
          <reference field="1">
            <x v="50"/>
            <x v="51"/>
            <x v="52"/>
            <x v="53"/>
            <x v="54"/>
            <x v="55"/>
            <x v="56"/>
            <x v="57"/>
            <x v="58"/>
            <x v="59"/>
            <x v="60"/>
            <x v="61"/>
            <x v="62"/>
            <x v="63"/>
            <x v="64"/>
            <x v="65"/>
            <x v="66"/>
            <x v="67"/>
            <x v="68"/>
            <x v="69"/>
            <x v="70"/>
            <x v="71"/>
            <x v="72"/>
            <x v="73"/>
            <x v="74"/>
            <x v="75"/>
            <x v="76"/>
            <x v="77"/>
            <x v="78"/>
            <x v="79"/>
          </reference>
        </references>
      </pivotArea>
    </format>
    <format action="formatting" dxfId="123">
      <pivotArea type="normal" dataOnly="0" labelOnly="1" grandCol="1" outline="0" fieldPosition="0"/>
    </format>
    <format action="formatting" dxfId="122">
      <pivotArea type="normal" dataOnly="0" labelOnly="1" outline="0" fieldPosition="0">
        <references count="2">
          <reference field="1" selected="0">
            <x v="0"/>
          </reference>
          <reference field="2">
            <x v="4"/>
          </reference>
        </references>
      </pivotArea>
    </format>
    <format action="formatting" dxfId="121">
      <pivotArea type="normal" dataOnly="0" labelOnly="1" outline="0" fieldPosition="0">
        <references count="2">
          <reference field="1" selected="0">
            <x v="1"/>
          </reference>
          <reference field="2">
            <x v="2"/>
          </reference>
        </references>
      </pivotArea>
    </format>
    <format action="formatting" dxfId="120">
      <pivotArea type="normal" dataOnly="0" labelOnly="1" outline="0" fieldPosition="0">
        <references count="2">
          <reference field="1" selected="0">
            <x v="2"/>
          </reference>
          <reference field="2">
            <x v="4"/>
          </reference>
        </references>
      </pivotArea>
    </format>
    <format action="formatting" dxfId="119">
      <pivotArea type="normal" dataOnly="0" labelOnly="1" outline="0" fieldPosition="0">
        <references count="2">
          <reference field="1" selected="0">
            <x v="7"/>
          </reference>
          <reference field="2">
            <x v="3"/>
          </reference>
        </references>
      </pivotArea>
    </format>
    <format action="formatting" dxfId="118">
      <pivotArea type="normal" dataOnly="0" labelOnly="1" outline="0" fieldPosition="0">
        <references count="2">
          <reference field="1" selected="0">
            <x v="37"/>
          </reference>
          <reference field="2">
            <x v="4"/>
          </reference>
        </references>
      </pivotArea>
    </format>
    <format action="formatting" dxfId="117">
      <pivotArea type="normal" dataOnly="0" labelOnly="1" outline="0" fieldPosition="0">
        <references count="2">
          <reference field="1" selected="0">
            <x v="38"/>
          </reference>
          <reference field="2">
            <x v="3"/>
          </reference>
        </references>
      </pivotArea>
    </format>
    <format action="formatting" dxfId="116">
      <pivotArea type="normal" dataOnly="0" labelOnly="1" outline="0" fieldPosition="0">
        <references count="2">
          <reference field="1" selected="0">
            <x v="48"/>
          </reference>
          <reference field="2">
            <x v="4"/>
          </reference>
        </references>
      </pivotArea>
    </format>
    <format action="formatting" dxfId="115">
      <pivotArea type="normal" dataOnly="0" labelOnly="1" outline="0" fieldPosition="0">
        <references count="2">
          <reference field="1" selected="0">
            <x v="49"/>
          </reference>
          <reference field="2">
            <x v="3"/>
          </reference>
        </references>
      </pivotArea>
    </format>
    <format action="formatting" dxfId="114">
      <pivotArea type="normal" dataOnly="0" labelOnly="1" outline="0" fieldPosition="0">
        <references count="2">
          <reference field="1" selected="0">
            <x v="51"/>
          </reference>
          <reference field="2">
            <x v="6"/>
          </reference>
        </references>
      </pivotArea>
    </format>
    <format action="formatting" dxfId="113">
      <pivotArea type="normal" dataOnly="0" labelOnly="1" outline="0" fieldPosition="0">
        <references count="2">
          <reference field="1" selected="0">
            <x v="52"/>
          </reference>
          <reference field="2">
            <x v="3"/>
          </reference>
        </references>
      </pivotArea>
    </format>
    <format action="formatting" dxfId="112">
      <pivotArea type="normal" dataOnly="0" labelOnly="1" outline="0" fieldPosition="0">
        <references count="2">
          <reference field="1" selected="0">
            <x v="56"/>
          </reference>
          <reference field="2">
            <x v="8"/>
          </reference>
        </references>
      </pivotArea>
    </format>
    <format action="formatting" dxfId="111">
      <pivotArea type="normal" dataOnly="0" labelOnly="1" outline="0" fieldPosition="0">
        <references count="2">
          <reference field="1" selected="0">
            <x v="57"/>
          </reference>
          <reference field="2">
            <x v="2"/>
          </reference>
        </references>
      </pivotArea>
    </format>
    <format action="formatting" dxfId="110">
      <pivotArea type="normal" dataOnly="0" labelOnly="1" outline="0" fieldPosition="0">
        <references count="2">
          <reference field="1" selected="0">
            <x v="58"/>
          </reference>
          <reference field="2">
            <x v="6"/>
          </reference>
        </references>
      </pivotArea>
    </format>
    <format action="formatting" dxfId="109">
      <pivotArea type="normal" dataOnly="0" labelOnly="1" outline="0" fieldPosition="0">
        <references count="2">
          <reference field="1" selected="0">
            <x v="59"/>
          </reference>
          <reference field="2">
            <x v="8"/>
          </reference>
        </references>
      </pivotArea>
    </format>
    <format action="formatting" dxfId="108">
      <pivotArea type="normal" dataOnly="0" labelOnly="1" outline="0" fieldPosition="0">
        <references count="2">
          <reference field="1" selected="0">
            <x v="60"/>
          </reference>
          <reference field="2">
            <x v="6"/>
          </reference>
        </references>
      </pivotArea>
    </format>
    <format action="formatting" dxfId="107">
      <pivotArea type="normal" dataOnly="0" labelOnly="1" outline="0" fieldPosition="0">
        <references count="2">
          <reference field="1" selected="0">
            <x v="61"/>
          </reference>
          <reference field="2">
            <x v="8"/>
          </reference>
        </references>
      </pivotArea>
    </format>
    <format action="formatting" dxfId="106">
      <pivotArea type="normal" dataOnly="0" labelOnly="1" outline="0" fieldPosition="0">
        <references count="2">
          <reference field="1" selected="0">
            <x v="62"/>
          </reference>
          <reference field="2">
            <x v="2"/>
          </reference>
        </references>
      </pivotArea>
    </format>
    <format action="formatting" dxfId="105">
      <pivotArea type="normal" dataOnly="0" labelOnly="1" outline="0" fieldPosition="0">
        <references count="2">
          <reference field="1" selected="0">
            <x v="63"/>
          </reference>
          <reference field="2">
            <x v="6"/>
          </reference>
        </references>
      </pivotArea>
    </format>
    <format action="formatting" dxfId="104">
      <pivotArea type="normal" dataOnly="0" labelOnly="1" outline="0" fieldPosition="0">
        <references count="2">
          <reference field="1" selected="0">
            <x v="66"/>
          </reference>
          <reference field="2">
            <x v="8"/>
          </reference>
        </references>
      </pivotArea>
    </format>
    <format action="formatting" dxfId="103">
      <pivotArea type="normal" dataOnly="0" labelOnly="1" outline="0" fieldPosition="0">
        <references count="2">
          <reference field="1" selected="0">
            <x v="68"/>
          </reference>
          <reference field="2">
            <x v="2"/>
          </reference>
        </references>
      </pivotArea>
    </format>
    <format action="formatting" dxfId="102">
      <pivotArea type="normal" dataOnly="0" labelOnly="1" outline="0" fieldPosition="0">
        <references count="2">
          <reference field="1" selected="0">
            <x v="69"/>
          </reference>
          <reference field="2">
            <x v="6"/>
          </reference>
        </references>
      </pivotArea>
    </format>
    <format action="formatting" dxfId="101">
      <pivotArea type="normal" dataOnly="0" labelOnly="1" outline="0" fieldPosition="0">
        <references count="2">
          <reference field="1" selected="0">
            <x v="70"/>
          </reference>
          <reference field="2">
            <x v="4"/>
          </reference>
        </references>
      </pivotArea>
    </format>
    <format action="formatting" dxfId="100">
      <pivotArea type="normal" dataOnly="0" labelOnly="1" outline="0" fieldPosition="0">
        <references count="2">
          <reference field="1" selected="0">
            <x v="73"/>
          </reference>
          <reference field="2">
            <x v="3"/>
          </reference>
        </references>
      </pivotArea>
    </format>
    <format action="formatting" dxfId="99">
      <pivotArea type="normal" dataOnly="0" labelOnly="1" outline="0" fieldPosition="0">
        <references count="2">
          <reference field="1" selected="0">
            <x v="74"/>
          </reference>
          <reference field="2">
            <x v="5"/>
          </reference>
        </references>
      </pivotArea>
    </format>
    <format action="formatting" dxfId="98">
      <pivotArea type="normal" dataOnly="0" labelOnly="1" outline="0" fieldPosition="0">
        <references count="2">
          <reference field="1" selected="0">
            <x v="75"/>
          </reference>
          <reference field="2">
            <x v="0"/>
          </reference>
        </references>
      </pivotArea>
    </format>
    <format action="formatting" dxfId="97">
      <pivotArea type="normal" dataOnly="0" labelOnly="1" outline="0" fieldPosition="0">
        <references count="2">
          <reference field="1" selected="0">
            <x v="76"/>
          </reference>
          <reference field="2">
            <x v="8"/>
          </reference>
        </references>
      </pivotArea>
    </format>
    <format action="formatting" dxfId="96">
      <pivotArea type="normal" dataOnly="0" labelOnly="1" outline="0" fieldPosition="0">
        <references count="2">
          <reference field="1" selected="0">
            <x v="77"/>
          </reference>
          <reference field="2">
            <x v="1"/>
          </reference>
        </references>
      </pivotArea>
    </format>
    <format action="formatting" dxfId="95">
      <pivotArea type="normal" dataOnly="0" labelOnly="1" outline="0" fieldPosition="0">
        <references count="2">
          <reference field="1" selected="0">
            <x v="78"/>
          </reference>
          <reference field="2">
            <x v="7"/>
          </reference>
        </references>
      </pivotArea>
    </format>
    <format action="formatting" dxfId="94">
      <pivotArea type="normal" dataOnly="0" labelOnly="1" outline="0" fieldPosition="0">
        <references count="2">
          <reference field="1" selected="0">
            <x v="79"/>
          </reference>
          <reference field="2">
            <x v="1"/>
          </reference>
        </references>
      </pivotArea>
    </format>
    <format action="formatting" dxfId="93">
      <pivotArea type="normal" dataOnly="0" labelOnly="1" outline="0" fieldPosition="0">
        <references count="3">
          <reference field="1" selected="0">
            <x v="0"/>
          </reference>
          <reference field="2" selected="0">
            <x v="4"/>
          </reference>
          <reference field="3">
            <x v="57"/>
          </reference>
        </references>
      </pivotArea>
    </format>
    <format action="formatting" dxfId="92">
      <pivotArea type="normal" dataOnly="0" labelOnly="1" outline="0" fieldPosition="0">
        <references count="3">
          <reference field="1" selected="0">
            <x v="1"/>
          </reference>
          <reference field="2" selected="0">
            <x v="2"/>
          </reference>
          <reference field="3">
            <x v="1"/>
          </reference>
        </references>
      </pivotArea>
    </format>
    <format action="formatting" dxfId="91">
      <pivotArea type="normal" dataOnly="0" labelOnly="1" outline="0" fieldPosition="0">
        <references count="3">
          <reference field="1" selected="0">
            <x v="2"/>
          </reference>
          <reference field="2" selected="0">
            <x v="4"/>
          </reference>
          <reference field="3">
            <x v="52"/>
          </reference>
        </references>
      </pivotArea>
    </format>
    <format action="formatting" dxfId="90">
      <pivotArea type="normal" dataOnly="0" labelOnly="1" outline="0" fieldPosition="0">
        <references count="3">
          <reference field="1" selected="0">
            <x v="3"/>
          </reference>
          <reference field="2" selected="0">
            <x v="4"/>
          </reference>
          <reference field="3">
            <x v="67"/>
          </reference>
        </references>
      </pivotArea>
    </format>
    <format action="formatting" dxfId="89">
      <pivotArea type="normal" dataOnly="0" labelOnly="1" outline="0" fieldPosition="0">
        <references count="3">
          <reference field="1" selected="0">
            <x v="4"/>
          </reference>
          <reference field="2" selected="0">
            <x v="4"/>
          </reference>
          <reference field="3">
            <x v="53"/>
          </reference>
        </references>
      </pivotArea>
    </format>
    <format action="formatting" dxfId="88">
      <pivotArea type="normal" dataOnly="0" labelOnly="1" outline="0" fieldPosition="0">
        <references count="3">
          <reference field="1" selected="0">
            <x v="5"/>
          </reference>
          <reference field="2" selected="0">
            <x v="4"/>
          </reference>
          <reference field="3">
            <x v="2"/>
          </reference>
        </references>
      </pivotArea>
    </format>
    <format action="formatting" dxfId="87">
      <pivotArea type="normal" dataOnly="0" labelOnly="1" outline="0" fieldPosition="0">
        <references count="3">
          <reference field="1" selected="0">
            <x v="6"/>
          </reference>
          <reference field="2" selected="0">
            <x v="4"/>
          </reference>
          <reference field="3">
            <x v="3"/>
          </reference>
        </references>
      </pivotArea>
    </format>
    <format action="formatting" dxfId="86">
      <pivotArea type="normal" dataOnly="0" labelOnly="1" outline="0" fieldPosition="0">
        <references count="3">
          <reference field="1" selected="0">
            <x v="7"/>
          </reference>
          <reference field="2" selected="0">
            <x v="3"/>
          </reference>
          <reference field="3">
            <x v="5"/>
          </reference>
        </references>
      </pivotArea>
    </format>
    <format action="formatting" dxfId="85">
      <pivotArea type="normal" dataOnly="0" labelOnly="1" outline="0" fieldPosition="0">
        <references count="3">
          <reference field="1" selected="0">
            <x v="8"/>
          </reference>
          <reference field="2" selected="0">
            <x v="3"/>
          </reference>
          <reference field="3">
            <x v="14"/>
          </reference>
        </references>
      </pivotArea>
    </format>
    <format action="formatting" dxfId="84">
      <pivotArea type="normal" dataOnly="0" labelOnly="1" outline="0" fieldPosition="0">
        <references count="3">
          <reference field="1" selected="0">
            <x v="9"/>
          </reference>
          <reference field="2" selected="0">
            <x v="3"/>
          </reference>
          <reference field="3">
            <x v="26"/>
          </reference>
        </references>
      </pivotArea>
    </format>
    <format action="formatting" dxfId="83">
      <pivotArea type="normal" dataOnly="0" labelOnly="1" outline="0" fieldPosition="0">
        <references count="3">
          <reference field="1" selected="0">
            <x v="10"/>
          </reference>
          <reference field="2" selected="0">
            <x v="3"/>
          </reference>
          <reference field="3">
            <x v="42"/>
          </reference>
        </references>
      </pivotArea>
    </format>
    <format action="formatting" dxfId="82">
      <pivotArea type="normal" dataOnly="0" labelOnly="1" outline="0" fieldPosition="0">
        <references count="3">
          <reference field="1" selected="0">
            <x v="11"/>
          </reference>
          <reference field="2" selected="0">
            <x v="3"/>
          </reference>
          <reference field="3">
            <x v="21"/>
          </reference>
        </references>
      </pivotArea>
    </format>
    <format action="formatting" dxfId="81">
      <pivotArea type="normal" dataOnly="0" labelOnly="1" outline="0" fieldPosition="0">
        <references count="3">
          <reference field="1" selected="0">
            <x v="12"/>
          </reference>
          <reference field="2" selected="0">
            <x v="3"/>
          </reference>
          <reference field="3">
            <x v="40"/>
          </reference>
        </references>
      </pivotArea>
    </format>
    <format action="formatting" dxfId="80">
      <pivotArea type="normal" dataOnly="0" labelOnly="1" outline="0" fieldPosition="0">
        <references count="3">
          <reference field="1" selected="0">
            <x v="13"/>
          </reference>
          <reference field="2" selected="0">
            <x v="3"/>
          </reference>
          <reference field="3">
            <x v="18"/>
          </reference>
        </references>
      </pivotArea>
    </format>
    <format action="formatting" dxfId="79">
      <pivotArea type="normal" dataOnly="0" labelOnly="1" outline="0" fieldPosition="0">
        <references count="3">
          <reference field="1" selected="0">
            <x v="14"/>
          </reference>
          <reference field="2" selected="0">
            <x v="3"/>
          </reference>
          <reference field="3">
            <x v="49"/>
          </reference>
        </references>
      </pivotArea>
    </format>
    <format action="formatting" dxfId="78">
      <pivotArea type="normal" dataOnly="0" labelOnly="1" outline="0" fieldPosition="0">
        <references count="3">
          <reference field="1" selected="0">
            <x v="15"/>
          </reference>
          <reference field="2" selected="0">
            <x v="3"/>
          </reference>
          <reference field="3">
            <x v="37"/>
          </reference>
        </references>
      </pivotArea>
    </format>
    <format action="formatting" dxfId="77">
      <pivotArea type="normal" dataOnly="0" labelOnly="1" outline="0" fieldPosition="0">
        <references count="3">
          <reference field="1" selected="0">
            <x v="16"/>
          </reference>
          <reference field="2" selected="0">
            <x v="3"/>
          </reference>
          <reference field="3">
            <x v="15"/>
          </reference>
        </references>
      </pivotArea>
    </format>
    <format action="formatting" dxfId="76">
      <pivotArea type="normal" dataOnly="0" labelOnly="1" outline="0" fieldPosition="0">
        <references count="3">
          <reference field="1" selected="0">
            <x v="17"/>
          </reference>
          <reference field="2" selected="0">
            <x v="3"/>
          </reference>
          <reference field="3">
            <x v="9"/>
          </reference>
        </references>
      </pivotArea>
    </format>
    <format action="formatting" dxfId="75">
      <pivotArea type="normal" dataOnly="0" labelOnly="1" outline="0" fieldPosition="0">
        <references count="3">
          <reference field="1" selected="0">
            <x v="18"/>
          </reference>
          <reference field="2" selected="0">
            <x v="3"/>
          </reference>
          <reference field="3">
            <x v="7"/>
          </reference>
        </references>
      </pivotArea>
    </format>
    <format action="formatting" dxfId="74">
      <pivotArea type="normal" dataOnly="0" labelOnly="1" outline="0" fieldPosition="0">
        <references count="3">
          <reference field="1" selected="0">
            <x v="19"/>
          </reference>
          <reference field="2" selected="0">
            <x v="3"/>
          </reference>
          <reference field="3">
            <x v="27"/>
          </reference>
        </references>
      </pivotArea>
    </format>
    <format action="formatting" dxfId="73">
      <pivotArea type="normal" dataOnly="0" labelOnly="1" outline="0" fieldPosition="0">
        <references count="3">
          <reference field="1" selected="0">
            <x v="20"/>
          </reference>
          <reference field="2" selected="0">
            <x v="3"/>
          </reference>
          <reference field="3">
            <x v="30"/>
          </reference>
        </references>
      </pivotArea>
    </format>
    <format action="formatting" dxfId="72">
      <pivotArea type="normal" dataOnly="0" labelOnly="1" outline="0" fieldPosition="0">
        <references count="3">
          <reference field="1" selected="0">
            <x v="21"/>
          </reference>
          <reference field="2" selected="0">
            <x v="3"/>
          </reference>
          <reference field="3">
            <x v="33"/>
          </reference>
        </references>
      </pivotArea>
    </format>
    <format action="formatting" dxfId="71">
      <pivotArea type="normal" dataOnly="0" labelOnly="1" outline="0" fieldPosition="0">
        <references count="3">
          <reference field="1" selected="0">
            <x v="22"/>
          </reference>
          <reference field="2" selected="0">
            <x v="3"/>
          </reference>
          <reference field="3">
            <x v="43"/>
          </reference>
        </references>
      </pivotArea>
    </format>
    <format action="formatting" dxfId="70">
      <pivotArea type="normal" dataOnly="0" labelOnly="1" outline="0" fieldPosition="0">
        <references count="3">
          <reference field="1" selected="0">
            <x v="23"/>
          </reference>
          <reference field="2" selected="0">
            <x v="3"/>
          </reference>
          <reference field="3">
            <x v="50"/>
          </reference>
        </references>
      </pivotArea>
    </format>
    <format action="formatting" dxfId="69">
      <pivotArea type="normal" dataOnly="0" labelOnly="1" outline="0" fieldPosition="0">
        <references count="3">
          <reference field="1" selected="0">
            <x v="24"/>
          </reference>
          <reference field="2" selected="0">
            <x v="3"/>
          </reference>
          <reference field="3">
            <x v="35"/>
          </reference>
        </references>
      </pivotArea>
    </format>
    <format action="formatting" dxfId="68">
      <pivotArea type="normal" dataOnly="0" labelOnly="1" outline="0" fieldPosition="0">
        <references count="3">
          <reference field="1" selected="0">
            <x v="25"/>
          </reference>
          <reference field="2" selected="0">
            <x v="3"/>
          </reference>
          <reference field="3">
            <x v="13"/>
          </reference>
        </references>
      </pivotArea>
    </format>
    <format action="formatting" dxfId="67">
      <pivotArea type="normal" dataOnly="0" labelOnly="1" outline="0" fieldPosition="0">
        <references count="3">
          <reference field="1" selected="0">
            <x v="26"/>
          </reference>
          <reference field="2" selected="0">
            <x v="3"/>
          </reference>
          <reference field="3">
            <x v="19"/>
          </reference>
        </references>
      </pivotArea>
    </format>
    <format action="formatting" dxfId="66">
      <pivotArea type="normal" dataOnly="0" labelOnly="1" outline="0" fieldPosition="0">
        <references count="3">
          <reference field="1" selected="0">
            <x v="27"/>
          </reference>
          <reference field="2" selected="0">
            <x v="3"/>
          </reference>
          <reference field="3">
            <x v="6"/>
          </reference>
        </references>
      </pivotArea>
    </format>
    <format action="formatting" dxfId="65">
      <pivotArea type="normal" dataOnly="0" labelOnly="1" outline="0" fieldPosition="0">
        <references count="3">
          <reference field="1" selected="0">
            <x v="28"/>
          </reference>
          <reference field="2" selected="0">
            <x v="3"/>
          </reference>
          <reference field="3">
            <x v="45"/>
          </reference>
        </references>
      </pivotArea>
    </format>
    <format action="formatting" dxfId="64">
      <pivotArea type="normal" dataOnly="0" labelOnly="1" outline="0" fieldPosition="0">
        <references count="3">
          <reference field="1" selected="0">
            <x v="29"/>
          </reference>
          <reference field="2" selected="0">
            <x v="3"/>
          </reference>
          <reference field="3">
            <x v="24"/>
          </reference>
        </references>
      </pivotArea>
    </format>
    <format action="formatting" dxfId="63">
      <pivotArea type="normal" dataOnly="0" labelOnly="1" outline="0" fieldPosition="0">
        <references count="3">
          <reference field="1" selected="0">
            <x v="30"/>
          </reference>
          <reference field="2" selected="0">
            <x v="3"/>
          </reference>
          <reference field="3">
            <x v="22"/>
          </reference>
        </references>
      </pivotArea>
    </format>
    <format action="formatting" dxfId="62">
      <pivotArea type="normal" dataOnly="0" labelOnly="1" outline="0" fieldPosition="0">
        <references count="3">
          <reference field="1" selected="0">
            <x v="31"/>
          </reference>
          <reference field="2" selected="0">
            <x v="3"/>
          </reference>
          <reference field="3">
            <x v="46"/>
          </reference>
        </references>
      </pivotArea>
    </format>
    <format action="formatting" dxfId="61">
      <pivotArea type="normal" dataOnly="0" labelOnly="1" outline="0" fieldPosition="0">
        <references count="3">
          <reference field="1" selected="0">
            <x v="32"/>
          </reference>
          <reference field="2" selected="0">
            <x v="3"/>
          </reference>
          <reference field="3">
            <x v="32"/>
          </reference>
        </references>
      </pivotArea>
    </format>
    <format action="formatting" dxfId="60">
      <pivotArea type="normal" dataOnly="0" labelOnly="1" outline="0" fieldPosition="0">
        <references count="3">
          <reference field="1" selected="0">
            <x v="33"/>
          </reference>
          <reference field="2" selected="0">
            <x v="3"/>
          </reference>
          <reference field="3">
            <x v="12"/>
          </reference>
        </references>
      </pivotArea>
    </format>
    <format action="formatting" dxfId="59">
      <pivotArea type="normal" dataOnly="0" labelOnly="1" outline="0" fieldPosition="0">
        <references count="3">
          <reference field="1" selected="0">
            <x v="34"/>
          </reference>
          <reference field="2" selected="0">
            <x v="3"/>
          </reference>
          <reference field="3">
            <x v="20"/>
          </reference>
        </references>
      </pivotArea>
    </format>
    <format action="formatting" dxfId="58">
      <pivotArea type="normal" dataOnly="0" labelOnly="1" outline="0" fieldPosition="0">
        <references count="3">
          <reference field="1" selected="0">
            <x v="35"/>
          </reference>
          <reference field="2" selected="0">
            <x v="3"/>
          </reference>
          <reference field="3">
            <x v="48"/>
          </reference>
        </references>
      </pivotArea>
    </format>
    <format action="formatting" dxfId="57">
      <pivotArea type="normal" dataOnly="0" labelOnly="1" outline="0" fieldPosition="0">
        <references count="3">
          <reference field="1" selected="0">
            <x v="36"/>
          </reference>
          <reference field="2" selected="0">
            <x v="3"/>
          </reference>
          <reference field="3">
            <x v="47"/>
          </reference>
        </references>
      </pivotArea>
    </format>
    <format action="formatting" dxfId="56">
      <pivotArea type="normal" dataOnly="0" labelOnly="1" outline="0" fieldPosition="0">
        <references count="3">
          <reference field="1" selected="0">
            <x v="37"/>
          </reference>
          <reference field="2" selected="0">
            <x v="4"/>
          </reference>
          <reference field="3">
            <x v="58"/>
          </reference>
        </references>
      </pivotArea>
    </format>
    <format action="formatting" dxfId="55">
      <pivotArea type="normal" dataOnly="0" labelOnly="1" outline="0" fieldPosition="0">
        <references count="3">
          <reference field="1" selected="0">
            <x v="38"/>
          </reference>
          <reference field="2" selected="0">
            <x v="3"/>
          </reference>
          <reference field="3">
            <x v="39"/>
          </reference>
        </references>
      </pivotArea>
    </format>
    <format action="formatting" dxfId="54">
      <pivotArea type="normal" dataOnly="0" labelOnly="1" outline="0" fieldPosition="0">
        <references count="3">
          <reference field="1" selected="0">
            <x v="39"/>
          </reference>
          <reference field="2" selected="0">
            <x v="3"/>
          </reference>
          <reference field="3">
            <x v="31"/>
          </reference>
        </references>
      </pivotArea>
    </format>
    <format action="formatting" dxfId="53">
      <pivotArea type="normal" dataOnly="0" labelOnly="1" outline="0" fieldPosition="0">
        <references count="3">
          <reference field="1" selected="0">
            <x v="40"/>
          </reference>
          <reference field="2" selected="0">
            <x v="3"/>
          </reference>
          <reference field="3">
            <x v="23"/>
          </reference>
        </references>
      </pivotArea>
    </format>
    <format action="formatting" dxfId="52">
      <pivotArea type="normal" dataOnly="0" labelOnly="1" outline="0" fieldPosition="0">
        <references count="3">
          <reference field="1" selected="0">
            <x v="41"/>
          </reference>
          <reference field="2" selected="0">
            <x v="3"/>
          </reference>
          <reference field="3">
            <x v="51"/>
          </reference>
        </references>
      </pivotArea>
    </format>
    <format action="formatting" dxfId="51">
      <pivotArea type="normal" dataOnly="0" labelOnly="1" outline="0" fieldPosition="0">
        <references count="3">
          <reference field="1" selected="0">
            <x v="42"/>
          </reference>
          <reference field="2" selected="0">
            <x v="3"/>
          </reference>
          <reference field="3">
            <x v="44"/>
          </reference>
        </references>
      </pivotArea>
    </format>
    <format action="formatting" dxfId="50">
      <pivotArea type="normal" dataOnly="0" labelOnly="1" outline="0" fieldPosition="0">
        <references count="3">
          <reference field="1" selected="0">
            <x v="43"/>
          </reference>
          <reference field="2" selected="0">
            <x v="3"/>
          </reference>
          <reference field="3">
            <x v="16"/>
          </reference>
        </references>
      </pivotArea>
    </format>
    <format action="formatting" dxfId="49">
      <pivotArea type="normal" dataOnly="0" labelOnly="1" outline="0" fieldPosition="0">
        <references count="3">
          <reference field="1" selected="0">
            <x v="44"/>
          </reference>
          <reference field="2" selected="0">
            <x v="3"/>
          </reference>
          <reference field="3">
            <x v="28"/>
          </reference>
        </references>
      </pivotArea>
    </format>
    <format action="formatting" dxfId="48">
      <pivotArea type="normal" dataOnly="0" labelOnly="1" outline="0" fieldPosition="0">
        <references count="3">
          <reference field="1" selected="0">
            <x v="45"/>
          </reference>
          <reference field="2" selected="0">
            <x v="3"/>
          </reference>
          <reference field="3">
            <x v="34"/>
          </reference>
        </references>
      </pivotArea>
    </format>
    <format action="formatting" dxfId="47">
      <pivotArea type="normal" dataOnly="0" labelOnly="1" outline="0" fieldPosition="0">
        <references count="3">
          <reference field="1" selected="0">
            <x v="46"/>
          </reference>
          <reference field="2" selected="0">
            <x v="3"/>
          </reference>
          <reference field="3">
            <x v="36"/>
          </reference>
        </references>
      </pivotArea>
    </format>
    <format action="formatting" dxfId="46">
      <pivotArea type="normal" dataOnly="0" labelOnly="1" outline="0" fieldPosition="0">
        <references count="3">
          <reference field="1" selected="0">
            <x v="47"/>
          </reference>
          <reference field="2" selected="0">
            <x v="3"/>
          </reference>
          <reference field="3">
            <x v="10"/>
          </reference>
        </references>
      </pivotArea>
    </format>
    <format action="formatting" dxfId="45">
      <pivotArea type="normal" dataOnly="0" labelOnly="1" outline="0" fieldPosition="0">
        <references count="3">
          <reference field="1" selected="0">
            <x v="48"/>
          </reference>
          <reference field="2" selected="0">
            <x v="4"/>
          </reference>
          <reference field="3">
            <x v="59"/>
          </reference>
        </references>
      </pivotArea>
    </format>
    <format action="formatting" dxfId="44">
      <pivotArea type="normal" dataOnly="0" labelOnly="1" outline="0" fieldPosition="0">
        <references count="3">
          <reference field="1" selected="0">
            <x v="49"/>
          </reference>
          <reference field="2" selected="0">
            <x v="3"/>
          </reference>
          <reference field="3">
            <x v="29"/>
          </reference>
        </references>
      </pivotArea>
    </format>
    <format action="formatting" dxfId="43">
      <pivotArea type="normal" dataOnly="0" labelOnly="1" outline="0" fieldPosition="0">
        <references count="3">
          <reference field="1" selected="0">
            <x v="50"/>
          </reference>
          <reference field="2" selected="0">
            <x v="3"/>
          </reference>
          <reference field="3">
            <x v="38"/>
          </reference>
        </references>
      </pivotArea>
    </format>
    <format action="formatting" dxfId="42">
      <pivotArea type="normal" dataOnly="0" labelOnly="1" outline="0" fieldPosition="0">
        <references count="3">
          <reference field="1" selected="0">
            <x v="51"/>
          </reference>
          <reference field="2" selected="0">
            <x v="6"/>
          </reference>
          <reference field="3">
            <x v="72"/>
          </reference>
        </references>
      </pivotArea>
    </format>
    <format action="formatting" dxfId="41">
      <pivotArea type="normal" dataOnly="0" labelOnly="1" outline="0" fieldPosition="0">
        <references count="3">
          <reference field="1" selected="0">
            <x v="52"/>
          </reference>
          <reference field="2" selected="0">
            <x v="3"/>
          </reference>
          <reference field="3">
            <x v="17"/>
          </reference>
        </references>
      </pivotArea>
    </format>
    <format action="formatting" dxfId="40">
      <pivotArea type="normal" dataOnly="0" labelOnly="1" outline="0" fieldPosition="0">
        <references count="3">
          <reference field="1" selected="0">
            <x v="53"/>
          </reference>
          <reference field="2" selected="0">
            <x v="3"/>
          </reference>
          <reference field="3">
            <x v="41"/>
          </reference>
        </references>
      </pivotArea>
    </format>
    <format action="formatting" dxfId="39">
      <pivotArea type="normal" dataOnly="0" labelOnly="1" outline="0" fieldPosition="0">
        <references count="3">
          <reference field="1" selected="0">
            <x v="54"/>
          </reference>
          <reference field="2" selected="0">
            <x v="3"/>
          </reference>
          <reference field="3">
            <x v="25"/>
          </reference>
        </references>
      </pivotArea>
    </format>
    <format action="formatting" dxfId="38">
      <pivotArea type="normal" dataOnly="0" labelOnly="1" outline="0" fieldPosition="0">
        <references count="3">
          <reference field="1" selected="0">
            <x v="55"/>
          </reference>
          <reference field="2" selected="0">
            <x v="3"/>
          </reference>
          <reference field="3">
            <x v="11"/>
          </reference>
        </references>
      </pivotArea>
    </format>
    <format action="formatting" dxfId="37">
      <pivotArea type="normal" dataOnly="0" labelOnly="1" outline="0" fieldPosition="0">
        <references count="3">
          <reference field="1" selected="0">
            <x v="56"/>
          </reference>
          <reference field="2" selected="0">
            <x v="8"/>
          </reference>
          <reference field="3">
            <x v="73"/>
          </reference>
        </references>
      </pivotArea>
    </format>
    <format action="formatting" dxfId="36">
      <pivotArea type="normal" dataOnly="0" labelOnly="1" outline="0" fieldPosition="0">
        <references count="3">
          <reference field="1" selected="0">
            <x v="57"/>
          </reference>
          <reference field="2" selected="0">
            <x v="2"/>
          </reference>
          <reference field="3">
            <x v="77"/>
          </reference>
        </references>
      </pivotArea>
    </format>
    <format action="formatting" dxfId="35">
      <pivotArea type="normal" dataOnly="0" labelOnly="1" outline="0" fieldPosition="0">
        <references count="3">
          <reference field="1" selected="0">
            <x v="58"/>
          </reference>
          <reference field="2" selected="0">
            <x v="6"/>
          </reference>
          <reference field="3">
            <x v="60"/>
          </reference>
        </references>
      </pivotArea>
    </format>
    <format action="formatting" dxfId="34">
      <pivotArea type="normal" dataOnly="0" labelOnly="1" outline="0" fieldPosition="0">
        <references count="3">
          <reference field="1" selected="0">
            <x v="59"/>
          </reference>
          <reference field="2" selected="0">
            <x v="8"/>
          </reference>
          <reference field="3">
            <x v="54"/>
          </reference>
        </references>
      </pivotArea>
    </format>
    <format action="formatting" dxfId="33">
      <pivotArea type="normal" dataOnly="0" labelOnly="1" outline="0" fieldPosition="0">
        <references count="3">
          <reference field="1" selected="0">
            <x v="60"/>
          </reference>
          <reference field="2" selected="0">
            <x v="6"/>
          </reference>
          <reference field="3">
            <x v="64"/>
          </reference>
        </references>
      </pivotArea>
    </format>
    <format action="formatting" dxfId="32">
      <pivotArea type="normal" dataOnly="0" labelOnly="1" outline="0" fieldPosition="0">
        <references count="3">
          <reference field="1" selected="0">
            <x v="61"/>
          </reference>
          <reference field="2" selected="0">
            <x v="8"/>
          </reference>
          <reference field="3">
            <x v="76"/>
          </reference>
        </references>
      </pivotArea>
    </format>
    <format action="formatting" dxfId="31">
      <pivotArea type="normal" dataOnly="0" labelOnly="1" outline="0" fieldPosition="0">
        <references count="3">
          <reference field="1" selected="0">
            <x v="62"/>
          </reference>
          <reference field="2" selected="0">
            <x v="2"/>
          </reference>
          <reference field="3">
            <x v="79"/>
          </reference>
        </references>
      </pivotArea>
    </format>
    <format action="formatting" dxfId="30">
      <pivotArea type="normal" dataOnly="0" labelOnly="1" outline="0" fieldPosition="0">
        <references count="3">
          <reference field="1" selected="0">
            <x v="63"/>
          </reference>
          <reference field="2" selected="0">
            <x v="6"/>
          </reference>
          <reference field="3">
            <x v="0"/>
          </reference>
        </references>
      </pivotArea>
    </format>
    <format action="formatting" dxfId="29">
      <pivotArea type="normal" dataOnly="0" labelOnly="1" outline="0" fieldPosition="0">
        <references count="3">
          <reference field="1" selected="0">
            <x v="64"/>
          </reference>
          <reference field="2" selected="0">
            <x v="6"/>
          </reference>
          <reference field="3">
            <x v="61"/>
          </reference>
        </references>
      </pivotArea>
    </format>
    <format action="formatting" dxfId="28">
      <pivotArea type="normal" dataOnly="0" labelOnly="1" outline="0" fieldPosition="0">
        <references count="3">
          <reference field="1" selected="0">
            <x v="65"/>
          </reference>
          <reference field="2" selected="0">
            <x v="6"/>
          </reference>
          <reference field="3">
            <x v="63"/>
          </reference>
        </references>
      </pivotArea>
    </format>
    <format action="formatting" dxfId="27">
      <pivotArea type="normal" dataOnly="0" labelOnly="1" outline="0" fieldPosition="0">
        <references count="3">
          <reference field="1" selected="0">
            <x v="66"/>
          </reference>
          <reference field="2" selected="0">
            <x v="8"/>
          </reference>
          <reference field="3">
            <x v="65"/>
          </reference>
        </references>
      </pivotArea>
    </format>
    <format action="formatting" dxfId="26">
      <pivotArea type="normal" dataOnly="0" labelOnly="1" outline="0" fieldPosition="0">
        <references count="3">
          <reference field="1" selected="0">
            <x v="67"/>
          </reference>
          <reference field="2" selected="0">
            <x v="8"/>
          </reference>
          <reference field="3">
            <x v="75"/>
          </reference>
        </references>
      </pivotArea>
    </format>
    <format action="formatting" dxfId="25">
      <pivotArea type="normal" dataOnly="0" labelOnly="1" outline="0" fieldPosition="0">
        <references count="3">
          <reference field="1" selected="0">
            <x v="68"/>
          </reference>
          <reference field="2" selected="0">
            <x v="2"/>
          </reference>
          <reference field="3">
            <x v="78"/>
          </reference>
        </references>
      </pivotArea>
    </format>
    <format action="formatting" dxfId="24">
      <pivotArea type="normal" dataOnly="0" labelOnly="1" outline="0" fieldPosition="0">
        <references count="3">
          <reference field="1" selected="0">
            <x v="69"/>
          </reference>
          <reference field="2" selected="0">
            <x v="6"/>
          </reference>
          <reference field="3">
            <x v="62"/>
          </reference>
        </references>
      </pivotArea>
    </format>
    <format action="formatting" dxfId="23">
      <pivotArea type="normal" dataOnly="0" labelOnly="1" outline="0" fieldPosition="0">
        <references count="3">
          <reference field="1" selected="0">
            <x v="70"/>
          </reference>
          <reference field="2" selected="0">
            <x v="4"/>
          </reference>
          <reference field="3">
            <x v="55"/>
          </reference>
        </references>
      </pivotArea>
    </format>
    <format action="formatting" dxfId="22">
      <pivotArea type="normal" dataOnly="0" labelOnly="1" outline="0" fieldPosition="0">
        <references count="3">
          <reference field="1" selected="0">
            <x v="71"/>
          </reference>
          <reference field="2" selected="0">
            <x v="4"/>
          </reference>
          <reference field="3">
            <x v="56"/>
          </reference>
        </references>
      </pivotArea>
    </format>
    <format action="formatting" dxfId="21">
      <pivotArea type="normal" dataOnly="0" labelOnly="1" outline="0" fieldPosition="0">
        <references count="3">
          <reference field="1" selected="0">
            <x v="72"/>
          </reference>
          <reference field="2" selected="0">
            <x v="4"/>
          </reference>
          <reference field="3">
            <x v="68"/>
          </reference>
        </references>
      </pivotArea>
    </format>
    <format action="formatting" dxfId="20">
      <pivotArea type="normal" dataOnly="0" labelOnly="1" outline="0" fieldPosition="0">
        <references count="3">
          <reference field="1" selected="0">
            <x v="73"/>
          </reference>
          <reference field="2" selected="0">
            <x v="3"/>
          </reference>
          <reference field="3">
            <x v="8"/>
          </reference>
        </references>
      </pivotArea>
    </format>
    <format action="formatting" dxfId="19">
      <pivotArea type="normal" dataOnly="0" labelOnly="1" outline="0" fieldPosition="0">
        <references count="3">
          <reference field="1" selected="0">
            <x v="74"/>
          </reference>
          <reference field="2" selected="0">
            <x v="5"/>
          </reference>
          <reference field="3">
            <x v="69"/>
          </reference>
        </references>
      </pivotArea>
    </format>
    <format action="formatting" dxfId="18">
      <pivotArea type="normal" dataOnly="0" labelOnly="1" outline="0" fieldPosition="0">
        <references count="3">
          <reference field="1" selected="0">
            <x v="75"/>
          </reference>
          <reference field="2" selected="0">
            <x v="0"/>
          </reference>
          <reference field="3">
            <x v="66"/>
          </reference>
        </references>
      </pivotArea>
    </format>
    <format action="formatting" dxfId="17">
      <pivotArea type="normal" dataOnly="0" labelOnly="1" outline="0" fieldPosition="0">
        <references count="3">
          <reference field="1" selected="0">
            <x v="76"/>
          </reference>
          <reference field="2" selected="0">
            <x v="8"/>
          </reference>
          <reference field="3">
            <x v="74"/>
          </reference>
        </references>
      </pivotArea>
    </format>
    <format action="formatting" dxfId="16">
      <pivotArea type="normal" dataOnly="0" labelOnly="1" outline="0" fieldPosition="0">
        <references count="3">
          <reference field="1" selected="0">
            <x v="77"/>
          </reference>
          <reference field="2" selected="0">
            <x v="1"/>
          </reference>
          <reference field="3">
            <x v="71"/>
          </reference>
        </references>
      </pivotArea>
    </format>
    <format action="formatting" dxfId="15">
      <pivotArea type="normal" dataOnly="0" labelOnly="1" outline="0" fieldPosition="0">
        <references count="3">
          <reference field="1" selected="0">
            <x v="78"/>
          </reference>
          <reference field="2" selected="0">
            <x v="7"/>
          </reference>
          <reference field="3">
            <x v="4"/>
          </reference>
        </references>
      </pivotArea>
    </format>
    <format action="formatting" dxfId="14">
      <pivotArea type="normal" dataOnly="0" labelOnly="1" outline="0" fieldPosition="0">
        <references count="3">
          <reference field="1" selected="0">
            <x v="79"/>
          </reference>
          <reference field="2" selected="0">
            <x v="1"/>
          </reference>
          <reference field="3">
            <x v="70"/>
          </reference>
        </references>
      </pivotArea>
    </format>
    <format action="formatting" dxfId="13">
      <pivotArea type="origin" dataOnly="0" labelOnly="1" outline="0" fieldPosition="0"/>
    </format>
    <format action="formatting" dxfId="12">
      <pivotArea type="normal" dataOnly="0" labelOnly="1" outline="0" fieldPosition="0">
        <references count="1">
          <reference field="5">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action="formatting" dxfId="11">
      <pivotArea type="normal" dataOnly="0" labelOnly="1" outline="0" fieldPosition="0">
        <references count="1">
          <reference field="5">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action="formatting" dxfId="10">
      <pivotArea type="normal" dataOnly="0" labelOnly="1" outline="0" fieldPosition="0">
        <references count="1">
          <reference field="5">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action="formatting" dxfId="9">
      <pivotArea type="normal" dataOnly="0" labelOnly="1" outline="0" fieldPosition="0">
        <references count="1">
          <reference field="5">
            <x v="150"/>
            <x v="151"/>
            <x v="152"/>
            <x v="153"/>
            <x v="154"/>
            <x v="155"/>
            <x v="156"/>
            <x v="157"/>
            <x v="158"/>
            <x v="159"/>
            <x v="160"/>
            <x v="161"/>
            <x v="162"/>
            <x v="163"/>
            <x v="164"/>
            <x v="165"/>
            <x v="166"/>
            <x v="167"/>
            <x v="168"/>
          </reference>
        </references>
      </pivotArea>
    </format>
    <format action="formatting" dxfId="8">
      <pivotArea type="normal" dataOnly="0" labelOnly="1" grandRow="1" outline="0" fieldPosition="0"/>
    </format>
    <format action="formatting" dxfId="7">
      <pivotArea field="5" type="button" dataOnly="0" labelOnly="1" outline="0" axis="axisRow" fieldPosition="0"/>
    </format>
    <format action="formatting" dxfId="6">
      <pivotArea field="6" type="button" dataOnly="0" labelOnly="1" outline="0" axis="axisRow" fieldPosition="1"/>
    </format>
    <format action="formatting" dxfId="5">
      <pivotArea field="8" type="button" dataOnly="0" labelOnly="1" outline="0" axis="axisRow" fieldPosition="2"/>
    </format>
  </formats>
  <pivotTableStyleInfo showRowHeaders="1" showColHeaders="1" showRowStripes="0" showColStripes="0" showLastColumn="1"/>
</pivotTableDefinition>
</file>

<file path=xl/tables/table1.xml><?xml version="1.0" encoding="utf-8"?>
<table xmlns="http://schemas.openxmlformats.org/spreadsheetml/2006/main" id="1" name="テーブル1" displayName="テーブル1" ref="A3:I23" headerRowCount="1" totalsRowShown="0">
  <autoFilter ref="A3:I23"/>
  <sortState ref="A4:I23">
    <sortCondition descending="1" ref="H3:H23"/>
  </sortState>
  <tableColumns count="9">
    <tableColumn id="1" name="得意先EDPNo"/>
    <tableColumn id="2" name="得意先コード"/>
    <tableColumn id="3" name="配送"/>
    <tableColumn id="4" name="得意先名"/>
    <tableColumn id="5" name="商品EDPNo"/>
    <tableColumn id="6" name="商品コード"/>
    <tableColumn id="7" name="商品名"/>
    <tableColumn id="8" name="数量"/>
    <tableColumn id="9" name="箱/こ/不"/>
  </tableColumns>
  <tableStyleInfo name="TableStyleMedium2" showFirstColumn="0" showLastColumn="0" showRowStripes="1" showColumnStripes="0"/>
</table>
</file>

<file path=xl/tables/table2.xml><?xml version="1.0" encoding="utf-8"?>
<table xmlns="http://schemas.openxmlformats.org/spreadsheetml/2006/main" id="2" name="テーブル2" displayName="テーブル2" ref="A3:J49" headerRowCount="1" totalsRowShown="0" headerRowDxfId="942">
  <autoFilter ref="A3:J49"/>
  <sortState ref="A4:J49">
    <sortCondition descending="1" ref="J3:J49"/>
  </sortState>
  <tableColumns count="10">
    <tableColumn id="1" name="得意先EDPNo"/>
    <tableColumn id="2" name="得意先コード"/>
    <tableColumn id="3" name="配送"/>
    <tableColumn id="4" name="得意先名" dataDxfId="941"/>
    <tableColumn id="6" name="商品コード" dataDxfId="940"/>
    <tableColumn id="7" name="商品名" dataDxfId="939"/>
    <tableColumn id="8" name="数量" dataDxfId="938"/>
    <tableColumn id="9" name="本体価格" dataDxfId="937"/>
    <tableColumn id="10" name="置き場" dataDxfId="936"/>
    <tableColumn id="11" name="シール" dataDxfId="935"/>
  </tableColumns>
  <tableStyleInfo name="TableStyleMedium2" showFirstColumn="0" showLastColumn="0" showRowStripes="1" showColumnStripes="0"/>
</table>
</file>

<file path=xl/tables/table3.xml><?xml version="1.0" encoding="utf-8"?>
<table xmlns="http://schemas.openxmlformats.org/spreadsheetml/2006/main" id="3" name="テーブル46" displayName="テーブル46" ref="A1:I44" headerRowCount="1" totalsRowShown="0">
  <autoFilter ref="A1:I44"/>
  <sortState ref="A2:I44">
    <sortCondition descending="1" ref="I1:I44"/>
  </sortState>
  <tableColumns count="9">
    <tableColumn id="1" name="得意先EDPNo"/>
    <tableColumn id="2" name="得意先コード"/>
    <tableColumn id="3" name="配送"/>
    <tableColumn id="4" name="得意先名"/>
    <tableColumn id="6" name="商品コード"/>
    <tableColumn id="7" name="商品名"/>
    <tableColumn id="8" name="数量"/>
    <tableColumn id="10" name="商品コード2"/>
    <tableColumn id="9" name="本体価格" dataDxfId="0">
      <calculatedColumnFormula>VLOOKUP(テーブル46[[#This Row],[商品コード2]],'[2]出荷予定表＆ご注文用紙'!$F$12:$F$144,2,0)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vmlDrawing" Target="/xl/drawings/vmlDrawing2.vml" Id="anysvml" /><Relationship Type="http://schemas.openxmlformats.org/officeDocument/2006/relationships/pivotTable" Target="/xl/pivotTables/pivotTable1.xml" Id="rId2" /></Relationships>
</file>

<file path=xl/worksheets/_rels/sheet5.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3.vml" Id="anysvml" /></Relationships>
</file>

<file path=xl/worksheets/_rels/sheet11.xml.rels><Relationships xmlns="http://schemas.openxmlformats.org/package/2006/relationships"><Relationship Type="http://schemas.openxmlformats.org/officeDocument/2006/relationships/vmlDrawing" Target="/xl/drawings/vmlDrawing4.vml" Id="anysvml" /></Relationships>
</file>

<file path=xl/worksheets/_rels/sheet12.xml.rels><Relationships xmlns="http://schemas.openxmlformats.org/package/2006/relationships"><Relationship Type="http://schemas.openxmlformats.org/officeDocument/2006/relationships/table" Target="/xl/tables/table3.xml" Id="rId1" /></Relationships>
</file>

<file path=xl/worksheets/sheet1.xml><?xml version="1.0" encoding="utf-8"?>
<worksheet xmlns:r="http://schemas.openxmlformats.org/officeDocument/2006/relationships" xmlns="http://schemas.openxmlformats.org/spreadsheetml/2006/main">
  <sheetPr codeName="ShtStockSum">
    <outlinePr summaryBelow="1" summaryRight="1"/>
    <pageSetUpPr fitToPage="1"/>
  </sheetPr>
  <dimension ref="A2:AU263"/>
  <sheetViews>
    <sheetView tabSelected="1" zoomScaleNormal="100" zoomScaleSheetLayoutView="100" workbookViewId="0">
      <pane xSplit="2" ySplit="7" topLeftCell="C8" activePane="bottomRight" state="frozen"/>
      <selection pane="topRight" activeCell="C1" sqref="C1"/>
      <selection pane="bottomLeft" activeCell="A8" sqref="A8"/>
      <selection pane="bottomRight" activeCell="I172" sqref="I172"/>
    </sheetView>
  </sheetViews>
  <sheetFormatPr baseColWidth="8" defaultColWidth="5.625" defaultRowHeight="13.5"/>
  <cols>
    <col width="8.625" customWidth="1" style="5" min="1" max="1"/>
    <col width="24.625" customWidth="1" style="5" min="2" max="2"/>
    <col width="5.625" customWidth="1" style="5" min="3" max="44"/>
    <col width="12.625" customWidth="1" style="5" min="45" max="45"/>
    <col width="5.625" customWidth="1" style="5" min="46" max="46"/>
    <col width="15.625" customWidth="1" style="5" min="47" max="47"/>
    <col width="5.625" customWidth="1" style="5" min="48" max="702"/>
    <col width="5.625" customWidth="1" style="5" min="703" max="16384"/>
  </cols>
  <sheetData>
    <row r="1" customFormat="1" s="6"/>
    <row r="2" customFormat="1" s="6">
      <c r="A2" s="7" t="inlineStr">
        <is>
          <t>集計開始：</t>
        </is>
      </c>
      <c r="B2" s="8" t="n">
        <v>45816</v>
      </c>
    </row>
    <row r="3" customFormat="1" s="6">
      <c r="A3" s="7" t="inlineStr">
        <is>
          <t>集計終了：</t>
        </is>
      </c>
      <c r="B3" s="8" t="n">
        <v>45822</v>
      </c>
    </row>
    <row r="4" customFormat="1" s="6"/>
    <row r="5">
      <c r="E5" s="184" t="n">
        <v>45816</v>
      </c>
      <c r="J5" s="185" t="n">
        <v>45817</v>
      </c>
      <c r="O5" s="186" t="n">
        <v>45818</v>
      </c>
      <c r="T5" s="187" t="n">
        <v>45819</v>
      </c>
      <c r="Y5" s="188" t="n">
        <v>45820</v>
      </c>
      <c r="AD5" s="189" t="n">
        <v>45821</v>
      </c>
      <c r="AI5" s="190" t="n">
        <v>45822</v>
      </c>
    </row>
    <row r="6">
      <c r="E6" s="25" t="inlineStr">
        <is>
          <t>日曜日</t>
        </is>
      </c>
      <c r="J6" s="26" t="inlineStr">
        <is>
          <t>月曜日</t>
        </is>
      </c>
      <c r="O6" s="28" t="inlineStr">
        <is>
          <t>火曜日</t>
        </is>
      </c>
      <c r="T6" s="30" t="inlineStr">
        <is>
          <t>水曜日</t>
        </is>
      </c>
      <c r="Y6" s="15" t="inlineStr">
        <is>
          <t>木曜日</t>
        </is>
      </c>
      <c r="AD6" s="33" t="inlineStr">
        <is>
          <t>金曜日</t>
        </is>
      </c>
      <c r="AI6" s="24" t="inlineStr">
        <is>
          <t>土曜日</t>
        </is>
      </c>
    </row>
    <row r="7">
      <c r="A7" s="5" t="inlineStr">
        <is>
          <t>商品コード</t>
        </is>
      </c>
      <c r="B7" s="5" t="inlineStr">
        <is>
          <t>商品名</t>
        </is>
      </c>
      <c r="C7" s="5" t="inlineStr">
        <is>
          <t>週末残</t>
        </is>
      </c>
      <c r="D7" s="24" t="inlineStr">
        <is>
          <t>土・入荷</t>
        </is>
      </c>
      <c r="E7" s="25" t="inlineStr">
        <is>
          <t>納品数</t>
        </is>
      </c>
      <c r="F7" s="24" t="inlineStr">
        <is>
          <t>土・仮残</t>
        </is>
      </c>
      <c r="G7" s="24" t="inlineStr">
        <is>
          <t>調整</t>
        </is>
      </c>
      <c r="H7" s="24" t="inlineStr">
        <is>
          <t>土・本残</t>
        </is>
      </c>
      <c r="I7" s="25" t="inlineStr">
        <is>
          <t>日・入荷</t>
        </is>
      </c>
      <c r="J7" s="26" t="inlineStr">
        <is>
          <t>納品数</t>
        </is>
      </c>
      <c r="K7" s="25" t="inlineStr">
        <is>
          <t>日・仮残</t>
        </is>
      </c>
      <c r="L7" s="25" t="inlineStr">
        <is>
          <t>調整</t>
        </is>
      </c>
      <c r="M7" s="25" t="inlineStr">
        <is>
          <t>日・本残</t>
        </is>
      </c>
      <c r="N7" s="26" t="inlineStr">
        <is>
          <t>月・入荷</t>
        </is>
      </c>
      <c r="O7" s="28" t="inlineStr">
        <is>
          <t>納品数</t>
        </is>
      </c>
      <c r="P7" s="26" t="inlineStr">
        <is>
          <t>月・仮残</t>
        </is>
      </c>
      <c r="Q7" s="26" t="inlineStr">
        <is>
          <t>調整</t>
        </is>
      </c>
      <c r="R7" s="26" t="inlineStr">
        <is>
          <t>月・本残</t>
        </is>
      </c>
      <c r="S7" s="28" t="inlineStr">
        <is>
          <t>火・入荷</t>
        </is>
      </c>
      <c r="T7" s="30" t="inlineStr">
        <is>
          <t>納品数</t>
        </is>
      </c>
      <c r="U7" s="28" t="inlineStr">
        <is>
          <t>火・仮残</t>
        </is>
      </c>
      <c r="V7" s="28" t="inlineStr">
        <is>
          <t>調整</t>
        </is>
      </c>
      <c r="W7" s="28" t="inlineStr">
        <is>
          <t>火・本残</t>
        </is>
      </c>
      <c r="X7" s="30" t="inlineStr">
        <is>
          <t>水・入荷</t>
        </is>
      </c>
      <c r="Y7" s="15" t="inlineStr">
        <is>
          <t>納品数</t>
        </is>
      </c>
      <c r="Z7" s="30" t="inlineStr">
        <is>
          <t>水・仮残</t>
        </is>
      </c>
      <c r="AA7" s="30" t="inlineStr">
        <is>
          <t>調整</t>
        </is>
      </c>
      <c r="AB7" s="30" t="inlineStr">
        <is>
          <t>水・本残</t>
        </is>
      </c>
      <c r="AC7" s="15" t="inlineStr">
        <is>
          <t>木・入荷</t>
        </is>
      </c>
      <c r="AD7" s="33" t="inlineStr">
        <is>
          <t>納品数</t>
        </is>
      </c>
      <c r="AE7" s="15" t="inlineStr">
        <is>
          <t>木・仮残</t>
        </is>
      </c>
      <c r="AF7" s="15" t="inlineStr">
        <is>
          <t>調整</t>
        </is>
      </c>
      <c r="AG7" s="15" t="inlineStr">
        <is>
          <t>木・本残</t>
        </is>
      </c>
      <c r="AH7" s="33" t="inlineStr">
        <is>
          <t>金・入荷</t>
        </is>
      </c>
      <c r="AI7" s="24" t="inlineStr">
        <is>
          <t>納品数</t>
        </is>
      </c>
      <c r="AJ7" s="33" t="inlineStr">
        <is>
          <t>金・仮残</t>
        </is>
      </c>
      <c r="AK7" s="33" t="inlineStr">
        <is>
          <t>調整</t>
        </is>
      </c>
      <c r="AL7" s="33" t="inlineStr">
        <is>
          <t>金・本残</t>
        </is>
      </c>
      <c r="AM7" s="35" t="inlineStr">
        <is>
          <t>産地</t>
        </is>
      </c>
      <c r="AN7" s="35" t="inlineStr">
        <is>
          <t>箱/こ/不</t>
        </is>
      </c>
      <c r="AO7" s="35" t="inlineStr">
        <is>
          <t>標準</t>
        </is>
      </c>
      <c r="AP7" s="35" t="inlineStr">
        <is>
          <t>NH</t>
        </is>
      </c>
      <c r="AQ7" s="35" t="inlineStr">
        <is>
          <t>荷受</t>
        </is>
      </c>
      <c r="AR7" s="35" t="inlineStr">
        <is>
          <t>東一専用</t>
        </is>
      </c>
      <c r="AS7" s="35" t="inlineStr">
        <is>
          <t>JAN</t>
        </is>
      </c>
      <c r="AT7" s="35" t="inlineStr">
        <is>
          <t>仕入先コード</t>
        </is>
      </c>
      <c r="AU7" s="35" t="inlineStr">
        <is>
          <t>仕入先名</t>
        </is>
      </c>
    </row>
    <row r="8">
      <c r="A8" s="14" t="inlineStr">
        <is>
          <t>1016-25</t>
        </is>
      </c>
      <c r="B8" s="5" t="inlineStr">
        <is>
          <t>有機あまなつ　600ｇ (早藤)◇</t>
        </is>
      </c>
      <c r="C8" s="36" t="n">
        <v>17</v>
      </c>
      <c r="D8" s="36" t="n">
        <v>0</v>
      </c>
      <c r="E8" s="5" t="n">
        <v>0</v>
      </c>
      <c r="F8" s="191">
        <f>D8-E8+C8</f>
        <v/>
      </c>
      <c r="G8" s="192" t="n">
        <v>0</v>
      </c>
      <c r="H8" s="191">
        <f>F8+G8</f>
        <v/>
      </c>
      <c r="I8" s="36" t="n">
        <v>40</v>
      </c>
      <c r="J8" s="5" t="n">
        <v>31</v>
      </c>
      <c r="K8" s="191">
        <f>I8-J8+H8</f>
        <v/>
      </c>
      <c r="L8" s="192" t="n">
        <v>0</v>
      </c>
      <c r="M8" s="191">
        <f>K8+L8</f>
        <v/>
      </c>
      <c r="N8" s="36" t="n">
        <v>0</v>
      </c>
      <c r="O8" s="5" t="n">
        <v>5</v>
      </c>
      <c r="P8" s="191">
        <f>N8-O8+M8</f>
        <v/>
      </c>
      <c r="Q8" s="192" t="n">
        <v>0</v>
      </c>
      <c r="R8" s="191">
        <f>P8+Q8</f>
        <v/>
      </c>
      <c r="S8" s="36" t="n">
        <v>0</v>
      </c>
      <c r="T8" s="5" t="n">
        <v>20</v>
      </c>
      <c r="U8" s="191">
        <f>S8-T8+R8</f>
        <v/>
      </c>
      <c r="V8" s="192" t="n">
        <v>0</v>
      </c>
      <c r="W8" s="191">
        <f>U8+V8</f>
        <v/>
      </c>
      <c r="X8" s="36" t="n">
        <v>0</v>
      </c>
      <c r="Y8" s="5" t="n">
        <v>5</v>
      </c>
      <c r="Z8" s="191">
        <f>X8-Y8+W8</f>
        <v/>
      </c>
      <c r="AA8" s="192" t="n">
        <v>0</v>
      </c>
      <c r="AB8" s="191">
        <f>Z8+AA8</f>
        <v/>
      </c>
      <c r="AC8" s="36" t="n">
        <v>0</v>
      </c>
      <c r="AD8" s="5" t="n">
        <v>8</v>
      </c>
      <c r="AE8" s="191">
        <f>AC8-AD8+AB8</f>
        <v/>
      </c>
      <c r="AF8" s="192" t="n">
        <v>0</v>
      </c>
      <c r="AG8" s="191">
        <f>AE8+AF8</f>
        <v/>
      </c>
      <c r="AH8" s="36" t="n">
        <v>0</v>
      </c>
      <c r="AI8" s="5" t="n">
        <v>38</v>
      </c>
      <c r="AJ8" s="191">
        <f>AH8-AI8+AG8</f>
        <v/>
      </c>
      <c r="AK8" s="192" t="n">
        <v>0</v>
      </c>
      <c r="AL8" s="191">
        <f>AJ8+AK8</f>
        <v/>
      </c>
      <c r="AM8" s="35" t="inlineStr">
        <is>
          <t>神奈川</t>
        </is>
      </c>
      <c r="AN8" s="35" t="inlineStr">
        <is>
          <t>こもの</t>
        </is>
      </c>
      <c r="AO8" s="5" t="n">
        <v>360</v>
      </c>
      <c r="AP8" s="5" t="n">
        <v>0</v>
      </c>
      <c r="AQ8" s="35" t="n"/>
      <c r="AR8" s="35" t="n"/>
      <c r="AS8" s="122" t="n"/>
      <c r="AT8" s="35" t="n">
        <v>603</v>
      </c>
      <c r="AU8" s="35" t="inlineStr">
        <is>
          <t>早藤果樹園芸</t>
        </is>
      </c>
    </row>
    <row r="9">
      <c r="A9" s="14" t="inlineStr">
        <is>
          <t>1017-15</t>
        </is>
      </c>
      <c r="B9" s="5" t="inlineStr">
        <is>
          <t>■有機あまなつ 10ｋｇ(早藤）</t>
        </is>
      </c>
      <c r="C9" s="36" t="n">
        <v>79</v>
      </c>
      <c r="D9" s="36" t="n">
        <v>0</v>
      </c>
      <c r="E9" s="5" t="n">
        <v>0</v>
      </c>
      <c r="F9" s="191">
        <f>D9-E9+C9</f>
        <v/>
      </c>
      <c r="G9" s="192" t="n">
        <v>0</v>
      </c>
      <c r="H9" s="191">
        <f>F9+G9</f>
        <v/>
      </c>
      <c r="I9" s="36" t="n">
        <v>0</v>
      </c>
      <c r="J9" s="5" t="n">
        <v>3</v>
      </c>
      <c r="K9" s="191">
        <f>I9-J9+H9</f>
        <v/>
      </c>
      <c r="L9" s="192" t="n">
        <v>-3</v>
      </c>
      <c r="M9" s="191">
        <f>K9+L9</f>
        <v/>
      </c>
      <c r="N9" s="36" t="n">
        <v>0</v>
      </c>
      <c r="O9" s="5" t="n">
        <v>0</v>
      </c>
      <c r="P9" s="191">
        <f>N9-O9+M9</f>
        <v/>
      </c>
      <c r="Q9" s="192" t="n">
        <v>0</v>
      </c>
      <c r="R9" s="191">
        <f>P9+Q9</f>
        <v/>
      </c>
      <c r="S9" s="36" t="n">
        <v>0</v>
      </c>
      <c r="T9" s="5" t="n">
        <v>3</v>
      </c>
      <c r="U9" s="191">
        <f>S9-T9+R9</f>
        <v/>
      </c>
      <c r="V9" s="192" t="n">
        <v>0</v>
      </c>
      <c r="W9" s="191">
        <f>U9+V9</f>
        <v/>
      </c>
      <c r="X9" s="36" t="n">
        <v>0</v>
      </c>
      <c r="Y9" s="5" t="n">
        <v>0</v>
      </c>
      <c r="Z9" s="191">
        <f>X9-Y9+W9</f>
        <v/>
      </c>
      <c r="AA9" s="192" t="n">
        <v>0</v>
      </c>
      <c r="AB9" s="191">
        <f>Z9+AA9</f>
        <v/>
      </c>
      <c r="AC9" s="36" t="n">
        <v>0</v>
      </c>
      <c r="AD9" s="5" t="n">
        <v>1</v>
      </c>
      <c r="AE9" s="191">
        <f>AC9-AD9+AB9</f>
        <v/>
      </c>
      <c r="AF9" s="192" t="n">
        <v>0</v>
      </c>
      <c r="AG9" s="191">
        <f>AE9+AF9</f>
        <v/>
      </c>
      <c r="AH9" s="36" t="n">
        <v>0</v>
      </c>
      <c r="AI9" s="5" t="n">
        <v>2</v>
      </c>
      <c r="AJ9" s="191">
        <f>AH9-AI9+AG9</f>
        <v/>
      </c>
      <c r="AK9" s="192" t="n">
        <v>0</v>
      </c>
      <c r="AL9" s="191">
        <f>AJ9+AK9</f>
        <v/>
      </c>
      <c r="AM9" s="35" t="inlineStr">
        <is>
          <t>神奈川</t>
        </is>
      </c>
      <c r="AN9" s="35" t="inlineStr">
        <is>
          <t>箱</t>
        </is>
      </c>
      <c r="AO9" s="163" t="n">
        <v>4200</v>
      </c>
      <c r="AP9" s="5" t="n">
        <v>0</v>
      </c>
      <c r="AQ9" s="35" t="n"/>
      <c r="AR9" s="35" t="n"/>
      <c r="AS9" s="122" t="n"/>
      <c r="AT9" s="35" t="n">
        <v>603</v>
      </c>
      <c r="AU9" s="35" t="inlineStr">
        <is>
          <t>早藤果樹園芸</t>
        </is>
      </c>
    </row>
    <row r="10">
      <c r="A10" s="14" t="inlineStr">
        <is>
          <t>1021-6</t>
        </is>
      </c>
      <c r="B10" s="5" t="inlineStr">
        <is>
          <t>■有機五香文旦 10kg （早藤）</t>
        </is>
      </c>
      <c r="C10" s="36" t="n">
        <v>4</v>
      </c>
      <c r="D10" s="36" t="n">
        <v>0</v>
      </c>
      <c r="E10" s="5" t="n">
        <v>0</v>
      </c>
      <c r="F10" s="191">
        <f>D10-E10+C10</f>
        <v/>
      </c>
      <c r="G10" s="192" t="n">
        <v>0</v>
      </c>
      <c r="H10" s="191">
        <f>F10+G10</f>
        <v/>
      </c>
      <c r="I10" s="36" t="n">
        <v>0</v>
      </c>
      <c r="J10" s="5" t="n">
        <v>0</v>
      </c>
      <c r="K10" s="191">
        <f>I10-J10+H10</f>
        <v/>
      </c>
      <c r="L10" s="192" t="n">
        <v>0</v>
      </c>
      <c r="M10" s="191">
        <f>K10+L10</f>
        <v/>
      </c>
      <c r="N10" s="36" t="n">
        <v>0</v>
      </c>
      <c r="O10" s="5" t="n">
        <v>0</v>
      </c>
      <c r="P10" s="191">
        <f>N10-O10+M10</f>
        <v/>
      </c>
      <c r="Q10" s="192" t="n">
        <v>0</v>
      </c>
      <c r="R10" s="191">
        <f>P10+Q10</f>
        <v/>
      </c>
      <c r="S10" s="36" t="n">
        <v>0</v>
      </c>
      <c r="T10" s="5" t="n">
        <v>0</v>
      </c>
      <c r="U10" s="191">
        <f>S10-T10+R10</f>
        <v/>
      </c>
      <c r="V10" s="192" t="n">
        <v>0</v>
      </c>
      <c r="W10" s="191">
        <f>U10+V10</f>
        <v/>
      </c>
      <c r="X10" s="36" t="n">
        <v>0</v>
      </c>
      <c r="Y10" s="5" t="n">
        <v>0</v>
      </c>
      <c r="Z10" s="191">
        <f>X10-Y10+W10</f>
        <v/>
      </c>
      <c r="AA10" s="192" t="n">
        <v>0</v>
      </c>
      <c r="AB10" s="191">
        <f>Z10+AA10</f>
        <v/>
      </c>
      <c r="AC10" s="36" t="n">
        <v>0</v>
      </c>
      <c r="AD10" s="5" t="n">
        <v>0</v>
      </c>
      <c r="AE10" s="191">
        <f>AC10-AD10+AB10</f>
        <v/>
      </c>
      <c r="AF10" s="192" t="n">
        <v>0</v>
      </c>
      <c r="AG10" s="191">
        <f>AE10+AF10</f>
        <v/>
      </c>
      <c r="AH10" s="36" t="n">
        <v>0</v>
      </c>
      <c r="AI10" s="5" t="n">
        <v>0</v>
      </c>
      <c r="AJ10" s="191">
        <f>AH10-AI10+AG10</f>
        <v/>
      </c>
      <c r="AK10" s="192" t="n">
        <v>0</v>
      </c>
      <c r="AL10" s="191">
        <f>AJ10+AK10</f>
        <v/>
      </c>
      <c r="AM10" s="35" t="inlineStr">
        <is>
          <t>神奈川</t>
        </is>
      </c>
      <c r="AN10" s="35" t="inlineStr">
        <is>
          <t>箱</t>
        </is>
      </c>
      <c r="AO10" s="163" t="n">
        <v>4800</v>
      </c>
      <c r="AP10" s="5" t="n">
        <v>0</v>
      </c>
      <c r="AQ10" s="35" t="n"/>
      <c r="AR10" s="35" t="n"/>
      <c r="AS10" s="122" t="n"/>
      <c r="AT10" s="35" t="n">
        <v>603</v>
      </c>
      <c r="AU10" s="35" t="inlineStr">
        <is>
          <t>早藤果樹園芸</t>
        </is>
      </c>
    </row>
    <row r="11">
      <c r="A11" s="14" t="inlineStr">
        <is>
          <t>1032-30</t>
        </is>
      </c>
      <c r="B11" s="5" t="inlineStr">
        <is>
          <t>■有機清見オレンジ小玉　10kg（早藤）</t>
        </is>
      </c>
      <c r="C11" s="36" t="n">
        <v>1</v>
      </c>
      <c r="D11" s="36" t="n">
        <v>0</v>
      </c>
      <c r="E11" s="5" t="n">
        <v>0</v>
      </c>
      <c r="F11" s="191">
        <f>D11-E11+C11</f>
        <v/>
      </c>
      <c r="G11" s="192" t="n">
        <v>0</v>
      </c>
      <c r="H11" s="191">
        <f>F11+G11</f>
        <v/>
      </c>
      <c r="I11" s="36" t="n">
        <v>0</v>
      </c>
      <c r="J11" s="5" t="n">
        <v>0</v>
      </c>
      <c r="K11" s="191">
        <f>I11-J11+H11</f>
        <v/>
      </c>
      <c r="L11" s="192" t="n">
        <v>0</v>
      </c>
      <c r="M11" s="191">
        <f>K11+L11</f>
        <v/>
      </c>
      <c r="N11" s="36" t="n">
        <v>0</v>
      </c>
      <c r="O11" s="5" t="n">
        <v>0</v>
      </c>
      <c r="P11" s="191">
        <f>N11-O11+M11</f>
        <v/>
      </c>
      <c r="Q11" s="192" t="n">
        <v>0</v>
      </c>
      <c r="R11" s="191">
        <f>P11+Q11</f>
        <v/>
      </c>
      <c r="S11" s="36" t="n">
        <v>0</v>
      </c>
      <c r="T11" s="5" t="n">
        <v>0</v>
      </c>
      <c r="U11" s="191">
        <f>S11-T11+R11</f>
        <v/>
      </c>
      <c r="V11" s="192" t="n">
        <v>0</v>
      </c>
      <c r="W11" s="191">
        <f>U11+V11</f>
        <v/>
      </c>
      <c r="X11" s="36" t="n">
        <v>0</v>
      </c>
      <c r="Y11" s="5" t="n">
        <v>0</v>
      </c>
      <c r="Z11" s="191">
        <f>X11-Y11+W11</f>
        <v/>
      </c>
      <c r="AA11" s="192" t="n">
        <v>0</v>
      </c>
      <c r="AB11" s="191">
        <f>Z11+AA11</f>
        <v/>
      </c>
      <c r="AC11" s="36" t="n">
        <v>0</v>
      </c>
      <c r="AD11" s="5" t="n">
        <v>0</v>
      </c>
      <c r="AE11" s="191">
        <f>AC11-AD11+AB11</f>
        <v/>
      </c>
      <c r="AF11" s="192" t="n">
        <v>0</v>
      </c>
      <c r="AG11" s="191">
        <f>AE11+AF11</f>
        <v/>
      </c>
      <c r="AH11" s="36" t="n">
        <v>0</v>
      </c>
      <c r="AI11" s="5" t="n">
        <v>0</v>
      </c>
      <c r="AJ11" s="191">
        <f>AH11-AI11+AG11</f>
        <v/>
      </c>
      <c r="AK11" s="192" t="n">
        <v>0</v>
      </c>
      <c r="AL11" s="191">
        <f>AJ11+AK11</f>
        <v/>
      </c>
      <c r="AM11" s="35" t="inlineStr">
        <is>
          <t>神奈川</t>
        </is>
      </c>
      <c r="AN11" s="35" t="inlineStr">
        <is>
          <t>箱</t>
        </is>
      </c>
      <c r="AO11" s="163" t="n">
        <v>3200</v>
      </c>
      <c r="AP11" s="5" t="n">
        <v>0</v>
      </c>
      <c r="AQ11" s="35" t="n"/>
      <c r="AR11" s="35" t="n"/>
      <c r="AS11" s="122" t="n"/>
      <c r="AT11" s="35" t="n">
        <v>603</v>
      </c>
      <c r="AU11" s="35" t="inlineStr">
        <is>
          <t>早藤果樹園芸</t>
        </is>
      </c>
    </row>
    <row r="12">
      <c r="A12" s="14" t="inlineStr">
        <is>
          <t>1032-33</t>
        </is>
      </c>
      <c r="B12" s="5" t="inlineStr">
        <is>
          <t>有機清見オレンジ 500g(早藤)◇</t>
        </is>
      </c>
      <c r="C12" s="36" t="n">
        <v>0</v>
      </c>
      <c r="D12" s="36" t="n">
        <v>0</v>
      </c>
      <c r="E12" s="5" t="n">
        <v>0</v>
      </c>
      <c r="F12" s="191">
        <f>D12-E12+C12</f>
        <v/>
      </c>
      <c r="G12" s="192" t="n">
        <v>0</v>
      </c>
      <c r="H12" s="191">
        <f>F12+G12</f>
        <v/>
      </c>
      <c r="I12" s="36" t="n">
        <v>0</v>
      </c>
      <c r="J12" s="5" t="n">
        <v>0</v>
      </c>
      <c r="K12" s="191">
        <f>I12-J12+H12</f>
        <v/>
      </c>
      <c r="L12" s="192" t="n">
        <v>0</v>
      </c>
      <c r="M12" s="191">
        <f>K12+L12</f>
        <v/>
      </c>
      <c r="N12" s="36" t="n">
        <v>0</v>
      </c>
      <c r="O12" s="5" t="n">
        <v>0</v>
      </c>
      <c r="P12" s="191">
        <f>N12-O12+M12</f>
        <v/>
      </c>
      <c r="Q12" s="192" t="n">
        <v>0</v>
      </c>
      <c r="R12" s="191">
        <f>P12+Q12</f>
        <v/>
      </c>
      <c r="S12" s="36" t="n">
        <v>0</v>
      </c>
      <c r="T12" s="5" t="n">
        <v>0</v>
      </c>
      <c r="U12" s="191">
        <f>S12-T12+R12</f>
        <v/>
      </c>
      <c r="V12" s="192" t="n">
        <v>0</v>
      </c>
      <c r="W12" s="191">
        <f>U12+V12</f>
        <v/>
      </c>
      <c r="X12" s="36" t="n">
        <v>0</v>
      </c>
      <c r="Y12" s="5" t="n">
        <v>0</v>
      </c>
      <c r="Z12" s="191">
        <f>X12-Y12+W12</f>
        <v/>
      </c>
      <c r="AA12" s="192" t="n">
        <v>0</v>
      </c>
      <c r="AB12" s="191">
        <f>Z12+AA12</f>
        <v/>
      </c>
      <c r="AC12" s="36" t="n">
        <v>0</v>
      </c>
      <c r="AD12" s="5" t="n">
        <v>0</v>
      </c>
      <c r="AE12" s="191">
        <f>AC12-AD12+AB12</f>
        <v/>
      </c>
      <c r="AF12" s="192" t="n">
        <v>0</v>
      </c>
      <c r="AG12" s="191">
        <f>AE12+AF12</f>
        <v/>
      </c>
      <c r="AH12" s="36" t="n">
        <v>0</v>
      </c>
      <c r="AI12" s="5" t="n">
        <v>0</v>
      </c>
      <c r="AJ12" s="191">
        <f>AH12-AI12+AG12</f>
        <v/>
      </c>
      <c r="AK12" s="192" t="n">
        <v>0</v>
      </c>
      <c r="AL12" s="191">
        <f>AJ12+AK12</f>
        <v/>
      </c>
      <c r="AM12" s="35" t="inlineStr">
        <is>
          <t>神奈川</t>
        </is>
      </c>
      <c r="AN12" s="35" t="inlineStr">
        <is>
          <t>こもの</t>
        </is>
      </c>
      <c r="AO12" s="5" t="n">
        <v>350</v>
      </c>
      <c r="AP12" s="5" t="n">
        <v>0</v>
      </c>
      <c r="AQ12" s="35" t="n"/>
      <c r="AR12" s="35" t="n"/>
      <c r="AS12" s="122" t="n"/>
      <c r="AT12" s="35" t="n"/>
      <c r="AU12" s="35" t="n"/>
    </row>
    <row r="13">
      <c r="A13" s="14" t="inlineStr">
        <is>
          <t>1049-113</t>
        </is>
      </c>
      <c r="B13" s="5" t="inlineStr">
        <is>
          <t>■有機レモン 12kg (中川栄・産ﾊﾟ)</t>
        </is>
      </c>
      <c r="C13" s="36" t="n">
        <v>10</v>
      </c>
      <c r="D13" s="36" t="n">
        <v>0</v>
      </c>
      <c r="E13" s="5" t="n">
        <v>0</v>
      </c>
      <c r="F13" s="191">
        <f>D13-E13+C13</f>
        <v/>
      </c>
      <c r="G13" s="192" t="n">
        <v>0</v>
      </c>
      <c r="H13" s="191">
        <f>F13+G13</f>
        <v/>
      </c>
      <c r="I13" s="36" t="n">
        <v>0</v>
      </c>
      <c r="J13" s="5" t="n">
        <v>0</v>
      </c>
      <c r="K13" s="191">
        <f>I13-J13+H13</f>
        <v/>
      </c>
      <c r="L13" s="192" t="n">
        <v>-2</v>
      </c>
      <c r="M13" s="191">
        <f>K13+L13</f>
        <v/>
      </c>
      <c r="N13" s="36" t="n">
        <v>0</v>
      </c>
      <c r="O13" s="5" t="n">
        <v>0</v>
      </c>
      <c r="P13" s="191">
        <f>N13-O13+M13</f>
        <v/>
      </c>
      <c r="Q13" s="192" t="n">
        <v>0</v>
      </c>
      <c r="R13" s="191">
        <f>P13+Q13</f>
        <v/>
      </c>
      <c r="S13" s="36" t="n">
        <v>0</v>
      </c>
      <c r="T13" s="5" t="n">
        <v>0</v>
      </c>
      <c r="U13" s="191">
        <f>S13-T13+R13</f>
        <v/>
      </c>
      <c r="V13" s="192" t="n">
        <v>0</v>
      </c>
      <c r="W13" s="191">
        <f>U13+V13</f>
        <v/>
      </c>
      <c r="X13" s="36" t="n">
        <v>0</v>
      </c>
      <c r="Y13" s="5" t="n">
        <v>0</v>
      </c>
      <c r="Z13" s="191">
        <f>X13-Y13+W13</f>
        <v/>
      </c>
      <c r="AA13" s="192" t="n">
        <v>0</v>
      </c>
      <c r="AB13" s="191">
        <f>Z13+AA13</f>
        <v/>
      </c>
      <c r="AC13" s="36" t="n">
        <v>0</v>
      </c>
      <c r="AD13" s="5" t="n">
        <v>0</v>
      </c>
      <c r="AE13" s="191">
        <f>AC13-AD13+AB13</f>
        <v/>
      </c>
      <c r="AF13" s="192" t="n">
        <v>0</v>
      </c>
      <c r="AG13" s="191">
        <f>AE13+AF13</f>
        <v/>
      </c>
      <c r="AH13" s="36" t="n">
        <v>0</v>
      </c>
      <c r="AI13" s="5" t="n">
        <v>0</v>
      </c>
      <c r="AJ13" s="191">
        <f>AH13-AI13+AG13</f>
        <v/>
      </c>
      <c r="AK13" s="192" t="n">
        <v>0</v>
      </c>
      <c r="AL13" s="191">
        <f>AJ13+AK13</f>
        <v/>
      </c>
      <c r="AM13" s="35" t="inlineStr">
        <is>
          <t>愛媛</t>
        </is>
      </c>
      <c r="AN13" s="35" t="inlineStr">
        <is>
          <t>箱</t>
        </is>
      </c>
      <c r="AO13" s="163" t="n">
        <v>8400</v>
      </c>
      <c r="AP13" s="5" t="n">
        <v>0</v>
      </c>
      <c r="AQ13" s="35" t="inlineStr">
        <is>
          <t>○</t>
        </is>
      </c>
      <c r="AR13" s="35" t="n"/>
      <c r="AS13" s="122" t="n"/>
      <c r="AT13" s="35" t="n">
        <v>662</v>
      </c>
      <c r="AU13" s="35" t="inlineStr">
        <is>
          <t>中川有機農園　中川栄</t>
        </is>
      </c>
    </row>
    <row r="14">
      <c r="A14" s="14" t="inlineStr">
        <is>
          <t>1049-114</t>
        </is>
      </c>
      <c r="B14" s="5" t="inlineStr">
        <is>
          <t>■有機レモン　B 12kg (中川栄・産ﾊﾟ)</t>
        </is>
      </c>
      <c r="C14" s="36" t="n">
        <v>3</v>
      </c>
      <c r="D14" s="36" t="n">
        <v>0</v>
      </c>
      <c r="E14" s="5" t="n">
        <v>0</v>
      </c>
      <c r="F14" s="191">
        <f>D14-E14+C14</f>
        <v/>
      </c>
      <c r="G14" s="192" t="n">
        <v>0</v>
      </c>
      <c r="H14" s="191">
        <f>F14+G14</f>
        <v/>
      </c>
      <c r="I14" s="36" t="n">
        <v>0</v>
      </c>
      <c r="J14" s="5" t="n">
        <v>0</v>
      </c>
      <c r="K14" s="191">
        <f>I14-J14+H14</f>
        <v/>
      </c>
      <c r="L14" s="192" t="n">
        <v>0</v>
      </c>
      <c r="M14" s="191">
        <f>K14+L14</f>
        <v/>
      </c>
      <c r="N14" s="36" t="n">
        <v>0</v>
      </c>
      <c r="O14" s="5" t="n">
        <v>0</v>
      </c>
      <c r="P14" s="191">
        <f>N14-O14+M14</f>
        <v/>
      </c>
      <c r="Q14" s="192" t="n">
        <v>0</v>
      </c>
      <c r="R14" s="191">
        <f>P14+Q14</f>
        <v/>
      </c>
      <c r="S14" s="36" t="n">
        <v>0</v>
      </c>
      <c r="T14" s="5" t="n">
        <v>0</v>
      </c>
      <c r="U14" s="191">
        <f>S14-T14+R14</f>
        <v/>
      </c>
      <c r="V14" s="192" t="n">
        <v>0</v>
      </c>
      <c r="W14" s="191">
        <f>U14+V14</f>
        <v/>
      </c>
      <c r="X14" s="36" t="n">
        <v>0</v>
      </c>
      <c r="Y14" s="5" t="n">
        <v>0</v>
      </c>
      <c r="Z14" s="191">
        <f>X14-Y14+W14</f>
        <v/>
      </c>
      <c r="AA14" s="192" t="n">
        <v>0</v>
      </c>
      <c r="AB14" s="191">
        <f>Z14+AA14</f>
        <v/>
      </c>
      <c r="AC14" s="36" t="n">
        <v>0</v>
      </c>
      <c r="AD14" s="5" t="n">
        <v>0</v>
      </c>
      <c r="AE14" s="191">
        <f>AC14-AD14+AB14</f>
        <v/>
      </c>
      <c r="AF14" s="192" t="n">
        <v>0</v>
      </c>
      <c r="AG14" s="191">
        <f>AE14+AF14</f>
        <v/>
      </c>
      <c r="AH14" s="36" t="n">
        <v>0</v>
      </c>
      <c r="AI14" s="5" t="n">
        <v>0</v>
      </c>
      <c r="AJ14" s="191">
        <f>AH14-AI14+AG14</f>
        <v/>
      </c>
      <c r="AK14" s="192" t="n">
        <v>0</v>
      </c>
      <c r="AL14" s="191">
        <f>AJ14+AK14</f>
        <v/>
      </c>
      <c r="AM14" s="35" t="inlineStr">
        <is>
          <t>愛媛</t>
        </is>
      </c>
      <c r="AN14" s="35" t="inlineStr">
        <is>
          <t>箱</t>
        </is>
      </c>
      <c r="AO14" s="5" t="n">
        <v>0</v>
      </c>
      <c r="AP14" s="5" t="n">
        <v>0</v>
      </c>
      <c r="AQ14" s="35" t="inlineStr">
        <is>
          <t>○</t>
        </is>
      </c>
      <c r="AR14" s="35" t="n"/>
      <c r="AS14" s="122" t="n"/>
      <c r="AT14" s="35" t="n">
        <v>662</v>
      </c>
      <c r="AU14" s="35" t="inlineStr">
        <is>
          <t>中川有機農園　中川栄</t>
        </is>
      </c>
    </row>
    <row r="15">
      <c r="A15" s="14" t="inlineStr">
        <is>
          <t>1049-148</t>
        </is>
      </c>
      <c r="B15" s="5" t="inlineStr">
        <is>
          <t>■有機レモンＢ 13kg (中川栄・産ﾊﾟ)</t>
        </is>
      </c>
      <c r="C15" s="36" t="n">
        <v>14</v>
      </c>
      <c r="D15" s="36" t="n">
        <v>0</v>
      </c>
      <c r="E15" s="5" t="n">
        <v>0</v>
      </c>
      <c r="F15" s="191">
        <f>D15-E15+C15</f>
        <v/>
      </c>
      <c r="G15" s="192" t="n">
        <v>0</v>
      </c>
      <c r="H15" s="191">
        <f>F15+G15</f>
        <v/>
      </c>
      <c r="I15" s="36" t="n">
        <v>0</v>
      </c>
      <c r="J15" s="5" t="n">
        <v>0</v>
      </c>
      <c r="K15" s="191">
        <f>I15-J15+H15</f>
        <v/>
      </c>
      <c r="L15" s="192" t="n">
        <v>0</v>
      </c>
      <c r="M15" s="191">
        <f>K15+L15</f>
        <v/>
      </c>
      <c r="N15" s="36" t="n">
        <v>0</v>
      </c>
      <c r="O15" s="5" t="n">
        <v>0</v>
      </c>
      <c r="P15" s="191">
        <f>N15-O15+M15</f>
        <v/>
      </c>
      <c r="Q15" s="192" t="n">
        <v>0</v>
      </c>
      <c r="R15" s="191">
        <f>P15+Q15</f>
        <v/>
      </c>
      <c r="S15" s="36" t="n">
        <v>0</v>
      </c>
      <c r="T15" s="5" t="n">
        <v>0</v>
      </c>
      <c r="U15" s="191">
        <f>S15-T15+R15</f>
        <v/>
      </c>
      <c r="V15" s="192" t="n">
        <v>0</v>
      </c>
      <c r="W15" s="191">
        <f>U15+V15</f>
        <v/>
      </c>
      <c r="X15" s="36" t="n">
        <v>0</v>
      </c>
      <c r="Y15" s="5" t="n">
        <v>0</v>
      </c>
      <c r="Z15" s="191">
        <f>X15-Y15+W15</f>
        <v/>
      </c>
      <c r="AA15" s="192" t="n">
        <v>0</v>
      </c>
      <c r="AB15" s="191">
        <f>Z15+AA15</f>
        <v/>
      </c>
      <c r="AC15" s="36" t="n">
        <v>0</v>
      </c>
      <c r="AD15" s="5" t="n">
        <v>0</v>
      </c>
      <c r="AE15" s="191">
        <f>AC15-AD15+AB15</f>
        <v/>
      </c>
      <c r="AF15" s="192" t="n">
        <v>0</v>
      </c>
      <c r="AG15" s="191">
        <f>AE15+AF15</f>
        <v/>
      </c>
      <c r="AH15" s="36" t="n">
        <v>0</v>
      </c>
      <c r="AI15" s="5" t="n">
        <v>0</v>
      </c>
      <c r="AJ15" s="191">
        <f>AH15-AI15+AG15</f>
        <v/>
      </c>
      <c r="AK15" s="192" t="n">
        <v>0</v>
      </c>
      <c r="AL15" s="191">
        <f>AJ15+AK15</f>
        <v/>
      </c>
      <c r="AM15" s="35" t="inlineStr">
        <is>
          <t>愛媛</t>
        </is>
      </c>
      <c r="AN15" s="35" t="inlineStr">
        <is>
          <t>箱</t>
        </is>
      </c>
      <c r="AO15" s="5" t="n">
        <v>0</v>
      </c>
      <c r="AP15" s="5" t="n">
        <v>0</v>
      </c>
      <c r="AQ15" s="35" t="inlineStr">
        <is>
          <t>○</t>
        </is>
      </c>
      <c r="AR15" s="35" t="n"/>
      <c r="AS15" s="122" t="n"/>
      <c r="AT15" s="35" t="n">
        <v>662</v>
      </c>
      <c r="AU15" s="35" t="inlineStr">
        <is>
          <t>中川有機農園　中川栄</t>
        </is>
      </c>
    </row>
    <row r="16">
      <c r="A16" s="14" t="inlineStr">
        <is>
          <t>1049-152</t>
        </is>
      </c>
      <c r="B16" s="5" t="inlineStr">
        <is>
          <t>■有機レモン　B ６kg (中川栄・産ﾊﾟ)</t>
        </is>
      </c>
      <c r="C16" s="36" t="n">
        <v>1</v>
      </c>
      <c r="D16" s="36" t="n">
        <v>0</v>
      </c>
      <c r="E16" s="5" t="n">
        <v>0</v>
      </c>
      <c r="F16" s="191">
        <f>D16-E16+C16</f>
        <v/>
      </c>
      <c r="G16" s="192" t="n">
        <v>0</v>
      </c>
      <c r="H16" s="191">
        <f>F16+G16</f>
        <v/>
      </c>
      <c r="I16" s="36" t="n">
        <v>0</v>
      </c>
      <c r="J16" s="5" t="n">
        <v>0</v>
      </c>
      <c r="K16" s="191">
        <f>I16-J16+H16</f>
        <v/>
      </c>
      <c r="L16" s="192" t="n">
        <v>0</v>
      </c>
      <c r="M16" s="191">
        <f>K16+L16</f>
        <v/>
      </c>
      <c r="N16" s="36" t="n">
        <v>0</v>
      </c>
      <c r="O16" s="5" t="n">
        <v>0</v>
      </c>
      <c r="P16" s="191">
        <f>N16-O16+M16</f>
        <v/>
      </c>
      <c r="Q16" s="192" t="n">
        <v>0</v>
      </c>
      <c r="R16" s="191">
        <f>P16+Q16</f>
        <v/>
      </c>
      <c r="S16" s="36" t="n">
        <v>0</v>
      </c>
      <c r="T16" s="5" t="n">
        <v>0</v>
      </c>
      <c r="U16" s="191">
        <f>S16-T16+R16</f>
        <v/>
      </c>
      <c r="V16" s="192" t="n">
        <v>0</v>
      </c>
      <c r="W16" s="191">
        <f>U16+V16</f>
        <v/>
      </c>
      <c r="X16" s="36" t="n">
        <v>0</v>
      </c>
      <c r="Y16" s="5" t="n">
        <v>0</v>
      </c>
      <c r="Z16" s="191">
        <f>X16-Y16+W16</f>
        <v/>
      </c>
      <c r="AA16" s="192" t="n">
        <v>0</v>
      </c>
      <c r="AB16" s="191">
        <f>Z16+AA16</f>
        <v/>
      </c>
      <c r="AC16" s="36" t="n">
        <v>0</v>
      </c>
      <c r="AD16" s="5" t="n">
        <v>0</v>
      </c>
      <c r="AE16" s="191">
        <f>AC16-AD16+AB16</f>
        <v/>
      </c>
      <c r="AF16" s="192" t="n">
        <v>0</v>
      </c>
      <c r="AG16" s="191">
        <f>AE16+AF16</f>
        <v/>
      </c>
      <c r="AH16" s="36" t="n">
        <v>0</v>
      </c>
      <c r="AI16" s="5" t="n">
        <v>0</v>
      </c>
      <c r="AJ16" s="191">
        <f>AH16-AI16+AG16</f>
        <v/>
      </c>
      <c r="AK16" s="192" t="n">
        <v>0</v>
      </c>
      <c r="AL16" s="191">
        <f>AJ16+AK16</f>
        <v/>
      </c>
      <c r="AM16" s="35" t="inlineStr">
        <is>
          <t>愛媛</t>
        </is>
      </c>
      <c r="AN16" s="35" t="inlineStr">
        <is>
          <t>箱</t>
        </is>
      </c>
      <c r="AO16" s="5" t="n">
        <v>0</v>
      </c>
      <c r="AP16" s="5" t="n">
        <v>0</v>
      </c>
      <c r="AQ16" s="35" t="inlineStr">
        <is>
          <t>○</t>
        </is>
      </c>
      <c r="AR16" s="35" t="n"/>
      <c r="AS16" s="122" t="n"/>
      <c r="AT16" s="35" t="n">
        <v>662</v>
      </c>
      <c r="AU16" s="35" t="inlineStr">
        <is>
          <t>中川有機農園　中川栄</t>
        </is>
      </c>
    </row>
    <row r="17">
      <c r="A17" s="14" t="inlineStr">
        <is>
          <t>1049-17</t>
        </is>
      </c>
      <c r="B17" s="5" t="inlineStr">
        <is>
          <t>■有機レモン 10kg箱(和歌山)</t>
        </is>
      </c>
      <c r="C17" s="36" t="n">
        <v>6</v>
      </c>
      <c r="D17" s="36" t="n">
        <v>0</v>
      </c>
      <c r="E17" s="5" t="n">
        <v>0</v>
      </c>
      <c r="F17" s="191">
        <f>D17-E17+C17</f>
        <v/>
      </c>
      <c r="G17" s="192" t="n">
        <v>0</v>
      </c>
      <c r="H17" s="191">
        <f>F17+G17</f>
        <v/>
      </c>
      <c r="I17" s="36" t="n">
        <v>0</v>
      </c>
      <c r="J17" s="5" t="n">
        <v>0</v>
      </c>
      <c r="K17" s="191">
        <f>I17-J17+H17</f>
        <v/>
      </c>
      <c r="L17" s="192" t="n">
        <v>0</v>
      </c>
      <c r="M17" s="191">
        <f>K17+L17</f>
        <v/>
      </c>
      <c r="N17" s="36" t="n">
        <v>0</v>
      </c>
      <c r="O17" s="5" t="n">
        <v>0</v>
      </c>
      <c r="P17" s="191">
        <f>N17-O17+M17</f>
        <v/>
      </c>
      <c r="Q17" s="192" t="n">
        <v>0</v>
      </c>
      <c r="R17" s="191">
        <f>P17+Q17</f>
        <v/>
      </c>
      <c r="S17" s="36" t="n">
        <v>0</v>
      </c>
      <c r="T17" s="5" t="n">
        <v>0</v>
      </c>
      <c r="U17" s="191">
        <f>S17-T17+R17</f>
        <v/>
      </c>
      <c r="V17" s="192" t="n">
        <v>0</v>
      </c>
      <c r="W17" s="191">
        <f>U17+V17</f>
        <v/>
      </c>
      <c r="X17" s="36" t="n">
        <v>0</v>
      </c>
      <c r="Y17" s="5" t="n">
        <v>0</v>
      </c>
      <c r="Z17" s="191">
        <f>X17-Y17+W17</f>
        <v/>
      </c>
      <c r="AA17" s="192" t="n">
        <v>0</v>
      </c>
      <c r="AB17" s="191">
        <f>Z17+AA17</f>
        <v/>
      </c>
      <c r="AC17" s="36" t="n">
        <v>0</v>
      </c>
      <c r="AD17" s="5" t="n">
        <v>0</v>
      </c>
      <c r="AE17" s="191">
        <f>AC17-AD17+AB17</f>
        <v/>
      </c>
      <c r="AF17" s="192" t="n">
        <v>0</v>
      </c>
      <c r="AG17" s="191">
        <f>AE17+AF17</f>
        <v/>
      </c>
      <c r="AH17" s="36" t="n">
        <v>0</v>
      </c>
      <c r="AI17" s="5" t="n">
        <v>0</v>
      </c>
      <c r="AJ17" s="191">
        <f>AH17-AI17+AG17</f>
        <v/>
      </c>
      <c r="AK17" s="192" t="n">
        <v>0</v>
      </c>
      <c r="AL17" s="191">
        <f>AJ17+AK17</f>
        <v/>
      </c>
      <c r="AM17" s="35" t="inlineStr">
        <is>
          <t>和歌山</t>
        </is>
      </c>
      <c r="AN17" s="35" t="inlineStr">
        <is>
          <t>箱</t>
        </is>
      </c>
      <c r="AO17" s="163" t="n">
        <v>6000</v>
      </c>
      <c r="AP17" s="5" t="n">
        <v>0</v>
      </c>
      <c r="AQ17" s="35" t="inlineStr">
        <is>
          <t>○</t>
        </is>
      </c>
      <c r="AR17" s="35" t="n"/>
      <c r="AS17" s="122" t="n"/>
      <c r="AT17" s="35" t="n">
        <v>596</v>
      </c>
      <c r="AU17" s="35" t="inlineStr">
        <is>
          <t>和歌山有機の会</t>
        </is>
      </c>
    </row>
    <row r="18">
      <c r="A18" s="14" t="inlineStr">
        <is>
          <t>1049-25</t>
        </is>
      </c>
      <c r="B18" s="5" t="inlineStr">
        <is>
          <t>■有機レモン 10ｋｇ(早藤）</t>
        </is>
      </c>
      <c r="C18" s="36" t="n">
        <v>1</v>
      </c>
      <c r="D18" s="36" t="n">
        <v>8</v>
      </c>
      <c r="E18" s="5" t="n">
        <v>0</v>
      </c>
      <c r="F18" s="191">
        <f>D18-E18+C18</f>
        <v/>
      </c>
      <c r="G18" s="192" t="n">
        <v>0</v>
      </c>
      <c r="H18" s="191">
        <f>F18+G18</f>
        <v/>
      </c>
      <c r="I18" s="36" t="n">
        <v>0</v>
      </c>
      <c r="J18" s="5" t="n">
        <v>0</v>
      </c>
      <c r="K18" s="191">
        <f>I18-J18+H18</f>
        <v/>
      </c>
      <c r="L18" s="192" t="n">
        <v>0</v>
      </c>
      <c r="M18" s="191">
        <f>K18+L18</f>
        <v/>
      </c>
      <c r="N18" s="36" t="n">
        <v>0</v>
      </c>
      <c r="O18" s="5" t="n">
        <v>0</v>
      </c>
      <c r="P18" s="191">
        <f>N18-O18+M18</f>
        <v/>
      </c>
      <c r="Q18" s="192" t="n">
        <v>0</v>
      </c>
      <c r="R18" s="191">
        <f>P18+Q18</f>
        <v/>
      </c>
      <c r="S18" s="36" t="n">
        <v>0</v>
      </c>
      <c r="T18" s="5" t="n">
        <v>0</v>
      </c>
      <c r="U18" s="191">
        <f>S18-T18+R18</f>
        <v/>
      </c>
      <c r="V18" s="192" t="n">
        <v>0</v>
      </c>
      <c r="W18" s="191">
        <f>U18+V18</f>
        <v/>
      </c>
      <c r="X18" s="36" t="n">
        <v>0</v>
      </c>
      <c r="Y18" s="5" t="n">
        <v>0</v>
      </c>
      <c r="Z18" s="191">
        <f>X18-Y18+W18</f>
        <v/>
      </c>
      <c r="AA18" s="192" t="n">
        <v>0</v>
      </c>
      <c r="AB18" s="191">
        <f>Z18+AA18</f>
        <v/>
      </c>
      <c r="AC18" s="36" t="n">
        <v>0</v>
      </c>
      <c r="AD18" s="5" t="n">
        <v>0</v>
      </c>
      <c r="AE18" s="191">
        <f>AC18-AD18+AB18</f>
        <v/>
      </c>
      <c r="AF18" s="192" t="n">
        <v>0</v>
      </c>
      <c r="AG18" s="191">
        <f>AE18+AF18</f>
        <v/>
      </c>
      <c r="AH18" s="36" t="n">
        <v>0</v>
      </c>
      <c r="AI18" s="5" t="n">
        <v>0</v>
      </c>
      <c r="AJ18" s="191">
        <f>AH18-AI18+AG18</f>
        <v/>
      </c>
      <c r="AK18" s="192" t="n">
        <v>0</v>
      </c>
      <c r="AL18" s="191">
        <f>AJ18+AK18</f>
        <v/>
      </c>
      <c r="AM18" s="35" t="inlineStr">
        <is>
          <t>神奈川</t>
        </is>
      </c>
      <c r="AN18" s="35" t="inlineStr">
        <is>
          <t>箱</t>
        </is>
      </c>
      <c r="AO18" s="5" t="n">
        <v>0</v>
      </c>
      <c r="AP18" s="5" t="n">
        <v>0</v>
      </c>
      <c r="AQ18" s="35" t="n"/>
      <c r="AR18" s="35" t="n"/>
      <c r="AS18" s="122" t="n"/>
      <c r="AT18" s="35" t="n">
        <v>603</v>
      </c>
      <c r="AU18" s="35" t="inlineStr">
        <is>
          <t>早藤果樹園芸</t>
        </is>
      </c>
    </row>
    <row r="19">
      <c r="A19" s="14" t="inlineStr">
        <is>
          <t>1049-32</t>
        </is>
      </c>
      <c r="B19" s="5" t="inlineStr">
        <is>
          <t>■有機レモン 格外 10kg (和歌山)</t>
        </is>
      </c>
      <c r="C19" s="36" t="n">
        <v>2</v>
      </c>
      <c r="D19" s="36" t="n">
        <v>0</v>
      </c>
      <c r="E19" s="5" t="n">
        <v>0</v>
      </c>
      <c r="F19" s="191">
        <f>D19-E19+C19</f>
        <v/>
      </c>
      <c r="G19" s="192" t="n">
        <v>0</v>
      </c>
      <c r="H19" s="191">
        <f>F19+G19</f>
        <v/>
      </c>
      <c r="I19" s="36" t="n">
        <v>0</v>
      </c>
      <c r="J19" s="5" t="n">
        <v>0</v>
      </c>
      <c r="K19" s="191">
        <f>I19-J19+H19</f>
        <v/>
      </c>
      <c r="L19" s="192" t="n">
        <v>0</v>
      </c>
      <c r="M19" s="191">
        <f>K19+L19</f>
        <v/>
      </c>
      <c r="N19" s="36" t="n">
        <v>0</v>
      </c>
      <c r="O19" s="5" t="n">
        <v>0</v>
      </c>
      <c r="P19" s="191">
        <f>N19-O19+M19</f>
        <v/>
      </c>
      <c r="Q19" s="192" t="n">
        <v>0</v>
      </c>
      <c r="R19" s="191">
        <f>P19+Q19</f>
        <v/>
      </c>
      <c r="S19" s="36" t="n">
        <v>0</v>
      </c>
      <c r="T19" s="5" t="n">
        <v>0</v>
      </c>
      <c r="U19" s="191">
        <f>S19-T19+R19</f>
        <v/>
      </c>
      <c r="V19" s="192" t="n">
        <v>0</v>
      </c>
      <c r="W19" s="191">
        <f>U19+V19</f>
        <v/>
      </c>
      <c r="X19" s="36" t="n">
        <v>0</v>
      </c>
      <c r="Y19" s="5" t="n">
        <v>0</v>
      </c>
      <c r="Z19" s="191">
        <f>X19-Y19+W19</f>
        <v/>
      </c>
      <c r="AA19" s="192" t="n">
        <v>0</v>
      </c>
      <c r="AB19" s="191">
        <f>Z19+AA19</f>
        <v/>
      </c>
      <c r="AC19" s="36" t="n">
        <v>0</v>
      </c>
      <c r="AD19" s="5" t="n">
        <v>0</v>
      </c>
      <c r="AE19" s="191">
        <f>AC19-AD19+AB19</f>
        <v/>
      </c>
      <c r="AF19" s="192" t="n">
        <v>0</v>
      </c>
      <c r="AG19" s="191">
        <f>AE19+AF19</f>
        <v/>
      </c>
      <c r="AH19" s="36" t="n">
        <v>0</v>
      </c>
      <c r="AI19" s="5" t="n">
        <v>0</v>
      </c>
      <c r="AJ19" s="191">
        <f>AH19-AI19+AG19</f>
        <v/>
      </c>
      <c r="AK19" s="192" t="n">
        <v>0</v>
      </c>
      <c r="AL19" s="191">
        <f>AJ19+AK19</f>
        <v/>
      </c>
      <c r="AM19" s="35" t="inlineStr">
        <is>
          <t>和歌山</t>
        </is>
      </c>
      <c r="AN19" s="35" t="inlineStr">
        <is>
          <t>箱</t>
        </is>
      </c>
      <c r="AO19" s="5" t="n">
        <v>0</v>
      </c>
      <c r="AP19" s="5" t="n">
        <v>0</v>
      </c>
      <c r="AQ19" s="35" t="inlineStr">
        <is>
          <t>○</t>
        </is>
      </c>
      <c r="AR19" s="35" t="n"/>
      <c r="AS19" s="122" t="n"/>
      <c r="AT19" s="35" t="n">
        <v>596</v>
      </c>
      <c r="AU19" s="35" t="inlineStr">
        <is>
          <t>和歌山有機の会</t>
        </is>
      </c>
    </row>
    <row r="20">
      <c r="A20" s="14" t="inlineStr">
        <is>
          <t>1049-47</t>
        </is>
      </c>
      <c r="B20" s="5" t="inlineStr">
        <is>
          <t>■有機レモン 5kg（中川栄）</t>
        </is>
      </c>
      <c r="C20" s="36" t="n">
        <v>1</v>
      </c>
      <c r="D20" s="36" t="n">
        <v>0</v>
      </c>
      <c r="E20" s="5" t="n">
        <v>0</v>
      </c>
      <c r="F20" s="191">
        <f>D20-E20+C20</f>
        <v/>
      </c>
      <c r="G20" s="192" t="n">
        <v>0</v>
      </c>
      <c r="H20" s="191">
        <f>F20+G20</f>
        <v/>
      </c>
      <c r="I20" s="36" t="n">
        <v>0</v>
      </c>
      <c r="J20" s="5" t="n">
        <v>0</v>
      </c>
      <c r="K20" s="191">
        <f>I20-J20+H20</f>
        <v/>
      </c>
      <c r="L20" s="192" t="n">
        <v>0</v>
      </c>
      <c r="M20" s="191">
        <f>K20+L20</f>
        <v/>
      </c>
      <c r="N20" s="36" t="n">
        <v>0</v>
      </c>
      <c r="O20" s="5" t="n">
        <v>0</v>
      </c>
      <c r="P20" s="191">
        <f>N20-O20+M20</f>
        <v/>
      </c>
      <c r="Q20" s="192" t="n">
        <v>0</v>
      </c>
      <c r="R20" s="191">
        <f>P20+Q20</f>
        <v/>
      </c>
      <c r="S20" s="36" t="n">
        <v>0</v>
      </c>
      <c r="T20" s="5" t="n">
        <v>0</v>
      </c>
      <c r="U20" s="191">
        <f>S20-T20+R20</f>
        <v/>
      </c>
      <c r="V20" s="192" t="n">
        <v>0</v>
      </c>
      <c r="W20" s="191">
        <f>U20+V20</f>
        <v/>
      </c>
      <c r="X20" s="36" t="n">
        <v>0</v>
      </c>
      <c r="Y20" s="5" t="n">
        <v>0</v>
      </c>
      <c r="Z20" s="191">
        <f>X20-Y20+W20</f>
        <v/>
      </c>
      <c r="AA20" s="192" t="n">
        <v>0</v>
      </c>
      <c r="AB20" s="191">
        <f>Z20+AA20</f>
        <v/>
      </c>
      <c r="AC20" s="36" t="n">
        <v>0</v>
      </c>
      <c r="AD20" s="5" t="n">
        <v>0</v>
      </c>
      <c r="AE20" s="191">
        <f>AC20-AD20+AB20</f>
        <v/>
      </c>
      <c r="AF20" s="192" t="n">
        <v>0</v>
      </c>
      <c r="AG20" s="191">
        <f>AE20+AF20</f>
        <v/>
      </c>
      <c r="AH20" s="36" t="n">
        <v>0</v>
      </c>
      <c r="AI20" s="5" t="n">
        <v>0</v>
      </c>
      <c r="AJ20" s="191">
        <f>AH20-AI20+AG20</f>
        <v/>
      </c>
      <c r="AK20" s="192" t="n">
        <v>0</v>
      </c>
      <c r="AL20" s="191">
        <f>AJ20+AK20</f>
        <v/>
      </c>
      <c r="AM20" s="35" t="inlineStr">
        <is>
          <t>愛媛</t>
        </is>
      </c>
      <c r="AN20" s="35" t="inlineStr">
        <is>
          <t>箱</t>
        </is>
      </c>
      <c r="AO20" s="5" t="n">
        <v>0</v>
      </c>
      <c r="AP20" s="5" t="n">
        <v>0</v>
      </c>
      <c r="AQ20" s="35" t="inlineStr">
        <is>
          <t>○</t>
        </is>
      </c>
      <c r="AR20" s="35" t="n"/>
      <c r="AS20" s="122" t="n"/>
      <c r="AT20" s="35" t="n">
        <v>175</v>
      </c>
      <c r="AU20" s="35" t="inlineStr">
        <is>
          <t>㈱自然農法販売協同機構</t>
        </is>
      </c>
    </row>
    <row r="21">
      <c r="A21" s="14" t="inlineStr">
        <is>
          <t>1049-67</t>
        </is>
      </c>
      <c r="B21" s="5" t="inlineStr">
        <is>
          <t>有機レモン 1kg袋 (中川栄)◇</t>
        </is>
      </c>
      <c r="C21" s="36" t="n">
        <v>0</v>
      </c>
      <c r="D21" s="36" t="n">
        <v>0</v>
      </c>
      <c r="E21" s="5" t="n">
        <v>0</v>
      </c>
      <c r="F21" s="191">
        <f>D21-E21+C21</f>
        <v/>
      </c>
      <c r="G21" s="192" t="n">
        <v>0</v>
      </c>
      <c r="H21" s="191">
        <f>F21+G21</f>
        <v/>
      </c>
      <c r="I21" s="36" t="n">
        <v>10</v>
      </c>
      <c r="J21" s="5" t="n">
        <v>9</v>
      </c>
      <c r="K21" s="191">
        <f>I21-J21+H21</f>
        <v/>
      </c>
      <c r="L21" s="192" t="n">
        <v>0</v>
      </c>
      <c r="M21" s="191">
        <f>K21+L21</f>
        <v/>
      </c>
      <c r="N21" s="36" t="n">
        <v>0</v>
      </c>
      <c r="O21" s="5" t="n">
        <v>3</v>
      </c>
      <c r="P21" s="191">
        <f>N21-O21+M21</f>
        <v/>
      </c>
      <c r="Q21" s="192" t="n">
        <v>0</v>
      </c>
      <c r="R21" s="191">
        <f>P21+Q21</f>
        <v/>
      </c>
      <c r="S21" s="36" t="n">
        <v>0</v>
      </c>
      <c r="T21" s="5" t="n">
        <v>9</v>
      </c>
      <c r="U21" s="191">
        <f>S21-T21+R21</f>
        <v/>
      </c>
      <c r="V21" s="192" t="n">
        <v>0</v>
      </c>
      <c r="W21" s="191">
        <f>U21+V21</f>
        <v/>
      </c>
      <c r="X21" s="36" t="n">
        <v>0</v>
      </c>
      <c r="Y21" s="5" t="n">
        <v>2</v>
      </c>
      <c r="Z21" s="191">
        <f>X21-Y21+W21</f>
        <v/>
      </c>
      <c r="AA21" s="192" t="n">
        <v>0</v>
      </c>
      <c r="AB21" s="191">
        <f>Z21+AA21</f>
        <v/>
      </c>
      <c r="AC21" s="36" t="n">
        <v>0</v>
      </c>
      <c r="AD21" s="5" t="n">
        <v>5</v>
      </c>
      <c r="AE21" s="191">
        <f>AC21-AD21+AB21</f>
        <v/>
      </c>
      <c r="AF21" s="192" t="n">
        <v>0</v>
      </c>
      <c r="AG21" s="191">
        <f>AE21+AF21</f>
        <v/>
      </c>
      <c r="AH21" s="36" t="n">
        <v>0</v>
      </c>
      <c r="AI21" s="5" t="n">
        <v>4</v>
      </c>
      <c r="AJ21" s="191">
        <f>AH21-AI21+AG21</f>
        <v/>
      </c>
      <c r="AK21" s="192" t="n">
        <v>0</v>
      </c>
      <c r="AL21" s="191">
        <f>AJ21+AK21</f>
        <v/>
      </c>
      <c r="AM21" s="35" t="inlineStr">
        <is>
          <t>愛媛</t>
        </is>
      </c>
      <c r="AN21" s="35" t="inlineStr">
        <is>
          <t>こもの</t>
        </is>
      </c>
      <c r="AO21" s="5" t="n">
        <v>780</v>
      </c>
      <c r="AP21" s="5" t="n">
        <v>0</v>
      </c>
      <c r="AQ21" s="35" t="n"/>
      <c r="AR21" s="35" t="n"/>
      <c r="AS21" s="122" t="n"/>
      <c r="AT21" s="35" t="n">
        <v>662</v>
      </c>
      <c r="AU21" s="35" t="inlineStr">
        <is>
          <t>中川有機農園　中川栄</t>
        </is>
      </c>
    </row>
    <row r="22">
      <c r="A22" s="14" t="inlineStr">
        <is>
          <t>1049-84</t>
        </is>
      </c>
      <c r="B22" s="5" t="inlineStr">
        <is>
          <t>■有機レモン B 10kg (中川栄)</t>
        </is>
      </c>
      <c r="C22" s="36" t="n">
        <v>6</v>
      </c>
      <c r="D22" s="36" t="n">
        <v>0</v>
      </c>
      <c r="E22" s="5" t="n">
        <v>0</v>
      </c>
      <c r="F22" s="191">
        <f>D22-E22+C22</f>
        <v/>
      </c>
      <c r="G22" s="192" t="n">
        <v>0</v>
      </c>
      <c r="H22" s="191">
        <f>F22+G22</f>
        <v/>
      </c>
      <c r="I22" s="36" t="n">
        <v>0</v>
      </c>
      <c r="J22" s="5" t="n">
        <v>0</v>
      </c>
      <c r="K22" s="191">
        <f>I22-J22+H22</f>
        <v/>
      </c>
      <c r="L22" s="192" t="n">
        <v>0</v>
      </c>
      <c r="M22" s="191">
        <f>K22+L22</f>
        <v/>
      </c>
      <c r="N22" s="36" t="n">
        <v>0</v>
      </c>
      <c r="O22" s="5" t="n">
        <v>0</v>
      </c>
      <c r="P22" s="191">
        <f>N22-O22+M22</f>
        <v/>
      </c>
      <c r="Q22" s="192" t="n">
        <v>0</v>
      </c>
      <c r="R22" s="191">
        <f>P22+Q22</f>
        <v/>
      </c>
      <c r="S22" s="36" t="n">
        <v>0</v>
      </c>
      <c r="T22" s="5" t="n">
        <v>0</v>
      </c>
      <c r="U22" s="191">
        <f>S22-T22+R22</f>
        <v/>
      </c>
      <c r="V22" s="192" t="n">
        <v>0</v>
      </c>
      <c r="W22" s="191">
        <f>U22+V22</f>
        <v/>
      </c>
      <c r="X22" s="36" t="n">
        <v>0</v>
      </c>
      <c r="Y22" s="5" t="n">
        <v>0</v>
      </c>
      <c r="Z22" s="191">
        <f>X22-Y22+W22</f>
        <v/>
      </c>
      <c r="AA22" s="192" t="n">
        <v>0</v>
      </c>
      <c r="AB22" s="191">
        <f>Z22+AA22</f>
        <v/>
      </c>
      <c r="AC22" s="36" t="n">
        <v>0</v>
      </c>
      <c r="AD22" s="5" t="n">
        <v>0</v>
      </c>
      <c r="AE22" s="191">
        <f>AC22-AD22+AB22</f>
        <v/>
      </c>
      <c r="AF22" s="192" t="n">
        <v>0</v>
      </c>
      <c r="AG22" s="191">
        <f>AE22+AF22</f>
        <v/>
      </c>
      <c r="AH22" s="36" t="n">
        <v>0</v>
      </c>
      <c r="AI22" s="5" t="n">
        <v>0</v>
      </c>
      <c r="AJ22" s="191">
        <f>AH22-AI22+AG22</f>
        <v/>
      </c>
      <c r="AK22" s="192" t="n">
        <v>0</v>
      </c>
      <c r="AL22" s="191">
        <f>AJ22+AK22</f>
        <v/>
      </c>
      <c r="AM22" s="35" t="inlineStr">
        <is>
          <t>愛媛</t>
        </is>
      </c>
      <c r="AN22" s="35" t="inlineStr">
        <is>
          <t>箱</t>
        </is>
      </c>
      <c r="AO22" s="5" t="n">
        <v>0</v>
      </c>
      <c r="AP22" s="5" t="n">
        <v>0</v>
      </c>
      <c r="AQ22" s="35" t="inlineStr">
        <is>
          <t>○</t>
        </is>
      </c>
      <c r="AR22" s="35" t="n"/>
      <c r="AS22" s="122" t="n"/>
      <c r="AT22" s="35" t="n">
        <v>662</v>
      </c>
      <c r="AU22" s="35" t="inlineStr">
        <is>
          <t>中川有機農園　中川栄</t>
        </is>
      </c>
    </row>
    <row r="23">
      <c r="A23" s="14" t="inlineStr">
        <is>
          <t>1049-85</t>
        </is>
      </c>
      <c r="B23" s="5" t="inlineStr">
        <is>
          <t>■有機レモン 10kg (中川栄)◇</t>
        </is>
      </c>
      <c r="C23" s="36" t="n">
        <v>0</v>
      </c>
      <c r="D23" s="36" t="n">
        <v>0</v>
      </c>
      <c r="E23" s="5" t="n">
        <v>0</v>
      </c>
      <c r="F23" s="191">
        <f>D23-E23+C23</f>
        <v/>
      </c>
      <c r="G23" s="192" t="n">
        <v>0</v>
      </c>
      <c r="H23" s="191">
        <f>F23+G23</f>
        <v/>
      </c>
      <c r="I23" s="36" t="n">
        <v>1</v>
      </c>
      <c r="J23" s="5" t="n">
        <v>1</v>
      </c>
      <c r="K23" s="191">
        <f>I23-J23+H23</f>
        <v/>
      </c>
      <c r="L23" s="192" t="n">
        <v>0</v>
      </c>
      <c r="M23" s="191">
        <f>K23+L23</f>
        <v/>
      </c>
      <c r="N23" s="36" t="n">
        <v>0</v>
      </c>
      <c r="O23" s="5" t="n">
        <v>0</v>
      </c>
      <c r="P23" s="191">
        <f>N23-O23+M23</f>
        <v/>
      </c>
      <c r="Q23" s="192" t="n">
        <v>0</v>
      </c>
      <c r="R23" s="191">
        <f>P23+Q23</f>
        <v/>
      </c>
      <c r="S23" s="36" t="n">
        <v>0</v>
      </c>
      <c r="T23" s="5" t="n">
        <v>0</v>
      </c>
      <c r="U23" s="191">
        <f>S23-T23+R23</f>
        <v/>
      </c>
      <c r="V23" s="192" t="n">
        <v>0</v>
      </c>
      <c r="W23" s="191">
        <f>U23+V23</f>
        <v/>
      </c>
      <c r="X23" s="36" t="n">
        <v>0</v>
      </c>
      <c r="Y23" s="5" t="n">
        <v>0</v>
      </c>
      <c r="Z23" s="191">
        <f>X23-Y23+W23</f>
        <v/>
      </c>
      <c r="AA23" s="192" t="n">
        <v>0</v>
      </c>
      <c r="AB23" s="191">
        <f>Z23+AA23</f>
        <v/>
      </c>
      <c r="AC23" s="36" t="n">
        <v>0</v>
      </c>
      <c r="AD23" s="5" t="n">
        <v>1</v>
      </c>
      <c r="AE23" s="191">
        <f>AC23-AD23+AB23</f>
        <v/>
      </c>
      <c r="AF23" s="192" t="n">
        <v>0</v>
      </c>
      <c r="AG23" s="191">
        <f>AE23+AF23</f>
        <v/>
      </c>
      <c r="AH23" s="36" t="n">
        <v>0</v>
      </c>
      <c r="AI23" s="5" t="n">
        <v>0</v>
      </c>
      <c r="AJ23" s="191">
        <f>AH23-AI23+AG23</f>
        <v/>
      </c>
      <c r="AK23" s="192" t="n">
        <v>0</v>
      </c>
      <c r="AL23" s="191">
        <f>AJ23+AK23</f>
        <v/>
      </c>
      <c r="AM23" s="35" t="inlineStr">
        <is>
          <t>愛媛</t>
        </is>
      </c>
      <c r="AN23" s="35" t="inlineStr">
        <is>
          <t>箱</t>
        </is>
      </c>
      <c r="AO23" s="163" t="n">
        <v>7000</v>
      </c>
      <c r="AP23" s="5" t="n">
        <v>0</v>
      </c>
      <c r="AQ23" s="35" t="n"/>
      <c r="AR23" s="35" t="n"/>
      <c r="AS23" s="122" t="n"/>
      <c r="AT23" s="35" t="n">
        <v>662</v>
      </c>
      <c r="AU23" s="35" t="inlineStr">
        <is>
          <t>中川有機農園　中川栄</t>
        </is>
      </c>
    </row>
    <row r="24">
      <c r="A24" s="14" t="inlineStr">
        <is>
          <t>1049-99</t>
        </is>
      </c>
      <c r="B24" s="5" t="inlineStr">
        <is>
          <t>有機レモン １個袋(中川栄)◇</t>
        </is>
      </c>
      <c r="C24" s="36" t="n">
        <v>5</v>
      </c>
      <c r="D24" s="36" t="n">
        <v>0</v>
      </c>
      <c r="E24" s="5" t="n">
        <v>0</v>
      </c>
      <c r="F24" s="191">
        <f>D24-E24+C24</f>
        <v/>
      </c>
      <c r="G24" s="192" t="n">
        <v>0</v>
      </c>
      <c r="H24" s="191">
        <f>F24+G24</f>
        <v/>
      </c>
      <c r="I24" s="36" t="n">
        <v>0</v>
      </c>
      <c r="J24" s="5" t="n">
        <v>4</v>
      </c>
      <c r="K24" s="191">
        <f>I24-J24+H24</f>
        <v/>
      </c>
      <c r="L24" s="192" t="n">
        <v>0</v>
      </c>
      <c r="M24" s="191">
        <f>K24+L24</f>
        <v/>
      </c>
      <c r="N24" s="36" t="n">
        <v>0</v>
      </c>
      <c r="O24" s="5" t="n">
        <v>4</v>
      </c>
      <c r="P24" s="191">
        <f>N24-O24+M24</f>
        <v/>
      </c>
      <c r="Q24" s="192" t="n">
        <v>0</v>
      </c>
      <c r="R24" s="191">
        <f>P24+Q24</f>
        <v/>
      </c>
      <c r="S24" s="36" t="n">
        <v>0</v>
      </c>
      <c r="T24" s="5" t="n">
        <v>4</v>
      </c>
      <c r="U24" s="191">
        <f>S24-T24+R24</f>
        <v/>
      </c>
      <c r="V24" s="192" t="n">
        <v>0</v>
      </c>
      <c r="W24" s="191">
        <f>U24+V24</f>
        <v/>
      </c>
      <c r="X24" s="36" t="n">
        <v>0</v>
      </c>
      <c r="Y24" s="5" t="n">
        <v>4</v>
      </c>
      <c r="Z24" s="191">
        <f>X24-Y24+W24</f>
        <v/>
      </c>
      <c r="AA24" s="192" t="n">
        <v>0</v>
      </c>
      <c r="AB24" s="191">
        <f>Z24+AA24</f>
        <v/>
      </c>
      <c r="AC24" s="36" t="n">
        <v>0</v>
      </c>
      <c r="AD24" s="5" t="n">
        <v>4</v>
      </c>
      <c r="AE24" s="191">
        <f>AC24-AD24+AB24</f>
        <v/>
      </c>
      <c r="AF24" s="192" t="n">
        <v>0</v>
      </c>
      <c r="AG24" s="191">
        <f>AE24+AF24</f>
        <v/>
      </c>
      <c r="AH24" s="36" t="n">
        <v>0</v>
      </c>
      <c r="AI24" s="5" t="n">
        <v>8</v>
      </c>
      <c r="AJ24" s="191">
        <f>AH24-AI24+AG24</f>
        <v/>
      </c>
      <c r="AK24" s="192" t="n">
        <v>0</v>
      </c>
      <c r="AL24" s="191">
        <f>AJ24+AK24</f>
        <v/>
      </c>
      <c r="AM24" s="35" t="inlineStr">
        <is>
          <t>愛媛</t>
        </is>
      </c>
      <c r="AN24" s="35" t="inlineStr">
        <is>
          <t>こもの</t>
        </is>
      </c>
      <c r="AO24" s="5" t="n">
        <v>150</v>
      </c>
      <c r="AP24" s="5" t="n">
        <v>0</v>
      </c>
      <c r="AQ24" s="35" t="n"/>
      <c r="AR24" s="35" t="n"/>
      <c r="AS24" s="122" t="n">
        <v>4580450000000</v>
      </c>
      <c r="AT24" s="35" t="n">
        <v>662</v>
      </c>
      <c r="AU24" s="35" t="inlineStr">
        <is>
          <t>中川有機農園　中川栄</t>
        </is>
      </c>
    </row>
    <row r="25">
      <c r="A25" s="14" t="inlineStr">
        <is>
          <t>1050-25</t>
        </is>
      </c>
      <c r="B25" s="5" t="inlineStr">
        <is>
          <t>■河内晩柑　９kg箱(大矢野)8割減・不</t>
        </is>
      </c>
      <c r="C25" s="36" t="n">
        <v>3</v>
      </c>
      <c r="D25" s="36" t="n">
        <v>20</v>
      </c>
      <c r="E25" s="5" t="n">
        <v>0</v>
      </c>
      <c r="F25" s="191">
        <f>D25-E25+C25</f>
        <v/>
      </c>
      <c r="G25" s="192" t="n">
        <v>0</v>
      </c>
      <c r="H25" s="191">
        <f>F25+G25</f>
        <v/>
      </c>
      <c r="I25" s="36" t="n">
        <v>0</v>
      </c>
      <c r="J25" s="5" t="n">
        <v>6</v>
      </c>
      <c r="K25" s="191">
        <f>I25-J25+H25</f>
        <v/>
      </c>
      <c r="L25" s="192" t="n">
        <v>0</v>
      </c>
      <c r="M25" s="191">
        <f>K25+L25</f>
        <v/>
      </c>
      <c r="N25" s="36" t="n">
        <v>0</v>
      </c>
      <c r="O25" s="5" t="n">
        <v>2</v>
      </c>
      <c r="P25" s="191">
        <f>N25-O25+M25</f>
        <v/>
      </c>
      <c r="Q25" s="192" t="n">
        <v>0</v>
      </c>
      <c r="R25" s="191">
        <f>P25+Q25</f>
        <v/>
      </c>
      <c r="S25" s="36" t="n">
        <v>0</v>
      </c>
      <c r="T25" s="5" t="n">
        <v>6</v>
      </c>
      <c r="U25" s="191">
        <f>S25-T25+R25</f>
        <v/>
      </c>
      <c r="V25" s="192" t="n">
        <v>0</v>
      </c>
      <c r="W25" s="191">
        <f>U25+V25</f>
        <v/>
      </c>
      <c r="X25" s="36" t="n">
        <v>0</v>
      </c>
      <c r="Y25" s="5" t="n">
        <v>1</v>
      </c>
      <c r="Z25" s="191">
        <f>X25-Y25+W25</f>
        <v/>
      </c>
      <c r="AA25" s="192" t="n">
        <v>0</v>
      </c>
      <c r="AB25" s="191">
        <f>Z25+AA25</f>
        <v/>
      </c>
      <c r="AC25" s="36" t="n">
        <v>20</v>
      </c>
      <c r="AD25" s="5" t="n">
        <v>1</v>
      </c>
      <c r="AE25" s="191">
        <f>AC25-AD25+AB25</f>
        <v/>
      </c>
      <c r="AF25" s="192" t="n">
        <v>0</v>
      </c>
      <c r="AG25" s="191">
        <f>AE25+AF25</f>
        <v/>
      </c>
      <c r="AH25" s="36" t="n">
        <v>0</v>
      </c>
      <c r="AI25" s="5" t="n">
        <v>5</v>
      </c>
      <c r="AJ25" s="191">
        <f>AH25-AI25+AG25</f>
        <v/>
      </c>
      <c r="AK25" s="192" t="n">
        <v>0</v>
      </c>
      <c r="AL25" s="191">
        <f>AJ25+AK25</f>
        <v/>
      </c>
      <c r="AM25" s="35" t="inlineStr">
        <is>
          <t>熊本</t>
        </is>
      </c>
      <c r="AN25" s="35" t="inlineStr">
        <is>
          <t>箱</t>
        </is>
      </c>
      <c r="AO25" s="163" t="n">
        <v>3800</v>
      </c>
      <c r="AP25" s="5" t="n">
        <v>0</v>
      </c>
      <c r="AQ25" s="35" t="inlineStr">
        <is>
          <t>○</t>
        </is>
      </c>
      <c r="AR25" s="35" t="n"/>
      <c r="AS25" s="122" t="n"/>
      <c r="AT25" s="35" t="n"/>
      <c r="AU25" s="35" t="n"/>
    </row>
    <row r="26">
      <c r="A26" s="14" t="inlineStr">
        <is>
          <t>1050-26</t>
        </is>
      </c>
      <c r="B26" s="5" t="inlineStr">
        <is>
          <t>河内晩柑　600ｇ（大矢野有機）◇</t>
        </is>
      </c>
      <c r="C26" s="36" t="n">
        <v>24</v>
      </c>
      <c r="D26" s="36" t="n">
        <v>0</v>
      </c>
      <c r="E26" s="5" t="n">
        <v>0</v>
      </c>
      <c r="F26" s="191">
        <f>D26-E26+C26</f>
        <v/>
      </c>
      <c r="G26" s="192" t="n">
        <v>0</v>
      </c>
      <c r="H26" s="191">
        <f>F26+G26</f>
        <v/>
      </c>
      <c r="I26" s="36" t="n">
        <v>0</v>
      </c>
      <c r="J26" s="5" t="n">
        <v>20</v>
      </c>
      <c r="K26" s="191">
        <f>I26-J26+H26</f>
        <v/>
      </c>
      <c r="L26" s="192" t="n">
        <v>0</v>
      </c>
      <c r="M26" s="191">
        <f>K26+L26</f>
        <v/>
      </c>
      <c r="N26" s="36" t="n">
        <v>0</v>
      </c>
      <c r="O26" s="5" t="n">
        <v>0</v>
      </c>
      <c r="P26" s="191">
        <f>N26-O26+M26</f>
        <v/>
      </c>
      <c r="Q26" s="192" t="n">
        <v>0</v>
      </c>
      <c r="R26" s="191">
        <f>P26+Q26</f>
        <v/>
      </c>
      <c r="S26" s="36" t="n">
        <v>0</v>
      </c>
      <c r="T26" s="5" t="n">
        <v>5</v>
      </c>
      <c r="U26" s="191">
        <f>S26-T26+R26</f>
        <v/>
      </c>
      <c r="V26" s="192" t="n">
        <v>0</v>
      </c>
      <c r="W26" s="191">
        <f>U26+V26</f>
        <v/>
      </c>
      <c r="X26" s="36" t="n">
        <v>0</v>
      </c>
      <c r="Y26" s="5" t="n">
        <v>0</v>
      </c>
      <c r="Z26" s="191">
        <f>X26-Y26+W26</f>
        <v/>
      </c>
      <c r="AA26" s="192" t="n">
        <v>0</v>
      </c>
      <c r="AB26" s="191">
        <f>Z26+AA26</f>
        <v/>
      </c>
      <c r="AC26" s="36" t="n">
        <v>0</v>
      </c>
      <c r="AD26" s="5" t="n">
        <v>0</v>
      </c>
      <c r="AE26" s="191">
        <f>AC26-AD26+AB26</f>
        <v/>
      </c>
      <c r="AF26" s="192" t="n">
        <v>0</v>
      </c>
      <c r="AG26" s="191">
        <f>AE26+AF26</f>
        <v/>
      </c>
      <c r="AH26" s="36" t="n">
        <v>0</v>
      </c>
      <c r="AI26" s="5" t="n">
        <v>10</v>
      </c>
      <c r="AJ26" s="191">
        <f>AH26-AI26+AG26</f>
        <v/>
      </c>
      <c r="AK26" s="192" t="n">
        <v>0</v>
      </c>
      <c r="AL26" s="191">
        <f>AJ26+AK26</f>
        <v/>
      </c>
      <c r="AM26" s="35" t="inlineStr">
        <is>
          <t>熊本</t>
        </is>
      </c>
      <c r="AN26" s="35" t="inlineStr">
        <is>
          <t>こもの</t>
        </is>
      </c>
      <c r="AO26" s="5" t="n">
        <v>380</v>
      </c>
      <c r="AP26" s="5" t="n">
        <v>0</v>
      </c>
      <c r="AQ26" s="35" t="n"/>
      <c r="AR26" s="35" t="n"/>
      <c r="AS26" s="122" t="n"/>
      <c r="AT26" s="35" t="n"/>
      <c r="AU26" s="35" t="n"/>
    </row>
    <row r="27">
      <c r="A27" s="14" t="inlineStr">
        <is>
          <t>1063-6</t>
        </is>
      </c>
      <c r="B27" s="5" t="inlineStr">
        <is>
          <t>□りんご「ｼﾅﾉｺﾞｰﾙﾄﾞ」5kg(片桐)</t>
        </is>
      </c>
      <c r="C27" s="36" t="n">
        <v>1</v>
      </c>
      <c r="D27" s="36" t="n">
        <v>0</v>
      </c>
      <c r="E27" s="5" t="n">
        <v>0</v>
      </c>
      <c r="F27" s="191">
        <f>D27-E27+C27</f>
        <v/>
      </c>
      <c r="G27" s="192" t="n">
        <v>0</v>
      </c>
      <c r="H27" s="191">
        <f>F27+G27</f>
        <v/>
      </c>
      <c r="I27" s="36" t="n">
        <v>0</v>
      </c>
      <c r="J27" s="5" t="n">
        <v>1</v>
      </c>
      <c r="K27" s="191">
        <f>I27-J27+H27</f>
        <v/>
      </c>
      <c r="L27" s="192" t="n">
        <v>0</v>
      </c>
      <c r="M27" s="191">
        <f>K27+L27</f>
        <v/>
      </c>
      <c r="N27" s="36" t="n">
        <v>0</v>
      </c>
      <c r="O27" s="5" t="n">
        <v>0</v>
      </c>
      <c r="P27" s="191">
        <f>N27-O27+M27</f>
        <v/>
      </c>
      <c r="Q27" s="192" t="n">
        <v>0</v>
      </c>
      <c r="R27" s="191">
        <f>P27+Q27</f>
        <v/>
      </c>
      <c r="S27" s="36" t="n">
        <v>0</v>
      </c>
      <c r="T27" s="5" t="n">
        <v>0</v>
      </c>
      <c r="U27" s="191">
        <f>S27-T27+R27</f>
        <v/>
      </c>
      <c r="V27" s="192" t="n">
        <v>0</v>
      </c>
      <c r="W27" s="191">
        <f>U27+V27</f>
        <v/>
      </c>
      <c r="X27" s="36" t="n">
        <v>0</v>
      </c>
      <c r="Y27" s="5" t="n">
        <v>0</v>
      </c>
      <c r="Z27" s="191">
        <f>X27-Y27+W27</f>
        <v/>
      </c>
      <c r="AA27" s="192" t="n">
        <v>0</v>
      </c>
      <c r="AB27" s="191">
        <f>Z27+AA27</f>
        <v/>
      </c>
      <c r="AC27" s="36" t="n">
        <v>0</v>
      </c>
      <c r="AD27" s="5" t="n">
        <v>0</v>
      </c>
      <c r="AE27" s="191">
        <f>AC27-AD27+AB27</f>
        <v/>
      </c>
      <c r="AF27" s="192" t="n">
        <v>0</v>
      </c>
      <c r="AG27" s="191">
        <f>AE27+AF27</f>
        <v/>
      </c>
      <c r="AH27" s="36" t="n">
        <v>0</v>
      </c>
      <c r="AI27" s="5" t="n">
        <v>0</v>
      </c>
      <c r="AJ27" s="191">
        <f>AH27-AI27+AG27</f>
        <v/>
      </c>
      <c r="AK27" s="192" t="n">
        <v>0</v>
      </c>
      <c r="AL27" s="191">
        <f>AJ27+AK27</f>
        <v/>
      </c>
      <c r="AM27" s="35" t="inlineStr">
        <is>
          <t>山形</t>
        </is>
      </c>
      <c r="AN27" s="35" t="inlineStr">
        <is>
          <t>こもの</t>
        </is>
      </c>
      <c r="AO27" s="163" t="n">
        <v>3700</v>
      </c>
      <c r="AP27" s="5" t="n">
        <v>0</v>
      </c>
      <c r="AQ27" s="35" t="inlineStr">
        <is>
          <t>○</t>
        </is>
      </c>
      <c r="AR27" s="35" t="n"/>
      <c r="AS27" s="122" t="n"/>
      <c r="AT27" s="35" t="n">
        <v>505</v>
      </c>
      <c r="AU27" s="35" t="inlineStr">
        <is>
          <t>片桐農園　●</t>
        </is>
      </c>
    </row>
    <row r="28">
      <c r="A28" s="14" t="inlineStr">
        <is>
          <t>1072-3</t>
        </is>
      </c>
      <c r="B28" s="5" t="inlineStr">
        <is>
          <t>■りんご「ふじ」10ｋｇ（津軽）</t>
        </is>
      </c>
      <c r="C28" s="36" t="n">
        <v>4</v>
      </c>
      <c r="D28" s="36" t="n">
        <v>0</v>
      </c>
      <c r="E28" s="5" t="n">
        <v>0</v>
      </c>
      <c r="F28" s="191">
        <f>D28-E28+C28</f>
        <v/>
      </c>
      <c r="G28" s="192" t="n">
        <v>0</v>
      </c>
      <c r="H28" s="191">
        <f>F28+G28</f>
        <v/>
      </c>
      <c r="I28" s="36" t="n">
        <v>0</v>
      </c>
      <c r="J28" s="5" t="n">
        <v>3</v>
      </c>
      <c r="K28" s="191">
        <f>I28-J28+H28</f>
        <v/>
      </c>
      <c r="L28" s="192" t="n">
        <v>0</v>
      </c>
      <c r="M28" s="191">
        <f>K28+L28</f>
        <v/>
      </c>
      <c r="N28" s="36" t="n">
        <v>0</v>
      </c>
      <c r="O28" s="5" t="n">
        <v>0</v>
      </c>
      <c r="P28" s="191">
        <f>N28-O28+M28</f>
        <v/>
      </c>
      <c r="Q28" s="192" t="n">
        <v>0</v>
      </c>
      <c r="R28" s="191">
        <f>P28+Q28</f>
        <v/>
      </c>
      <c r="S28" s="36" t="n">
        <v>10</v>
      </c>
      <c r="T28" s="5" t="n">
        <v>2</v>
      </c>
      <c r="U28" s="191">
        <f>S28-T28+R28</f>
        <v/>
      </c>
      <c r="V28" s="192" t="n">
        <v>0</v>
      </c>
      <c r="W28" s="191">
        <f>U28+V28</f>
        <v/>
      </c>
      <c r="X28" s="36" t="n">
        <v>0</v>
      </c>
      <c r="Y28" s="5" t="n">
        <v>1</v>
      </c>
      <c r="Z28" s="191">
        <f>X28-Y28+W28</f>
        <v/>
      </c>
      <c r="AA28" s="192" t="n">
        <v>0</v>
      </c>
      <c r="AB28" s="191">
        <f>Z28+AA28</f>
        <v/>
      </c>
      <c r="AC28" s="36" t="n">
        <v>0</v>
      </c>
      <c r="AD28" s="5" t="n">
        <v>1</v>
      </c>
      <c r="AE28" s="191">
        <f>AC28-AD28+AB28</f>
        <v/>
      </c>
      <c r="AF28" s="192" t="n">
        <v>0</v>
      </c>
      <c r="AG28" s="191">
        <f>AE28+AF28</f>
        <v/>
      </c>
      <c r="AH28" s="36" t="n">
        <v>0</v>
      </c>
      <c r="AI28" s="5" t="n">
        <v>0</v>
      </c>
      <c r="AJ28" s="191">
        <f>AH28-AI28+AG28</f>
        <v/>
      </c>
      <c r="AK28" s="192" t="n">
        <v>0</v>
      </c>
      <c r="AL28" s="191">
        <f>AJ28+AK28</f>
        <v/>
      </c>
      <c r="AM28" s="35" t="inlineStr">
        <is>
          <t>青森</t>
        </is>
      </c>
      <c r="AN28" s="35" t="inlineStr">
        <is>
          <t>箱</t>
        </is>
      </c>
      <c r="AO28" s="163" t="n">
        <v>8500</v>
      </c>
      <c r="AP28" s="5" t="n">
        <v>0</v>
      </c>
      <c r="AQ28" s="35" t="inlineStr">
        <is>
          <t>○</t>
        </is>
      </c>
      <c r="AR28" s="35" t="n"/>
      <c r="AS28" s="122" t="n"/>
      <c r="AT28" s="35" t="n">
        <v>532</v>
      </c>
      <c r="AU28" s="35" t="inlineStr">
        <is>
          <t>東京新宿ベジフル㈱</t>
        </is>
      </c>
    </row>
    <row r="29">
      <c r="A29" s="14" t="inlineStr">
        <is>
          <t>1072-4</t>
        </is>
      </c>
      <c r="B29" s="5" t="inlineStr">
        <is>
          <t>■りんご「ふじ」10ｋｇの半分（津軽）</t>
        </is>
      </c>
      <c r="C29" s="36" t="n">
        <v>2</v>
      </c>
      <c r="D29" s="36" t="n">
        <v>0</v>
      </c>
      <c r="E29" s="5" t="n">
        <v>0</v>
      </c>
      <c r="F29" s="191">
        <f>D29-E29+C29</f>
        <v/>
      </c>
      <c r="G29" s="192" t="n">
        <v>0</v>
      </c>
      <c r="H29" s="191">
        <f>F29+G29</f>
        <v/>
      </c>
      <c r="I29" s="36" t="n">
        <v>0</v>
      </c>
      <c r="J29" s="5" t="n">
        <v>2</v>
      </c>
      <c r="K29" s="191">
        <f>I29-J29+H29</f>
        <v/>
      </c>
      <c r="L29" s="192" t="n">
        <v>0</v>
      </c>
      <c r="M29" s="191">
        <f>K29+L29</f>
        <v/>
      </c>
      <c r="N29" s="36" t="n">
        <v>0</v>
      </c>
      <c r="O29" s="5" t="n">
        <v>0</v>
      </c>
      <c r="P29" s="191">
        <f>N29-O29+M29</f>
        <v/>
      </c>
      <c r="Q29" s="192" t="n">
        <v>0</v>
      </c>
      <c r="R29" s="191">
        <f>P29+Q29</f>
        <v/>
      </c>
      <c r="S29" s="36" t="n">
        <v>0</v>
      </c>
      <c r="T29" s="5" t="n">
        <v>0</v>
      </c>
      <c r="U29" s="191">
        <f>S29-T29+R29</f>
        <v/>
      </c>
      <c r="V29" s="192" t="n">
        <v>0</v>
      </c>
      <c r="W29" s="191">
        <f>U29+V29</f>
        <v/>
      </c>
      <c r="X29" s="36" t="n">
        <v>0</v>
      </c>
      <c r="Y29" s="5" t="n">
        <v>0</v>
      </c>
      <c r="Z29" s="191">
        <f>X29-Y29+W29</f>
        <v/>
      </c>
      <c r="AA29" s="192" t="n">
        <v>0</v>
      </c>
      <c r="AB29" s="191">
        <f>Z29+AA29</f>
        <v/>
      </c>
      <c r="AC29" s="36" t="n">
        <v>0</v>
      </c>
      <c r="AD29" s="5" t="n">
        <v>0</v>
      </c>
      <c r="AE29" s="191">
        <f>AC29-AD29+AB29</f>
        <v/>
      </c>
      <c r="AF29" s="192" t="n">
        <v>0</v>
      </c>
      <c r="AG29" s="191">
        <f>AE29+AF29</f>
        <v/>
      </c>
      <c r="AH29" s="36" t="n">
        <v>0</v>
      </c>
      <c r="AI29" s="5" t="n">
        <v>0</v>
      </c>
      <c r="AJ29" s="191">
        <f>AH29-AI29+AG29</f>
        <v/>
      </c>
      <c r="AK29" s="192" t="n">
        <v>0</v>
      </c>
      <c r="AL29" s="191">
        <f>AJ29+AK29</f>
        <v/>
      </c>
      <c r="AM29" s="35" t="inlineStr">
        <is>
          <t>青森</t>
        </is>
      </c>
      <c r="AN29" s="35" t="inlineStr">
        <is>
          <t>箱</t>
        </is>
      </c>
      <c r="AO29" s="163" t="n">
        <v>8500</v>
      </c>
      <c r="AP29" s="5" t="n">
        <v>0</v>
      </c>
      <c r="AQ29" s="35" t="n"/>
      <c r="AR29" s="35" t="n"/>
      <c r="AS29" s="122" t="n"/>
      <c r="AT29" s="35" t="n">
        <v>532</v>
      </c>
      <c r="AU29" s="35" t="inlineStr">
        <is>
          <t>東京新宿ベジフル㈱</t>
        </is>
      </c>
    </row>
    <row r="30">
      <c r="A30" s="14" t="inlineStr">
        <is>
          <t>1109-9</t>
        </is>
      </c>
      <c r="B30" s="5" t="inlineStr">
        <is>
          <t>□タカミメロン ４kg箱 (長有研）</t>
        </is>
      </c>
      <c r="C30" s="36" t="n">
        <v>0</v>
      </c>
      <c r="D30" s="36" t="n">
        <v>0</v>
      </c>
      <c r="E30" s="5" t="n">
        <v>0</v>
      </c>
      <c r="F30" s="191">
        <f>D30-E30+C30</f>
        <v/>
      </c>
      <c r="G30" s="192" t="n">
        <v>0</v>
      </c>
      <c r="H30" s="191">
        <f>F30+G30</f>
        <v/>
      </c>
      <c r="I30" s="36" t="n">
        <v>10</v>
      </c>
      <c r="J30" s="5" t="n">
        <v>2</v>
      </c>
      <c r="K30" s="191">
        <f>I30-J30+H30</f>
        <v/>
      </c>
      <c r="L30" s="192" t="n">
        <v>0</v>
      </c>
      <c r="M30" s="191">
        <f>K30+L30</f>
        <v/>
      </c>
      <c r="N30" s="36" t="n">
        <v>0</v>
      </c>
      <c r="O30" s="5" t="n">
        <v>0</v>
      </c>
      <c r="P30" s="191">
        <f>N30-O30+M30</f>
        <v/>
      </c>
      <c r="Q30" s="192" t="n">
        <v>0</v>
      </c>
      <c r="R30" s="191">
        <f>P30+Q30</f>
        <v/>
      </c>
      <c r="S30" s="36" t="n">
        <v>0</v>
      </c>
      <c r="T30" s="5" t="n">
        <v>4</v>
      </c>
      <c r="U30" s="191">
        <f>S30-T30+R30</f>
        <v/>
      </c>
      <c r="V30" s="192" t="n">
        <v>0</v>
      </c>
      <c r="W30" s="191">
        <f>U30+V30</f>
        <v/>
      </c>
      <c r="X30" s="36" t="n">
        <v>10</v>
      </c>
      <c r="Y30" s="5" t="n">
        <v>1</v>
      </c>
      <c r="Z30" s="191">
        <f>X30-Y30+W30</f>
        <v/>
      </c>
      <c r="AA30" s="192" t="n">
        <v>0</v>
      </c>
      <c r="AB30" s="191">
        <f>Z30+AA30</f>
        <v/>
      </c>
      <c r="AC30" s="36" t="n">
        <v>0</v>
      </c>
      <c r="AD30" s="5" t="n">
        <v>1</v>
      </c>
      <c r="AE30" s="191">
        <f>AC30-AD30+AB30</f>
        <v/>
      </c>
      <c r="AF30" s="192" t="n">
        <v>0</v>
      </c>
      <c r="AG30" s="191">
        <f>AE30+AF30</f>
        <v/>
      </c>
      <c r="AH30" s="36" t="n">
        <v>0</v>
      </c>
      <c r="AI30" s="5" t="n">
        <v>1</v>
      </c>
      <c r="AJ30" s="191">
        <f>AH30-AI30+AG30</f>
        <v/>
      </c>
      <c r="AK30" s="192" t="n">
        <v>0</v>
      </c>
      <c r="AL30" s="191">
        <f>AJ30+AK30</f>
        <v/>
      </c>
      <c r="AM30" s="35" t="inlineStr">
        <is>
          <t>長崎</t>
        </is>
      </c>
      <c r="AN30" s="35" t="inlineStr">
        <is>
          <t>こもの</t>
        </is>
      </c>
      <c r="AO30" s="163" t="n">
        <v>3600</v>
      </c>
      <c r="AP30" s="5" t="n">
        <v>0</v>
      </c>
      <c r="AQ30" s="35" t="inlineStr">
        <is>
          <t>○</t>
        </is>
      </c>
      <c r="AR30" s="35" t="n"/>
      <c r="AS30" s="122" t="n"/>
      <c r="AT30" s="35" t="n">
        <v>172</v>
      </c>
      <c r="AU30" s="35" t="inlineStr">
        <is>
          <t>㈱長有研</t>
        </is>
      </c>
    </row>
    <row r="31">
      <c r="A31" s="14" t="inlineStr">
        <is>
          <t>1117-12</t>
        </is>
      </c>
      <c r="B31" s="5" t="inlineStr">
        <is>
          <t>□タカミレッドメロン 4kg箱 (長有研）</t>
        </is>
      </c>
      <c r="C31" s="36" t="n">
        <v>8</v>
      </c>
      <c r="D31" s="36" t="n">
        <v>0</v>
      </c>
      <c r="E31" s="5" t="n">
        <v>0</v>
      </c>
      <c r="F31" s="191">
        <f>D31-E31+C31</f>
        <v/>
      </c>
      <c r="G31" s="192" t="n">
        <v>0</v>
      </c>
      <c r="H31" s="191">
        <f>F31+G31</f>
        <v/>
      </c>
      <c r="I31" s="36" t="n">
        <v>0</v>
      </c>
      <c r="J31" s="5" t="n">
        <v>6</v>
      </c>
      <c r="K31" s="191">
        <f>I31-J31+H31</f>
        <v/>
      </c>
      <c r="L31" s="192" t="n">
        <v>0</v>
      </c>
      <c r="M31" s="191">
        <f>K31+L31</f>
        <v/>
      </c>
      <c r="N31" s="36" t="n">
        <v>5</v>
      </c>
      <c r="O31" s="5" t="n">
        <v>1</v>
      </c>
      <c r="P31" s="191">
        <f>N31-O31+M31</f>
        <v/>
      </c>
      <c r="Q31" s="192" t="n">
        <v>0</v>
      </c>
      <c r="R31" s="191">
        <f>P31+Q31</f>
        <v/>
      </c>
      <c r="S31" s="36" t="n">
        <v>0</v>
      </c>
      <c r="T31" s="5" t="n">
        <v>2</v>
      </c>
      <c r="U31" s="191">
        <f>S31-T31+R31</f>
        <v/>
      </c>
      <c r="V31" s="192" t="n">
        <v>0</v>
      </c>
      <c r="W31" s="191">
        <f>U31+V31</f>
        <v/>
      </c>
      <c r="X31" s="36" t="n">
        <v>0</v>
      </c>
      <c r="Y31" s="5" t="n">
        <v>0</v>
      </c>
      <c r="Z31" s="191">
        <f>X31-Y31+W31</f>
        <v/>
      </c>
      <c r="AA31" s="192" t="n">
        <v>0</v>
      </c>
      <c r="AB31" s="191">
        <f>Z31+AA31</f>
        <v/>
      </c>
      <c r="AC31" s="36" t="n">
        <v>0</v>
      </c>
      <c r="AD31" s="5" t="n">
        <v>2</v>
      </c>
      <c r="AE31" s="191">
        <f>AC31-AD31+AB31</f>
        <v/>
      </c>
      <c r="AF31" s="192" t="n">
        <v>0</v>
      </c>
      <c r="AG31" s="191">
        <f>AE31+AF31</f>
        <v/>
      </c>
      <c r="AH31" s="36" t="n">
        <v>0</v>
      </c>
      <c r="AI31" s="5" t="n">
        <v>0</v>
      </c>
      <c r="AJ31" s="191">
        <f>AH31-AI31+AG31</f>
        <v/>
      </c>
      <c r="AK31" s="192" t="n">
        <v>0</v>
      </c>
      <c r="AL31" s="191">
        <f>AJ31+AK31</f>
        <v/>
      </c>
      <c r="AM31" s="35" t="inlineStr">
        <is>
          <t>長崎</t>
        </is>
      </c>
      <c r="AN31" s="35" t="inlineStr">
        <is>
          <t>こもの</t>
        </is>
      </c>
      <c r="AO31" s="163" t="n">
        <v>3600</v>
      </c>
      <c r="AP31" s="5" t="n">
        <v>0</v>
      </c>
      <c r="AQ31" s="35" t="inlineStr">
        <is>
          <t>○</t>
        </is>
      </c>
      <c r="AR31" s="35" t="n"/>
      <c r="AS31" s="122" t="n"/>
      <c r="AT31" s="35" t="n">
        <v>172</v>
      </c>
      <c r="AU31" s="35" t="inlineStr">
        <is>
          <t>㈱長有研</t>
        </is>
      </c>
    </row>
    <row r="32">
      <c r="A32" s="14" t="inlineStr">
        <is>
          <t>1120-10</t>
        </is>
      </c>
      <c r="B32" s="5" t="inlineStr">
        <is>
          <t>■小玉ｽｲｶ「姫甘泉」約10kg(さんぶ)9割・不</t>
        </is>
      </c>
      <c r="C32" s="36" t="n">
        <v>20</v>
      </c>
      <c r="D32" s="36" t="n">
        <v>10</v>
      </c>
      <c r="E32" s="5" t="n">
        <v>0</v>
      </c>
      <c r="F32" s="191">
        <f>D32-E32+C32</f>
        <v/>
      </c>
      <c r="G32" s="192" t="n">
        <v>0</v>
      </c>
      <c r="H32" s="191">
        <f>F32+G32</f>
        <v/>
      </c>
      <c r="I32" s="36" t="n">
        <v>0</v>
      </c>
      <c r="J32" s="5" t="n">
        <v>0</v>
      </c>
      <c r="K32" s="191">
        <f>I32-J32+H32</f>
        <v/>
      </c>
      <c r="L32" s="192" t="n">
        <v>0</v>
      </c>
      <c r="M32" s="191">
        <f>K32+L32</f>
        <v/>
      </c>
      <c r="N32" s="36" t="n">
        <v>0</v>
      </c>
      <c r="O32" s="5" t="n">
        <v>0</v>
      </c>
      <c r="P32" s="191">
        <f>N32-O32+M32</f>
        <v/>
      </c>
      <c r="Q32" s="192" t="n">
        <v>0</v>
      </c>
      <c r="R32" s="191">
        <f>P32+Q32</f>
        <v/>
      </c>
      <c r="S32" s="36" t="n">
        <v>0</v>
      </c>
      <c r="T32" s="5" t="n">
        <v>0</v>
      </c>
      <c r="U32" s="191">
        <f>S32-T32+R32</f>
        <v/>
      </c>
      <c r="V32" s="192" t="n">
        <v>0</v>
      </c>
      <c r="W32" s="191">
        <f>U32+V32</f>
        <v/>
      </c>
      <c r="X32" s="36" t="n">
        <v>0</v>
      </c>
      <c r="Y32" s="5" t="n">
        <v>0</v>
      </c>
      <c r="Z32" s="191">
        <f>X32-Y32+W32</f>
        <v/>
      </c>
      <c r="AA32" s="192" t="n">
        <v>0</v>
      </c>
      <c r="AB32" s="191">
        <f>Z32+AA32</f>
        <v/>
      </c>
      <c r="AC32" s="36" t="n">
        <v>0</v>
      </c>
      <c r="AD32" s="5" t="n">
        <v>0</v>
      </c>
      <c r="AE32" s="191">
        <f>AC32-AD32+AB32</f>
        <v/>
      </c>
      <c r="AF32" s="192" t="n">
        <v>0</v>
      </c>
      <c r="AG32" s="191">
        <f>AE32+AF32</f>
        <v/>
      </c>
      <c r="AH32" s="36" t="n">
        <v>0</v>
      </c>
      <c r="AI32" s="5" t="n">
        <v>0</v>
      </c>
      <c r="AJ32" s="191">
        <f>AH32-AI32+AG32</f>
        <v/>
      </c>
      <c r="AK32" s="192" t="n">
        <v>0</v>
      </c>
      <c r="AL32" s="191">
        <f>AJ32+AK32</f>
        <v/>
      </c>
      <c r="AM32" s="35" t="inlineStr">
        <is>
          <t>千葉</t>
        </is>
      </c>
      <c r="AN32" s="35" t="inlineStr">
        <is>
          <t>箱</t>
        </is>
      </c>
      <c r="AO32" s="163" t="n">
        <v>5400</v>
      </c>
      <c r="AP32" s="5" t="n">
        <v>0</v>
      </c>
      <c r="AQ32" s="35" t="n"/>
      <c r="AR32" s="35" t="n"/>
      <c r="AS32" s="122" t="n">
        <v>4528947025314</v>
      </c>
      <c r="AT32" s="35" t="n">
        <v>188</v>
      </c>
      <c r="AU32" s="35" t="inlineStr">
        <is>
          <t>農事組合法人 さんぶ野菜ネットワーク</t>
        </is>
      </c>
    </row>
    <row r="33">
      <c r="A33" s="14" t="inlineStr">
        <is>
          <t>1148-149</t>
        </is>
      </c>
      <c r="B33" s="5" t="inlineStr">
        <is>
          <t>有機ｻﾝｺﾞｰﾙﾄﾞｷｳｲﾌﾙｰﾂ ３玉(ゼスプリ)◇</t>
        </is>
      </c>
      <c r="C33" s="36" t="n">
        <v>8</v>
      </c>
      <c r="D33" s="36" t="n">
        <v>0</v>
      </c>
      <c r="E33" s="5" t="n">
        <v>0</v>
      </c>
      <c r="F33" s="191">
        <f>D33-E33+C33</f>
        <v/>
      </c>
      <c r="G33" s="192" t="n">
        <v>0</v>
      </c>
      <c r="H33" s="191">
        <f>F33+G33</f>
        <v/>
      </c>
      <c r="I33" s="36" t="n">
        <v>15</v>
      </c>
      <c r="J33" s="5" t="n">
        <v>16</v>
      </c>
      <c r="K33" s="191">
        <f>I33-J33+H33</f>
        <v/>
      </c>
      <c r="L33" s="192" t="n">
        <v>0</v>
      </c>
      <c r="M33" s="191">
        <f>K33+L33</f>
        <v/>
      </c>
      <c r="N33" s="36" t="n">
        <v>16</v>
      </c>
      <c r="O33" s="5" t="n">
        <v>8</v>
      </c>
      <c r="P33" s="191">
        <f>N33-O33+M33</f>
        <v/>
      </c>
      <c r="Q33" s="192" t="n">
        <v>0</v>
      </c>
      <c r="R33" s="191">
        <f>P33+Q33</f>
        <v/>
      </c>
      <c r="S33" s="36" t="n">
        <v>16</v>
      </c>
      <c r="T33" s="5" t="n">
        <v>18</v>
      </c>
      <c r="U33" s="191">
        <f>S33-T33+R33</f>
        <v/>
      </c>
      <c r="V33" s="192" t="n">
        <v>0</v>
      </c>
      <c r="W33" s="191">
        <f>U33+V33</f>
        <v/>
      </c>
      <c r="X33" s="36" t="n">
        <v>0</v>
      </c>
      <c r="Y33" s="5" t="n">
        <v>8</v>
      </c>
      <c r="Z33" s="191">
        <f>X33-Y33+W33</f>
        <v/>
      </c>
      <c r="AA33" s="192" t="n">
        <v>0</v>
      </c>
      <c r="AB33" s="191">
        <f>Z33+AA33</f>
        <v/>
      </c>
      <c r="AC33" s="36" t="n">
        <v>16</v>
      </c>
      <c r="AD33" s="5" t="n">
        <v>9</v>
      </c>
      <c r="AE33" s="191">
        <f>AC33-AD33+AB33</f>
        <v/>
      </c>
      <c r="AF33" s="192" t="n">
        <v>0</v>
      </c>
      <c r="AG33" s="191">
        <f>AE33+AF33</f>
        <v/>
      </c>
      <c r="AH33" s="36" t="n">
        <v>16</v>
      </c>
      <c r="AI33" s="5" t="n">
        <v>17</v>
      </c>
      <c r="AJ33" s="191">
        <f>AH33-AI33+AG33</f>
        <v/>
      </c>
      <c r="AK33" s="192" t="n">
        <v>0</v>
      </c>
      <c r="AL33" s="191">
        <f>AJ33+AK33</f>
        <v/>
      </c>
      <c r="AM33" s="35" t="inlineStr">
        <is>
          <t>ﾆｭｰｼﾞｰﾗﾝﾄﾞ</t>
        </is>
      </c>
      <c r="AN33" s="35" t="inlineStr">
        <is>
          <t>こもの</t>
        </is>
      </c>
      <c r="AO33" s="5" t="n">
        <v>440</v>
      </c>
      <c r="AP33" s="5" t="n">
        <v>0</v>
      </c>
      <c r="AQ33" s="35" t="n"/>
      <c r="AR33" s="35" t="n"/>
      <c r="AS33" s="122" t="n"/>
      <c r="AT33" s="35" t="n">
        <v>210</v>
      </c>
      <c r="AU33" s="35" t="inlineStr">
        <is>
          <t>㈱オーガニックパートナーズ</t>
        </is>
      </c>
    </row>
    <row r="34">
      <c r="A34" s="14" t="inlineStr">
        <is>
          <t>1148-150</t>
        </is>
      </c>
      <c r="B34" s="5" t="inlineStr">
        <is>
          <t>■有機ｻﾝｺﾞｰﾙﾄﾞｷｳｲﾌﾙｰﾂ48玉箱(ゼスプリ)</t>
        </is>
      </c>
      <c r="C34" s="36" t="n">
        <v>1</v>
      </c>
      <c r="D34" s="36" t="n">
        <v>8</v>
      </c>
      <c r="E34" s="5" t="n">
        <v>0</v>
      </c>
      <c r="F34" s="191">
        <f>D34-E34+C34</f>
        <v/>
      </c>
      <c r="G34" s="192" t="n">
        <v>0</v>
      </c>
      <c r="H34" s="191">
        <f>F34+G34</f>
        <v/>
      </c>
      <c r="I34" s="36" t="n">
        <v>0</v>
      </c>
      <c r="J34" s="5" t="n">
        <v>1</v>
      </c>
      <c r="K34" s="191">
        <f>I34-J34+H34</f>
        <v/>
      </c>
      <c r="L34" s="192" t="n">
        <v>-1</v>
      </c>
      <c r="M34" s="191">
        <f>K34+L34</f>
        <v/>
      </c>
      <c r="N34" s="36" t="n">
        <v>0</v>
      </c>
      <c r="O34" s="5" t="n">
        <v>0</v>
      </c>
      <c r="P34" s="191">
        <f>N34-O34+M34</f>
        <v/>
      </c>
      <c r="Q34" s="192" t="n">
        <v>-1</v>
      </c>
      <c r="R34" s="191">
        <f>P34+Q34</f>
        <v/>
      </c>
      <c r="S34" s="36" t="n">
        <v>0</v>
      </c>
      <c r="T34" s="5" t="n">
        <v>1</v>
      </c>
      <c r="U34" s="191">
        <f>S34-T34+R34</f>
        <v/>
      </c>
      <c r="V34" s="192" t="n">
        <v>-1</v>
      </c>
      <c r="W34" s="191">
        <f>U34+V34</f>
        <v/>
      </c>
      <c r="X34" s="36" t="n">
        <v>0</v>
      </c>
      <c r="Y34" s="5" t="n">
        <v>0</v>
      </c>
      <c r="Z34" s="191">
        <f>X34-Y34+W34</f>
        <v/>
      </c>
      <c r="AA34" s="192" t="n">
        <v>0</v>
      </c>
      <c r="AB34" s="191">
        <f>Z34+AA34</f>
        <v/>
      </c>
      <c r="AC34" s="36" t="n">
        <v>0</v>
      </c>
      <c r="AD34" s="5" t="n">
        <v>1</v>
      </c>
      <c r="AE34" s="191">
        <f>AC34-AD34+AB34</f>
        <v/>
      </c>
      <c r="AF34" s="192" t="n">
        <v>-1</v>
      </c>
      <c r="AG34" s="191">
        <f>AE34+AF34</f>
        <v/>
      </c>
      <c r="AH34" s="36" t="n">
        <v>0</v>
      </c>
      <c r="AI34" s="5" t="n">
        <v>0</v>
      </c>
      <c r="AJ34" s="191">
        <f>AH34-AI34+AG34</f>
        <v/>
      </c>
      <c r="AK34" s="192" t="n">
        <v>-1</v>
      </c>
      <c r="AL34" s="191">
        <f>AJ34+AK34</f>
        <v/>
      </c>
      <c r="AM34" s="35" t="inlineStr">
        <is>
          <t>ﾆｭｰｼﾞｰﾗﾝﾄﾞ</t>
        </is>
      </c>
      <c r="AN34" s="35" t="inlineStr">
        <is>
          <t>箱</t>
        </is>
      </c>
      <c r="AO34" s="163" t="n">
        <v>6600</v>
      </c>
      <c r="AP34" s="5" t="n">
        <v>0</v>
      </c>
      <c r="AQ34" s="35" t="inlineStr">
        <is>
          <t>○</t>
        </is>
      </c>
      <c r="AR34" s="35" t="n"/>
      <c r="AS34" s="122" t="n"/>
      <c r="AT34" s="35" t="n">
        <v>210</v>
      </c>
      <c r="AU34" s="35" t="inlineStr">
        <is>
          <t>㈱オーガニックパートナーズ</t>
        </is>
      </c>
    </row>
    <row r="35">
      <c r="A35" s="14" t="inlineStr">
        <is>
          <t>1148-151</t>
        </is>
      </c>
      <c r="B35" s="5" t="inlineStr">
        <is>
          <t>■有機ｷｳｲﾌﾙｰﾂグリーン 30玉箱(ゼスプリ)</t>
        </is>
      </c>
      <c r="C35" s="36" t="n">
        <v>1</v>
      </c>
      <c r="D35" s="36" t="n">
        <v>14</v>
      </c>
      <c r="E35" s="5" t="n">
        <v>0</v>
      </c>
      <c r="F35" s="191">
        <f>D35-E35+C35</f>
        <v/>
      </c>
      <c r="G35" s="192" t="n">
        <v>0</v>
      </c>
      <c r="H35" s="191">
        <f>F35+G35</f>
        <v/>
      </c>
      <c r="I35" s="36" t="n">
        <v>0</v>
      </c>
      <c r="J35" s="5" t="n">
        <v>1</v>
      </c>
      <c r="K35" s="191">
        <f>I35-J35+H35</f>
        <v/>
      </c>
      <c r="L35" s="192" t="n">
        <v>-1</v>
      </c>
      <c r="M35" s="191">
        <f>K35+L35</f>
        <v/>
      </c>
      <c r="N35" s="36" t="n">
        <v>0</v>
      </c>
      <c r="O35" s="5" t="n">
        <v>0</v>
      </c>
      <c r="P35" s="191">
        <f>N35-O35+M35</f>
        <v/>
      </c>
      <c r="Q35" s="192" t="n">
        <v>-1</v>
      </c>
      <c r="R35" s="191">
        <f>P35+Q35</f>
        <v/>
      </c>
      <c r="S35" s="36" t="n">
        <v>0</v>
      </c>
      <c r="T35" s="5" t="n">
        <v>1</v>
      </c>
      <c r="U35" s="191">
        <f>S35-T35+R35</f>
        <v/>
      </c>
      <c r="V35" s="192" t="n">
        <v>-1</v>
      </c>
      <c r="W35" s="191">
        <f>U35+V35</f>
        <v/>
      </c>
      <c r="X35" s="36" t="n">
        <v>0</v>
      </c>
      <c r="Y35" s="5" t="n">
        <v>0</v>
      </c>
      <c r="Z35" s="191">
        <f>X35-Y35+W35</f>
        <v/>
      </c>
      <c r="AA35" s="192" t="n">
        <v>-1</v>
      </c>
      <c r="AB35" s="191">
        <f>Z35+AA35</f>
        <v/>
      </c>
      <c r="AC35" s="36" t="n">
        <v>0</v>
      </c>
      <c r="AD35" s="5" t="n">
        <v>1</v>
      </c>
      <c r="AE35" s="191">
        <f>AC35-AD35+AB35</f>
        <v/>
      </c>
      <c r="AF35" s="192" t="n">
        <v>-2</v>
      </c>
      <c r="AG35" s="191">
        <f>AE35+AF35</f>
        <v/>
      </c>
      <c r="AH35" s="36" t="n">
        <v>0</v>
      </c>
      <c r="AI35" s="5" t="n">
        <v>0</v>
      </c>
      <c r="AJ35" s="191">
        <f>AH35-AI35+AG35</f>
        <v/>
      </c>
      <c r="AK35" s="192" t="n">
        <v>-1</v>
      </c>
      <c r="AL35" s="191">
        <f>AJ35+AK35</f>
        <v/>
      </c>
      <c r="AM35" s="35" t="inlineStr">
        <is>
          <t>ﾆｭｰｼﾞｰﾗﾝﾄﾞ</t>
        </is>
      </c>
      <c r="AN35" s="35" t="inlineStr">
        <is>
          <t>箱</t>
        </is>
      </c>
      <c r="AO35" s="163" t="n">
        <v>3540</v>
      </c>
      <c r="AP35" s="5" t="n">
        <v>0</v>
      </c>
      <c r="AQ35" s="35" t="inlineStr">
        <is>
          <t>○</t>
        </is>
      </c>
      <c r="AR35" s="35" t="n"/>
      <c r="AS35" s="122" t="n"/>
      <c r="AT35" s="35" t="n">
        <v>210</v>
      </c>
      <c r="AU35" s="35" t="inlineStr">
        <is>
          <t>㈱オーガニックパートナーズ</t>
        </is>
      </c>
    </row>
    <row r="36">
      <c r="A36" s="14" t="inlineStr">
        <is>
          <t>1148-152</t>
        </is>
      </c>
      <c r="B36" s="5" t="inlineStr">
        <is>
          <t>有機グリーンｷｳｲﾌﾙｰﾂ ３玉(ゼスプリ)◇</t>
        </is>
      </c>
      <c r="C36" s="36" t="n">
        <v>14</v>
      </c>
      <c r="D36" s="36" t="n">
        <v>0</v>
      </c>
      <c r="E36" s="5" t="n">
        <v>0</v>
      </c>
      <c r="F36" s="191">
        <f>D36-E36+C36</f>
        <v/>
      </c>
      <c r="G36" s="192" t="n">
        <v>0</v>
      </c>
      <c r="H36" s="191">
        <f>F36+G36</f>
        <v/>
      </c>
      <c r="I36" s="36" t="n">
        <v>10</v>
      </c>
      <c r="J36" s="5" t="n">
        <v>13</v>
      </c>
      <c r="K36" s="191">
        <f>I36-J36+H36</f>
        <v/>
      </c>
      <c r="L36" s="192" t="n">
        <v>0</v>
      </c>
      <c r="M36" s="191">
        <f>K36+L36</f>
        <v/>
      </c>
      <c r="N36" s="36" t="n">
        <v>10</v>
      </c>
      <c r="O36" s="5" t="n">
        <v>5</v>
      </c>
      <c r="P36" s="191">
        <f>N36-O36+M36</f>
        <v/>
      </c>
      <c r="Q36" s="192" t="n">
        <v>0</v>
      </c>
      <c r="R36" s="191">
        <f>P36+Q36</f>
        <v/>
      </c>
      <c r="S36" s="36" t="n">
        <v>10</v>
      </c>
      <c r="T36" s="5" t="n">
        <v>14</v>
      </c>
      <c r="U36" s="191">
        <f>S36-T36+R36</f>
        <v/>
      </c>
      <c r="V36" s="192" t="n">
        <v>0</v>
      </c>
      <c r="W36" s="191">
        <f>U36+V36</f>
        <v/>
      </c>
      <c r="X36" s="36" t="n">
        <v>10</v>
      </c>
      <c r="Y36" s="5" t="n">
        <v>7</v>
      </c>
      <c r="Z36" s="191">
        <f>X36-Y36+W36</f>
        <v/>
      </c>
      <c r="AA36" s="192" t="n">
        <v>0</v>
      </c>
      <c r="AB36" s="191">
        <f>Z36+AA36</f>
        <v/>
      </c>
      <c r="AC36" s="36" t="n">
        <v>20</v>
      </c>
      <c r="AD36" s="5" t="n">
        <v>18</v>
      </c>
      <c r="AE36" s="191">
        <f>AC36-AD36+AB36</f>
        <v/>
      </c>
      <c r="AF36" s="192" t="n">
        <v>0</v>
      </c>
      <c r="AG36" s="191">
        <f>AE36+AF36</f>
        <v/>
      </c>
      <c r="AH36" s="36" t="n">
        <v>10</v>
      </c>
      <c r="AI36" s="5" t="n">
        <v>20</v>
      </c>
      <c r="AJ36" s="191">
        <f>AH36-AI36+AG36</f>
        <v/>
      </c>
      <c r="AK36" s="192" t="n">
        <v>0</v>
      </c>
      <c r="AL36" s="191">
        <f>AJ36+AK36</f>
        <v/>
      </c>
      <c r="AM36" s="35" t="inlineStr">
        <is>
          <t>ﾆｭｰｼﾞｰﾗﾝﾄﾞ</t>
        </is>
      </c>
      <c r="AN36" s="35" t="inlineStr">
        <is>
          <t>こもの</t>
        </is>
      </c>
      <c r="AO36" s="5" t="n">
        <v>390</v>
      </c>
      <c r="AP36" s="5" t="n">
        <v>0</v>
      </c>
      <c r="AQ36" s="35" t="n"/>
      <c r="AR36" s="35" t="n"/>
      <c r="AS36" s="122" t="n"/>
      <c r="AT36" s="35" t="n">
        <v>210</v>
      </c>
      <c r="AU36" s="35" t="inlineStr">
        <is>
          <t>㈱オーガニックパートナーズ</t>
        </is>
      </c>
    </row>
    <row r="37">
      <c r="A37" s="14" t="inlineStr">
        <is>
          <t>1151-16</t>
        </is>
      </c>
      <c r="B37" s="5" t="inlineStr">
        <is>
          <t>有機青梅(梅酒用) 1kg袋 (ﾊﾟﾝﾄﾞﾗ)</t>
        </is>
      </c>
      <c r="C37" s="36" t="n">
        <v>0</v>
      </c>
      <c r="D37" s="36" t="n">
        <v>0</v>
      </c>
      <c r="E37" s="5" t="n">
        <v>0</v>
      </c>
      <c r="F37" s="191">
        <f>D37-E37+C37</f>
        <v/>
      </c>
      <c r="G37" s="192" t="n">
        <v>0</v>
      </c>
      <c r="H37" s="191">
        <f>F37+G37</f>
        <v/>
      </c>
      <c r="I37" s="36" t="n">
        <v>28</v>
      </c>
      <c r="J37" s="5" t="n">
        <v>28</v>
      </c>
      <c r="K37" s="191">
        <f>I37-J37+H37</f>
        <v/>
      </c>
      <c r="L37" s="192" t="n">
        <v>0</v>
      </c>
      <c r="M37" s="191">
        <f>K37+L37</f>
        <v/>
      </c>
      <c r="N37" s="36" t="n">
        <v>0</v>
      </c>
      <c r="O37" s="5" t="n">
        <v>0</v>
      </c>
      <c r="P37" s="191">
        <f>N37-O37+M37</f>
        <v/>
      </c>
      <c r="Q37" s="192" t="n">
        <v>0</v>
      </c>
      <c r="R37" s="191">
        <f>P37+Q37</f>
        <v/>
      </c>
      <c r="S37" s="36" t="n">
        <v>0</v>
      </c>
      <c r="T37" s="5" t="n">
        <v>0</v>
      </c>
      <c r="U37" s="191">
        <f>S37-T37+R37</f>
        <v/>
      </c>
      <c r="V37" s="192" t="n">
        <v>0</v>
      </c>
      <c r="W37" s="191">
        <f>U37+V37</f>
        <v/>
      </c>
      <c r="X37" s="36" t="n">
        <v>0</v>
      </c>
      <c r="Y37" s="5" t="n">
        <v>0</v>
      </c>
      <c r="Z37" s="191">
        <f>X37-Y37+W37</f>
        <v/>
      </c>
      <c r="AA37" s="192" t="n">
        <v>0</v>
      </c>
      <c r="AB37" s="191">
        <f>Z37+AA37</f>
        <v/>
      </c>
      <c r="AC37" s="36" t="n">
        <v>0</v>
      </c>
      <c r="AD37" s="5" t="n">
        <v>0</v>
      </c>
      <c r="AE37" s="191">
        <f>AC37-AD37+AB37</f>
        <v/>
      </c>
      <c r="AF37" s="192" t="n">
        <v>0</v>
      </c>
      <c r="AG37" s="191">
        <f>AE37+AF37</f>
        <v/>
      </c>
      <c r="AH37" s="36" t="n">
        <v>0</v>
      </c>
      <c r="AI37" s="5" t="n">
        <v>0</v>
      </c>
      <c r="AJ37" s="191">
        <f>AH37-AI37+AG37</f>
        <v/>
      </c>
      <c r="AK37" s="192" t="n">
        <v>0</v>
      </c>
      <c r="AL37" s="191">
        <f>AJ37+AK37</f>
        <v/>
      </c>
      <c r="AM37" s="35" t="inlineStr">
        <is>
          <t>奈良・三重</t>
        </is>
      </c>
      <c r="AN37" s="35" t="inlineStr">
        <is>
          <t>こもの</t>
        </is>
      </c>
      <c r="AO37" s="163" t="n">
        <v>1650</v>
      </c>
      <c r="AP37" s="5" t="n">
        <v>0</v>
      </c>
      <c r="AQ37" s="35" t="inlineStr">
        <is>
          <t>○</t>
        </is>
      </c>
      <c r="AR37" s="35" t="n"/>
      <c r="AS37" s="122" t="n">
        <v>4580450000000</v>
      </c>
      <c r="AT37" s="35" t="n">
        <v>183</v>
      </c>
      <c r="AU37" s="35" t="inlineStr">
        <is>
          <t>㈱パンドラファーム</t>
        </is>
      </c>
    </row>
    <row r="38">
      <c r="A38" s="14" t="inlineStr">
        <is>
          <t>1151-20</t>
        </is>
      </c>
      <c r="B38" s="5" t="inlineStr">
        <is>
          <t>■有機青梅(梅酒用) 1kg袋×14入 (ﾊﾟﾝﾄﾞﾗ)</t>
        </is>
      </c>
      <c r="C38" s="36" t="n">
        <v>0</v>
      </c>
      <c r="D38" s="36" t="n">
        <v>0</v>
      </c>
      <c r="E38" s="5" t="n">
        <v>0</v>
      </c>
      <c r="F38" s="191">
        <f>D38-E38+C38</f>
        <v/>
      </c>
      <c r="G38" s="192" t="n">
        <v>0</v>
      </c>
      <c r="H38" s="191">
        <f>F38+G38</f>
        <v/>
      </c>
      <c r="I38" s="36" t="n">
        <v>0</v>
      </c>
      <c r="J38" s="5" t="n">
        <v>0</v>
      </c>
      <c r="K38" s="191">
        <f>I38-J38+H38</f>
        <v/>
      </c>
      <c r="L38" s="192" t="n">
        <v>0</v>
      </c>
      <c r="M38" s="191">
        <f>K38+L38</f>
        <v/>
      </c>
      <c r="N38" s="36" t="n">
        <v>0</v>
      </c>
      <c r="O38" s="5" t="n">
        <v>0</v>
      </c>
      <c r="P38" s="191">
        <f>N38-O38+M38</f>
        <v/>
      </c>
      <c r="Q38" s="192" t="n">
        <v>0</v>
      </c>
      <c r="R38" s="191">
        <f>P38+Q38</f>
        <v/>
      </c>
      <c r="S38" s="36" t="n">
        <v>0</v>
      </c>
      <c r="T38" s="5" t="n">
        <v>0</v>
      </c>
      <c r="U38" s="191">
        <f>S38-T38+R38</f>
        <v/>
      </c>
      <c r="V38" s="192" t="n">
        <v>0</v>
      </c>
      <c r="W38" s="191">
        <f>U38+V38</f>
        <v/>
      </c>
      <c r="X38" s="36" t="n">
        <v>0</v>
      </c>
      <c r="Y38" s="5" t="n">
        <v>0</v>
      </c>
      <c r="Z38" s="191">
        <f>X38-Y38+W38</f>
        <v/>
      </c>
      <c r="AA38" s="192" t="n">
        <v>0</v>
      </c>
      <c r="AB38" s="191">
        <f>Z38+AA38</f>
        <v/>
      </c>
      <c r="AC38" s="36" t="n">
        <v>0</v>
      </c>
      <c r="AD38" s="5" t="n">
        <v>0</v>
      </c>
      <c r="AE38" s="191">
        <f>AC38-AD38+AB38</f>
        <v/>
      </c>
      <c r="AF38" s="192" t="n">
        <v>0</v>
      </c>
      <c r="AG38" s="191">
        <f>AE38+AF38</f>
        <v/>
      </c>
      <c r="AH38" s="36" t="n">
        <v>0</v>
      </c>
      <c r="AI38" s="5" t="n">
        <v>0</v>
      </c>
      <c r="AJ38" s="191">
        <f>AH38-AI38+AG38</f>
        <v/>
      </c>
      <c r="AK38" s="192" t="n">
        <v>0</v>
      </c>
      <c r="AL38" s="191">
        <f>AJ38+AK38</f>
        <v/>
      </c>
      <c r="AM38" s="35" t="n"/>
      <c r="AN38" s="35" t="n"/>
      <c r="AO38" s="5" t="n">
        <v>0</v>
      </c>
      <c r="AP38" s="5" t="n">
        <v>0</v>
      </c>
      <c r="AQ38" s="35" t="n"/>
      <c r="AR38" s="35" t="n"/>
      <c r="AS38" s="122" t="n"/>
      <c r="AT38" s="35" t="n"/>
      <c r="AU38" s="35" t="n"/>
    </row>
    <row r="39">
      <c r="A39" s="14" t="inlineStr">
        <is>
          <t>1151-24</t>
        </is>
      </c>
      <c r="B39" s="5" t="inlineStr">
        <is>
          <t>青梅 1kg袋 (高生連)</t>
        </is>
      </c>
      <c r="C39" s="36" t="n">
        <v>0</v>
      </c>
      <c r="D39" s="36" t="n">
        <v>0</v>
      </c>
      <c r="E39" s="5" t="n">
        <v>0</v>
      </c>
      <c r="F39" s="191">
        <f>D39-E39+C39</f>
        <v/>
      </c>
      <c r="G39" s="192" t="n">
        <v>0</v>
      </c>
      <c r="H39" s="191">
        <f>F39+G39</f>
        <v/>
      </c>
      <c r="I39" s="36" t="n">
        <v>0</v>
      </c>
      <c r="J39" s="5" t="n">
        <v>0</v>
      </c>
      <c r="K39" s="191">
        <f>I39-J39+H39</f>
        <v/>
      </c>
      <c r="L39" s="192" t="n">
        <v>0</v>
      </c>
      <c r="M39" s="191">
        <f>K39+L39</f>
        <v/>
      </c>
      <c r="N39" s="36" t="n">
        <v>0</v>
      </c>
      <c r="O39" s="5" t="n">
        <v>0</v>
      </c>
      <c r="P39" s="191">
        <f>N39-O39+M39</f>
        <v/>
      </c>
      <c r="Q39" s="192" t="n">
        <v>0</v>
      </c>
      <c r="R39" s="191">
        <f>P39+Q39</f>
        <v/>
      </c>
      <c r="S39" s="36" t="n">
        <v>0</v>
      </c>
      <c r="T39" s="5" t="n">
        <v>0</v>
      </c>
      <c r="U39" s="191">
        <f>S39-T39+R39</f>
        <v/>
      </c>
      <c r="V39" s="192" t="n">
        <v>0</v>
      </c>
      <c r="W39" s="191">
        <f>U39+V39</f>
        <v/>
      </c>
      <c r="X39" s="36" t="n">
        <v>0</v>
      </c>
      <c r="Y39" s="5" t="n">
        <v>0</v>
      </c>
      <c r="Z39" s="191">
        <f>X39-Y39+W39</f>
        <v/>
      </c>
      <c r="AA39" s="192" t="n">
        <v>0</v>
      </c>
      <c r="AB39" s="191">
        <f>Z39+AA39</f>
        <v/>
      </c>
      <c r="AC39" s="36" t="n">
        <v>0</v>
      </c>
      <c r="AD39" s="5" t="n">
        <v>0</v>
      </c>
      <c r="AE39" s="191">
        <f>AC39-AD39+AB39</f>
        <v/>
      </c>
      <c r="AF39" s="192" t="n">
        <v>0</v>
      </c>
      <c r="AG39" s="191">
        <f>AE39+AF39</f>
        <v/>
      </c>
      <c r="AH39" s="36" t="n">
        <v>0</v>
      </c>
      <c r="AI39" s="5" t="n">
        <v>0</v>
      </c>
      <c r="AJ39" s="191">
        <f>AH39-AI39+AG39</f>
        <v/>
      </c>
      <c r="AK39" s="192" t="n">
        <v>0</v>
      </c>
      <c r="AL39" s="191">
        <f>AJ39+AK39</f>
        <v/>
      </c>
      <c r="AM39" s="35" t="inlineStr">
        <is>
          <t>高知</t>
        </is>
      </c>
      <c r="AN39" s="35" t="inlineStr">
        <is>
          <t>こもの</t>
        </is>
      </c>
      <c r="AO39" s="5" t="n">
        <v>0</v>
      </c>
      <c r="AP39" s="5" t="n">
        <v>0</v>
      </c>
      <c r="AQ39" s="35" t="inlineStr">
        <is>
          <t>○</t>
        </is>
      </c>
      <c r="AR39" s="35" t="n"/>
      <c r="AS39" s="122" t="n">
        <v>4580450000000</v>
      </c>
      <c r="AT39" s="35" t="n">
        <v>763</v>
      </c>
      <c r="AU39" s="35" t="inlineStr">
        <is>
          <t>（有）高生連</t>
        </is>
      </c>
    </row>
    <row r="40">
      <c r="A40" s="14" t="inlineStr">
        <is>
          <t>1170-25</t>
        </is>
      </c>
      <c r="B40" s="5" t="inlineStr">
        <is>
          <t>■有機インカバナナ 600g袋×１６入</t>
        </is>
      </c>
      <c r="C40" s="36" t="n">
        <v>0</v>
      </c>
      <c r="D40" s="36" t="n">
        <v>0</v>
      </c>
      <c r="E40" s="5" t="n">
        <v>0</v>
      </c>
      <c r="F40" s="191">
        <f>D40-E40+C40</f>
        <v/>
      </c>
      <c r="G40" s="192" t="n">
        <v>0</v>
      </c>
      <c r="H40" s="191">
        <f>F40+G40</f>
        <v/>
      </c>
      <c r="I40" s="36" t="n">
        <v>0</v>
      </c>
      <c r="J40" s="5" t="n">
        <v>0</v>
      </c>
      <c r="K40" s="191">
        <f>I40-J40+H40</f>
        <v/>
      </c>
      <c r="L40" s="192" t="n">
        <v>0</v>
      </c>
      <c r="M40" s="191">
        <f>K40+L40</f>
        <v/>
      </c>
      <c r="N40" s="36" t="n">
        <v>1</v>
      </c>
      <c r="O40" s="5" t="n">
        <v>1</v>
      </c>
      <c r="P40" s="191">
        <f>N40-O40+M40</f>
        <v/>
      </c>
      <c r="Q40" s="192" t="n">
        <v>0</v>
      </c>
      <c r="R40" s="191">
        <f>P40+Q40</f>
        <v/>
      </c>
      <c r="S40" s="36" t="n">
        <v>0</v>
      </c>
      <c r="T40" s="5" t="n">
        <v>0</v>
      </c>
      <c r="U40" s="191">
        <f>S40-T40+R40</f>
        <v/>
      </c>
      <c r="V40" s="192" t="n">
        <v>0</v>
      </c>
      <c r="W40" s="191">
        <f>U40+V40</f>
        <v/>
      </c>
      <c r="X40" s="36" t="n">
        <v>1</v>
      </c>
      <c r="Y40" s="5" t="n">
        <v>1</v>
      </c>
      <c r="Z40" s="191">
        <f>X40-Y40+W40</f>
        <v/>
      </c>
      <c r="AA40" s="192" t="n">
        <v>0</v>
      </c>
      <c r="AB40" s="191">
        <f>Z40+AA40</f>
        <v/>
      </c>
      <c r="AC40" s="36" t="n">
        <v>0</v>
      </c>
      <c r="AD40" s="5" t="n">
        <v>0</v>
      </c>
      <c r="AE40" s="191">
        <f>AC40-AD40+AB40</f>
        <v/>
      </c>
      <c r="AF40" s="192" t="n">
        <v>0</v>
      </c>
      <c r="AG40" s="191">
        <f>AE40+AF40</f>
        <v/>
      </c>
      <c r="AH40" s="36" t="n">
        <v>1</v>
      </c>
      <c r="AI40" s="5" t="n">
        <v>1</v>
      </c>
      <c r="AJ40" s="191">
        <f>AH40-AI40+AG40</f>
        <v/>
      </c>
      <c r="AK40" s="192" t="n">
        <v>0</v>
      </c>
      <c r="AL40" s="191">
        <f>AJ40+AK40</f>
        <v/>
      </c>
      <c r="AM40" s="35" t="inlineStr">
        <is>
          <t>ペルー</t>
        </is>
      </c>
      <c r="AN40" s="35" t="inlineStr">
        <is>
          <t>箱</t>
        </is>
      </c>
      <c r="AO40" s="163" t="n">
        <v>5120</v>
      </c>
      <c r="AP40" s="5" t="n">
        <v>0</v>
      </c>
      <c r="AQ40" s="35" t="inlineStr">
        <is>
          <t>○</t>
        </is>
      </c>
      <c r="AR40" s="35" t="n"/>
      <c r="AS40" s="122" t="n"/>
      <c r="AT40" s="35" t="n"/>
      <c r="AU40" s="35" t="n"/>
    </row>
    <row r="41">
      <c r="A41" s="14" t="inlineStr">
        <is>
          <t>1170-29</t>
        </is>
      </c>
      <c r="B41" s="5" t="inlineStr">
        <is>
          <t>■エクアドルバナナ 600g袋×16入　非有機</t>
        </is>
      </c>
      <c r="C41" s="36" t="n">
        <v>0</v>
      </c>
      <c r="D41" s="36" t="n">
        <v>1</v>
      </c>
      <c r="E41" s="5" t="n">
        <v>0</v>
      </c>
      <c r="F41" s="191">
        <f>D41-E41+C41</f>
        <v/>
      </c>
      <c r="G41" s="192" t="n">
        <v>0</v>
      </c>
      <c r="H41" s="191">
        <f>F41+G41</f>
        <v/>
      </c>
      <c r="I41" s="36" t="n">
        <v>0</v>
      </c>
      <c r="J41" s="5" t="n">
        <v>1</v>
      </c>
      <c r="K41" s="191">
        <f>I41-J41+H41</f>
        <v/>
      </c>
      <c r="L41" s="192" t="n">
        <v>0</v>
      </c>
      <c r="M41" s="191">
        <f>K41+L41</f>
        <v/>
      </c>
      <c r="N41" s="36" t="n">
        <v>1</v>
      </c>
      <c r="O41" s="5" t="n">
        <v>1</v>
      </c>
      <c r="P41" s="191">
        <f>N41-O41+M41</f>
        <v/>
      </c>
      <c r="Q41" s="192" t="n">
        <v>0</v>
      </c>
      <c r="R41" s="191">
        <f>P41+Q41</f>
        <v/>
      </c>
      <c r="S41" s="36" t="n">
        <v>1</v>
      </c>
      <c r="T41" s="5" t="n">
        <v>1</v>
      </c>
      <c r="U41" s="191">
        <f>S41-T41+R41</f>
        <v/>
      </c>
      <c r="V41" s="192" t="n">
        <v>0</v>
      </c>
      <c r="W41" s="191">
        <f>U41+V41</f>
        <v/>
      </c>
      <c r="X41" s="36" t="n">
        <v>1</v>
      </c>
      <c r="Y41" s="5" t="n">
        <v>1</v>
      </c>
      <c r="Z41" s="191">
        <f>X41-Y41+W41</f>
        <v/>
      </c>
      <c r="AA41" s="192" t="n">
        <v>0</v>
      </c>
      <c r="AB41" s="191">
        <f>Z41+AA41</f>
        <v/>
      </c>
      <c r="AC41" s="36" t="n">
        <v>1</v>
      </c>
      <c r="AD41" s="5" t="n">
        <v>1</v>
      </c>
      <c r="AE41" s="191">
        <f>AC41-AD41+AB41</f>
        <v/>
      </c>
      <c r="AF41" s="192" t="n">
        <v>0</v>
      </c>
      <c r="AG41" s="191">
        <f>AE41+AF41</f>
        <v/>
      </c>
      <c r="AH41" s="36" t="n">
        <v>1</v>
      </c>
      <c r="AI41" s="5" t="n">
        <v>1</v>
      </c>
      <c r="AJ41" s="191">
        <f>AH41-AI41+AG41</f>
        <v/>
      </c>
      <c r="AK41" s="192" t="n">
        <v>0</v>
      </c>
      <c r="AL41" s="191">
        <f>AJ41+AK41</f>
        <v/>
      </c>
      <c r="AM41" s="35" t="inlineStr">
        <is>
          <t>エクアドル</t>
        </is>
      </c>
      <c r="AN41" s="35" t="inlineStr">
        <is>
          <t>箱</t>
        </is>
      </c>
      <c r="AO41" s="163" t="n">
        <v>5120</v>
      </c>
      <c r="AP41" s="5" t="n">
        <v>0</v>
      </c>
      <c r="AQ41" s="35" t="inlineStr">
        <is>
          <t>○</t>
        </is>
      </c>
      <c r="AR41" s="35" t="n"/>
      <c r="AS41" s="122" t="n"/>
      <c r="AT41" s="35" t="n"/>
      <c r="AU41" s="35" t="n"/>
    </row>
    <row r="42">
      <c r="A42" s="14" t="inlineStr">
        <is>
          <t>1170-31</t>
        </is>
      </c>
      <c r="B42" s="5" t="inlineStr">
        <is>
          <t>■有機インカバナナ 600g袋×８入</t>
        </is>
      </c>
      <c r="C42" s="36" t="n">
        <v>0</v>
      </c>
      <c r="D42" s="36" t="n">
        <v>1</v>
      </c>
      <c r="E42" s="5" t="n">
        <v>0</v>
      </c>
      <c r="F42" s="191">
        <f>D42-E42+C42</f>
        <v/>
      </c>
      <c r="G42" s="192" t="n">
        <v>0</v>
      </c>
      <c r="H42" s="191">
        <f>F42+G42</f>
        <v/>
      </c>
      <c r="I42" s="36" t="n">
        <v>0</v>
      </c>
      <c r="J42" s="5" t="n">
        <v>1</v>
      </c>
      <c r="K42" s="191">
        <f>I42-J42+H42</f>
        <v/>
      </c>
      <c r="L42" s="192" t="n">
        <v>0</v>
      </c>
      <c r="M42" s="191">
        <f>K42+L42</f>
        <v/>
      </c>
      <c r="N42" s="36" t="n">
        <v>0</v>
      </c>
      <c r="O42" s="5" t="n">
        <v>0</v>
      </c>
      <c r="P42" s="191">
        <f>N42-O42+M42</f>
        <v/>
      </c>
      <c r="Q42" s="192" t="n">
        <v>0</v>
      </c>
      <c r="R42" s="191">
        <f>P42+Q42</f>
        <v/>
      </c>
      <c r="S42" s="36" t="n">
        <v>0</v>
      </c>
      <c r="T42" s="5" t="n">
        <v>0</v>
      </c>
      <c r="U42" s="191">
        <f>S42-T42+R42</f>
        <v/>
      </c>
      <c r="V42" s="192" t="n">
        <v>0</v>
      </c>
      <c r="W42" s="191">
        <f>U42+V42</f>
        <v/>
      </c>
      <c r="X42" s="36" t="n">
        <v>0</v>
      </c>
      <c r="Y42" s="5" t="n">
        <v>0</v>
      </c>
      <c r="Z42" s="191">
        <f>X42-Y42+W42</f>
        <v/>
      </c>
      <c r="AA42" s="192" t="n">
        <v>0</v>
      </c>
      <c r="AB42" s="191">
        <f>Z42+AA42</f>
        <v/>
      </c>
      <c r="AC42" s="36" t="n">
        <v>0</v>
      </c>
      <c r="AD42" s="5" t="n">
        <v>0</v>
      </c>
      <c r="AE42" s="191">
        <f>AC42-AD42+AB42</f>
        <v/>
      </c>
      <c r="AF42" s="192" t="n">
        <v>0</v>
      </c>
      <c r="AG42" s="191">
        <f>AE42+AF42</f>
        <v/>
      </c>
      <c r="AH42" s="36" t="n">
        <v>0</v>
      </c>
      <c r="AI42" s="5" t="n">
        <v>0</v>
      </c>
      <c r="AJ42" s="191">
        <f>AH42-AI42+AG42</f>
        <v/>
      </c>
      <c r="AK42" s="192" t="n">
        <v>0</v>
      </c>
      <c r="AL42" s="191">
        <f>AJ42+AK42</f>
        <v/>
      </c>
      <c r="AM42" s="35" t="inlineStr">
        <is>
          <t>ペルー</t>
        </is>
      </c>
      <c r="AN42" s="35" t="inlineStr">
        <is>
          <t>箱</t>
        </is>
      </c>
      <c r="AO42" s="163" t="n">
        <v>2560</v>
      </c>
      <c r="AP42" s="5" t="n">
        <v>0</v>
      </c>
      <c r="AQ42" s="35" t="inlineStr">
        <is>
          <t>○</t>
        </is>
      </c>
      <c r="AR42" s="35" t="n"/>
      <c r="AS42" s="122" t="n"/>
      <c r="AT42" s="35" t="n"/>
      <c r="AU42" s="35" t="n"/>
    </row>
    <row r="43">
      <c r="A43" s="14" t="inlineStr">
        <is>
          <t>1170-32</t>
        </is>
      </c>
      <c r="B43" s="5" t="inlineStr">
        <is>
          <t>■インカバナナ 600g袋×８入　非有機</t>
        </is>
      </c>
      <c r="C43" s="36" t="n">
        <v>0</v>
      </c>
      <c r="D43" s="36" t="n">
        <v>0</v>
      </c>
      <c r="E43" s="5" t="n">
        <v>0</v>
      </c>
      <c r="F43" s="191">
        <f>D43-E43+C43</f>
        <v/>
      </c>
      <c r="G43" s="192" t="n">
        <v>0</v>
      </c>
      <c r="H43" s="191">
        <f>F43+G43</f>
        <v/>
      </c>
      <c r="I43" s="36" t="n">
        <v>0</v>
      </c>
      <c r="J43" s="5" t="n">
        <v>0</v>
      </c>
      <c r="K43" s="191">
        <f>I43-J43+H43</f>
        <v/>
      </c>
      <c r="L43" s="192" t="n">
        <v>0</v>
      </c>
      <c r="M43" s="191">
        <f>K43+L43</f>
        <v/>
      </c>
      <c r="N43" s="36" t="n">
        <v>0</v>
      </c>
      <c r="O43" s="5" t="n">
        <v>0</v>
      </c>
      <c r="P43" s="191">
        <f>N43-O43+M43</f>
        <v/>
      </c>
      <c r="Q43" s="192" t="n">
        <v>0</v>
      </c>
      <c r="R43" s="191">
        <f>P43+Q43</f>
        <v/>
      </c>
      <c r="S43" s="36" t="n">
        <v>0</v>
      </c>
      <c r="T43" s="5" t="n">
        <v>0</v>
      </c>
      <c r="U43" s="191">
        <f>S43-T43+R43</f>
        <v/>
      </c>
      <c r="V43" s="192" t="n">
        <v>0</v>
      </c>
      <c r="W43" s="191">
        <f>U43+V43</f>
        <v/>
      </c>
      <c r="X43" s="36" t="n">
        <v>0</v>
      </c>
      <c r="Y43" s="5" t="n">
        <v>0</v>
      </c>
      <c r="Z43" s="191">
        <f>X43-Y43+W43</f>
        <v/>
      </c>
      <c r="AA43" s="192" t="n">
        <v>0</v>
      </c>
      <c r="AB43" s="191">
        <f>Z43+AA43</f>
        <v/>
      </c>
      <c r="AC43" s="36" t="n">
        <v>0</v>
      </c>
      <c r="AD43" s="5" t="n">
        <v>0</v>
      </c>
      <c r="AE43" s="191">
        <f>AC43-AD43+AB43</f>
        <v/>
      </c>
      <c r="AF43" s="192" t="n">
        <v>0</v>
      </c>
      <c r="AG43" s="191">
        <f>AE43+AF43</f>
        <v/>
      </c>
      <c r="AH43" s="36" t="n">
        <v>0</v>
      </c>
      <c r="AI43" s="5" t="n">
        <v>0</v>
      </c>
      <c r="AJ43" s="191">
        <f>AH43-AI43+AG43</f>
        <v/>
      </c>
      <c r="AK43" s="192" t="n">
        <v>0</v>
      </c>
      <c r="AL43" s="191">
        <f>AJ43+AK43</f>
        <v/>
      </c>
      <c r="AM43" s="35" t="inlineStr">
        <is>
          <t>ペルー</t>
        </is>
      </c>
      <c r="AN43" s="35" t="inlineStr">
        <is>
          <t>箱</t>
        </is>
      </c>
      <c r="AO43" s="163" t="n">
        <v>2560</v>
      </c>
      <c r="AP43" s="5" t="n">
        <v>0</v>
      </c>
      <c r="AQ43" s="35" t="inlineStr">
        <is>
          <t>○</t>
        </is>
      </c>
      <c r="AR43" s="35" t="n"/>
      <c r="AS43" s="122" t="n"/>
      <c r="AT43" s="35" t="n"/>
      <c r="AU43" s="35" t="n"/>
    </row>
    <row r="44">
      <c r="A44" s="14" t="inlineStr">
        <is>
          <t>1171-3</t>
        </is>
      </c>
      <c r="B44" s="5" t="inlineStr">
        <is>
          <t>ピーチパイン　1個（アララガマ）</t>
        </is>
      </c>
      <c r="C44" s="36" t="n">
        <v>12</v>
      </c>
      <c r="D44" s="36" t="n">
        <v>0</v>
      </c>
      <c r="E44" s="5" t="n">
        <v>0</v>
      </c>
      <c r="F44" s="191">
        <f>D44-E44+C44</f>
        <v/>
      </c>
      <c r="G44" s="192" t="n">
        <v>0</v>
      </c>
      <c r="H44" s="191">
        <f>F44+G44</f>
        <v/>
      </c>
      <c r="I44" s="36" t="n">
        <v>0</v>
      </c>
      <c r="J44" s="5" t="n">
        <v>0</v>
      </c>
      <c r="K44" s="191">
        <f>I44-J44+H44</f>
        <v/>
      </c>
      <c r="L44" s="192" t="n">
        <v>0</v>
      </c>
      <c r="M44" s="191">
        <f>K44+L44</f>
        <v/>
      </c>
      <c r="N44" s="36" t="n">
        <v>0</v>
      </c>
      <c r="O44" s="5" t="n">
        <v>1</v>
      </c>
      <c r="P44" s="191">
        <f>N44-O44+M44</f>
        <v/>
      </c>
      <c r="Q44" s="192" t="n">
        <v>0</v>
      </c>
      <c r="R44" s="191">
        <f>P44+Q44</f>
        <v/>
      </c>
      <c r="S44" s="36" t="n">
        <v>0</v>
      </c>
      <c r="T44" s="5" t="n">
        <v>5</v>
      </c>
      <c r="U44" s="191">
        <f>S44-T44+R44</f>
        <v/>
      </c>
      <c r="V44" s="192" t="n">
        <v>0</v>
      </c>
      <c r="W44" s="191">
        <f>U44+V44</f>
        <v/>
      </c>
      <c r="X44" s="36" t="n">
        <v>0</v>
      </c>
      <c r="Y44" s="5" t="n">
        <v>0</v>
      </c>
      <c r="Z44" s="191">
        <f>X44-Y44+W44</f>
        <v/>
      </c>
      <c r="AA44" s="192" t="n">
        <v>0</v>
      </c>
      <c r="AB44" s="191">
        <f>Z44+AA44</f>
        <v/>
      </c>
      <c r="AC44" s="36" t="n">
        <v>0</v>
      </c>
      <c r="AD44" s="5" t="n">
        <v>0</v>
      </c>
      <c r="AE44" s="191">
        <f>AC44-AD44+AB44</f>
        <v/>
      </c>
      <c r="AF44" s="192" t="n">
        <v>0</v>
      </c>
      <c r="AG44" s="191">
        <f>AE44+AF44</f>
        <v/>
      </c>
      <c r="AH44" s="36" t="n">
        <v>0</v>
      </c>
      <c r="AI44" s="5" t="n">
        <v>0</v>
      </c>
      <c r="AJ44" s="191">
        <f>AH44-AI44+AG44</f>
        <v/>
      </c>
      <c r="AK44" s="192" t="n">
        <v>0</v>
      </c>
      <c r="AL44" s="191">
        <f>AJ44+AK44</f>
        <v/>
      </c>
      <c r="AM44" s="35" t="inlineStr">
        <is>
          <t>沖縄</t>
        </is>
      </c>
      <c r="AN44" s="35" t="inlineStr">
        <is>
          <t>こもの</t>
        </is>
      </c>
      <c r="AO44" s="5" t="n">
        <v>980</v>
      </c>
      <c r="AP44" s="5" t="n">
        <v>0</v>
      </c>
      <c r="AQ44" s="35" t="n"/>
      <c r="AR44" s="35" t="n"/>
      <c r="AS44" s="122" t="n"/>
      <c r="AT44" s="35" t="n"/>
      <c r="AU44" s="35" t="n"/>
    </row>
    <row r="45">
      <c r="A45" s="14" t="inlineStr">
        <is>
          <t>1171-4</t>
        </is>
      </c>
      <c r="B45" s="5" t="inlineStr">
        <is>
          <t>■ピーチパイン　1個×16入(アララガマ）</t>
        </is>
      </c>
      <c r="C45" s="36" t="n">
        <v>0</v>
      </c>
      <c r="D45" s="36" t="n">
        <v>0</v>
      </c>
      <c r="E45" s="5" t="n">
        <v>0</v>
      </c>
      <c r="F45" s="191">
        <f>D45-E45+C45</f>
        <v/>
      </c>
      <c r="G45" s="192" t="n">
        <v>0</v>
      </c>
      <c r="H45" s="191">
        <f>F45+G45</f>
        <v/>
      </c>
      <c r="I45" s="36" t="n">
        <v>0</v>
      </c>
      <c r="J45" s="5" t="n">
        <v>0</v>
      </c>
      <c r="K45" s="191">
        <f>I45-J45+H45</f>
        <v/>
      </c>
      <c r="L45" s="192" t="n">
        <v>0</v>
      </c>
      <c r="M45" s="191">
        <f>K45+L45</f>
        <v/>
      </c>
      <c r="N45" s="36" t="n">
        <v>0</v>
      </c>
      <c r="O45" s="5" t="n">
        <v>0</v>
      </c>
      <c r="P45" s="191">
        <f>N45-O45+M45</f>
        <v/>
      </c>
      <c r="Q45" s="192" t="n">
        <v>0</v>
      </c>
      <c r="R45" s="191">
        <f>P45+Q45</f>
        <v/>
      </c>
      <c r="S45" s="36" t="n">
        <v>0</v>
      </c>
      <c r="T45" s="5" t="n">
        <v>0</v>
      </c>
      <c r="U45" s="191">
        <f>S45-T45+R45</f>
        <v/>
      </c>
      <c r="V45" s="192" t="n">
        <v>0</v>
      </c>
      <c r="W45" s="191">
        <f>U45+V45</f>
        <v/>
      </c>
      <c r="X45" s="36" t="n">
        <v>0</v>
      </c>
      <c r="Y45" s="5" t="n">
        <v>0</v>
      </c>
      <c r="Z45" s="191">
        <f>X45-Y45+W45</f>
        <v/>
      </c>
      <c r="AA45" s="192" t="n">
        <v>0</v>
      </c>
      <c r="AB45" s="191">
        <f>Z45+AA45</f>
        <v/>
      </c>
      <c r="AC45" s="36" t="n">
        <v>0</v>
      </c>
      <c r="AD45" s="5" t="n">
        <v>0</v>
      </c>
      <c r="AE45" s="191">
        <f>AC45-AD45+AB45</f>
        <v/>
      </c>
      <c r="AF45" s="192" t="n">
        <v>0</v>
      </c>
      <c r="AG45" s="191">
        <f>AE45+AF45</f>
        <v/>
      </c>
      <c r="AH45" s="36" t="n">
        <v>0</v>
      </c>
      <c r="AI45" s="5" t="n">
        <v>0</v>
      </c>
      <c r="AJ45" s="191">
        <f>AH45-AI45+AG45</f>
        <v/>
      </c>
      <c r="AK45" s="192" t="n">
        <v>0</v>
      </c>
      <c r="AL45" s="191">
        <f>AJ45+AK45</f>
        <v/>
      </c>
      <c r="AM45" s="35" t="inlineStr">
        <is>
          <t>沖縄</t>
        </is>
      </c>
      <c r="AN45" s="35" t="inlineStr">
        <is>
          <t>箱</t>
        </is>
      </c>
      <c r="AO45" s="163" t="n">
        <v>14240</v>
      </c>
      <c r="AP45" s="5" t="n">
        <v>0</v>
      </c>
      <c r="AQ45" s="35" t="inlineStr">
        <is>
          <t>○</t>
        </is>
      </c>
      <c r="AR45" s="35" t="n"/>
      <c r="AS45" s="122" t="n"/>
      <c r="AT45" s="35" t="n"/>
      <c r="AU45" s="35" t="n"/>
    </row>
    <row r="46">
      <c r="A46" s="14" t="inlineStr">
        <is>
          <t>1175-15</t>
        </is>
      </c>
      <c r="B46" s="5" t="inlineStr">
        <is>
          <t>■アボカド 裸バラ30玉 １箱</t>
        </is>
      </c>
      <c r="C46" s="36" t="n">
        <v>0</v>
      </c>
      <c r="D46" s="36" t="n">
        <v>0</v>
      </c>
      <c r="E46" s="5" t="n">
        <v>0</v>
      </c>
      <c r="F46" s="191">
        <f>D46-E46+C46</f>
        <v/>
      </c>
      <c r="G46" s="192" t="n">
        <v>0</v>
      </c>
      <c r="H46" s="191">
        <f>F46+G46</f>
        <v/>
      </c>
      <c r="I46" s="36" t="n">
        <v>0</v>
      </c>
      <c r="J46" s="5" t="n">
        <v>0</v>
      </c>
      <c r="K46" s="191">
        <f>I46-J46+H46</f>
        <v/>
      </c>
      <c r="L46" s="192" t="n">
        <v>0</v>
      </c>
      <c r="M46" s="191">
        <f>K46+L46</f>
        <v/>
      </c>
      <c r="N46" s="36" t="n">
        <v>1</v>
      </c>
      <c r="O46" s="5" t="n">
        <v>1</v>
      </c>
      <c r="P46" s="191">
        <f>N46-O46+M46</f>
        <v/>
      </c>
      <c r="Q46" s="192" t="n">
        <v>0</v>
      </c>
      <c r="R46" s="191">
        <f>P46+Q46</f>
        <v/>
      </c>
      <c r="S46" s="36" t="n">
        <v>0</v>
      </c>
      <c r="T46" s="5" t="n">
        <v>0</v>
      </c>
      <c r="U46" s="191">
        <f>S46-T46+R46</f>
        <v/>
      </c>
      <c r="V46" s="192" t="n">
        <v>0</v>
      </c>
      <c r="W46" s="191">
        <f>U46+V46</f>
        <v/>
      </c>
      <c r="X46" s="36" t="n">
        <v>0</v>
      </c>
      <c r="Y46" s="5" t="n">
        <v>0</v>
      </c>
      <c r="Z46" s="191">
        <f>X46-Y46+W46</f>
        <v/>
      </c>
      <c r="AA46" s="192" t="n">
        <v>0</v>
      </c>
      <c r="AB46" s="191">
        <f>Z46+AA46</f>
        <v/>
      </c>
      <c r="AC46" s="36" t="n">
        <v>0</v>
      </c>
      <c r="AD46" s="5" t="n">
        <v>0</v>
      </c>
      <c r="AE46" s="191">
        <f>AC46-AD46+AB46</f>
        <v/>
      </c>
      <c r="AF46" s="192" t="n">
        <v>0</v>
      </c>
      <c r="AG46" s="191">
        <f>AE46+AF46</f>
        <v/>
      </c>
      <c r="AH46" s="36" t="n">
        <v>0</v>
      </c>
      <c r="AI46" s="5" t="n">
        <v>0</v>
      </c>
      <c r="AJ46" s="191">
        <f>AH46-AI46+AG46</f>
        <v/>
      </c>
      <c r="AK46" s="192" t="n">
        <v>0</v>
      </c>
      <c r="AL46" s="191">
        <f>AJ46+AK46</f>
        <v/>
      </c>
      <c r="AM46" s="35" t="n"/>
      <c r="AN46" s="35" t="inlineStr">
        <is>
          <t>箱</t>
        </is>
      </c>
      <c r="AO46" s="5" t="n">
        <v>0</v>
      </c>
      <c r="AP46" s="5" t="n">
        <v>0</v>
      </c>
      <c r="AQ46" s="35" t="inlineStr">
        <is>
          <t>○</t>
        </is>
      </c>
      <c r="AR46" s="35" t="n"/>
      <c r="AS46" s="122" t="n"/>
      <c r="AT46" s="35" t="n"/>
      <c r="AU46" s="35" t="n"/>
    </row>
    <row r="47">
      <c r="A47" s="14" t="inlineStr">
        <is>
          <t>1216-361</t>
        </is>
      </c>
      <c r="B47" s="5" t="inlineStr">
        <is>
          <t>■じゃが芋「ﾒｰｸｲﾝ」10kg(長有研)8割減・不</t>
        </is>
      </c>
      <c r="C47" s="36" t="n">
        <v>16</v>
      </c>
      <c r="D47" s="36" t="n">
        <v>0</v>
      </c>
      <c r="E47" s="5" t="n">
        <v>0</v>
      </c>
      <c r="F47" s="191">
        <f>D47-E47+C47</f>
        <v/>
      </c>
      <c r="G47" s="192" t="n">
        <v>0</v>
      </c>
      <c r="H47" s="191">
        <f>F47+G47</f>
        <v/>
      </c>
      <c r="I47" s="36" t="n">
        <v>0</v>
      </c>
      <c r="J47" s="5" t="n">
        <v>3</v>
      </c>
      <c r="K47" s="191">
        <f>I47-J47+H47</f>
        <v/>
      </c>
      <c r="L47" s="192" t="n">
        <v>-1</v>
      </c>
      <c r="M47" s="191">
        <f>K47+L47</f>
        <v/>
      </c>
      <c r="N47" s="36" t="n">
        <v>0</v>
      </c>
      <c r="O47" s="5" t="n">
        <v>0</v>
      </c>
      <c r="P47" s="191">
        <f>N47-O47+M47</f>
        <v/>
      </c>
      <c r="Q47" s="192" t="n">
        <v>0</v>
      </c>
      <c r="R47" s="191">
        <f>P47+Q47</f>
        <v/>
      </c>
      <c r="S47" s="36" t="n">
        <v>0</v>
      </c>
      <c r="T47" s="5" t="n">
        <v>1</v>
      </c>
      <c r="U47" s="191">
        <f>S47-T47+R47</f>
        <v/>
      </c>
      <c r="V47" s="192" t="n">
        <v>0</v>
      </c>
      <c r="W47" s="191">
        <f>U47+V47</f>
        <v/>
      </c>
      <c r="X47" s="36" t="n">
        <v>0</v>
      </c>
      <c r="Y47" s="5" t="n">
        <v>0</v>
      </c>
      <c r="Z47" s="191">
        <f>X47-Y47+W47</f>
        <v/>
      </c>
      <c r="AA47" s="192" t="n">
        <v>0</v>
      </c>
      <c r="AB47" s="191">
        <f>Z47+AA47</f>
        <v/>
      </c>
      <c r="AC47" s="36" t="n">
        <v>0</v>
      </c>
      <c r="AD47" s="5" t="n">
        <v>1</v>
      </c>
      <c r="AE47" s="191">
        <f>AC47-AD47+AB47</f>
        <v/>
      </c>
      <c r="AF47" s="192" t="n">
        <v>0</v>
      </c>
      <c r="AG47" s="191">
        <f>AE47+AF47</f>
        <v/>
      </c>
      <c r="AH47" s="36" t="n">
        <v>0</v>
      </c>
      <c r="AI47" s="5" t="n">
        <v>1</v>
      </c>
      <c r="AJ47" s="191">
        <f>AH47-AI47+AG47</f>
        <v/>
      </c>
      <c r="AK47" s="192" t="n">
        <v>0</v>
      </c>
      <c r="AL47" s="191">
        <f>AJ47+AK47</f>
        <v/>
      </c>
      <c r="AM47" s="35" t="inlineStr">
        <is>
          <t>長崎</t>
        </is>
      </c>
      <c r="AN47" s="35" t="inlineStr">
        <is>
          <t>箱</t>
        </is>
      </c>
      <c r="AO47" s="163" t="n">
        <v>4000</v>
      </c>
      <c r="AP47" s="5" t="n">
        <v>0</v>
      </c>
      <c r="AQ47" s="35" t="inlineStr">
        <is>
          <t>○</t>
        </is>
      </c>
      <c r="AR47" s="35" t="n"/>
      <c r="AS47" s="122" t="n"/>
      <c r="AT47" s="35" t="n">
        <v>172</v>
      </c>
      <c r="AU47" s="35" t="inlineStr">
        <is>
          <t>㈱長有研</t>
        </is>
      </c>
    </row>
    <row r="48">
      <c r="A48" s="14" t="inlineStr">
        <is>
          <t>1216-362</t>
        </is>
      </c>
      <c r="B48" s="5" t="inlineStr">
        <is>
          <t>じゃが芋「ﾒｰｸｲﾝ」500g(長有研)◇</t>
        </is>
      </c>
      <c r="C48" s="36" t="n">
        <v>7</v>
      </c>
      <c r="D48" s="36" t="n">
        <v>0</v>
      </c>
      <c r="E48" s="5" t="n">
        <v>0</v>
      </c>
      <c r="F48" s="191">
        <f>D48-E48+C48</f>
        <v/>
      </c>
      <c r="G48" s="192" t="n">
        <v>0</v>
      </c>
      <c r="H48" s="191">
        <f>F48+G48</f>
        <v/>
      </c>
      <c r="I48" s="36" t="n">
        <v>20</v>
      </c>
      <c r="J48" s="5" t="n">
        <v>13</v>
      </c>
      <c r="K48" s="191">
        <f>I48-J48+H48</f>
        <v/>
      </c>
      <c r="L48" s="192" t="n">
        <v>0</v>
      </c>
      <c r="M48" s="191">
        <f>K48+L48</f>
        <v/>
      </c>
      <c r="N48" s="36" t="n">
        <v>0</v>
      </c>
      <c r="O48" s="5" t="n">
        <v>17</v>
      </c>
      <c r="P48" s="191">
        <f>N48-O48+M48</f>
        <v/>
      </c>
      <c r="Q48" s="192" t="n">
        <v>0</v>
      </c>
      <c r="R48" s="191">
        <f>P48+Q48</f>
        <v/>
      </c>
      <c r="S48" s="36" t="n">
        <v>0</v>
      </c>
      <c r="T48" s="5" t="n">
        <v>21</v>
      </c>
      <c r="U48" s="191">
        <f>S48-T48+R48</f>
        <v/>
      </c>
      <c r="V48" s="192" t="n">
        <v>0</v>
      </c>
      <c r="W48" s="191">
        <f>U48+V48</f>
        <v/>
      </c>
      <c r="X48" s="36" t="n">
        <v>0</v>
      </c>
      <c r="Y48" s="5" t="n">
        <v>13</v>
      </c>
      <c r="Z48" s="191">
        <f>X48-Y48+W48</f>
        <v/>
      </c>
      <c r="AA48" s="192" t="n">
        <v>0</v>
      </c>
      <c r="AB48" s="191">
        <f>Z48+AA48</f>
        <v/>
      </c>
      <c r="AC48" s="36" t="n">
        <v>0</v>
      </c>
      <c r="AD48" s="5" t="n">
        <v>34</v>
      </c>
      <c r="AE48" s="191">
        <f>AC48-AD48+AB48</f>
        <v/>
      </c>
      <c r="AF48" s="192" t="n">
        <v>0</v>
      </c>
      <c r="AG48" s="191">
        <f>AE48+AF48</f>
        <v/>
      </c>
      <c r="AH48" s="36" t="n">
        <v>0</v>
      </c>
      <c r="AI48" s="5" t="n">
        <v>27</v>
      </c>
      <c r="AJ48" s="191">
        <f>AH48-AI48+AG48</f>
        <v/>
      </c>
      <c r="AK48" s="192" t="n">
        <v>0</v>
      </c>
      <c r="AL48" s="191">
        <f>AJ48+AK48</f>
        <v/>
      </c>
      <c r="AM48" s="35" t="inlineStr">
        <is>
          <t>長崎</t>
        </is>
      </c>
      <c r="AN48" s="35" t="inlineStr">
        <is>
          <t>こもの</t>
        </is>
      </c>
      <c r="AO48" s="5" t="n">
        <v>235</v>
      </c>
      <c r="AP48" s="5" t="n">
        <v>0</v>
      </c>
      <c r="AQ48" s="35" t="n"/>
      <c r="AR48" s="35" t="n"/>
      <c r="AS48" s="122" t="n"/>
      <c r="AT48" s="35" t="n">
        <v>172</v>
      </c>
      <c r="AU48" s="35" t="inlineStr">
        <is>
          <t>㈱長有研</t>
        </is>
      </c>
    </row>
    <row r="49">
      <c r="A49" s="14" t="inlineStr">
        <is>
          <t>1225-373</t>
        </is>
      </c>
      <c r="B49" s="5" t="inlineStr">
        <is>
          <t>玉ねぎ　500ｇ(せっせと畑)</t>
        </is>
      </c>
      <c r="C49" s="36" t="n">
        <v>5</v>
      </c>
      <c r="D49" s="36" t="n">
        <v>0</v>
      </c>
      <c r="E49" s="5" t="n">
        <v>0</v>
      </c>
      <c r="F49" s="191">
        <f>D49-E49+C49</f>
        <v/>
      </c>
      <c r="G49" s="192" t="n">
        <v>0</v>
      </c>
      <c r="H49" s="191">
        <f>F49+G49</f>
        <v/>
      </c>
      <c r="I49" s="36" t="n">
        <v>10</v>
      </c>
      <c r="J49" s="5" t="n">
        <v>0</v>
      </c>
      <c r="K49" s="191">
        <f>I49-J49+H49</f>
        <v/>
      </c>
      <c r="L49" s="192" t="n">
        <v>0</v>
      </c>
      <c r="M49" s="191">
        <f>K49+L49</f>
        <v/>
      </c>
      <c r="N49" s="36" t="n">
        <v>0</v>
      </c>
      <c r="O49" s="5" t="n">
        <v>8</v>
      </c>
      <c r="P49" s="191">
        <f>N49-O49+M49</f>
        <v/>
      </c>
      <c r="Q49" s="192" t="n">
        <v>0</v>
      </c>
      <c r="R49" s="191">
        <f>P49+Q49</f>
        <v/>
      </c>
      <c r="S49" s="36" t="n">
        <v>0</v>
      </c>
      <c r="T49" s="5" t="n">
        <v>0</v>
      </c>
      <c r="U49" s="191">
        <f>S49-T49+R49</f>
        <v/>
      </c>
      <c r="V49" s="192" t="n">
        <v>0</v>
      </c>
      <c r="W49" s="191">
        <f>U49+V49</f>
        <v/>
      </c>
      <c r="X49" s="36" t="n">
        <v>0</v>
      </c>
      <c r="Y49" s="5" t="n">
        <v>0</v>
      </c>
      <c r="Z49" s="191">
        <f>X49-Y49+W49</f>
        <v/>
      </c>
      <c r="AA49" s="192" t="n">
        <v>0</v>
      </c>
      <c r="AB49" s="191">
        <f>Z49+AA49</f>
        <v/>
      </c>
      <c r="AC49" s="36" t="n">
        <v>20</v>
      </c>
      <c r="AD49" s="5" t="n">
        <v>10</v>
      </c>
      <c r="AE49" s="191">
        <f>AC49-AD49+AB49</f>
        <v/>
      </c>
      <c r="AF49" s="192" t="n">
        <v>0</v>
      </c>
      <c r="AG49" s="191">
        <f>AE49+AF49</f>
        <v/>
      </c>
      <c r="AH49" s="36" t="n">
        <v>0</v>
      </c>
      <c r="AI49" s="5" t="n">
        <v>14</v>
      </c>
      <c r="AJ49" s="191">
        <f>AH49-AI49+AG49</f>
        <v/>
      </c>
      <c r="AK49" s="192" t="n">
        <v>0</v>
      </c>
      <c r="AL49" s="191">
        <f>AJ49+AK49</f>
        <v/>
      </c>
      <c r="AM49" s="35" t="inlineStr">
        <is>
          <t>埼玉</t>
        </is>
      </c>
      <c r="AN49" s="35" t="inlineStr">
        <is>
          <t>こもの</t>
        </is>
      </c>
      <c r="AO49" s="5" t="n">
        <v>200</v>
      </c>
      <c r="AP49" s="5" t="n">
        <v>0</v>
      </c>
      <c r="AQ49" s="35" t="n"/>
      <c r="AR49" s="35" t="n"/>
      <c r="AS49" s="122" t="n">
        <v>4580450000000</v>
      </c>
      <c r="AT49" s="35" t="n">
        <v>709</v>
      </c>
      <c r="AU49" s="35" t="inlineStr">
        <is>
          <t>せっせと畑　野村翔平</t>
        </is>
      </c>
    </row>
    <row r="50">
      <c r="A50" s="14" t="inlineStr">
        <is>
          <t>1225-399</t>
        </is>
      </c>
      <c r="B50" s="5" t="inlineStr">
        <is>
          <t>■玉ねぎ Ｍ　20kg(マルハ)5割減・5割減</t>
        </is>
      </c>
      <c r="C50" s="36" t="n">
        <v>9</v>
      </c>
      <c r="D50" s="36" t="n">
        <v>0</v>
      </c>
      <c r="E50" s="5" t="n">
        <v>0</v>
      </c>
      <c r="F50" s="191">
        <f>D50-E50+C50</f>
        <v/>
      </c>
      <c r="G50" s="192" t="n">
        <v>0</v>
      </c>
      <c r="H50" s="191">
        <f>F50+G50</f>
        <v/>
      </c>
      <c r="I50" s="36" t="n">
        <v>0</v>
      </c>
      <c r="J50" s="5" t="n">
        <v>0</v>
      </c>
      <c r="K50" s="191">
        <f>I50-J50+H50</f>
        <v/>
      </c>
      <c r="L50" s="192" t="n">
        <v>0</v>
      </c>
      <c r="M50" s="191">
        <f>K50+L50</f>
        <v/>
      </c>
      <c r="N50" s="36" t="n">
        <v>30</v>
      </c>
      <c r="O50" s="5" t="n">
        <v>0</v>
      </c>
      <c r="P50" s="191">
        <f>N50-O50+M50</f>
        <v/>
      </c>
      <c r="Q50" s="192" t="n">
        <v>0</v>
      </c>
      <c r="R50" s="191">
        <f>P50+Q50</f>
        <v/>
      </c>
      <c r="S50" s="36" t="n">
        <v>0</v>
      </c>
      <c r="T50" s="5" t="n">
        <v>0</v>
      </c>
      <c r="U50" s="191">
        <f>S50-T50+R50</f>
        <v/>
      </c>
      <c r="V50" s="192" t="n">
        <v>0</v>
      </c>
      <c r="W50" s="191">
        <f>U50+V50</f>
        <v/>
      </c>
      <c r="X50" s="36" t="n">
        <v>0</v>
      </c>
      <c r="Y50" s="5" t="n">
        <v>0</v>
      </c>
      <c r="Z50" s="191">
        <f>X50-Y50+W50</f>
        <v/>
      </c>
      <c r="AA50" s="192" t="n">
        <v>0</v>
      </c>
      <c r="AB50" s="191">
        <f>Z50+AA50</f>
        <v/>
      </c>
      <c r="AC50" s="36" t="n">
        <v>0</v>
      </c>
      <c r="AD50" s="5" t="n">
        <v>0</v>
      </c>
      <c r="AE50" s="191">
        <f>AC50-AD50+AB50</f>
        <v/>
      </c>
      <c r="AF50" s="192" t="n">
        <v>0</v>
      </c>
      <c r="AG50" s="191">
        <f>AE50+AF50</f>
        <v/>
      </c>
      <c r="AH50" s="36" t="n">
        <v>0</v>
      </c>
      <c r="AI50" s="5" t="n">
        <v>0</v>
      </c>
      <c r="AJ50" s="191">
        <f>AH50-AI50+AG50</f>
        <v/>
      </c>
      <c r="AK50" s="192" t="n">
        <v>0</v>
      </c>
      <c r="AL50" s="191">
        <f>AJ50+AK50</f>
        <v/>
      </c>
      <c r="AM50" s="35" t="inlineStr">
        <is>
          <t>佐賀</t>
        </is>
      </c>
      <c r="AN50" s="35" t="inlineStr">
        <is>
          <t>箱</t>
        </is>
      </c>
      <c r="AO50" s="163" t="n">
        <v>4700</v>
      </c>
      <c r="AP50" s="5" t="n">
        <v>0</v>
      </c>
      <c r="AQ50" s="35" t="inlineStr">
        <is>
          <t>○</t>
        </is>
      </c>
      <c r="AR50" s="35" t="n"/>
      <c r="AS50" s="122" t="n"/>
      <c r="AT50" s="35" t="n"/>
      <c r="AU50" s="35" t="n"/>
    </row>
    <row r="51">
      <c r="A51" s="14" t="inlineStr">
        <is>
          <t>1225-455</t>
        </is>
      </c>
      <c r="B51" s="5" t="inlineStr">
        <is>
          <t>■玉ねぎ ２Ｌ 20kg(マルハ)5割減・5割減</t>
        </is>
      </c>
      <c r="C51" s="36" t="n">
        <v>10</v>
      </c>
      <c r="D51" s="36" t="n">
        <v>0</v>
      </c>
      <c r="E51" s="5" t="n">
        <v>0</v>
      </c>
      <c r="F51" s="191">
        <f>D51-E51+C51</f>
        <v/>
      </c>
      <c r="G51" s="192" t="n">
        <v>0</v>
      </c>
      <c r="H51" s="191">
        <f>F51+G51</f>
        <v/>
      </c>
      <c r="I51" s="36" t="n">
        <v>0</v>
      </c>
      <c r="J51" s="5" t="n">
        <v>0</v>
      </c>
      <c r="K51" s="191">
        <f>I51-J51+H51</f>
        <v/>
      </c>
      <c r="L51" s="192" t="n">
        <v>0</v>
      </c>
      <c r="M51" s="191">
        <f>K51+L51</f>
        <v/>
      </c>
      <c r="N51" s="36" t="n">
        <v>0</v>
      </c>
      <c r="O51" s="5" t="n">
        <v>0</v>
      </c>
      <c r="P51" s="191">
        <f>N51-O51+M51</f>
        <v/>
      </c>
      <c r="Q51" s="192" t="n">
        <v>0</v>
      </c>
      <c r="R51" s="191">
        <f>P51+Q51</f>
        <v/>
      </c>
      <c r="S51" s="36" t="n">
        <v>0</v>
      </c>
      <c r="T51" s="5" t="n">
        <v>0</v>
      </c>
      <c r="U51" s="191">
        <f>S51-T51+R51</f>
        <v/>
      </c>
      <c r="V51" s="192" t="n">
        <v>0</v>
      </c>
      <c r="W51" s="191">
        <f>U51+V51</f>
        <v/>
      </c>
      <c r="X51" s="36" t="n">
        <v>0</v>
      </c>
      <c r="Y51" s="5" t="n">
        <v>0</v>
      </c>
      <c r="Z51" s="191">
        <f>X51-Y51+W51</f>
        <v/>
      </c>
      <c r="AA51" s="192" t="n">
        <v>0</v>
      </c>
      <c r="AB51" s="191">
        <f>Z51+AA51</f>
        <v/>
      </c>
      <c r="AC51" s="36" t="n">
        <v>0</v>
      </c>
      <c r="AD51" s="5" t="n">
        <v>0</v>
      </c>
      <c r="AE51" s="191">
        <f>AC51-AD51+AB51</f>
        <v/>
      </c>
      <c r="AF51" s="192" t="n">
        <v>0</v>
      </c>
      <c r="AG51" s="191">
        <f>AE51+AF51</f>
        <v/>
      </c>
      <c r="AH51" s="36" t="n">
        <v>0</v>
      </c>
      <c r="AI51" s="5" t="n">
        <v>10</v>
      </c>
      <c r="AJ51" s="191">
        <f>AH51-AI51+AG51</f>
        <v/>
      </c>
      <c r="AK51" s="192" t="n">
        <v>0</v>
      </c>
      <c r="AL51" s="191">
        <f>AJ51+AK51</f>
        <v/>
      </c>
      <c r="AM51" s="35" t="inlineStr">
        <is>
          <t>佐賀</t>
        </is>
      </c>
      <c r="AN51" s="35" t="inlineStr">
        <is>
          <t>箱</t>
        </is>
      </c>
      <c r="AO51" s="163" t="n">
        <v>4700</v>
      </c>
      <c r="AP51" s="5" t="n">
        <v>0</v>
      </c>
      <c r="AQ51" s="35" t="inlineStr">
        <is>
          <t>○</t>
        </is>
      </c>
      <c r="AR51" s="35" t="n"/>
      <c r="AS51" s="122" t="n"/>
      <c r="AT51" s="35" t="n"/>
      <c r="AU51" s="35" t="n"/>
    </row>
    <row r="52">
      <c r="A52" s="14" t="inlineStr">
        <is>
          <t>1225-456</t>
        </is>
      </c>
      <c r="B52" s="5" t="inlineStr">
        <is>
          <t>■玉葱 10kgｺﾝﾃﾅ(マルハ)根残しムキ済◇</t>
        </is>
      </c>
      <c r="C52" s="36" t="n">
        <v>0</v>
      </c>
      <c r="D52" s="36" t="n">
        <v>0</v>
      </c>
      <c r="E52" s="5" t="n">
        <v>0</v>
      </c>
      <c r="F52" s="191">
        <f>D52-E52+C52</f>
        <v/>
      </c>
      <c r="G52" s="192" t="n">
        <v>0</v>
      </c>
      <c r="H52" s="191">
        <f>F52+G52</f>
        <v/>
      </c>
      <c r="I52" s="36" t="n">
        <v>0</v>
      </c>
      <c r="J52" s="5" t="n">
        <v>1</v>
      </c>
      <c r="K52" s="191">
        <f>I52-J52+H52</f>
        <v/>
      </c>
      <c r="L52" s="192" t="n">
        <v>0</v>
      </c>
      <c r="M52" s="191">
        <f>K52+L52</f>
        <v/>
      </c>
      <c r="N52" s="36" t="n">
        <v>0</v>
      </c>
      <c r="O52" s="5" t="n">
        <v>0</v>
      </c>
      <c r="P52" s="191">
        <f>N52-O52+M52</f>
        <v/>
      </c>
      <c r="Q52" s="192" t="n">
        <v>0</v>
      </c>
      <c r="R52" s="191">
        <f>P52+Q52</f>
        <v/>
      </c>
      <c r="S52" s="36" t="n">
        <v>0</v>
      </c>
      <c r="T52" s="5" t="n">
        <v>0</v>
      </c>
      <c r="U52" s="191">
        <f>S52-T52+R52</f>
        <v/>
      </c>
      <c r="V52" s="192" t="n">
        <v>0</v>
      </c>
      <c r="W52" s="191">
        <f>U52+V52</f>
        <v/>
      </c>
      <c r="X52" s="36" t="n">
        <v>0</v>
      </c>
      <c r="Y52" s="5" t="n">
        <v>0</v>
      </c>
      <c r="Z52" s="191">
        <f>X52-Y52+W52</f>
        <v/>
      </c>
      <c r="AA52" s="192" t="n">
        <v>0</v>
      </c>
      <c r="AB52" s="191">
        <f>Z52+AA52</f>
        <v/>
      </c>
      <c r="AC52" s="36" t="n">
        <v>0</v>
      </c>
      <c r="AD52" s="5" t="n">
        <v>0</v>
      </c>
      <c r="AE52" s="191">
        <f>AC52-AD52+AB52</f>
        <v/>
      </c>
      <c r="AF52" s="192" t="n">
        <v>0</v>
      </c>
      <c r="AG52" s="191">
        <f>AE52+AF52</f>
        <v/>
      </c>
      <c r="AH52" s="36" t="n">
        <v>0</v>
      </c>
      <c r="AI52" s="5" t="n">
        <v>0</v>
      </c>
      <c r="AJ52" s="191">
        <f>AH52-AI52+AG52</f>
        <v/>
      </c>
      <c r="AK52" s="192" t="n">
        <v>0</v>
      </c>
      <c r="AL52" s="191">
        <f>AJ52+AK52</f>
        <v/>
      </c>
      <c r="AM52" s="35" t="inlineStr">
        <is>
          <t>長崎</t>
        </is>
      </c>
      <c r="AN52" s="35" t="inlineStr">
        <is>
          <t>箱</t>
        </is>
      </c>
      <c r="AO52" s="163" t="n">
        <v>3600</v>
      </c>
      <c r="AP52" s="5" t="n">
        <v>0</v>
      </c>
      <c r="AQ52" s="35" t="n"/>
      <c r="AR52" s="35" t="n"/>
      <c r="AS52" s="122" t="inlineStr">
        <is>
          <t>なし</t>
        </is>
      </c>
      <c r="AT52" s="35" t="n"/>
      <c r="AU52" s="35" t="n"/>
    </row>
    <row r="53">
      <c r="A53" s="14" t="inlineStr">
        <is>
          <t>1225-7</t>
        </is>
      </c>
      <c r="B53" s="5" t="inlineStr">
        <is>
          <t>■有機 玉ねぎ 混 10kg(長有研)</t>
        </is>
      </c>
      <c r="C53" s="36" t="n">
        <v>15</v>
      </c>
      <c r="D53" s="36" t="n">
        <v>0</v>
      </c>
      <c r="E53" s="5" t="n">
        <v>0</v>
      </c>
      <c r="F53" s="191">
        <f>D53-E53+C53</f>
        <v/>
      </c>
      <c r="G53" s="192" t="n">
        <v>0</v>
      </c>
      <c r="H53" s="191">
        <f>F53+G53</f>
        <v/>
      </c>
      <c r="I53" s="36" t="n">
        <v>20</v>
      </c>
      <c r="J53" s="5" t="n">
        <v>9</v>
      </c>
      <c r="K53" s="191">
        <f>I53-J53+H53</f>
        <v/>
      </c>
      <c r="L53" s="192" t="n">
        <v>-2</v>
      </c>
      <c r="M53" s="191">
        <f>K53+L53</f>
        <v/>
      </c>
      <c r="N53" s="36" t="n">
        <v>0</v>
      </c>
      <c r="O53" s="5" t="n">
        <v>2</v>
      </c>
      <c r="P53" s="191">
        <f>N53-O53+M53</f>
        <v/>
      </c>
      <c r="Q53" s="192" t="n">
        <v>0</v>
      </c>
      <c r="R53" s="191">
        <f>P53+Q53</f>
        <v/>
      </c>
      <c r="S53" s="36" t="n">
        <v>0</v>
      </c>
      <c r="T53" s="5" t="n">
        <v>7</v>
      </c>
      <c r="U53" s="191">
        <f>S53-T53+R53</f>
        <v/>
      </c>
      <c r="V53" s="192" t="n">
        <v>0</v>
      </c>
      <c r="W53" s="191">
        <f>U53+V53</f>
        <v/>
      </c>
      <c r="X53" s="36" t="n">
        <v>20</v>
      </c>
      <c r="Y53" s="5" t="n">
        <v>1</v>
      </c>
      <c r="Z53" s="191">
        <f>X53-Y53+W53</f>
        <v/>
      </c>
      <c r="AA53" s="192" t="n">
        <v>0</v>
      </c>
      <c r="AB53" s="191">
        <f>Z53+AA53</f>
        <v/>
      </c>
      <c r="AC53" s="36" t="n">
        <v>0</v>
      </c>
      <c r="AD53" s="5" t="n">
        <v>4</v>
      </c>
      <c r="AE53" s="191">
        <f>AC53-AD53+AB53</f>
        <v/>
      </c>
      <c r="AF53" s="192" t="n">
        <v>0</v>
      </c>
      <c r="AG53" s="191">
        <f>AE53+AF53</f>
        <v/>
      </c>
      <c r="AH53" s="36" t="n">
        <v>0</v>
      </c>
      <c r="AI53" s="5" t="n">
        <v>3</v>
      </c>
      <c r="AJ53" s="191">
        <f>AH53-AI53+AG53</f>
        <v/>
      </c>
      <c r="AK53" s="192" t="n">
        <v>0</v>
      </c>
      <c r="AL53" s="191">
        <f>AJ53+AK53</f>
        <v/>
      </c>
      <c r="AM53" s="35" t="inlineStr">
        <is>
          <t>長崎</t>
        </is>
      </c>
      <c r="AN53" s="35" t="inlineStr">
        <is>
          <t>箱</t>
        </is>
      </c>
      <c r="AO53" s="163" t="n">
        <v>3000</v>
      </c>
      <c r="AP53" s="5" t="n">
        <v>0</v>
      </c>
      <c r="AQ53" s="35" t="inlineStr">
        <is>
          <t>○</t>
        </is>
      </c>
      <c r="AR53" s="35" t="n"/>
      <c r="AS53" s="122" t="inlineStr">
        <is>
          <t>なし</t>
        </is>
      </c>
      <c r="AT53" s="35" t="n">
        <v>172</v>
      </c>
      <c r="AU53" s="35" t="inlineStr">
        <is>
          <t>㈱長有研</t>
        </is>
      </c>
    </row>
    <row r="54">
      <c r="A54" s="14" t="inlineStr">
        <is>
          <t>1225-9</t>
        </is>
      </c>
      <c r="B54" s="5" t="inlineStr">
        <is>
          <t>■玉ねぎ 混 10kg(長有研）不不</t>
        </is>
      </c>
      <c r="C54" s="36" t="n">
        <v>4</v>
      </c>
      <c r="D54" s="36" t="n">
        <v>0</v>
      </c>
      <c r="E54" s="5" t="n">
        <v>0</v>
      </c>
      <c r="F54" s="191">
        <f>D54-E54+C54</f>
        <v/>
      </c>
      <c r="G54" s="192" t="n">
        <v>0</v>
      </c>
      <c r="H54" s="191">
        <f>F54+G54</f>
        <v/>
      </c>
      <c r="I54" s="36" t="n">
        <v>20</v>
      </c>
      <c r="J54" s="5" t="n">
        <v>2</v>
      </c>
      <c r="K54" s="191">
        <f>I54-J54+H54</f>
        <v/>
      </c>
      <c r="L54" s="192" t="n">
        <v>0</v>
      </c>
      <c r="M54" s="191">
        <f>K54+L54</f>
        <v/>
      </c>
      <c r="N54" s="36" t="n">
        <v>0</v>
      </c>
      <c r="O54" s="5" t="n">
        <v>0</v>
      </c>
      <c r="P54" s="191">
        <f>N54-O54+M54</f>
        <v/>
      </c>
      <c r="Q54" s="192" t="n">
        <v>0</v>
      </c>
      <c r="R54" s="191">
        <f>P54+Q54</f>
        <v/>
      </c>
      <c r="S54" s="36" t="n">
        <v>0</v>
      </c>
      <c r="T54" s="5" t="n">
        <v>3</v>
      </c>
      <c r="U54" s="191">
        <f>S54-T54+R54</f>
        <v/>
      </c>
      <c r="V54" s="192" t="n">
        <v>0</v>
      </c>
      <c r="W54" s="191">
        <f>U54+V54</f>
        <v/>
      </c>
      <c r="X54" s="36" t="n">
        <v>0</v>
      </c>
      <c r="Y54" s="5" t="n">
        <v>2</v>
      </c>
      <c r="Z54" s="191">
        <f>X54-Y54+W54</f>
        <v/>
      </c>
      <c r="AA54" s="192" t="n">
        <v>0</v>
      </c>
      <c r="AB54" s="191">
        <f>Z54+AA54</f>
        <v/>
      </c>
      <c r="AC54" s="36" t="n">
        <v>0</v>
      </c>
      <c r="AD54" s="5" t="n">
        <v>1</v>
      </c>
      <c r="AE54" s="191">
        <f>AC54-AD54+AB54</f>
        <v/>
      </c>
      <c r="AF54" s="192" t="n">
        <v>0</v>
      </c>
      <c r="AG54" s="191">
        <f>AE54+AF54</f>
        <v/>
      </c>
      <c r="AH54" s="36" t="n">
        <v>0</v>
      </c>
      <c r="AI54" s="5" t="n">
        <v>1</v>
      </c>
      <c r="AJ54" s="191">
        <f>AH54-AI54+AG54</f>
        <v/>
      </c>
      <c r="AK54" s="192" t="n">
        <v>0</v>
      </c>
      <c r="AL54" s="191">
        <f>AJ54+AK54</f>
        <v/>
      </c>
      <c r="AM54" s="35" t="inlineStr">
        <is>
          <t>長崎</t>
        </is>
      </c>
      <c r="AN54" s="35" t="inlineStr">
        <is>
          <t>箱</t>
        </is>
      </c>
      <c r="AO54" s="163" t="n">
        <v>2700</v>
      </c>
      <c r="AP54" s="5" t="n">
        <v>0</v>
      </c>
      <c r="AQ54" s="35" t="inlineStr">
        <is>
          <t>○</t>
        </is>
      </c>
      <c r="AR54" s="35" t="n"/>
      <c r="AS54" s="122" t="n"/>
      <c r="AT54" s="35" t="n">
        <v>172</v>
      </c>
      <c r="AU54" s="35" t="inlineStr">
        <is>
          <t>㈱長有研</t>
        </is>
      </c>
    </row>
    <row r="55">
      <c r="A55" s="14" t="inlineStr">
        <is>
          <t>1226-200</t>
        </is>
      </c>
      <c r="B55" s="5" t="inlineStr">
        <is>
          <t>有機玉ねぎ　500ｇ(長有研)◇</t>
        </is>
      </c>
      <c r="C55" s="36" t="n">
        <v>32</v>
      </c>
      <c r="D55" s="36" t="n">
        <v>0</v>
      </c>
      <c r="E55" s="5" t="n">
        <v>0</v>
      </c>
      <c r="F55" s="191">
        <f>D55-E55+C55</f>
        <v/>
      </c>
      <c r="G55" s="192" t="n">
        <v>0</v>
      </c>
      <c r="H55" s="191">
        <f>F55+G55</f>
        <v/>
      </c>
      <c r="I55" s="36" t="n">
        <v>40</v>
      </c>
      <c r="J55" s="5" t="n">
        <v>63</v>
      </c>
      <c r="K55" s="191">
        <f>I55-J55+H55</f>
        <v/>
      </c>
      <c r="L55" s="192" t="n">
        <v>0</v>
      </c>
      <c r="M55" s="191">
        <f>K55+L55</f>
        <v/>
      </c>
      <c r="N55" s="36" t="n">
        <v>0</v>
      </c>
      <c r="O55" s="5" t="n">
        <v>65</v>
      </c>
      <c r="P55" s="191">
        <f>N55-O55+M55</f>
        <v/>
      </c>
      <c r="Q55" s="192" t="n">
        <v>0</v>
      </c>
      <c r="R55" s="191">
        <f>P55+Q55</f>
        <v/>
      </c>
      <c r="S55" s="36" t="n">
        <v>0</v>
      </c>
      <c r="T55" s="5" t="n">
        <v>55</v>
      </c>
      <c r="U55" s="191">
        <f>S55-T55+R55</f>
        <v/>
      </c>
      <c r="V55" s="192" t="n">
        <v>0</v>
      </c>
      <c r="W55" s="191">
        <f>U55+V55</f>
        <v/>
      </c>
      <c r="X55" s="36" t="n">
        <v>0</v>
      </c>
      <c r="Y55" s="5" t="n">
        <v>40</v>
      </c>
      <c r="Z55" s="191">
        <f>X55-Y55+W55</f>
        <v/>
      </c>
      <c r="AA55" s="192" t="n">
        <v>0</v>
      </c>
      <c r="AB55" s="191">
        <f>Z55+AA55</f>
        <v/>
      </c>
      <c r="AC55" s="36" t="n">
        <v>0</v>
      </c>
      <c r="AD55" s="5" t="n">
        <v>56</v>
      </c>
      <c r="AE55" s="191">
        <f>AC55-AD55+AB55</f>
        <v/>
      </c>
      <c r="AF55" s="192" t="n">
        <v>0</v>
      </c>
      <c r="AG55" s="191">
        <f>AE55+AF55</f>
        <v/>
      </c>
      <c r="AH55" s="36" t="n">
        <v>0</v>
      </c>
      <c r="AI55" s="5" t="n">
        <v>88</v>
      </c>
      <c r="AJ55" s="191">
        <f>AH55-AI55+AG55</f>
        <v/>
      </c>
      <c r="AK55" s="192" t="n">
        <v>0</v>
      </c>
      <c r="AL55" s="191">
        <f>AJ55+AK55</f>
        <v/>
      </c>
      <c r="AM55" s="35" t="inlineStr">
        <is>
          <t>長崎</t>
        </is>
      </c>
      <c r="AN55" s="35" t="inlineStr">
        <is>
          <t>こもの</t>
        </is>
      </c>
      <c r="AO55" s="5" t="n">
        <v>200</v>
      </c>
      <c r="AP55" s="5" t="n">
        <v>0</v>
      </c>
      <c r="AQ55" s="35" t="n"/>
      <c r="AR55" s="35" t="n"/>
      <c r="AS55" s="122" t="n">
        <v>4580450000000</v>
      </c>
      <c r="AT55" s="35" t="n">
        <v>172</v>
      </c>
      <c r="AU55" s="35" t="inlineStr">
        <is>
          <t>㈱長有研</t>
        </is>
      </c>
    </row>
    <row r="56">
      <c r="A56" s="14" t="inlineStr">
        <is>
          <t>1226-436</t>
        </is>
      </c>
      <c r="B56" s="5" t="inlineStr">
        <is>
          <t>■有機 玉ねぎ 混 10kg(雲仙)</t>
        </is>
      </c>
      <c r="C56" s="36" t="n">
        <v>2</v>
      </c>
      <c r="D56" s="36" t="n">
        <v>0</v>
      </c>
      <c r="E56" s="5" t="n">
        <v>0</v>
      </c>
      <c r="F56" s="191">
        <f>D56-E56+C56</f>
        <v/>
      </c>
      <c r="G56" s="192" t="n">
        <v>0</v>
      </c>
      <c r="H56" s="191">
        <f>F56+G56</f>
        <v/>
      </c>
      <c r="I56" s="36" t="n">
        <v>10</v>
      </c>
      <c r="J56" s="5" t="n">
        <v>0</v>
      </c>
      <c r="K56" s="191">
        <f>I56-J56+H56</f>
        <v/>
      </c>
      <c r="L56" s="192" t="n">
        <v>-6</v>
      </c>
      <c r="M56" s="191">
        <f>K56+L56</f>
        <v/>
      </c>
      <c r="N56" s="36" t="n">
        <v>0</v>
      </c>
      <c r="O56" s="5" t="n">
        <v>0</v>
      </c>
      <c r="P56" s="191">
        <f>N56-O56+M56</f>
        <v/>
      </c>
      <c r="Q56" s="192" t="n">
        <v>-1</v>
      </c>
      <c r="R56" s="191">
        <f>P56+Q56</f>
        <v/>
      </c>
      <c r="S56" s="36" t="n">
        <v>0</v>
      </c>
      <c r="T56" s="5" t="n">
        <v>0</v>
      </c>
      <c r="U56" s="191">
        <f>S56-T56+R56</f>
        <v/>
      </c>
      <c r="V56" s="192" t="n">
        <v>0</v>
      </c>
      <c r="W56" s="191">
        <f>U56+V56</f>
        <v/>
      </c>
      <c r="X56" s="36" t="n">
        <v>0</v>
      </c>
      <c r="Y56" s="5" t="n">
        <v>0</v>
      </c>
      <c r="Z56" s="191">
        <f>X56-Y56+W56</f>
        <v/>
      </c>
      <c r="AA56" s="192" t="n">
        <v>-1</v>
      </c>
      <c r="AB56" s="191">
        <f>Z56+AA56</f>
        <v/>
      </c>
      <c r="AC56" s="36" t="n">
        <v>0</v>
      </c>
      <c r="AD56" s="5" t="n">
        <v>0</v>
      </c>
      <c r="AE56" s="191">
        <f>AC56-AD56+AB56</f>
        <v/>
      </c>
      <c r="AF56" s="192" t="n">
        <v>-4</v>
      </c>
      <c r="AG56" s="191">
        <f>AE56+AF56</f>
        <v/>
      </c>
      <c r="AH56" s="36" t="n">
        <v>0</v>
      </c>
      <c r="AI56" s="5" t="n">
        <v>0</v>
      </c>
      <c r="AJ56" s="191">
        <f>AH56-AI56+AG56</f>
        <v/>
      </c>
      <c r="AK56" s="192" t="n">
        <v>0</v>
      </c>
      <c r="AL56" s="191">
        <f>AJ56+AK56</f>
        <v/>
      </c>
      <c r="AM56" s="35" t="inlineStr">
        <is>
          <t>長崎</t>
        </is>
      </c>
      <c r="AN56" s="35" t="inlineStr">
        <is>
          <t>箱</t>
        </is>
      </c>
      <c r="AO56" s="163" t="n">
        <v>3000</v>
      </c>
      <c r="AP56" s="5" t="n">
        <v>0</v>
      </c>
      <c r="AQ56" s="35" t="inlineStr">
        <is>
          <t>○</t>
        </is>
      </c>
      <c r="AR56" s="35" t="n"/>
      <c r="AS56" s="122" t="inlineStr">
        <is>
          <t>なし</t>
        </is>
      </c>
      <c r="AT56" s="35" t="n">
        <v>719</v>
      </c>
      <c r="AU56" s="35" t="inlineStr">
        <is>
          <t>雲仙農園　本多繁喜</t>
        </is>
      </c>
    </row>
    <row r="57">
      <c r="A57" s="14" t="inlineStr">
        <is>
          <t>1226-437</t>
        </is>
      </c>
      <c r="B57" s="5" t="inlineStr">
        <is>
          <t>有機玉ねぎ　500ｇ×10(雲仙)◇東一</t>
        </is>
      </c>
      <c r="C57" s="36" t="n">
        <v>0</v>
      </c>
      <c r="D57" s="36" t="n">
        <v>0</v>
      </c>
      <c r="E57" s="5" t="n">
        <v>0</v>
      </c>
      <c r="F57" s="191">
        <f>D57-E57+C57</f>
        <v/>
      </c>
      <c r="G57" s="192" t="n">
        <v>0</v>
      </c>
      <c r="H57" s="191">
        <f>F57+G57</f>
        <v/>
      </c>
      <c r="I57" s="36" t="n">
        <v>11</v>
      </c>
      <c r="J57" s="5" t="n">
        <v>11</v>
      </c>
      <c r="K57" s="191">
        <f>I57-J57+H57</f>
        <v/>
      </c>
      <c r="L57" s="192" t="n">
        <v>0</v>
      </c>
      <c r="M57" s="191">
        <f>K57+L57</f>
        <v/>
      </c>
      <c r="N57" s="36" t="n">
        <v>2</v>
      </c>
      <c r="O57" s="5" t="n">
        <v>2</v>
      </c>
      <c r="P57" s="191">
        <f>N57-O57+M57</f>
        <v/>
      </c>
      <c r="Q57" s="192" t="n">
        <v>0</v>
      </c>
      <c r="R57" s="191">
        <f>P57+Q57</f>
        <v/>
      </c>
      <c r="S57" s="36" t="n">
        <v>0</v>
      </c>
      <c r="T57" s="5" t="n">
        <v>0</v>
      </c>
      <c r="U57" s="191">
        <f>S57-T57+R57</f>
        <v/>
      </c>
      <c r="V57" s="192" t="n">
        <v>0</v>
      </c>
      <c r="W57" s="191">
        <f>U57+V57</f>
        <v/>
      </c>
      <c r="X57" s="36" t="n">
        <v>2</v>
      </c>
      <c r="Y57" s="5" t="n">
        <v>4</v>
      </c>
      <c r="Z57" s="191">
        <f>X57-Y57+W57</f>
        <v/>
      </c>
      <c r="AA57" s="192" t="n">
        <v>0</v>
      </c>
      <c r="AB57" s="191">
        <f>Z57+AA57</f>
        <v/>
      </c>
      <c r="AC57" s="36" t="n">
        <v>8</v>
      </c>
      <c r="AD57" s="5" t="n">
        <v>8</v>
      </c>
      <c r="AE57" s="191">
        <f>AC57-AD57+AB57</f>
        <v/>
      </c>
      <c r="AF57" s="192" t="n">
        <v>0</v>
      </c>
      <c r="AG57" s="191">
        <f>AE57+AF57</f>
        <v/>
      </c>
      <c r="AH57" s="36" t="n">
        <v>0</v>
      </c>
      <c r="AI57" s="5" t="n">
        <v>1</v>
      </c>
      <c r="AJ57" s="191">
        <f>AH57-AI57+AG57</f>
        <v/>
      </c>
      <c r="AK57" s="192" t="n">
        <v>0</v>
      </c>
      <c r="AL57" s="191">
        <f>AJ57+AK57</f>
        <v/>
      </c>
      <c r="AM57" s="35" t="inlineStr">
        <is>
          <t>長崎</t>
        </is>
      </c>
      <c r="AN57" s="35" t="inlineStr">
        <is>
          <t>こもの</t>
        </is>
      </c>
      <c r="AO57" s="163" t="n">
        <v>2000</v>
      </c>
      <c r="AP57" s="5" t="n">
        <v>0</v>
      </c>
      <c r="AQ57" s="35" t="n"/>
      <c r="AR57" s="35" t="inlineStr">
        <is>
          <t>○</t>
        </is>
      </c>
      <c r="AS57" s="122" t="n">
        <v>4580445522702</v>
      </c>
      <c r="AT57" s="35" t="n">
        <v>719</v>
      </c>
      <c r="AU57" s="35" t="inlineStr">
        <is>
          <t>雲仙農園　本多繁喜</t>
        </is>
      </c>
    </row>
    <row r="58">
      <c r="A58" s="14" t="inlineStr">
        <is>
          <t>1226-438</t>
        </is>
      </c>
      <c r="B58" s="5" t="inlineStr">
        <is>
          <t>有機玉ねぎ　500ｇ(雲仙)◇</t>
        </is>
      </c>
      <c r="C58" s="36" t="n">
        <v>0</v>
      </c>
      <c r="D58" s="36" t="n">
        <v>0</v>
      </c>
      <c r="E58" s="5" t="n">
        <v>0</v>
      </c>
      <c r="F58" s="191">
        <f>D58-E58+C58</f>
        <v/>
      </c>
      <c r="G58" s="192" t="n">
        <v>0</v>
      </c>
      <c r="H58" s="191">
        <f>F58+G58</f>
        <v/>
      </c>
      <c r="I58" s="36" t="n">
        <v>110</v>
      </c>
      <c r="J58" s="5" t="n">
        <v>0</v>
      </c>
      <c r="K58" s="191">
        <f>I58-J58+H58</f>
        <v/>
      </c>
      <c r="L58" s="192" t="n">
        <v>-110</v>
      </c>
      <c r="M58" s="191">
        <f>K58+L58</f>
        <v/>
      </c>
      <c r="N58" s="36" t="n">
        <v>20</v>
      </c>
      <c r="O58" s="5" t="n">
        <v>0</v>
      </c>
      <c r="P58" s="191">
        <f>N58-O58+M58</f>
        <v/>
      </c>
      <c r="Q58" s="192" t="n">
        <v>-20</v>
      </c>
      <c r="R58" s="191">
        <f>P58+Q58</f>
        <v/>
      </c>
      <c r="S58" s="36" t="n">
        <v>0</v>
      </c>
      <c r="T58" s="5" t="n">
        <v>0</v>
      </c>
      <c r="U58" s="191">
        <f>S58-T58+R58</f>
        <v/>
      </c>
      <c r="V58" s="192" t="n">
        <v>0</v>
      </c>
      <c r="W58" s="191">
        <f>U58+V58</f>
        <v/>
      </c>
      <c r="X58" s="36" t="n">
        <v>20</v>
      </c>
      <c r="Y58" s="5" t="n">
        <v>0</v>
      </c>
      <c r="Z58" s="191">
        <f>X58-Y58+W58</f>
        <v/>
      </c>
      <c r="AA58" s="192" t="n">
        <v>-20</v>
      </c>
      <c r="AB58" s="191">
        <f>Z58+AA58</f>
        <v/>
      </c>
      <c r="AC58" s="36" t="n">
        <v>80</v>
      </c>
      <c r="AD58" s="5" t="n">
        <v>0</v>
      </c>
      <c r="AE58" s="191">
        <f>AC58-AD58+AB58</f>
        <v/>
      </c>
      <c r="AF58" s="192" t="n">
        <v>-80</v>
      </c>
      <c r="AG58" s="191">
        <f>AE58+AF58</f>
        <v/>
      </c>
      <c r="AH58" s="36" t="n">
        <v>0</v>
      </c>
      <c r="AI58" s="5" t="n">
        <v>0</v>
      </c>
      <c r="AJ58" s="191">
        <f>AH58-AI58+AG58</f>
        <v/>
      </c>
      <c r="AK58" s="192" t="n">
        <v>0</v>
      </c>
      <c r="AL58" s="191">
        <f>AJ58+AK58</f>
        <v/>
      </c>
      <c r="AM58" s="35" t="inlineStr">
        <is>
          <t>長崎</t>
        </is>
      </c>
      <c r="AN58" s="35" t="inlineStr">
        <is>
          <t>こもの</t>
        </is>
      </c>
      <c r="AO58" s="5" t="n">
        <v>200</v>
      </c>
      <c r="AP58" s="5" t="n">
        <v>0</v>
      </c>
      <c r="AQ58" s="35" t="n"/>
      <c r="AR58" s="35" t="n"/>
      <c r="AS58" s="122" t="n">
        <v>4580445522702</v>
      </c>
      <c r="AT58" s="35" t="n">
        <v>719</v>
      </c>
      <c r="AU58" s="35" t="inlineStr">
        <is>
          <t>雲仙農園　本多繁喜</t>
        </is>
      </c>
    </row>
    <row r="59">
      <c r="A59" s="14" t="inlineStr">
        <is>
          <t>1232-114</t>
        </is>
      </c>
      <c r="B59" s="5" t="inlineStr">
        <is>
          <t>じゃが芋｢ﾆｼﾕﾀｶ｣ 500g(長有研)◇不不</t>
        </is>
      </c>
      <c r="C59" s="36" t="n">
        <v>29</v>
      </c>
      <c r="D59" s="36" t="n">
        <v>0</v>
      </c>
      <c r="E59" s="5" t="n">
        <v>0</v>
      </c>
      <c r="F59" s="191">
        <f>D59-E59+C59</f>
        <v/>
      </c>
      <c r="G59" s="192" t="n">
        <v>0</v>
      </c>
      <c r="H59" s="191">
        <f>F59+G59</f>
        <v/>
      </c>
      <c r="I59" s="36" t="n">
        <v>20</v>
      </c>
      <c r="J59" s="5" t="n">
        <v>42</v>
      </c>
      <c r="K59" s="191">
        <f>I59-J59+H59</f>
        <v/>
      </c>
      <c r="L59" s="192" t="n">
        <v>0</v>
      </c>
      <c r="M59" s="191">
        <f>K59+L59</f>
        <v/>
      </c>
      <c r="N59" s="36" t="n">
        <v>0</v>
      </c>
      <c r="O59" s="5" t="n">
        <v>20</v>
      </c>
      <c r="P59" s="191">
        <f>N59-O59+M59</f>
        <v/>
      </c>
      <c r="Q59" s="192" t="n">
        <v>0</v>
      </c>
      <c r="R59" s="191">
        <f>P59+Q59</f>
        <v/>
      </c>
      <c r="S59" s="36" t="n">
        <v>0</v>
      </c>
      <c r="T59" s="5" t="n">
        <v>14</v>
      </c>
      <c r="U59" s="191">
        <f>S59-T59+R59</f>
        <v/>
      </c>
      <c r="V59" s="192" t="n">
        <v>0</v>
      </c>
      <c r="W59" s="191">
        <f>U59+V59</f>
        <v/>
      </c>
      <c r="X59" s="36" t="n">
        <v>0</v>
      </c>
      <c r="Y59" s="5" t="n">
        <v>14</v>
      </c>
      <c r="Z59" s="191">
        <f>X59-Y59+W59</f>
        <v/>
      </c>
      <c r="AA59" s="192" t="n">
        <v>0</v>
      </c>
      <c r="AB59" s="191">
        <f>Z59+AA59</f>
        <v/>
      </c>
      <c r="AC59" s="36" t="n">
        <v>0</v>
      </c>
      <c r="AD59" s="5" t="n">
        <v>32</v>
      </c>
      <c r="AE59" s="191">
        <f>AC59-AD59+AB59</f>
        <v/>
      </c>
      <c r="AF59" s="192" t="n">
        <v>0</v>
      </c>
      <c r="AG59" s="191">
        <f>AE59+AF59</f>
        <v/>
      </c>
      <c r="AH59" s="36" t="n">
        <v>0</v>
      </c>
      <c r="AI59" s="5" t="n">
        <v>46</v>
      </c>
      <c r="AJ59" s="191">
        <f>AH59-AI59+AG59</f>
        <v/>
      </c>
      <c r="AK59" s="192" t="n">
        <v>0</v>
      </c>
      <c r="AL59" s="191">
        <f>AJ59+AK59</f>
        <v/>
      </c>
      <c r="AM59" s="35" t="inlineStr">
        <is>
          <t>長崎</t>
        </is>
      </c>
      <c r="AN59" s="35" t="inlineStr">
        <is>
          <t>こもの</t>
        </is>
      </c>
      <c r="AO59" s="5" t="n">
        <v>225</v>
      </c>
      <c r="AP59" s="5" t="n">
        <v>0</v>
      </c>
      <c r="AQ59" s="35" t="n"/>
      <c r="AR59" s="35" t="n"/>
      <c r="AS59" s="122" t="n"/>
      <c r="AT59" s="35" t="n">
        <v>172</v>
      </c>
      <c r="AU59" s="35" t="inlineStr">
        <is>
          <t>㈱長有研</t>
        </is>
      </c>
    </row>
    <row r="60">
      <c r="A60" s="14" t="inlineStr">
        <is>
          <t>1232-13</t>
        </is>
      </c>
      <c r="B60" s="5" t="inlineStr">
        <is>
          <t>■じゃが芋｢ﾆｼﾕﾀｶ｣10kg(長有研）無無</t>
        </is>
      </c>
      <c r="C60" s="36" t="n">
        <v>35</v>
      </c>
      <c r="D60" s="36" t="n">
        <v>0</v>
      </c>
      <c r="E60" s="5" t="n">
        <v>0</v>
      </c>
      <c r="F60" s="191">
        <f>D60-E60+C60</f>
        <v/>
      </c>
      <c r="G60" s="192" t="n">
        <v>0</v>
      </c>
      <c r="H60" s="191">
        <f>F60+G60</f>
        <v/>
      </c>
      <c r="I60" s="36" t="n">
        <v>0</v>
      </c>
      <c r="J60" s="5" t="n">
        <v>3</v>
      </c>
      <c r="K60" s="191">
        <f>I60-J60+H60</f>
        <v/>
      </c>
      <c r="L60" s="192" t="n">
        <v>-1</v>
      </c>
      <c r="M60" s="191">
        <f>K60+L60</f>
        <v/>
      </c>
      <c r="N60" s="36" t="n">
        <v>20</v>
      </c>
      <c r="O60" s="5" t="n">
        <v>3</v>
      </c>
      <c r="P60" s="191">
        <f>N60-O60+M60</f>
        <v/>
      </c>
      <c r="Q60" s="192" t="n">
        <v>0</v>
      </c>
      <c r="R60" s="191">
        <f>P60+Q60</f>
        <v/>
      </c>
      <c r="S60" s="36" t="n">
        <v>0</v>
      </c>
      <c r="T60" s="5" t="n">
        <v>4</v>
      </c>
      <c r="U60" s="191">
        <f>S60-T60+R60</f>
        <v/>
      </c>
      <c r="V60" s="192" t="n">
        <v>0</v>
      </c>
      <c r="W60" s="191">
        <f>U60+V60</f>
        <v/>
      </c>
      <c r="X60" s="36" t="n">
        <v>0</v>
      </c>
      <c r="Y60" s="5" t="n">
        <v>4</v>
      </c>
      <c r="Z60" s="191">
        <f>X60-Y60+W60</f>
        <v/>
      </c>
      <c r="AA60" s="192" t="n">
        <v>0</v>
      </c>
      <c r="AB60" s="191">
        <f>Z60+AA60</f>
        <v/>
      </c>
      <c r="AC60" s="36" t="n">
        <v>0</v>
      </c>
      <c r="AD60" s="5" t="n">
        <v>3</v>
      </c>
      <c r="AE60" s="191">
        <f>AC60-AD60+AB60</f>
        <v/>
      </c>
      <c r="AF60" s="192" t="n">
        <v>0</v>
      </c>
      <c r="AG60" s="191">
        <f>AE60+AF60</f>
        <v/>
      </c>
      <c r="AH60" s="36" t="n">
        <v>20</v>
      </c>
      <c r="AI60" s="5" t="n">
        <v>7</v>
      </c>
      <c r="AJ60" s="191">
        <f>AH60-AI60+AG60</f>
        <v/>
      </c>
      <c r="AK60" s="192" t="n">
        <v>0</v>
      </c>
      <c r="AL60" s="191">
        <f>AJ60+AK60</f>
        <v/>
      </c>
      <c r="AM60" s="35" t="inlineStr">
        <is>
          <t>長崎</t>
        </is>
      </c>
      <c r="AN60" s="35" t="inlineStr">
        <is>
          <t>箱</t>
        </is>
      </c>
      <c r="AO60" s="163" t="n">
        <v>3900</v>
      </c>
      <c r="AP60" s="5" t="n">
        <v>0</v>
      </c>
      <c r="AQ60" s="35" t="inlineStr">
        <is>
          <t>○</t>
        </is>
      </c>
      <c r="AR60" s="35" t="n"/>
      <c r="AS60" s="122" t="n"/>
      <c r="AT60" s="35" t="n">
        <v>172</v>
      </c>
      <c r="AU60" s="35" t="inlineStr">
        <is>
          <t>㈱長有研</t>
        </is>
      </c>
    </row>
    <row r="61">
      <c r="A61" s="14" t="inlineStr">
        <is>
          <t>1238-190</t>
        </is>
      </c>
      <c r="B61" s="5" t="inlineStr">
        <is>
          <t>有機「ﾆｼﾕﾀｶ」500g(長有研)◇×10 東一</t>
        </is>
      </c>
      <c r="C61" s="36" t="n">
        <v>0</v>
      </c>
      <c r="D61" s="36" t="n">
        <v>0</v>
      </c>
      <c r="E61" s="5" t="n">
        <v>0</v>
      </c>
      <c r="F61" s="191">
        <f>D61-E61+C61</f>
        <v/>
      </c>
      <c r="G61" s="192" t="n">
        <v>0</v>
      </c>
      <c r="H61" s="191">
        <f>F61+G61</f>
        <v/>
      </c>
      <c r="I61" s="36" t="n">
        <v>0</v>
      </c>
      <c r="J61" s="5" t="n">
        <v>0</v>
      </c>
      <c r="K61" s="191">
        <f>I61-J61+H61</f>
        <v/>
      </c>
      <c r="L61" s="192" t="n">
        <v>0</v>
      </c>
      <c r="M61" s="191">
        <f>K61+L61</f>
        <v/>
      </c>
      <c r="N61" s="36" t="n">
        <v>0</v>
      </c>
      <c r="O61" s="5" t="n">
        <v>0</v>
      </c>
      <c r="P61" s="191">
        <f>N61-O61+M61</f>
        <v/>
      </c>
      <c r="Q61" s="192" t="n">
        <v>0</v>
      </c>
      <c r="R61" s="191">
        <f>P61+Q61</f>
        <v/>
      </c>
      <c r="S61" s="36" t="n">
        <v>0</v>
      </c>
      <c r="T61" s="5" t="n">
        <v>0</v>
      </c>
      <c r="U61" s="191">
        <f>S61-T61+R61</f>
        <v/>
      </c>
      <c r="V61" s="192" t="n">
        <v>0</v>
      </c>
      <c r="W61" s="191">
        <f>U61+V61</f>
        <v/>
      </c>
      <c r="X61" s="36" t="n">
        <v>0</v>
      </c>
      <c r="Y61" s="5" t="n">
        <v>0</v>
      </c>
      <c r="Z61" s="191">
        <f>X61-Y61+W61</f>
        <v/>
      </c>
      <c r="AA61" s="192" t="n">
        <v>0</v>
      </c>
      <c r="AB61" s="191">
        <f>Z61+AA61</f>
        <v/>
      </c>
      <c r="AC61" s="36" t="n">
        <v>0</v>
      </c>
      <c r="AD61" s="5" t="n">
        <v>0</v>
      </c>
      <c r="AE61" s="191">
        <f>AC61-AD61+AB61</f>
        <v/>
      </c>
      <c r="AF61" s="192" t="n">
        <v>0</v>
      </c>
      <c r="AG61" s="191">
        <f>AE61+AF61</f>
        <v/>
      </c>
      <c r="AH61" s="36" t="n">
        <v>0</v>
      </c>
      <c r="AI61" s="5" t="n">
        <v>0</v>
      </c>
      <c r="AJ61" s="191">
        <f>AH61-AI61+AG61</f>
        <v/>
      </c>
      <c r="AK61" s="192" t="n">
        <v>0</v>
      </c>
      <c r="AL61" s="191">
        <f>AJ61+AK61</f>
        <v/>
      </c>
      <c r="AM61" s="35" t="inlineStr">
        <is>
          <t>長崎</t>
        </is>
      </c>
      <c r="AN61" s="35" t="inlineStr">
        <is>
          <t>こもの</t>
        </is>
      </c>
      <c r="AO61" s="163" t="n">
        <v>2800</v>
      </c>
      <c r="AP61" s="5" t="n">
        <v>0</v>
      </c>
      <c r="AQ61" s="35" t="n"/>
      <c r="AR61" s="35" t="inlineStr">
        <is>
          <t>○</t>
        </is>
      </c>
      <c r="AS61" s="122" t="n">
        <v>4580445522153</v>
      </c>
      <c r="AT61" s="35" t="n">
        <v>172</v>
      </c>
      <c r="AU61" s="35" t="inlineStr">
        <is>
          <t>㈱長有研</t>
        </is>
      </c>
    </row>
    <row r="62">
      <c r="A62" s="14" t="inlineStr">
        <is>
          <t>1238-20</t>
        </is>
      </c>
      <c r="B62" s="5" t="inlineStr">
        <is>
          <t>有機じゃがいも「ﾆｼﾕﾀｶ」500g(長有研)◇</t>
        </is>
      </c>
      <c r="C62" s="36" t="n">
        <v>0</v>
      </c>
      <c r="D62" s="36" t="n">
        <v>0</v>
      </c>
      <c r="E62" s="5" t="n">
        <v>0</v>
      </c>
      <c r="F62" s="191">
        <f>D62-E62+C62</f>
        <v/>
      </c>
      <c r="G62" s="192" t="n">
        <v>0</v>
      </c>
      <c r="H62" s="191">
        <f>F62+G62</f>
        <v/>
      </c>
      <c r="I62" s="36" t="n">
        <v>0</v>
      </c>
      <c r="J62" s="5" t="n">
        <v>0</v>
      </c>
      <c r="K62" s="191">
        <f>I62-J62+H62</f>
        <v/>
      </c>
      <c r="L62" s="192" t="n">
        <v>0</v>
      </c>
      <c r="M62" s="191">
        <f>K62+L62</f>
        <v/>
      </c>
      <c r="N62" s="36" t="n">
        <v>0</v>
      </c>
      <c r="O62" s="5" t="n">
        <v>0</v>
      </c>
      <c r="P62" s="191">
        <f>N62-O62+M62</f>
        <v/>
      </c>
      <c r="Q62" s="192" t="n">
        <v>0</v>
      </c>
      <c r="R62" s="191">
        <f>P62+Q62</f>
        <v/>
      </c>
      <c r="S62" s="36" t="n">
        <v>0</v>
      </c>
      <c r="T62" s="5" t="n">
        <v>0</v>
      </c>
      <c r="U62" s="191">
        <f>S62-T62+R62</f>
        <v/>
      </c>
      <c r="V62" s="192" t="n">
        <v>0</v>
      </c>
      <c r="W62" s="191">
        <f>U62+V62</f>
        <v/>
      </c>
      <c r="X62" s="36" t="n">
        <v>0</v>
      </c>
      <c r="Y62" s="5" t="n">
        <v>0</v>
      </c>
      <c r="Z62" s="191">
        <f>X62-Y62+W62</f>
        <v/>
      </c>
      <c r="AA62" s="192" t="n">
        <v>0</v>
      </c>
      <c r="AB62" s="191">
        <f>Z62+AA62</f>
        <v/>
      </c>
      <c r="AC62" s="36" t="n">
        <v>0</v>
      </c>
      <c r="AD62" s="5" t="n">
        <v>0</v>
      </c>
      <c r="AE62" s="191">
        <f>AC62-AD62+AB62</f>
        <v/>
      </c>
      <c r="AF62" s="192" t="n">
        <v>0</v>
      </c>
      <c r="AG62" s="191">
        <f>AE62+AF62</f>
        <v/>
      </c>
      <c r="AH62" s="36" t="n">
        <v>0</v>
      </c>
      <c r="AI62" s="5" t="n">
        <v>0</v>
      </c>
      <c r="AJ62" s="191">
        <f>AH62-AI62+AG62</f>
        <v/>
      </c>
      <c r="AK62" s="192" t="n">
        <v>0</v>
      </c>
      <c r="AL62" s="191">
        <f>AJ62+AK62</f>
        <v/>
      </c>
      <c r="AM62" s="35" t="n"/>
      <c r="AN62" s="35" t="n"/>
      <c r="AO62" s="5" t="n">
        <v>0</v>
      </c>
      <c r="AP62" s="5" t="n">
        <v>0</v>
      </c>
      <c r="AQ62" s="35" t="n"/>
      <c r="AR62" s="35" t="n"/>
      <c r="AS62" s="122" t="n"/>
      <c r="AT62" s="35" t="n"/>
      <c r="AU62" s="35" t="n"/>
    </row>
    <row r="63">
      <c r="A63" s="14" t="inlineStr">
        <is>
          <t>1239-233</t>
        </is>
      </c>
      <c r="B63" s="5" t="inlineStr">
        <is>
          <t>人参　洗い  400g(長有研)◇</t>
        </is>
      </c>
      <c r="C63" s="36" t="n">
        <v>0</v>
      </c>
      <c r="D63" s="36" t="n">
        <v>0</v>
      </c>
      <c r="E63" s="5" t="n">
        <v>0</v>
      </c>
      <c r="F63" s="191">
        <f>D63-E63+C63</f>
        <v/>
      </c>
      <c r="G63" s="192" t="n">
        <v>0</v>
      </c>
      <c r="H63" s="191">
        <f>F63+G63</f>
        <v/>
      </c>
      <c r="I63" s="36" t="n">
        <v>50</v>
      </c>
      <c r="J63" s="5" t="n">
        <v>50</v>
      </c>
      <c r="K63" s="191">
        <f>I63-J63+H63</f>
        <v/>
      </c>
      <c r="L63" s="192" t="n">
        <v>0</v>
      </c>
      <c r="M63" s="191">
        <f>K63+L63</f>
        <v/>
      </c>
      <c r="N63" s="36" t="n">
        <v>0</v>
      </c>
      <c r="O63" s="5" t="n">
        <v>50</v>
      </c>
      <c r="P63" s="191">
        <f>N63-O63+M63</f>
        <v/>
      </c>
      <c r="Q63" s="192" t="n">
        <v>0</v>
      </c>
      <c r="R63" s="191">
        <f>P63+Q63</f>
        <v/>
      </c>
      <c r="S63" s="36" t="n">
        <v>0</v>
      </c>
      <c r="T63" s="5" t="n">
        <v>50</v>
      </c>
      <c r="U63" s="191">
        <f>S63-T63+R63</f>
        <v/>
      </c>
      <c r="V63" s="192" t="n">
        <v>0</v>
      </c>
      <c r="W63" s="191">
        <f>U63+V63</f>
        <v/>
      </c>
      <c r="X63" s="36" t="n">
        <v>0</v>
      </c>
      <c r="Y63" s="5" t="n">
        <v>50</v>
      </c>
      <c r="Z63" s="191">
        <f>X63-Y63+W63</f>
        <v/>
      </c>
      <c r="AA63" s="192" t="n">
        <v>0</v>
      </c>
      <c r="AB63" s="191">
        <f>Z63+AA63</f>
        <v/>
      </c>
      <c r="AC63" s="36" t="n">
        <v>0</v>
      </c>
      <c r="AD63" s="5" t="n">
        <v>0</v>
      </c>
      <c r="AE63" s="191">
        <f>AC63-AD63+AB63</f>
        <v/>
      </c>
      <c r="AF63" s="192" t="n">
        <v>0</v>
      </c>
      <c r="AG63" s="191">
        <f>AE63+AF63</f>
        <v/>
      </c>
      <c r="AH63" s="36" t="n">
        <v>0</v>
      </c>
      <c r="AI63" s="5" t="n">
        <v>0</v>
      </c>
      <c r="AJ63" s="191">
        <f>AH63-AI63+AG63</f>
        <v/>
      </c>
      <c r="AK63" s="192" t="n">
        <v>0</v>
      </c>
      <c r="AL63" s="191">
        <f>AJ63+AK63</f>
        <v/>
      </c>
      <c r="AM63" s="35" t="inlineStr">
        <is>
          <t>長崎</t>
        </is>
      </c>
      <c r="AN63" s="35" t="inlineStr">
        <is>
          <t>こもの</t>
        </is>
      </c>
      <c r="AO63" s="5" t="n">
        <v>230</v>
      </c>
      <c r="AP63" s="5" t="n">
        <v>0</v>
      </c>
      <c r="AQ63" s="35" t="n"/>
      <c r="AR63" s="35" t="n"/>
      <c r="AS63" s="122" t="n">
        <v>4580445523075</v>
      </c>
      <c r="AT63" s="35" t="n">
        <v>172</v>
      </c>
      <c r="AU63" s="35" t="inlineStr">
        <is>
          <t>㈱長有研</t>
        </is>
      </c>
    </row>
    <row r="64">
      <c r="A64" s="14" t="inlineStr">
        <is>
          <t>1241-194</t>
        </is>
      </c>
      <c r="B64" s="5" t="inlineStr">
        <is>
          <t>■有機人参 洗い LM 10kg箱（加瀬）</t>
        </is>
      </c>
      <c r="C64" s="36" t="n">
        <v>0</v>
      </c>
      <c r="D64" s="36" t="n">
        <v>20</v>
      </c>
      <c r="E64" s="5" t="n">
        <v>0</v>
      </c>
      <c r="F64" s="191">
        <f>D64-E64+C64</f>
        <v/>
      </c>
      <c r="G64" s="192" t="n">
        <v>0</v>
      </c>
      <c r="H64" s="191">
        <f>F64+G64</f>
        <v/>
      </c>
      <c r="I64" s="36" t="n">
        <v>0</v>
      </c>
      <c r="J64" s="5" t="n">
        <v>14</v>
      </c>
      <c r="K64" s="191">
        <f>I64-J64+H64</f>
        <v/>
      </c>
      <c r="L64" s="192" t="n">
        <v>-6</v>
      </c>
      <c r="M64" s="191">
        <f>K64+L64</f>
        <v/>
      </c>
      <c r="N64" s="36" t="n">
        <v>0</v>
      </c>
      <c r="O64" s="5" t="n">
        <v>5</v>
      </c>
      <c r="P64" s="191">
        <f>N64-O64+M64</f>
        <v/>
      </c>
      <c r="Q64" s="192" t="n">
        <v>0</v>
      </c>
      <c r="R64" s="191">
        <f>P64+Q64</f>
        <v/>
      </c>
      <c r="S64" s="36" t="n">
        <v>20</v>
      </c>
      <c r="T64" s="5" t="n">
        <v>11</v>
      </c>
      <c r="U64" s="191">
        <f>S64-T64+R64</f>
        <v/>
      </c>
      <c r="V64" s="192" t="n">
        <v>0</v>
      </c>
      <c r="W64" s="191">
        <f>U64+V64</f>
        <v/>
      </c>
      <c r="X64" s="36" t="n">
        <v>0</v>
      </c>
      <c r="Y64" s="5" t="n">
        <v>9</v>
      </c>
      <c r="Z64" s="191">
        <f>X64-Y64+W64</f>
        <v/>
      </c>
      <c r="AA64" s="192" t="n">
        <v>0</v>
      </c>
      <c r="AB64" s="191">
        <f>Z64+AA64</f>
        <v/>
      </c>
      <c r="AC64" s="36" t="n">
        <v>20</v>
      </c>
      <c r="AD64" s="5" t="n">
        <v>6</v>
      </c>
      <c r="AE64" s="191">
        <f>AC64-AD64+AB64</f>
        <v/>
      </c>
      <c r="AF64" s="192" t="n">
        <v>0</v>
      </c>
      <c r="AG64" s="191">
        <f>AE64+AF64</f>
        <v/>
      </c>
      <c r="AH64" s="36" t="n">
        <v>0</v>
      </c>
      <c r="AI64" s="5" t="n">
        <v>9</v>
      </c>
      <c r="AJ64" s="191">
        <f>AH64-AI64+AG64</f>
        <v/>
      </c>
      <c r="AK64" s="192" t="n">
        <v>0</v>
      </c>
      <c r="AL64" s="191">
        <f>AJ64+AK64</f>
        <v/>
      </c>
      <c r="AM64" s="35" t="inlineStr">
        <is>
          <t>千葉</t>
        </is>
      </c>
      <c r="AN64" s="35" t="inlineStr">
        <is>
          <t>箱</t>
        </is>
      </c>
      <c r="AO64" s="163" t="n">
        <v>3400</v>
      </c>
      <c r="AP64" s="5" t="n">
        <v>0</v>
      </c>
      <c r="AQ64" s="35" t="n"/>
      <c r="AR64" s="35" t="n"/>
      <c r="AS64" s="122" t="inlineStr">
        <is>
          <t>なし</t>
        </is>
      </c>
      <c r="AT64" s="35" t="n">
        <v>663</v>
      </c>
      <c r="AU64" s="35" t="inlineStr">
        <is>
          <t>加瀬農園</t>
        </is>
      </c>
    </row>
    <row r="65">
      <c r="A65" s="14" t="inlineStr">
        <is>
          <t>1241-197</t>
        </is>
      </c>
      <c r="B65" s="5" t="inlineStr">
        <is>
          <t>有機人参 洗い　400g(加瀬)◇</t>
        </is>
      </c>
      <c r="C65" s="36" t="n">
        <v>0</v>
      </c>
      <c r="D65" s="36" t="n">
        <v>0</v>
      </c>
      <c r="E65" s="5" t="n">
        <v>0</v>
      </c>
      <c r="F65" s="191">
        <f>D65-E65+C65</f>
        <v/>
      </c>
      <c r="G65" s="192" t="n">
        <v>0</v>
      </c>
      <c r="H65" s="191">
        <f>F65+G65</f>
        <v/>
      </c>
      <c r="I65" s="36" t="n">
        <v>140</v>
      </c>
      <c r="J65" s="5" t="n">
        <v>116</v>
      </c>
      <c r="K65" s="191">
        <f>I65-J65+H65</f>
        <v/>
      </c>
      <c r="L65" s="192" t="n">
        <v>0</v>
      </c>
      <c r="M65" s="191">
        <f>K65+L65</f>
        <v/>
      </c>
      <c r="N65" s="36" t="n">
        <v>0</v>
      </c>
      <c r="O65" s="5" t="n">
        <v>66</v>
      </c>
      <c r="P65" s="191">
        <f>N65-O65+M65</f>
        <v/>
      </c>
      <c r="Q65" s="192" t="n">
        <v>0</v>
      </c>
      <c r="R65" s="191">
        <f>P65+Q65</f>
        <v/>
      </c>
      <c r="S65" s="36" t="n">
        <v>0</v>
      </c>
      <c r="T65" s="5" t="n">
        <v>105</v>
      </c>
      <c r="U65" s="191">
        <f>S65-T65+R65</f>
        <v/>
      </c>
      <c r="V65" s="192" t="n">
        <v>0</v>
      </c>
      <c r="W65" s="191">
        <f>U65+V65</f>
        <v/>
      </c>
      <c r="X65" s="36" t="n">
        <v>0</v>
      </c>
      <c r="Y65" s="5" t="n">
        <v>101</v>
      </c>
      <c r="Z65" s="191">
        <f>X65-Y65+W65</f>
        <v/>
      </c>
      <c r="AA65" s="192" t="n">
        <v>0</v>
      </c>
      <c r="AB65" s="191">
        <f>Z65+AA65</f>
        <v/>
      </c>
      <c r="AC65" s="36" t="n">
        <v>0</v>
      </c>
      <c r="AD65" s="5" t="n">
        <v>140</v>
      </c>
      <c r="AE65" s="191">
        <f>AC65-AD65+AB65</f>
        <v/>
      </c>
      <c r="AF65" s="192" t="n">
        <v>0</v>
      </c>
      <c r="AG65" s="191">
        <f>AE65+AF65</f>
        <v/>
      </c>
      <c r="AH65" s="36" t="n">
        <v>0</v>
      </c>
      <c r="AI65" s="5" t="n">
        <v>318</v>
      </c>
      <c r="AJ65" s="191">
        <f>AH65-AI65+AG65</f>
        <v/>
      </c>
      <c r="AK65" s="192" t="n">
        <v>0</v>
      </c>
      <c r="AL65" s="191">
        <f>AJ65+AK65</f>
        <v/>
      </c>
      <c r="AM65" s="35" t="inlineStr">
        <is>
          <t>千葉</t>
        </is>
      </c>
      <c r="AN65" s="35" t="inlineStr">
        <is>
          <t>こもの</t>
        </is>
      </c>
      <c r="AO65" s="5" t="n">
        <v>200</v>
      </c>
      <c r="AP65" s="5" t="n">
        <v>0</v>
      </c>
      <c r="AQ65" s="35" t="n"/>
      <c r="AR65" s="35" t="n"/>
      <c r="AS65" s="122" t="n"/>
      <c r="AT65" s="35" t="n">
        <v>663</v>
      </c>
      <c r="AU65" s="35" t="inlineStr">
        <is>
          <t>加瀬農園</t>
        </is>
      </c>
    </row>
    <row r="66">
      <c r="A66" s="14" t="inlineStr">
        <is>
          <t>1241-519</t>
        </is>
      </c>
      <c r="B66" s="5" t="inlineStr">
        <is>
          <t>有機人参 洗い 400ｇ(キテレツ・産ﾊﾟ)</t>
        </is>
      </c>
      <c r="C66" s="36" t="n">
        <v>0</v>
      </c>
      <c r="D66" s="36" t="n">
        <v>0</v>
      </c>
      <c r="E66" s="5" t="n">
        <v>0</v>
      </c>
      <c r="F66" s="191">
        <f>D66-E66+C66</f>
        <v/>
      </c>
      <c r="G66" s="192" t="n">
        <v>0</v>
      </c>
      <c r="H66" s="191">
        <f>F66+G66</f>
        <v/>
      </c>
      <c r="I66" s="36" t="n">
        <v>40</v>
      </c>
      <c r="J66" s="5" t="n">
        <v>10</v>
      </c>
      <c r="K66" s="191">
        <f>I66-J66+H66</f>
        <v/>
      </c>
      <c r="L66" s="192" t="n">
        <v>0</v>
      </c>
      <c r="M66" s="191">
        <f>K66+L66</f>
        <v/>
      </c>
      <c r="N66" s="36" t="n">
        <v>0</v>
      </c>
      <c r="O66" s="5" t="n">
        <v>10</v>
      </c>
      <c r="P66" s="191">
        <f>N66-O66+M66</f>
        <v/>
      </c>
      <c r="Q66" s="192" t="n">
        <v>0</v>
      </c>
      <c r="R66" s="191">
        <f>P66+Q66</f>
        <v/>
      </c>
      <c r="S66" s="36" t="n">
        <v>40</v>
      </c>
      <c r="T66" s="5" t="n">
        <v>10</v>
      </c>
      <c r="U66" s="191">
        <f>S66-T66+R66</f>
        <v/>
      </c>
      <c r="V66" s="192" t="n">
        <v>0</v>
      </c>
      <c r="W66" s="191">
        <f>U66+V66</f>
        <v/>
      </c>
      <c r="X66" s="36" t="n">
        <v>0</v>
      </c>
      <c r="Y66" s="5" t="n">
        <v>10</v>
      </c>
      <c r="Z66" s="191">
        <f>X66-Y66+W66</f>
        <v/>
      </c>
      <c r="AA66" s="192" t="n">
        <v>0</v>
      </c>
      <c r="AB66" s="191">
        <f>Z66+AA66</f>
        <v/>
      </c>
      <c r="AC66" s="36" t="n">
        <v>80</v>
      </c>
      <c r="AD66" s="5" t="n">
        <v>10</v>
      </c>
      <c r="AE66" s="191">
        <f>AC66-AD66+AB66</f>
        <v/>
      </c>
      <c r="AF66" s="192" t="n">
        <v>0</v>
      </c>
      <c r="AG66" s="191">
        <f>AE66+AF66</f>
        <v/>
      </c>
      <c r="AH66" s="36" t="n">
        <v>0</v>
      </c>
      <c r="AI66" s="5" t="n">
        <v>30</v>
      </c>
      <c r="AJ66" s="191">
        <f>AH66-AI66+AG66</f>
        <v/>
      </c>
      <c r="AK66" s="192" t="n">
        <v>0</v>
      </c>
      <c r="AL66" s="191">
        <f>AJ66+AK66</f>
        <v/>
      </c>
      <c r="AM66" s="35" t="inlineStr">
        <is>
          <t>東京</t>
        </is>
      </c>
      <c r="AN66" s="35" t="inlineStr">
        <is>
          <t>こもの</t>
        </is>
      </c>
      <c r="AO66" s="5" t="n">
        <v>175</v>
      </c>
      <c r="AP66" s="5" t="n">
        <v>0</v>
      </c>
      <c r="AQ66" s="35" t="n"/>
      <c r="AR66" s="35" t="n"/>
      <c r="AS66" s="122" t="n"/>
      <c r="AT66" s="35" t="n">
        <v>693</v>
      </c>
      <c r="AU66" s="35" t="inlineStr">
        <is>
          <t>キテレツファーム</t>
        </is>
      </c>
    </row>
    <row r="67">
      <c r="A67" s="14" t="inlineStr">
        <is>
          <t>1241-520</t>
        </is>
      </c>
      <c r="B67" s="5" t="inlineStr">
        <is>
          <t>■有機人参 洗い　10ｋｇ(キテレツ)</t>
        </is>
      </c>
      <c r="C67" s="36" t="n">
        <v>0</v>
      </c>
      <c r="D67" s="36" t="n">
        <v>0</v>
      </c>
      <c r="E67" s="5" t="n">
        <v>0</v>
      </c>
      <c r="F67" s="191">
        <f>D67-E67+C67</f>
        <v/>
      </c>
      <c r="G67" s="192" t="n">
        <v>0</v>
      </c>
      <c r="H67" s="191">
        <f>F67+G67</f>
        <v/>
      </c>
      <c r="I67" s="36" t="n">
        <v>2</v>
      </c>
      <c r="J67" s="5" t="n">
        <v>0</v>
      </c>
      <c r="K67" s="191">
        <f>I67-J67+H67</f>
        <v/>
      </c>
      <c r="L67" s="192" t="n">
        <v>0</v>
      </c>
      <c r="M67" s="191">
        <f>K67+L67</f>
        <v/>
      </c>
      <c r="N67" s="36" t="n">
        <v>0</v>
      </c>
      <c r="O67" s="5" t="n">
        <v>0</v>
      </c>
      <c r="P67" s="191">
        <f>N67-O67+M67</f>
        <v/>
      </c>
      <c r="Q67" s="192" t="n">
        <v>0</v>
      </c>
      <c r="R67" s="191">
        <f>P67+Q67</f>
        <v/>
      </c>
      <c r="S67" s="36" t="n">
        <v>0</v>
      </c>
      <c r="T67" s="5" t="n">
        <v>0</v>
      </c>
      <c r="U67" s="191">
        <f>S67-T67+R67</f>
        <v/>
      </c>
      <c r="V67" s="192" t="n">
        <v>0</v>
      </c>
      <c r="W67" s="191">
        <f>U67+V67</f>
        <v/>
      </c>
      <c r="X67" s="36" t="n">
        <v>0</v>
      </c>
      <c r="Y67" s="5" t="n">
        <v>0</v>
      </c>
      <c r="Z67" s="191">
        <f>X67-Y67+W67</f>
        <v/>
      </c>
      <c r="AA67" s="192" t="n">
        <v>0</v>
      </c>
      <c r="AB67" s="191">
        <f>Z67+AA67</f>
        <v/>
      </c>
      <c r="AC67" s="36" t="n">
        <v>0</v>
      </c>
      <c r="AD67" s="5" t="n">
        <v>0</v>
      </c>
      <c r="AE67" s="191">
        <f>AC67-AD67+AB67</f>
        <v/>
      </c>
      <c r="AF67" s="192" t="n">
        <v>0</v>
      </c>
      <c r="AG67" s="191">
        <f>AE67+AF67</f>
        <v/>
      </c>
      <c r="AH67" s="36" t="n">
        <v>0</v>
      </c>
      <c r="AI67" s="5" t="n">
        <v>0</v>
      </c>
      <c r="AJ67" s="191">
        <f>AH67-AI67+AG67</f>
        <v/>
      </c>
      <c r="AK67" s="192" t="n">
        <v>0</v>
      </c>
      <c r="AL67" s="191">
        <f>AJ67+AK67</f>
        <v/>
      </c>
      <c r="AM67" s="35" t="inlineStr">
        <is>
          <t>東京</t>
        </is>
      </c>
      <c r="AN67" s="35" t="inlineStr">
        <is>
          <t>箱</t>
        </is>
      </c>
      <c r="AO67" s="5" t="n">
        <v>0</v>
      </c>
      <c r="AP67" s="5" t="n">
        <v>0</v>
      </c>
      <c r="AQ67" s="35" t="n"/>
      <c r="AR67" s="35" t="n"/>
      <c r="AS67" s="122" t="n"/>
      <c r="AT67" s="35" t="n">
        <v>693</v>
      </c>
      <c r="AU67" s="35" t="inlineStr">
        <is>
          <t>キテレツファーム</t>
        </is>
      </c>
    </row>
    <row r="68">
      <c r="A68" s="14" t="inlineStr">
        <is>
          <t>1241-640</t>
        </is>
      </c>
      <c r="B68" s="5" t="inlineStr">
        <is>
          <t>有機人参 洗い 400g（ｷﾃﾚﾂﾌｧｰﾑ)◇</t>
        </is>
      </c>
      <c r="C68" s="36" t="n">
        <v>5</v>
      </c>
      <c r="D68" s="36" t="n">
        <v>0</v>
      </c>
      <c r="E68" s="5" t="n">
        <v>0</v>
      </c>
      <c r="F68" s="191">
        <f>D68-E68+C68</f>
        <v/>
      </c>
      <c r="G68" s="192" t="n">
        <v>0</v>
      </c>
      <c r="H68" s="191">
        <f>F68+G68</f>
        <v/>
      </c>
      <c r="I68" s="36" t="n">
        <v>0</v>
      </c>
      <c r="J68" s="5" t="n">
        <v>5</v>
      </c>
      <c r="K68" s="191">
        <f>I68-J68+H68</f>
        <v/>
      </c>
      <c r="L68" s="192" t="n">
        <v>0</v>
      </c>
      <c r="M68" s="191">
        <f>K68+L68</f>
        <v/>
      </c>
      <c r="N68" s="36" t="n">
        <v>0</v>
      </c>
      <c r="O68" s="5" t="n">
        <v>0</v>
      </c>
      <c r="P68" s="191">
        <f>N68-O68+M68</f>
        <v/>
      </c>
      <c r="Q68" s="192" t="n">
        <v>0</v>
      </c>
      <c r="R68" s="191">
        <f>P68+Q68</f>
        <v/>
      </c>
      <c r="S68" s="36" t="n">
        <v>0</v>
      </c>
      <c r="T68" s="5" t="n">
        <v>0</v>
      </c>
      <c r="U68" s="191">
        <f>S68-T68+R68</f>
        <v/>
      </c>
      <c r="V68" s="192" t="n">
        <v>0</v>
      </c>
      <c r="W68" s="191">
        <f>U68+V68</f>
        <v/>
      </c>
      <c r="X68" s="36" t="n">
        <v>0</v>
      </c>
      <c r="Y68" s="5" t="n">
        <v>0</v>
      </c>
      <c r="Z68" s="191">
        <f>X68-Y68+W68</f>
        <v/>
      </c>
      <c r="AA68" s="192" t="n">
        <v>0</v>
      </c>
      <c r="AB68" s="191">
        <f>Z68+AA68</f>
        <v/>
      </c>
      <c r="AC68" s="36" t="n">
        <v>0</v>
      </c>
      <c r="AD68" s="5" t="n">
        <v>0</v>
      </c>
      <c r="AE68" s="191">
        <f>AC68-AD68+AB68</f>
        <v/>
      </c>
      <c r="AF68" s="192" t="n">
        <v>0</v>
      </c>
      <c r="AG68" s="191">
        <f>AE68+AF68</f>
        <v/>
      </c>
      <c r="AH68" s="36" t="n">
        <v>0</v>
      </c>
      <c r="AI68" s="5" t="n">
        <v>0</v>
      </c>
      <c r="AJ68" s="191">
        <f>AH68-AI68+AG68</f>
        <v/>
      </c>
      <c r="AK68" s="192" t="n">
        <v>0</v>
      </c>
      <c r="AL68" s="191">
        <f>AJ68+AK68</f>
        <v/>
      </c>
      <c r="AM68" s="35" t="inlineStr">
        <is>
          <t>東京</t>
        </is>
      </c>
      <c r="AN68" s="35" t="inlineStr">
        <is>
          <t>こもの</t>
        </is>
      </c>
      <c r="AO68" s="5" t="n">
        <v>160</v>
      </c>
      <c r="AP68" s="5" t="n">
        <v>0</v>
      </c>
      <c r="AQ68" s="35" t="n"/>
      <c r="AR68" s="35" t="n"/>
      <c r="AS68" s="122" t="n"/>
      <c r="AT68" s="35" t="n">
        <v>693</v>
      </c>
      <c r="AU68" s="35" t="inlineStr">
        <is>
          <t>キテレツファーム</t>
        </is>
      </c>
    </row>
    <row r="69">
      <c r="A69" s="14" t="inlineStr">
        <is>
          <t>1241-644</t>
        </is>
      </c>
      <c r="B69" s="5" t="inlineStr">
        <is>
          <t>有機人参 洗い 400ｇ◇×10(吉水)東一</t>
        </is>
      </c>
      <c r="C69" s="36" t="n">
        <v>0</v>
      </c>
      <c r="D69" s="36" t="n">
        <v>0</v>
      </c>
      <c r="E69" s="5" t="n">
        <v>0</v>
      </c>
      <c r="F69" s="191">
        <f>D69-E69+C69</f>
        <v/>
      </c>
      <c r="G69" s="192" t="n">
        <v>0</v>
      </c>
      <c r="H69" s="191">
        <f>F69+G69</f>
        <v/>
      </c>
      <c r="I69" s="36" t="n">
        <v>0</v>
      </c>
      <c r="J69" s="5" t="n">
        <v>0</v>
      </c>
      <c r="K69" s="191">
        <f>I69-J69+H69</f>
        <v/>
      </c>
      <c r="L69" s="192" t="n">
        <v>0</v>
      </c>
      <c r="M69" s="191">
        <f>K69+L69</f>
        <v/>
      </c>
      <c r="N69" s="36" t="n">
        <v>0</v>
      </c>
      <c r="O69" s="5" t="n">
        <v>0</v>
      </c>
      <c r="P69" s="191">
        <f>N69-O69+M69</f>
        <v/>
      </c>
      <c r="Q69" s="192" t="n">
        <v>0</v>
      </c>
      <c r="R69" s="191">
        <f>P69+Q69</f>
        <v/>
      </c>
      <c r="S69" s="36" t="n">
        <v>0</v>
      </c>
      <c r="T69" s="5" t="n">
        <v>0</v>
      </c>
      <c r="U69" s="191">
        <f>S69-T69+R69</f>
        <v/>
      </c>
      <c r="V69" s="192" t="n">
        <v>0</v>
      </c>
      <c r="W69" s="191">
        <f>U69+V69</f>
        <v/>
      </c>
      <c r="X69" s="36" t="n">
        <v>0</v>
      </c>
      <c r="Y69" s="5" t="n">
        <v>0</v>
      </c>
      <c r="Z69" s="191">
        <f>X69-Y69+W69</f>
        <v/>
      </c>
      <c r="AA69" s="192" t="n">
        <v>0</v>
      </c>
      <c r="AB69" s="191">
        <f>Z69+AA69</f>
        <v/>
      </c>
      <c r="AC69" s="36" t="n">
        <v>0</v>
      </c>
      <c r="AD69" s="5" t="n">
        <v>0</v>
      </c>
      <c r="AE69" s="191">
        <f>AC69-AD69+AB69</f>
        <v/>
      </c>
      <c r="AF69" s="192" t="n">
        <v>0</v>
      </c>
      <c r="AG69" s="191">
        <f>AE69+AF69</f>
        <v/>
      </c>
      <c r="AH69" s="36" t="n">
        <v>0</v>
      </c>
      <c r="AI69" s="5" t="n">
        <v>0</v>
      </c>
      <c r="AJ69" s="191">
        <f>AH69-AI69+AG69</f>
        <v/>
      </c>
      <c r="AK69" s="192" t="n">
        <v>0</v>
      </c>
      <c r="AL69" s="191">
        <f>AJ69+AK69</f>
        <v/>
      </c>
      <c r="AM69" s="35" t="inlineStr">
        <is>
          <t>熊本</t>
        </is>
      </c>
      <c r="AN69" s="35" t="inlineStr">
        <is>
          <t>こもの</t>
        </is>
      </c>
      <c r="AO69" s="163" t="n">
        <v>2450</v>
      </c>
      <c r="AP69" s="5" t="n">
        <v>0</v>
      </c>
      <c r="AQ69" s="35" t="n"/>
      <c r="AR69" s="35" t="inlineStr">
        <is>
          <t>○</t>
        </is>
      </c>
      <c r="AS69" s="122" t="n">
        <v>4580445523037</v>
      </c>
      <c r="AT69" s="35" t="n"/>
      <c r="AU69" s="35" t="n"/>
    </row>
    <row r="70">
      <c r="A70" s="14" t="inlineStr">
        <is>
          <t>1241-99</t>
        </is>
      </c>
      <c r="B70" s="5" t="inlineStr">
        <is>
          <t>■人参　洗い 混 10ｋｇ（長有研)</t>
        </is>
      </c>
      <c r="C70" s="36" t="n">
        <v>12</v>
      </c>
      <c r="D70" s="36" t="n">
        <v>0</v>
      </c>
      <c r="E70" s="5" t="n">
        <v>0</v>
      </c>
      <c r="F70" s="191">
        <f>D70-E70+C70</f>
        <v/>
      </c>
      <c r="G70" s="192" t="n">
        <v>0</v>
      </c>
      <c r="H70" s="191">
        <f>F70+G70</f>
        <v/>
      </c>
      <c r="I70" s="36" t="n">
        <v>0</v>
      </c>
      <c r="J70" s="5" t="n">
        <v>0</v>
      </c>
      <c r="K70" s="191">
        <f>I70-J70+H70</f>
        <v/>
      </c>
      <c r="L70" s="192" t="n">
        <v>-2</v>
      </c>
      <c r="M70" s="191">
        <f>K70+L70</f>
        <v/>
      </c>
      <c r="N70" s="36" t="n">
        <v>0</v>
      </c>
      <c r="O70" s="5" t="n">
        <v>0</v>
      </c>
      <c r="P70" s="191">
        <f>N70-O70+M70</f>
        <v/>
      </c>
      <c r="Q70" s="192" t="n">
        <v>0</v>
      </c>
      <c r="R70" s="191">
        <f>P70+Q70</f>
        <v/>
      </c>
      <c r="S70" s="36" t="n">
        <v>0</v>
      </c>
      <c r="T70" s="5" t="n">
        <v>0</v>
      </c>
      <c r="U70" s="191">
        <f>S70-T70+R70</f>
        <v/>
      </c>
      <c r="V70" s="192" t="n">
        <v>0</v>
      </c>
      <c r="W70" s="191">
        <f>U70+V70</f>
        <v/>
      </c>
      <c r="X70" s="36" t="n">
        <v>0</v>
      </c>
      <c r="Y70" s="5" t="n">
        <v>0</v>
      </c>
      <c r="Z70" s="191">
        <f>X70-Y70+W70</f>
        <v/>
      </c>
      <c r="AA70" s="192" t="n">
        <v>0</v>
      </c>
      <c r="AB70" s="191">
        <f>Z70+AA70</f>
        <v/>
      </c>
      <c r="AC70" s="36" t="n">
        <v>0</v>
      </c>
      <c r="AD70" s="5" t="n">
        <v>0</v>
      </c>
      <c r="AE70" s="191">
        <f>AC70-AD70+AB70</f>
        <v/>
      </c>
      <c r="AF70" s="192" t="n">
        <v>0</v>
      </c>
      <c r="AG70" s="191">
        <f>AE70+AF70</f>
        <v/>
      </c>
      <c r="AH70" s="36" t="n">
        <v>0</v>
      </c>
      <c r="AI70" s="5" t="n">
        <v>0</v>
      </c>
      <c r="AJ70" s="191">
        <f>AH70-AI70+AG70</f>
        <v/>
      </c>
      <c r="AK70" s="192" t="n">
        <v>0</v>
      </c>
      <c r="AL70" s="191">
        <f>AJ70+AK70</f>
        <v/>
      </c>
      <c r="AM70" s="35" t="inlineStr">
        <is>
          <t>長崎</t>
        </is>
      </c>
      <c r="AN70" s="35" t="inlineStr">
        <is>
          <t>箱</t>
        </is>
      </c>
      <c r="AO70" s="163" t="n">
        <v>4300</v>
      </c>
      <c r="AP70" s="5" t="n">
        <v>0</v>
      </c>
      <c r="AQ70" s="35" t="inlineStr">
        <is>
          <t>○</t>
        </is>
      </c>
      <c r="AR70" s="35" t="n"/>
      <c r="AS70" s="122" t="n"/>
      <c r="AT70" s="35" t="n">
        <v>172</v>
      </c>
      <c r="AU70" s="35" t="inlineStr">
        <is>
          <t>㈱長有研</t>
        </is>
      </c>
    </row>
    <row r="71">
      <c r="A71" s="14" t="inlineStr">
        <is>
          <t>1248-25</t>
        </is>
      </c>
      <c r="B71" s="5" t="inlineStr">
        <is>
          <t>有機葉付人参 2～4本入 (加瀬)</t>
        </is>
      </c>
      <c r="C71" s="36" t="n">
        <v>19</v>
      </c>
      <c r="D71" s="36" t="n">
        <v>100</v>
      </c>
      <c r="E71" s="5" t="n">
        <v>0</v>
      </c>
      <c r="F71" s="191">
        <f>D71-E71+C71</f>
        <v/>
      </c>
      <c r="G71" s="192" t="n">
        <v>0</v>
      </c>
      <c r="H71" s="191">
        <f>F71+G71</f>
        <v/>
      </c>
      <c r="I71" s="36" t="n">
        <v>0</v>
      </c>
      <c r="J71" s="5" t="n">
        <v>45</v>
      </c>
      <c r="K71" s="191">
        <f>I71-J71+H71</f>
        <v/>
      </c>
      <c r="L71" s="192" t="n">
        <v>0</v>
      </c>
      <c r="M71" s="191">
        <f>K71+L71</f>
        <v/>
      </c>
      <c r="N71" s="36" t="n">
        <v>0</v>
      </c>
      <c r="O71" s="5" t="n">
        <v>12</v>
      </c>
      <c r="P71" s="191">
        <f>N71-O71+M71</f>
        <v/>
      </c>
      <c r="Q71" s="192" t="n">
        <v>0</v>
      </c>
      <c r="R71" s="191">
        <f>P71+Q71</f>
        <v/>
      </c>
      <c r="S71" s="36" t="n">
        <v>25</v>
      </c>
      <c r="T71" s="5" t="n">
        <v>37</v>
      </c>
      <c r="U71" s="191">
        <f>S71-T71+R71</f>
        <v/>
      </c>
      <c r="V71" s="192" t="n">
        <v>0</v>
      </c>
      <c r="W71" s="191">
        <f>U71+V71</f>
        <v/>
      </c>
      <c r="X71" s="36" t="n">
        <v>0</v>
      </c>
      <c r="Y71" s="5" t="n">
        <v>21</v>
      </c>
      <c r="Z71" s="191">
        <f>X71-Y71+W71</f>
        <v/>
      </c>
      <c r="AA71" s="192" t="n">
        <v>0</v>
      </c>
      <c r="AB71" s="191">
        <f>Z71+AA71</f>
        <v/>
      </c>
      <c r="AC71" s="36" t="n">
        <v>0</v>
      </c>
      <c r="AD71" s="5" t="n">
        <v>43</v>
      </c>
      <c r="AE71" s="191">
        <f>AC71-AD71+AB71</f>
        <v/>
      </c>
      <c r="AF71" s="192" t="n">
        <v>0</v>
      </c>
      <c r="AG71" s="191">
        <f>AE71+AF71</f>
        <v/>
      </c>
      <c r="AH71" s="36" t="n">
        <v>0</v>
      </c>
      <c r="AI71" s="5" t="n">
        <v>47</v>
      </c>
      <c r="AJ71" s="191">
        <f>AH71-AI71+AG71</f>
        <v/>
      </c>
      <c r="AK71" s="192" t="n">
        <v>0</v>
      </c>
      <c r="AL71" s="191">
        <f>AJ71+AK71</f>
        <v/>
      </c>
      <c r="AM71" s="35" t="inlineStr">
        <is>
          <t>千葉</t>
        </is>
      </c>
      <c r="AN71" s="35" t="inlineStr">
        <is>
          <t>こもの</t>
        </is>
      </c>
      <c r="AO71" s="5" t="n">
        <v>185</v>
      </c>
      <c r="AP71" s="5" t="n">
        <v>0</v>
      </c>
      <c r="AQ71" s="35" t="n"/>
      <c r="AR71" s="35" t="n"/>
      <c r="AS71" s="122" t="n"/>
      <c r="AT71" s="35" t="n">
        <v>663</v>
      </c>
      <c r="AU71" s="35" t="inlineStr">
        <is>
          <t>加瀬農園</t>
        </is>
      </c>
    </row>
    <row r="72">
      <c r="A72" s="14" t="inlineStr">
        <is>
          <t>1250-35</t>
        </is>
      </c>
      <c r="B72" s="5" t="inlineStr">
        <is>
          <t>有機ごぼう 泥  200ｇ（みちのく）</t>
        </is>
      </c>
      <c r="C72" s="36" t="n">
        <v>73</v>
      </c>
      <c r="D72" s="36" t="n">
        <v>0</v>
      </c>
      <c r="E72" s="5" t="n">
        <v>0</v>
      </c>
      <c r="F72" s="191">
        <f>D72-E72+C72</f>
        <v/>
      </c>
      <c r="G72" s="192" t="n">
        <v>0</v>
      </c>
      <c r="H72" s="191">
        <f>F72+G72</f>
        <v/>
      </c>
      <c r="I72" s="36" t="n">
        <v>160</v>
      </c>
      <c r="J72" s="5" t="n">
        <v>56</v>
      </c>
      <c r="K72" s="191">
        <f>I72-J72+H72</f>
        <v/>
      </c>
      <c r="L72" s="192" t="n">
        <v>-10</v>
      </c>
      <c r="M72" s="191">
        <f>K72+L72</f>
        <v/>
      </c>
      <c r="N72" s="36" t="n">
        <v>0</v>
      </c>
      <c r="O72" s="5" t="n">
        <v>22</v>
      </c>
      <c r="P72" s="191">
        <f>N72-O72+M72</f>
        <v/>
      </c>
      <c r="Q72" s="192" t="n">
        <v>0</v>
      </c>
      <c r="R72" s="191">
        <f>P72+Q72</f>
        <v/>
      </c>
      <c r="S72" s="36" t="n">
        <v>0</v>
      </c>
      <c r="T72" s="5" t="n">
        <v>39</v>
      </c>
      <c r="U72" s="191">
        <f>S72-T72+R72</f>
        <v/>
      </c>
      <c r="V72" s="192" t="n">
        <v>0</v>
      </c>
      <c r="W72" s="191">
        <f>U72+V72</f>
        <v/>
      </c>
      <c r="X72" s="36" t="n">
        <v>0</v>
      </c>
      <c r="Y72" s="5" t="n">
        <v>16</v>
      </c>
      <c r="Z72" s="191">
        <f>X72-Y72+W72</f>
        <v/>
      </c>
      <c r="AA72" s="192" t="n">
        <v>-5</v>
      </c>
      <c r="AB72" s="191">
        <f>Z72+AA72</f>
        <v/>
      </c>
      <c r="AC72" s="36" t="n">
        <v>160</v>
      </c>
      <c r="AD72" s="5" t="n">
        <v>53</v>
      </c>
      <c r="AE72" s="191">
        <f>AC72-AD72+AB72</f>
        <v/>
      </c>
      <c r="AF72" s="192" t="n">
        <v>-5</v>
      </c>
      <c r="AG72" s="191">
        <f>AE72+AF72</f>
        <v/>
      </c>
      <c r="AH72" s="36" t="n">
        <v>0</v>
      </c>
      <c r="AI72" s="5" t="n">
        <v>44</v>
      </c>
      <c r="AJ72" s="191">
        <f>AH72-AI72+AG72</f>
        <v/>
      </c>
      <c r="AK72" s="192" t="n">
        <v>0</v>
      </c>
      <c r="AL72" s="191">
        <f>AJ72+AK72</f>
        <v/>
      </c>
      <c r="AM72" s="35" t="inlineStr">
        <is>
          <t>青森</t>
        </is>
      </c>
      <c r="AN72" s="35" t="inlineStr">
        <is>
          <t>こもの</t>
        </is>
      </c>
      <c r="AO72" s="5" t="n">
        <v>185</v>
      </c>
      <c r="AP72" s="5" t="n">
        <v>0</v>
      </c>
      <c r="AQ72" s="35" t="inlineStr">
        <is>
          <t>○</t>
        </is>
      </c>
      <c r="AR72" s="35" t="n"/>
      <c r="AS72" s="122" t="inlineStr">
        <is>
          <t>佐・4580445523853</t>
        </is>
      </c>
      <c r="AT72" s="35" t="n"/>
      <c r="AU72" s="35" t="n"/>
    </row>
    <row r="73">
      <c r="A73" s="14" t="inlineStr">
        <is>
          <t>1250-70</t>
        </is>
      </c>
      <c r="B73" s="5" t="inlineStr">
        <is>
          <t>有機ごぼう 泥200g×５(みちのく)東一</t>
        </is>
      </c>
      <c r="C73" s="36" t="n">
        <v>0</v>
      </c>
      <c r="D73" s="36" t="n">
        <v>0</v>
      </c>
      <c r="E73" s="5" t="n">
        <v>0</v>
      </c>
      <c r="F73" s="191">
        <f>D73-E73+C73</f>
        <v/>
      </c>
      <c r="G73" s="192" t="n">
        <v>0</v>
      </c>
      <c r="H73" s="191">
        <f>F73+G73</f>
        <v/>
      </c>
      <c r="I73" s="36" t="n">
        <v>2</v>
      </c>
      <c r="J73" s="5" t="n">
        <v>2</v>
      </c>
      <c r="K73" s="191">
        <f>I73-J73+H73</f>
        <v/>
      </c>
      <c r="L73" s="192" t="n">
        <v>0</v>
      </c>
      <c r="M73" s="191">
        <f>K73+L73</f>
        <v/>
      </c>
      <c r="N73" s="36" t="n">
        <v>0</v>
      </c>
      <c r="O73" s="5" t="n">
        <v>0</v>
      </c>
      <c r="P73" s="191">
        <f>N73-O73+M73</f>
        <v/>
      </c>
      <c r="Q73" s="192" t="n">
        <v>0</v>
      </c>
      <c r="R73" s="191">
        <f>P73+Q73</f>
        <v/>
      </c>
      <c r="S73" s="36" t="n">
        <v>0</v>
      </c>
      <c r="T73" s="5" t="n">
        <v>0</v>
      </c>
      <c r="U73" s="191">
        <f>S73-T73+R73</f>
        <v/>
      </c>
      <c r="V73" s="192" t="n">
        <v>0</v>
      </c>
      <c r="W73" s="191">
        <f>U73+V73</f>
        <v/>
      </c>
      <c r="X73" s="36" t="n">
        <v>1</v>
      </c>
      <c r="Y73" s="5" t="n">
        <v>1</v>
      </c>
      <c r="Z73" s="191">
        <f>X73-Y73+W73</f>
        <v/>
      </c>
      <c r="AA73" s="192" t="n">
        <v>0</v>
      </c>
      <c r="AB73" s="191">
        <f>Z73+AA73</f>
        <v/>
      </c>
      <c r="AC73" s="36" t="n">
        <v>1</v>
      </c>
      <c r="AD73" s="5" t="n">
        <v>1</v>
      </c>
      <c r="AE73" s="191">
        <f>AC73-AD73+AB73</f>
        <v/>
      </c>
      <c r="AF73" s="192" t="n">
        <v>0</v>
      </c>
      <c r="AG73" s="191">
        <f>AE73+AF73</f>
        <v/>
      </c>
      <c r="AH73" s="36" t="n">
        <v>0</v>
      </c>
      <c r="AI73" s="5" t="n">
        <v>0</v>
      </c>
      <c r="AJ73" s="191">
        <f>AH73-AI73+AG73</f>
        <v/>
      </c>
      <c r="AK73" s="192" t="n">
        <v>0</v>
      </c>
      <c r="AL73" s="191">
        <f>AJ73+AK73</f>
        <v/>
      </c>
      <c r="AM73" s="35" t="inlineStr">
        <is>
          <t>青森/岩手</t>
        </is>
      </c>
      <c r="AN73" s="35" t="inlineStr">
        <is>
          <t>こもの</t>
        </is>
      </c>
      <c r="AO73" s="5" t="n">
        <v>950</v>
      </c>
      <c r="AP73" s="5" t="n">
        <v>0</v>
      </c>
      <c r="AQ73" s="35" t="n"/>
      <c r="AR73" s="35" t="inlineStr">
        <is>
          <t>○</t>
        </is>
      </c>
      <c r="AS73" s="122" t="inlineStr">
        <is>
          <t>なし</t>
        </is>
      </c>
      <c r="AT73" s="35" t="n">
        <v>173</v>
      </c>
      <c r="AU73" s="35" t="inlineStr">
        <is>
          <t>㈱共同商事</t>
        </is>
      </c>
    </row>
    <row r="74">
      <c r="A74" s="14" t="inlineStr">
        <is>
          <t>1250-91</t>
        </is>
      </c>
      <c r="B74" s="5" t="inlineStr">
        <is>
          <t>ごぼう 泥  200ｇ(津軽産直組合)不不</t>
        </is>
      </c>
      <c r="C74" s="36" t="n">
        <v>170</v>
      </c>
      <c r="D74" s="36" t="n">
        <v>0</v>
      </c>
      <c r="E74" s="5" t="n">
        <v>0</v>
      </c>
      <c r="F74" s="191">
        <f>D74-E74+C74</f>
        <v/>
      </c>
      <c r="G74" s="192" t="n">
        <v>0</v>
      </c>
      <c r="H74" s="191">
        <f>F74+G74</f>
        <v/>
      </c>
      <c r="I74" s="36" t="n">
        <v>0</v>
      </c>
      <c r="J74" s="5" t="n">
        <v>51</v>
      </c>
      <c r="K74" s="191">
        <f>I74-J74+H74</f>
        <v/>
      </c>
      <c r="L74" s="192" t="n">
        <v>0</v>
      </c>
      <c r="M74" s="191">
        <f>K74+L74</f>
        <v/>
      </c>
      <c r="N74" s="36" t="n">
        <v>0</v>
      </c>
      <c r="O74" s="5" t="n">
        <v>16</v>
      </c>
      <c r="P74" s="191">
        <f>N74-O74+M74</f>
        <v/>
      </c>
      <c r="Q74" s="192" t="n">
        <v>0</v>
      </c>
      <c r="R74" s="191">
        <f>P74+Q74</f>
        <v/>
      </c>
      <c r="S74" s="36" t="n">
        <v>200</v>
      </c>
      <c r="T74" s="5" t="n">
        <v>47</v>
      </c>
      <c r="U74" s="191">
        <f>S74-T74+R74</f>
        <v/>
      </c>
      <c r="V74" s="192" t="n">
        <v>0</v>
      </c>
      <c r="W74" s="191">
        <f>U74+V74</f>
        <v/>
      </c>
      <c r="X74" s="36" t="n">
        <v>0</v>
      </c>
      <c r="Y74" s="5" t="n">
        <v>15</v>
      </c>
      <c r="Z74" s="191">
        <f>X74-Y74+W74</f>
        <v/>
      </c>
      <c r="AA74" s="192" t="n">
        <v>0</v>
      </c>
      <c r="AB74" s="191">
        <f>Z74+AA74</f>
        <v/>
      </c>
      <c r="AC74" s="36" t="n">
        <v>0</v>
      </c>
      <c r="AD74" s="5" t="n">
        <v>51</v>
      </c>
      <c r="AE74" s="191">
        <f>AC74-AD74+AB74</f>
        <v/>
      </c>
      <c r="AF74" s="192" t="n">
        <v>0</v>
      </c>
      <c r="AG74" s="191">
        <f>AE74+AF74</f>
        <v/>
      </c>
      <c r="AH74" s="36" t="n">
        <v>0</v>
      </c>
      <c r="AI74" s="5" t="n">
        <v>44</v>
      </c>
      <c r="AJ74" s="191">
        <f>AH74-AI74+AG74</f>
        <v/>
      </c>
      <c r="AK74" s="192" t="n">
        <v>0</v>
      </c>
      <c r="AL74" s="191">
        <f>AJ74+AK74</f>
        <v/>
      </c>
      <c r="AM74" s="35" t="inlineStr">
        <is>
          <t>青森</t>
        </is>
      </c>
      <c r="AN74" s="35" t="inlineStr">
        <is>
          <t>こもの</t>
        </is>
      </c>
      <c r="AO74" s="5" t="n">
        <v>165</v>
      </c>
      <c r="AP74" s="5" t="n">
        <v>0</v>
      </c>
      <c r="AQ74" s="35" t="inlineStr">
        <is>
          <t>○</t>
        </is>
      </c>
      <c r="AR74" s="35" t="n"/>
      <c r="AS74" s="122" t="n"/>
      <c r="AT74" s="35" t="n"/>
      <c r="AU74" s="35" t="n"/>
    </row>
    <row r="75">
      <c r="A75" s="14" t="inlineStr">
        <is>
          <t>1261-147</t>
        </is>
      </c>
      <c r="B75" s="5" t="inlineStr">
        <is>
          <t>■有機大根 洗い 裸 10本(丸和)</t>
        </is>
      </c>
      <c r="C75" s="36" t="n">
        <v>14</v>
      </c>
      <c r="D75" s="36" t="n">
        <v>0</v>
      </c>
      <c r="E75" s="5" t="n">
        <v>0</v>
      </c>
      <c r="F75" s="191">
        <f>D75-E75+C75</f>
        <v/>
      </c>
      <c r="G75" s="192" t="n">
        <v>0</v>
      </c>
      <c r="H75" s="191">
        <f>F75+G75</f>
        <v/>
      </c>
      <c r="I75" s="36" t="n">
        <v>0</v>
      </c>
      <c r="J75" s="5" t="n">
        <v>8</v>
      </c>
      <c r="K75" s="191">
        <f>I75-J75+H75</f>
        <v/>
      </c>
      <c r="L75" s="192" t="n">
        <v>-2</v>
      </c>
      <c r="M75" s="191">
        <f>K75+L75</f>
        <v/>
      </c>
      <c r="N75" s="36" t="n">
        <v>0</v>
      </c>
      <c r="O75" s="5" t="n">
        <v>4</v>
      </c>
      <c r="P75" s="191">
        <f>N75-O75+M75</f>
        <v/>
      </c>
      <c r="Q75" s="192" t="n">
        <v>-4</v>
      </c>
      <c r="R75" s="191">
        <f>P75+Q75</f>
        <v/>
      </c>
      <c r="S75" s="36" t="n">
        <v>0</v>
      </c>
      <c r="T75" s="5" t="n">
        <v>3</v>
      </c>
      <c r="U75" s="191">
        <f>S75-T75+R75</f>
        <v/>
      </c>
      <c r="V75" s="192" t="n">
        <v>-5</v>
      </c>
      <c r="W75" s="191">
        <f>U75+V75</f>
        <v/>
      </c>
      <c r="X75" s="36" t="n">
        <v>0</v>
      </c>
      <c r="Y75" s="5" t="n">
        <v>5</v>
      </c>
      <c r="Z75" s="191">
        <f>X75-Y75+W75</f>
        <v/>
      </c>
      <c r="AA75" s="192" t="n">
        <v>-3</v>
      </c>
      <c r="AB75" s="191">
        <f>Z75+AA75</f>
        <v/>
      </c>
      <c r="AC75" s="36" t="n">
        <v>0</v>
      </c>
      <c r="AD75" s="5" t="n">
        <v>4</v>
      </c>
      <c r="AE75" s="191">
        <f>AC75-AD75+AB75</f>
        <v/>
      </c>
      <c r="AF75" s="192" t="n">
        <v>-4</v>
      </c>
      <c r="AG75" s="191">
        <f>AE75+AF75</f>
        <v/>
      </c>
      <c r="AH75" s="36" t="n">
        <v>0</v>
      </c>
      <c r="AI75" s="5" t="n">
        <v>7</v>
      </c>
      <c r="AJ75" s="191">
        <f>AH75-AI75+AG75</f>
        <v/>
      </c>
      <c r="AK75" s="192" t="n">
        <v>-5</v>
      </c>
      <c r="AL75" s="191">
        <f>AJ75+AK75</f>
        <v/>
      </c>
      <c r="AM75" s="35" t="inlineStr">
        <is>
          <t>千葉</t>
        </is>
      </c>
      <c r="AN75" s="35" t="inlineStr">
        <is>
          <t>箱</t>
        </is>
      </c>
      <c r="AO75" s="163" t="n">
        <v>2200</v>
      </c>
      <c r="AP75" s="5" t="n">
        <v>0</v>
      </c>
      <c r="AQ75" s="35" t="n"/>
      <c r="AR75" s="35" t="n"/>
      <c r="AS75" s="122" t="n"/>
      <c r="AT75" s="35" t="n">
        <v>244</v>
      </c>
      <c r="AU75" s="35" t="inlineStr">
        <is>
          <t>㈱ちばとみさと</t>
        </is>
      </c>
    </row>
    <row r="76">
      <c r="A76" s="14" t="inlineStr">
        <is>
          <t>1261-148</t>
        </is>
      </c>
      <c r="B76" s="5" t="inlineStr">
        <is>
          <t>有機大根 洗い 1本袋 (丸和)◇</t>
        </is>
      </c>
      <c r="C76" s="36" t="n">
        <v>33</v>
      </c>
      <c r="D76" s="36" t="n">
        <v>0</v>
      </c>
      <c r="E76" s="5" t="n">
        <v>0</v>
      </c>
      <c r="F76" s="191">
        <f>D76-E76+C76</f>
        <v/>
      </c>
      <c r="G76" s="192" t="n">
        <v>0</v>
      </c>
      <c r="H76" s="191">
        <f>F76+G76</f>
        <v/>
      </c>
      <c r="I76" s="36" t="n">
        <v>4</v>
      </c>
      <c r="J76" s="5" t="n">
        <v>28</v>
      </c>
      <c r="K76" s="191">
        <f>I76-J76+H76</f>
        <v/>
      </c>
      <c r="L76" s="192" t="n">
        <v>0</v>
      </c>
      <c r="M76" s="191">
        <f>K76+L76</f>
        <v/>
      </c>
      <c r="N76" s="36" t="n">
        <v>0</v>
      </c>
      <c r="O76" s="5" t="n">
        <v>17</v>
      </c>
      <c r="P76" s="191">
        <f>N76-O76+M76</f>
        <v/>
      </c>
      <c r="Q76" s="192" t="n">
        <v>0</v>
      </c>
      <c r="R76" s="191">
        <f>P76+Q76</f>
        <v/>
      </c>
      <c r="S76" s="36" t="n">
        <v>0</v>
      </c>
      <c r="T76" s="5" t="n">
        <v>24</v>
      </c>
      <c r="U76" s="191">
        <f>S76-T76+R76</f>
        <v/>
      </c>
      <c r="V76" s="192" t="n">
        <v>0</v>
      </c>
      <c r="W76" s="191">
        <f>U76+V76</f>
        <v/>
      </c>
      <c r="X76" s="36" t="n">
        <v>0</v>
      </c>
      <c r="Y76" s="5" t="n">
        <v>14</v>
      </c>
      <c r="Z76" s="191">
        <f>X76-Y76+W76</f>
        <v/>
      </c>
      <c r="AA76" s="192" t="n">
        <v>0</v>
      </c>
      <c r="AB76" s="191">
        <f>Z76+AA76</f>
        <v/>
      </c>
      <c r="AC76" s="36" t="n">
        <v>0</v>
      </c>
      <c r="AD76" s="5" t="n">
        <v>24</v>
      </c>
      <c r="AE76" s="191">
        <f>AC76-AD76+AB76</f>
        <v/>
      </c>
      <c r="AF76" s="192" t="n">
        <v>0</v>
      </c>
      <c r="AG76" s="191">
        <f>AE76+AF76</f>
        <v/>
      </c>
      <c r="AH76" s="36" t="n">
        <v>0</v>
      </c>
      <c r="AI76" s="5" t="n">
        <v>11</v>
      </c>
      <c r="AJ76" s="191">
        <f>AH76-AI76+AG76</f>
        <v/>
      </c>
      <c r="AK76" s="192" t="n">
        <v>0</v>
      </c>
      <c r="AL76" s="191">
        <f>AJ76+AK76</f>
        <v/>
      </c>
      <c r="AM76" s="35" t="inlineStr">
        <is>
          <t>千葉</t>
        </is>
      </c>
      <c r="AN76" s="35" t="inlineStr">
        <is>
          <t>こもの</t>
        </is>
      </c>
      <c r="AO76" s="5" t="n">
        <v>240</v>
      </c>
      <c r="AP76" s="5" t="n">
        <v>0</v>
      </c>
      <c r="AQ76" s="35" t="n"/>
      <c r="AR76" s="35" t="n"/>
      <c r="AS76" s="122" t="n"/>
      <c r="AT76" s="35" t="n"/>
      <c r="AU76" s="35" t="n"/>
    </row>
    <row r="77">
      <c r="A77" s="14" t="inlineStr">
        <is>
          <t>1261-149</t>
        </is>
      </c>
      <c r="B77" s="5" t="inlineStr">
        <is>
          <t>有機カット大根 洗い 1/2本袋×4 (丸和)◇</t>
        </is>
      </c>
      <c r="C77" s="36" t="n">
        <v>0</v>
      </c>
      <c r="D77" s="36" t="n">
        <v>0</v>
      </c>
      <c r="E77" s="5" t="n">
        <v>0</v>
      </c>
      <c r="F77" s="191">
        <f>D77-E77+C77</f>
        <v/>
      </c>
      <c r="G77" s="192" t="n">
        <v>0</v>
      </c>
      <c r="H77" s="191">
        <f>F77+G77</f>
        <v/>
      </c>
      <c r="I77" s="36" t="n">
        <v>7</v>
      </c>
      <c r="J77" s="5" t="n">
        <v>7</v>
      </c>
      <c r="K77" s="191">
        <f>I77-J77+H77</f>
        <v/>
      </c>
      <c r="L77" s="192" t="n">
        <v>0</v>
      </c>
      <c r="M77" s="191">
        <f>K77+L77</f>
        <v/>
      </c>
      <c r="N77" s="36" t="n">
        <v>0</v>
      </c>
      <c r="O77" s="5" t="n">
        <v>7</v>
      </c>
      <c r="P77" s="191">
        <f>N77-O77+M77</f>
        <v/>
      </c>
      <c r="Q77" s="192" t="n">
        <v>0</v>
      </c>
      <c r="R77" s="191">
        <f>P77+Q77</f>
        <v/>
      </c>
      <c r="S77" s="36" t="n">
        <v>0</v>
      </c>
      <c r="T77" s="5" t="n">
        <v>10</v>
      </c>
      <c r="U77" s="191">
        <f>S77-T77+R77</f>
        <v/>
      </c>
      <c r="V77" s="192" t="n">
        <v>0</v>
      </c>
      <c r="W77" s="191">
        <f>U77+V77</f>
        <v/>
      </c>
      <c r="X77" s="36" t="n">
        <v>0</v>
      </c>
      <c r="Y77" s="5" t="n">
        <v>6</v>
      </c>
      <c r="Z77" s="191">
        <f>X77-Y77+W77</f>
        <v/>
      </c>
      <c r="AA77" s="192" t="n">
        <v>0</v>
      </c>
      <c r="AB77" s="191">
        <f>Z77+AA77</f>
        <v/>
      </c>
      <c r="AC77" s="36" t="n">
        <v>0</v>
      </c>
      <c r="AD77" s="5" t="n">
        <v>4</v>
      </c>
      <c r="AE77" s="191">
        <f>AC77-AD77+AB77</f>
        <v/>
      </c>
      <c r="AF77" s="192" t="n">
        <v>0</v>
      </c>
      <c r="AG77" s="191">
        <f>AE77+AF77</f>
        <v/>
      </c>
      <c r="AH77" s="36" t="n">
        <v>0</v>
      </c>
      <c r="AI77" s="5" t="n">
        <v>16</v>
      </c>
      <c r="AJ77" s="191">
        <f>AH77-AI77+AG77</f>
        <v/>
      </c>
      <c r="AK77" s="192" t="n">
        <v>0</v>
      </c>
      <c r="AL77" s="191">
        <f>AJ77+AK77</f>
        <v/>
      </c>
      <c r="AM77" s="35" t="inlineStr">
        <is>
          <t>千葉</t>
        </is>
      </c>
      <c r="AN77" s="35" t="inlineStr">
        <is>
          <t>こもの</t>
        </is>
      </c>
      <c r="AO77" s="5" t="n">
        <v>560</v>
      </c>
      <c r="AP77" s="5" t="n">
        <v>0</v>
      </c>
      <c r="AQ77" s="35" t="n"/>
      <c r="AR77" s="35" t="n"/>
      <c r="AS77" s="122" t="n">
        <v>4580445523419</v>
      </c>
      <c r="AT77" s="35" t="n"/>
      <c r="AU77" s="35" t="n"/>
    </row>
    <row r="78">
      <c r="A78" s="14" t="inlineStr">
        <is>
          <t>1261-239</t>
        </is>
      </c>
      <c r="B78" s="5" t="inlineStr">
        <is>
          <t>有機短大根（葉切り洗い）1本袋(加瀬)</t>
        </is>
      </c>
      <c r="C78" s="36" t="n">
        <v>14</v>
      </c>
      <c r="D78" s="36" t="n">
        <v>100</v>
      </c>
      <c r="E78" s="5" t="n">
        <v>0</v>
      </c>
      <c r="F78" s="191">
        <f>D78-E78+C78</f>
        <v/>
      </c>
      <c r="G78" s="192" t="n">
        <v>0</v>
      </c>
      <c r="H78" s="191">
        <f>F78+G78</f>
        <v/>
      </c>
      <c r="I78" s="36" t="n">
        <v>0</v>
      </c>
      <c r="J78" s="5" t="n">
        <v>61</v>
      </c>
      <c r="K78" s="191">
        <f>I78-J78+H78</f>
        <v/>
      </c>
      <c r="L78" s="192" t="n">
        <v>0</v>
      </c>
      <c r="M78" s="191">
        <f>K78+L78</f>
        <v/>
      </c>
      <c r="N78" s="36" t="n">
        <v>0</v>
      </c>
      <c r="O78" s="5" t="n">
        <v>31</v>
      </c>
      <c r="P78" s="191">
        <f>N78-O78+M78</f>
        <v/>
      </c>
      <c r="Q78" s="192" t="n">
        <v>0</v>
      </c>
      <c r="R78" s="191">
        <f>P78+Q78</f>
        <v/>
      </c>
      <c r="S78" s="36" t="n">
        <v>100</v>
      </c>
      <c r="T78" s="5" t="n">
        <v>44</v>
      </c>
      <c r="U78" s="191">
        <f>S78-T78+R78</f>
        <v/>
      </c>
      <c r="V78" s="192" t="n">
        <v>0</v>
      </c>
      <c r="W78" s="191">
        <f>U78+V78</f>
        <v/>
      </c>
      <c r="X78" s="36" t="n">
        <v>0</v>
      </c>
      <c r="Y78" s="5" t="n">
        <v>23</v>
      </c>
      <c r="Z78" s="191">
        <f>X78-Y78+W78</f>
        <v/>
      </c>
      <c r="AA78" s="192" t="n">
        <v>0</v>
      </c>
      <c r="AB78" s="191">
        <f>Z78+AA78</f>
        <v/>
      </c>
      <c r="AC78" s="36" t="n">
        <v>100</v>
      </c>
      <c r="AD78" s="5" t="n">
        <v>43</v>
      </c>
      <c r="AE78" s="191">
        <f>AC78-AD78+AB78</f>
        <v/>
      </c>
      <c r="AF78" s="192" t="n">
        <v>0</v>
      </c>
      <c r="AG78" s="191">
        <f>AE78+AF78</f>
        <v/>
      </c>
      <c r="AH78" s="36" t="n">
        <v>0</v>
      </c>
      <c r="AI78" s="5" t="n">
        <v>67</v>
      </c>
      <c r="AJ78" s="191">
        <f>AH78-AI78+AG78</f>
        <v/>
      </c>
      <c r="AK78" s="192" t="n">
        <v>0</v>
      </c>
      <c r="AL78" s="191">
        <f>AJ78+AK78</f>
        <v/>
      </c>
      <c r="AM78" s="35" t="inlineStr">
        <is>
          <t>千葉</t>
        </is>
      </c>
      <c r="AN78" s="35" t="inlineStr">
        <is>
          <t>こもの</t>
        </is>
      </c>
      <c r="AO78" s="5" t="n">
        <v>190</v>
      </c>
      <c r="AP78" s="5" t="n">
        <v>0</v>
      </c>
      <c r="AQ78" s="35" t="n"/>
      <c r="AR78" s="35" t="n"/>
      <c r="AS78" s="122" t="n"/>
      <c r="AT78" s="35" t="n"/>
      <c r="AU78" s="35" t="n"/>
    </row>
    <row r="79">
      <c r="A79" s="14" t="inlineStr">
        <is>
          <t>1261-369</t>
        </is>
      </c>
      <c r="B79" s="5" t="inlineStr">
        <is>
          <t>大根　 1本袋(多田孝一)虫2・不　千葉</t>
        </is>
      </c>
      <c r="C79" s="36" t="n">
        <v>9</v>
      </c>
      <c r="D79" s="36" t="n">
        <v>12</v>
      </c>
      <c r="E79" s="5" t="n">
        <v>0</v>
      </c>
      <c r="F79" s="191">
        <f>D79-E79+C79</f>
        <v/>
      </c>
      <c r="G79" s="192" t="n">
        <v>0</v>
      </c>
      <c r="H79" s="191">
        <f>F79+G79</f>
        <v/>
      </c>
      <c r="I79" s="36" t="n">
        <v>0</v>
      </c>
      <c r="J79" s="5" t="n">
        <v>11</v>
      </c>
      <c r="K79" s="191">
        <f>I79-J79+H79</f>
        <v/>
      </c>
      <c r="L79" s="192" t="n">
        <v>0</v>
      </c>
      <c r="M79" s="191">
        <f>K79+L79</f>
        <v/>
      </c>
      <c r="N79" s="36" t="n">
        <v>0</v>
      </c>
      <c r="O79" s="5" t="n">
        <v>5</v>
      </c>
      <c r="P79" s="191">
        <f>N79-O79+M79</f>
        <v/>
      </c>
      <c r="Q79" s="192" t="n">
        <v>0</v>
      </c>
      <c r="R79" s="191">
        <f>P79+Q79</f>
        <v/>
      </c>
      <c r="S79" s="36" t="n">
        <v>36</v>
      </c>
      <c r="T79" s="5" t="n">
        <v>17</v>
      </c>
      <c r="U79" s="191">
        <f>S79-T79+R79</f>
        <v/>
      </c>
      <c r="V79" s="192" t="n">
        <v>0</v>
      </c>
      <c r="W79" s="191">
        <f>U79+V79</f>
        <v/>
      </c>
      <c r="X79" s="36" t="n">
        <v>0</v>
      </c>
      <c r="Y79" s="5" t="n">
        <v>9</v>
      </c>
      <c r="Z79" s="191">
        <f>X79-Y79+W79</f>
        <v/>
      </c>
      <c r="AA79" s="192" t="n">
        <v>0</v>
      </c>
      <c r="AB79" s="191">
        <f>Z79+AA79</f>
        <v/>
      </c>
      <c r="AC79" s="36" t="n">
        <v>36</v>
      </c>
      <c r="AD79" s="5" t="n">
        <v>9</v>
      </c>
      <c r="AE79" s="191">
        <f>AC79-AD79+AB79</f>
        <v/>
      </c>
      <c r="AF79" s="192" t="n">
        <v>0</v>
      </c>
      <c r="AG79" s="191">
        <f>AE79+AF79</f>
        <v/>
      </c>
      <c r="AH79" s="36" t="n">
        <v>0</v>
      </c>
      <c r="AI79" s="5" t="n">
        <v>29</v>
      </c>
      <c r="AJ79" s="191">
        <f>AH79-AI79+AG79</f>
        <v/>
      </c>
      <c r="AK79" s="192" t="n">
        <v>0</v>
      </c>
      <c r="AL79" s="191">
        <f>AJ79+AK79</f>
        <v/>
      </c>
      <c r="AM79" s="35" t="inlineStr">
        <is>
          <t>千葉</t>
        </is>
      </c>
      <c r="AN79" s="35" t="inlineStr">
        <is>
          <t>こもの</t>
        </is>
      </c>
      <c r="AO79" s="5" t="n">
        <v>210</v>
      </c>
      <c r="AP79" s="5" t="n">
        <v>0</v>
      </c>
      <c r="AQ79" s="35" t="n"/>
      <c r="AR79" s="35" t="n"/>
      <c r="AS79" s="122" t="n"/>
      <c r="AT79" s="35" t="n">
        <v>279</v>
      </c>
      <c r="AU79" s="35" t="inlineStr">
        <is>
          <t>モアーク食材開発㈱　東京事務所</t>
        </is>
      </c>
    </row>
    <row r="80">
      <c r="A80" s="14" t="inlineStr">
        <is>
          <t>1261-370</t>
        </is>
      </c>
      <c r="B80" s="5" t="inlineStr">
        <is>
          <t>■大根　裸10本(多田孝一)虫2・不　千葉</t>
        </is>
      </c>
      <c r="C80" s="36" t="n">
        <v>2</v>
      </c>
      <c r="D80" s="36" t="n">
        <v>10</v>
      </c>
      <c r="E80" s="5" t="n">
        <v>0</v>
      </c>
      <c r="F80" s="191">
        <f>D80-E80+C80</f>
        <v/>
      </c>
      <c r="G80" s="192" t="n">
        <v>0</v>
      </c>
      <c r="H80" s="191">
        <f>F80+G80</f>
        <v/>
      </c>
      <c r="I80" s="36" t="n">
        <v>0</v>
      </c>
      <c r="J80" s="5" t="n">
        <v>3</v>
      </c>
      <c r="K80" s="191">
        <f>I80-J80+H80</f>
        <v/>
      </c>
      <c r="L80" s="192" t="n">
        <v>0</v>
      </c>
      <c r="M80" s="191">
        <f>K80+L80</f>
        <v/>
      </c>
      <c r="N80" s="36" t="n">
        <v>0</v>
      </c>
      <c r="O80" s="5" t="n">
        <v>3</v>
      </c>
      <c r="P80" s="191">
        <f>N80-O80+M80</f>
        <v/>
      </c>
      <c r="Q80" s="192" t="n">
        <v>0</v>
      </c>
      <c r="R80" s="191">
        <f>P80+Q80</f>
        <v/>
      </c>
      <c r="S80" s="36" t="n">
        <v>10</v>
      </c>
      <c r="T80" s="5" t="n">
        <v>3</v>
      </c>
      <c r="U80" s="191">
        <f>S80-T80+R80</f>
        <v/>
      </c>
      <c r="V80" s="192" t="n">
        <v>0</v>
      </c>
      <c r="W80" s="191">
        <f>U80+V80</f>
        <v/>
      </c>
      <c r="X80" s="36" t="n">
        <v>0</v>
      </c>
      <c r="Y80" s="5" t="n">
        <v>4</v>
      </c>
      <c r="Z80" s="191">
        <f>X80-Y80+W80</f>
        <v/>
      </c>
      <c r="AA80" s="192" t="n">
        <v>0</v>
      </c>
      <c r="AB80" s="191">
        <f>Z80+AA80</f>
        <v/>
      </c>
      <c r="AC80" s="36" t="n">
        <v>8</v>
      </c>
      <c r="AD80" s="5" t="n">
        <v>3</v>
      </c>
      <c r="AE80" s="191">
        <f>AC80-AD80+AB80</f>
        <v/>
      </c>
      <c r="AF80" s="192" t="n">
        <v>0</v>
      </c>
      <c r="AG80" s="191">
        <f>AE80+AF80</f>
        <v/>
      </c>
      <c r="AH80" s="36" t="n">
        <v>0</v>
      </c>
      <c r="AI80" s="5" t="n">
        <v>6</v>
      </c>
      <c r="AJ80" s="191">
        <f>AH80-AI80+AG80</f>
        <v/>
      </c>
      <c r="AK80" s="192" t="n">
        <v>0</v>
      </c>
      <c r="AL80" s="191">
        <f>AJ80+AK80</f>
        <v/>
      </c>
      <c r="AM80" s="35" t="inlineStr">
        <is>
          <t>千葉</t>
        </is>
      </c>
      <c r="AN80" s="35" t="inlineStr">
        <is>
          <t>箱</t>
        </is>
      </c>
      <c r="AO80" s="163" t="n">
        <v>2000</v>
      </c>
      <c r="AP80" s="5" t="n">
        <v>0</v>
      </c>
      <c r="AQ80" s="35" t="n"/>
      <c r="AR80" s="35" t="n"/>
      <c r="AS80" s="122" t="n"/>
      <c r="AT80" s="35" t="n"/>
      <c r="AU80" s="35" t="n"/>
    </row>
    <row r="81">
      <c r="A81" s="14" t="inlineStr">
        <is>
          <t>1261-404</t>
        </is>
      </c>
      <c r="B81" s="5" t="inlineStr">
        <is>
          <t>■むらさき大根　加工用10kg(加瀬)不不</t>
        </is>
      </c>
      <c r="C81" s="36" t="n">
        <v>1</v>
      </c>
      <c r="D81" s="36" t="n">
        <v>0</v>
      </c>
      <c r="E81" s="5" t="n">
        <v>0</v>
      </c>
      <c r="F81" s="191">
        <f>D81-E81+C81</f>
        <v/>
      </c>
      <c r="G81" s="192" t="n">
        <v>0</v>
      </c>
      <c r="H81" s="191">
        <f>F81+G81</f>
        <v/>
      </c>
      <c r="I81" s="36" t="n">
        <v>0</v>
      </c>
      <c r="J81" s="5" t="n">
        <v>0</v>
      </c>
      <c r="K81" s="191">
        <f>I81-J81+H81</f>
        <v/>
      </c>
      <c r="L81" s="192" t="n">
        <v>0</v>
      </c>
      <c r="M81" s="191">
        <f>K81+L81</f>
        <v/>
      </c>
      <c r="N81" s="36" t="n">
        <v>0</v>
      </c>
      <c r="O81" s="5" t="n">
        <v>0</v>
      </c>
      <c r="P81" s="191">
        <f>N81-O81+M81</f>
        <v/>
      </c>
      <c r="Q81" s="192" t="n">
        <v>0</v>
      </c>
      <c r="R81" s="191">
        <f>P81+Q81</f>
        <v/>
      </c>
      <c r="S81" s="36" t="n">
        <v>0</v>
      </c>
      <c r="T81" s="5" t="n">
        <v>0</v>
      </c>
      <c r="U81" s="191">
        <f>S81-T81+R81</f>
        <v/>
      </c>
      <c r="V81" s="192" t="n">
        <v>0</v>
      </c>
      <c r="W81" s="191">
        <f>U81+V81</f>
        <v/>
      </c>
      <c r="X81" s="36" t="n">
        <v>0</v>
      </c>
      <c r="Y81" s="5" t="n">
        <v>0</v>
      </c>
      <c r="Z81" s="191">
        <f>X81-Y81+W81</f>
        <v/>
      </c>
      <c r="AA81" s="192" t="n">
        <v>0</v>
      </c>
      <c r="AB81" s="191">
        <f>Z81+AA81</f>
        <v/>
      </c>
      <c r="AC81" s="36" t="n">
        <v>0</v>
      </c>
      <c r="AD81" s="5" t="n">
        <v>0</v>
      </c>
      <c r="AE81" s="191">
        <f>AC81-AD81+AB81</f>
        <v/>
      </c>
      <c r="AF81" s="192" t="n">
        <v>0</v>
      </c>
      <c r="AG81" s="191">
        <f>AE81+AF81</f>
        <v/>
      </c>
      <c r="AH81" s="36" t="n">
        <v>0</v>
      </c>
      <c r="AI81" s="5" t="n">
        <v>0</v>
      </c>
      <c r="AJ81" s="191">
        <f>AH81-AI81+AG81</f>
        <v/>
      </c>
      <c r="AK81" s="192" t="n">
        <v>0</v>
      </c>
      <c r="AL81" s="191">
        <f>AJ81+AK81</f>
        <v/>
      </c>
      <c r="AM81" s="35" t="inlineStr">
        <is>
          <t>千葉</t>
        </is>
      </c>
      <c r="AN81" s="35" t="inlineStr">
        <is>
          <t>箱</t>
        </is>
      </c>
      <c r="AO81" s="163" t="n">
        <v>1500</v>
      </c>
      <c r="AP81" s="5" t="n">
        <v>0</v>
      </c>
      <c r="AQ81" s="35" t="n"/>
      <c r="AR81" s="35" t="n"/>
      <c r="AS81" s="122" t="n"/>
      <c r="AT81" s="35" t="n">
        <v>663</v>
      </c>
      <c r="AU81" s="35" t="inlineStr">
        <is>
          <t>加瀬農園</t>
        </is>
      </c>
    </row>
    <row r="82">
      <c r="A82" s="14" t="inlineStr">
        <is>
          <t>1261-410</t>
        </is>
      </c>
      <c r="B82" s="5" t="inlineStr">
        <is>
          <t>■有機大根 洗い 裸 10本(やさと)</t>
        </is>
      </c>
      <c r="C82" s="36" t="n">
        <v>0</v>
      </c>
      <c r="D82" s="36" t="n">
        <v>0</v>
      </c>
      <c r="E82" s="5" t="n">
        <v>0</v>
      </c>
      <c r="F82" s="191">
        <f>D82-E82+C82</f>
        <v/>
      </c>
      <c r="G82" s="192" t="n">
        <v>0</v>
      </c>
      <c r="H82" s="191">
        <f>F82+G82</f>
        <v/>
      </c>
      <c r="I82" s="36" t="n">
        <v>0</v>
      </c>
      <c r="J82" s="5" t="n">
        <v>0</v>
      </c>
      <c r="K82" s="191">
        <f>I82-J82+H82</f>
        <v/>
      </c>
      <c r="L82" s="192" t="n">
        <v>0</v>
      </c>
      <c r="M82" s="191">
        <f>K82+L82</f>
        <v/>
      </c>
      <c r="N82" s="36" t="n">
        <v>10</v>
      </c>
      <c r="O82" s="5" t="n">
        <v>1</v>
      </c>
      <c r="P82" s="191">
        <f>N82-O82+M82</f>
        <v/>
      </c>
      <c r="Q82" s="192" t="n">
        <v>0</v>
      </c>
      <c r="R82" s="191">
        <f>P82+Q82</f>
        <v/>
      </c>
      <c r="S82" s="36" t="n">
        <v>10</v>
      </c>
      <c r="T82" s="5" t="n">
        <v>1</v>
      </c>
      <c r="U82" s="191">
        <f>S82-T82+R82</f>
        <v/>
      </c>
      <c r="V82" s="192" t="n">
        <v>0</v>
      </c>
      <c r="W82" s="191">
        <f>U82+V82</f>
        <v/>
      </c>
      <c r="X82" s="36" t="n">
        <v>0</v>
      </c>
      <c r="Y82" s="5" t="n">
        <v>0</v>
      </c>
      <c r="Z82" s="191">
        <f>X82-Y82+W82</f>
        <v/>
      </c>
      <c r="AA82" s="192" t="n">
        <v>0</v>
      </c>
      <c r="AB82" s="191">
        <f>Z82+AA82</f>
        <v/>
      </c>
      <c r="AC82" s="36" t="n">
        <v>15</v>
      </c>
      <c r="AD82" s="5" t="n">
        <v>0</v>
      </c>
      <c r="AE82" s="191">
        <f>AC82-AD82+AB82</f>
        <v/>
      </c>
      <c r="AF82" s="192" t="n">
        <v>0</v>
      </c>
      <c r="AG82" s="191">
        <f>AE82+AF82</f>
        <v/>
      </c>
      <c r="AH82" s="36" t="n">
        <v>10</v>
      </c>
      <c r="AI82" s="5" t="n">
        <v>0</v>
      </c>
      <c r="AJ82" s="191">
        <f>AH82-AI82+AG82</f>
        <v/>
      </c>
      <c r="AK82" s="192" t="n">
        <v>0</v>
      </c>
      <c r="AL82" s="191">
        <f>AJ82+AK82</f>
        <v/>
      </c>
      <c r="AM82" s="35" t="inlineStr">
        <is>
          <t>茨城</t>
        </is>
      </c>
      <c r="AN82" s="35" t="inlineStr">
        <is>
          <t>箱</t>
        </is>
      </c>
      <c r="AO82" s="163" t="n">
        <v>2200</v>
      </c>
      <c r="AP82" s="5" t="n">
        <v>0</v>
      </c>
      <c r="AQ82" s="35" t="inlineStr">
        <is>
          <t>○</t>
        </is>
      </c>
      <c r="AR82" s="35" t="n"/>
      <c r="AS82" s="122" t="n"/>
      <c r="AT82" s="35" t="n">
        <v>244</v>
      </c>
      <c r="AU82" s="35" t="inlineStr">
        <is>
          <t>㈱ちばとみさと</t>
        </is>
      </c>
    </row>
    <row r="83">
      <c r="A83" s="14" t="inlineStr">
        <is>
          <t>1266-272</t>
        </is>
      </c>
      <c r="B83" s="5" t="inlineStr">
        <is>
          <t>有機ミニ大根　洗い　1本袋(キテレツ)</t>
        </is>
      </c>
      <c r="C83" s="36" t="n">
        <v>12</v>
      </c>
      <c r="D83" s="36" t="n">
        <v>0</v>
      </c>
      <c r="E83" s="5" t="n">
        <v>0</v>
      </c>
      <c r="F83" s="191">
        <f>D83-E83+C83</f>
        <v/>
      </c>
      <c r="G83" s="192" t="n">
        <v>0</v>
      </c>
      <c r="H83" s="191">
        <f>F83+G83</f>
        <v/>
      </c>
      <c r="I83" s="36" t="n">
        <v>10</v>
      </c>
      <c r="J83" s="5" t="n">
        <v>6</v>
      </c>
      <c r="K83" s="191">
        <f>I83-J83+H83</f>
        <v/>
      </c>
      <c r="L83" s="192" t="n">
        <v>0</v>
      </c>
      <c r="M83" s="191">
        <f>K83+L83</f>
        <v/>
      </c>
      <c r="N83" s="36" t="n">
        <v>0</v>
      </c>
      <c r="O83" s="5" t="n">
        <v>6</v>
      </c>
      <c r="P83" s="191">
        <f>N83-O83+M83</f>
        <v/>
      </c>
      <c r="Q83" s="192" t="n">
        <v>0</v>
      </c>
      <c r="R83" s="191">
        <f>P83+Q83</f>
        <v/>
      </c>
      <c r="S83" s="36" t="n">
        <v>10</v>
      </c>
      <c r="T83" s="5" t="n">
        <v>6</v>
      </c>
      <c r="U83" s="191">
        <f>S83-T83+R83</f>
        <v/>
      </c>
      <c r="V83" s="192" t="n">
        <v>0</v>
      </c>
      <c r="W83" s="191">
        <f>U83+V83</f>
        <v/>
      </c>
      <c r="X83" s="36" t="n">
        <v>0</v>
      </c>
      <c r="Y83" s="5" t="n">
        <v>6</v>
      </c>
      <c r="Z83" s="191">
        <f>X83-Y83+W83</f>
        <v/>
      </c>
      <c r="AA83" s="192" t="n">
        <v>0</v>
      </c>
      <c r="AB83" s="191">
        <f>Z83+AA83</f>
        <v/>
      </c>
      <c r="AC83" s="36" t="n">
        <v>10</v>
      </c>
      <c r="AD83" s="5" t="n">
        <v>6</v>
      </c>
      <c r="AE83" s="191">
        <f>AC83-AD83+AB83</f>
        <v/>
      </c>
      <c r="AF83" s="192" t="n">
        <v>0</v>
      </c>
      <c r="AG83" s="191">
        <f>AE83+AF83</f>
        <v/>
      </c>
      <c r="AH83" s="36" t="n">
        <v>0</v>
      </c>
      <c r="AI83" s="5" t="n">
        <v>12</v>
      </c>
      <c r="AJ83" s="191">
        <f>AH83-AI83+AG83</f>
        <v/>
      </c>
      <c r="AK83" s="192" t="n">
        <v>0</v>
      </c>
      <c r="AL83" s="191">
        <f>AJ83+AK83</f>
        <v/>
      </c>
      <c r="AM83" s="35" t="inlineStr">
        <is>
          <t>東京</t>
        </is>
      </c>
      <c r="AN83" s="35" t="inlineStr">
        <is>
          <t>こもの</t>
        </is>
      </c>
      <c r="AO83" s="5" t="n">
        <v>180</v>
      </c>
      <c r="AP83" s="5" t="n">
        <v>0</v>
      </c>
      <c r="AQ83" s="35" t="n"/>
      <c r="AR83" s="35" t="n"/>
      <c r="AS83" s="122" t="n">
        <v>4528950000000</v>
      </c>
      <c r="AT83" s="35" t="n">
        <v>693</v>
      </c>
      <c r="AU83" s="35" t="inlineStr">
        <is>
          <t>キテレツファーム</t>
        </is>
      </c>
    </row>
    <row r="84">
      <c r="A84" s="14" t="inlineStr">
        <is>
          <t>1277-130</t>
        </is>
      </c>
      <c r="B84" s="5" t="inlineStr">
        <is>
          <t>有機かぶ白　２～３玉袋（飯田）</t>
        </is>
      </c>
      <c r="C84" s="36" t="n">
        <v>57</v>
      </c>
      <c r="D84" s="36" t="n">
        <v>20</v>
      </c>
      <c r="E84" s="5" t="n">
        <v>0</v>
      </c>
      <c r="F84" s="191">
        <f>D84-E84+C84</f>
        <v/>
      </c>
      <c r="G84" s="192" t="n">
        <v>0</v>
      </c>
      <c r="H84" s="191">
        <f>F84+G84</f>
        <v/>
      </c>
      <c r="I84" s="36" t="n">
        <v>0</v>
      </c>
      <c r="J84" s="5" t="n">
        <v>35</v>
      </c>
      <c r="K84" s="191">
        <f>I84-J84+H84</f>
        <v/>
      </c>
      <c r="L84" s="192" t="n">
        <v>0</v>
      </c>
      <c r="M84" s="191">
        <f>K84+L84</f>
        <v/>
      </c>
      <c r="N84" s="36" t="n">
        <v>0</v>
      </c>
      <c r="O84" s="5" t="n">
        <v>8</v>
      </c>
      <c r="P84" s="191">
        <f>N84-O84+M84</f>
        <v/>
      </c>
      <c r="Q84" s="192" t="n">
        <v>0</v>
      </c>
      <c r="R84" s="191">
        <f>P84+Q84</f>
        <v/>
      </c>
      <c r="S84" s="36" t="n">
        <v>20</v>
      </c>
      <c r="T84" s="5" t="n">
        <v>35</v>
      </c>
      <c r="U84" s="191">
        <f>S84-T84+R84</f>
        <v/>
      </c>
      <c r="V84" s="192" t="n">
        <v>0</v>
      </c>
      <c r="W84" s="191">
        <f>U84+V84</f>
        <v/>
      </c>
      <c r="X84" s="36" t="n">
        <v>0</v>
      </c>
      <c r="Y84" s="5" t="n">
        <v>8</v>
      </c>
      <c r="Z84" s="191">
        <f>X84-Y84+W84</f>
        <v/>
      </c>
      <c r="AA84" s="192" t="n">
        <v>0</v>
      </c>
      <c r="AB84" s="191">
        <f>Z84+AA84</f>
        <v/>
      </c>
      <c r="AC84" s="36" t="n">
        <v>60</v>
      </c>
      <c r="AD84" s="5" t="n">
        <v>29</v>
      </c>
      <c r="AE84" s="191">
        <f>AC84-AD84+AB84</f>
        <v/>
      </c>
      <c r="AF84" s="192" t="n">
        <v>0</v>
      </c>
      <c r="AG84" s="191">
        <f>AE84+AF84</f>
        <v/>
      </c>
      <c r="AH84" s="36" t="n">
        <v>0</v>
      </c>
      <c r="AI84" s="5" t="n">
        <v>29</v>
      </c>
      <c r="AJ84" s="191">
        <f>AH84-AI84+AG84</f>
        <v/>
      </c>
      <c r="AK84" s="192" t="n">
        <v>0</v>
      </c>
      <c r="AL84" s="191">
        <f>AJ84+AK84</f>
        <v/>
      </c>
      <c r="AM84" s="35" t="inlineStr">
        <is>
          <t>千葉</t>
        </is>
      </c>
      <c r="AN84" s="35" t="inlineStr">
        <is>
          <t>こもの</t>
        </is>
      </c>
      <c r="AO84" s="5" t="n">
        <v>170</v>
      </c>
      <c r="AP84" s="5" t="n">
        <v>0</v>
      </c>
      <c r="AQ84" s="35" t="n"/>
      <c r="AR84" s="35" t="n"/>
      <c r="AS84" s="122" t="n">
        <v>4570069350027</v>
      </c>
      <c r="AT84" s="35" t="n">
        <v>696</v>
      </c>
      <c r="AU84" s="35" t="inlineStr">
        <is>
          <t>飯田　幹雄</t>
        </is>
      </c>
    </row>
    <row r="85">
      <c r="A85" s="14" t="inlineStr">
        <is>
          <t>1277-179</t>
        </is>
      </c>
      <c r="B85" s="5" t="inlineStr">
        <is>
          <t>有機ビーツ 300g袋(かごしま)◇</t>
        </is>
      </c>
      <c r="C85" s="36" t="n">
        <v>17</v>
      </c>
      <c r="D85" s="36" t="n">
        <v>0</v>
      </c>
      <c r="E85" s="5" t="n">
        <v>0</v>
      </c>
      <c r="F85" s="191">
        <f>D85-E85+C85</f>
        <v/>
      </c>
      <c r="G85" s="192" t="n">
        <v>0</v>
      </c>
      <c r="H85" s="191">
        <f>F85+G85</f>
        <v/>
      </c>
      <c r="I85" s="36" t="n">
        <v>29</v>
      </c>
      <c r="J85" s="5" t="n">
        <v>34</v>
      </c>
      <c r="K85" s="191">
        <f>I85-J85+H85</f>
        <v/>
      </c>
      <c r="L85" s="192" t="n">
        <v>0</v>
      </c>
      <c r="M85" s="191">
        <f>K85+L85</f>
        <v/>
      </c>
      <c r="N85" s="36" t="n">
        <v>0</v>
      </c>
      <c r="O85" s="5" t="n">
        <v>27</v>
      </c>
      <c r="P85" s="191">
        <f>N85-O85+M85</f>
        <v/>
      </c>
      <c r="Q85" s="192" t="n">
        <v>0</v>
      </c>
      <c r="R85" s="191">
        <f>P85+Q85</f>
        <v/>
      </c>
      <c r="S85" s="36" t="n">
        <v>0</v>
      </c>
      <c r="T85" s="5" t="n">
        <v>22</v>
      </c>
      <c r="U85" s="191">
        <f>S85-T85+R85</f>
        <v/>
      </c>
      <c r="V85" s="192" t="n">
        <v>0</v>
      </c>
      <c r="W85" s="191">
        <f>U85+V85</f>
        <v/>
      </c>
      <c r="X85" s="36" t="n">
        <v>0</v>
      </c>
      <c r="Y85" s="5" t="n">
        <v>14</v>
      </c>
      <c r="Z85" s="191">
        <f>X85-Y85+W85</f>
        <v/>
      </c>
      <c r="AA85" s="192" t="n">
        <v>0</v>
      </c>
      <c r="AB85" s="191">
        <f>Z85+AA85</f>
        <v/>
      </c>
      <c r="AC85" s="36" t="n">
        <v>0</v>
      </c>
      <c r="AD85" s="5" t="n">
        <v>16</v>
      </c>
      <c r="AE85" s="191">
        <f>AC85-AD85+AB85</f>
        <v/>
      </c>
      <c r="AF85" s="192" t="n">
        <v>0</v>
      </c>
      <c r="AG85" s="191">
        <f>AE85+AF85</f>
        <v/>
      </c>
      <c r="AH85" s="36" t="n">
        <v>0</v>
      </c>
      <c r="AI85" s="5" t="n">
        <v>31</v>
      </c>
      <c r="AJ85" s="191">
        <f>AH85-AI85+AG85</f>
        <v/>
      </c>
      <c r="AK85" s="192" t="n">
        <v>0</v>
      </c>
      <c r="AL85" s="191">
        <f>AJ85+AK85</f>
        <v/>
      </c>
      <c r="AM85" s="35" t="inlineStr">
        <is>
          <t>宮崎/鹿児島</t>
        </is>
      </c>
      <c r="AN85" s="35" t="inlineStr">
        <is>
          <t>こもの</t>
        </is>
      </c>
      <c r="AO85" s="5" t="n">
        <v>220</v>
      </c>
      <c r="AP85" s="5" t="n">
        <v>0</v>
      </c>
      <c r="AQ85" s="35" t="n"/>
      <c r="AR85" s="35" t="n"/>
      <c r="AS85" s="122" t="n"/>
      <c r="AT85" s="35" t="n"/>
      <c r="AU85" s="35" t="n"/>
    </row>
    <row r="86">
      <c r="A86" s="14" t="inlineStr">
        <is>
          <t>1277-180</t>
        </is>
      </c>
      <c r="B86" s="5" t="inlineStr">
        <is>
          <t>■有機ビーツ 10ｋｇ(かごしま)</t>
        </is>
      </c>
      <c r="C86" s="36" t="n">
        <v>1</v>
      </c>
      <c r="D86" s="36" t="n">
        <v>0</v>
      </c>
      <c r="E86" s="5" t="n">
        <v>0</v>
      </c>
      <c r="F86" s="191">
        <f>D86-E86+C86</f>
        <v/>
      </c>
      <c r="G86" s="192" t="n">
        <v>0</v>
      </c>
      <c r="H86" s="191">
        <f>F86+G86</f>
        <v/>
      </c>
      <c r="I86" s="36" t="n">
        <v>0</v>
      </c>
      <c r="J86" s="5" t="n">
        <v>0</v>
      </c>
      <c r="K86" s="191">
        <f>I86-J86+H86</f>
        <v/>
      </c>
      <c r="L86" s="192" t="n">
        <v>-1</v>
      </c>
      <c r="M86" s="191">
        <f>K86+L86</f>
        <v/>
      </c>
      <c r="N86" s="36" t="n">
        <v>0</v>
      </c>
      <c r="O86" s="5" t="n">
        <v>0</v>
      </c>
      <c r="P86" s="191">
        <f>N86-O86+M86</f>
        <v/>
      </c>
      <c r="Q86" s="192" t="n">
        <v>0</v>
      </c>
      <c r="R86" s="191">
        <f>P86+Q86</f>
        <v/>
      </c>
      <c r="S86" s="36" t="n">
        <v>0</v>
      </c>
      <c r="T86" s="5" t="n">
        <v>0</v>
      </c>
      <c r="U86" s="191">
        <f>S86-T86+R86</f>
        <v/>
      </c>
      <c r="V86" s="192" t="n">
        <v>0</v>
      </c>
      <c r="W86" s="191">
        <f>U86+V86</f>
        <v/>
      </c>
      <c r="X86" s="36" t="n">
        <v>0</v>
      </c>
      <c r="Y86" s="5" t="n">
        <v>0</v>
      </c>
      <c r="Z86" s="191">
        <f>X86-Y86+W86</f>
        <v/>
      </c>
      <c r="AA86" s="192" t="n">
        <v>0</v>
      </c>
      <c r="AB86" s="191">
        <f>Z86+AA86</f>
        <v/>
      </c>
      <c r="AC86" s="36" t="n">
        <v>0</v>
      </c>
      <c r="AD86" s="5" t="n">
        <v>0</v>
      </c>
      <c r="AE86" s="191">
        <f>AC86-AD86+AB86</f>
        <v/>
      </c>
      <c r="AF86" s="192" t="n">
        <v>0</v>
      </c>
      <c r="AG86" s="191">
        <f>AE86+AF86</f>
        <v/>
      </c>
      <c r="AH86" s="36" t="n">
        <v>0</v>
      </c>
      <c r="AI86" s="5" t="n">
        <v>0</v>
      </c>
      <c r="AJ86" s="191">
        <f>AH86-AI86+AG86</f>
        <v/>
      </c>
      <c r="AK86" s="192" t="n">
        <v>0</v>
      </c>
      <c r="AL86" s="191">
        <f>AJ86+AK86</f>
        <v/>
      </c>
      <c r="AM86" s="35" t="inlineStr">
        <is>
          <t>鹿児島</t>
        </is>
      </c>
      <c r="AN86" s="35" t="inlineStr">
        <is>
          <t>箱</t>
        </is>
      </c>
      <c r="AO86" s="5" t="n">
        <v>0</v>
      </c>
      <c r="AP86" s="5" t="n">
        <v>0</v>
      </c>
      <c r="AQ86" s="35" t="inlineStr">
        <is>
          <t>○</t>
        </is>
      </c>
      <c r="AR86" s="35" t="n"/>
      <c r="AS86" s="122" t="n"/>
      <c r="AT86" s="35" t="n"/>
      <c r="AU86" s="35" t="n"/>
    </row>
    <row r="87">
      <c r="A87" s="14" t="inlineStr">
        <is>
          <t>1277-184</t>
        </is>
      </c>
      <c r="B87" s="5" t="inlineStr">
        <is>
          <t>■有機ビーツ 20ｋｇ(かごしま)</t>
        </is>
      </c>
      <c r="C87" s="36" t="n">
        <v>1</v>
      </c>
      <c r="D87" s="36" t="n">
        <v>0</v>
      </c>
      <c r="E87" s="5" t="n">
        <v>0</v>
      </c>
      <c r="F87" s="191">
        <f>D87-E87+C87</f>
        <v/>
      </c>
      <c r="G87" s="192" t="n">
        <v>0</v>
      </c>
      <c r="H87" s="191">
        <f>F87+G87</f>
        <v/>
      </c>
      <c r="I87" s="36" t="n">
        <v>0</v>
      </c>
      <c r="J87" s="5" t="n">
        <v>0</v>
      </c>
      <c r="K87" s="191">
        <f>I87-J87+H87</f>
        <v/>
      </c>
      <c r="L87" s="192" t="n">
        <v>0</v>
      </c>
      <c r="M87" s="191">
        <f>K87+L87</f>
        <v/>
      </c>
      <c r="N87" s="36" t="n">
        <v>0</v>
      </c>
      <c r="O87" s="5" t="n">
        <v>0</v>
      </c>
      <c r="P87" s="191">
        <f>N87-O87+M87</f>
        <v/>
      </c>
      <c r="Q87" s="192" t="n">
        <v>0</v>
      </c>
      <c r="R87" s="191">
        <f>P87+Q87</f>
        <v/>
      </c>
      <c r="S87" s="36" t="n">
        <v>0</v>
      </c>
      <c r="T87" s="5" t="n">
        <v>0</v>
      </c>
      <c r="U87" s="191">
        <f>S87-T87+R87</f>
        <v/>
      </c>
      <c r="V87" s="192" t="n">
        <v>0</v>
      </c>
      <c r="W87" s="191">
        <f>U87+V87</f>
        <v/>
      </c>
      <c r="X87" s="36" t="n">
        <v>0</v>
      </c>
      <c r="Y87" s="5" t="n">
        <v>0</v>
      </c>
      <c r="Z87" s="191">
        <f>X87-Y87+W87</f>
        <v/>
      </c>
      <c r="AA87" s="192" t="n">
        <v>0</v>
      </c>
      <c r="AB87" s="191">
        <f>Z87+AA87</f>
        <v/>
      </c>
      <c r="AC87" s="36" t="n">
        <v>0</v>
      </c>
      <c r="AD87" s="5" t="n">
        <v>0</v>
      </c>
      <c r="AE87" s="191">
        <f>AC87-AD87+AB87</f>
        <v/>
      </c>
      <c r="AF87" s="192" t="n">
        <v>0</v>
      </c>
      <c r="AG87" s="191">
        <f>AE87+AF87</f>
        <v/>
      </c>
      <c r="AH87" s="36" t="n">
        <v>0</v>
      </c>
      <c r="AI87" s="5" t="n">
        <v>0</v>
      </c>
      <c r="AJ87" s="191">
        <f>AH87-AI87+AG87</f>
        <v/>
      </c>
      <c r="AK87" s="192" t="n">
        <v>0</v>
      </c>
      <c r="AL87" s="191">
        <f>AJ87+AK87</f>
        <v/>
      </c>
      <c r="AM87" s="35" t="inlineStr">
        <is>
          <t>鹿児島</t>
        </is>
      </c>
      <c r="AN87" s="35" t="inlineStr">
        <is>
          <t>箱</t>
        </is>
      </c>
      <c r="AO87" s="5" t="n">
        <v>0</v>
      </c>
      <c r="AP87" s="5" t="n">
        <v>0</v>
      </c>
      <c r="AQ87" s="35" t="inlineStr">
        <is>
          <t>○</t>
        </is>
      </c>
      <c r="AR87" s="35" t="n"/>
      <c r="AS87" s="122" t="n"/>
      <c r="AT87" s="35" t="n"/>
      <c r="AU87" s="35" t="n"/>
    </row>
    <row r="88">
      <c r="A88" s="14" t="inlineStr">
        <is>
          <t>1277-229</t>
        </is>
      </c>
      <c r="B88" s="5" t="inlineStr">
        <is>
          <t>■有機ビーツ　10ｋｇ（沖縄）</t>
        </is>
      </c>
      <c r="C88" s="36" t="n">
        <v>0</v>
      </c>
      <c r="D88" s="36" t="n">
        <v>0</v>
      </c>
      <c r="E88" s="5" t="n">
        <v>0</v>
      </c>
      <c r="F88" s="191">
        <f>D88-E88+C88</f>
        <v/>
      </c>
      <c r="G88" s="192" t="n">
        <v>0</v>
      </c>
      <c r="H88" s="191">
        <f>F88+G88</f>
        <v/>
      </c>
      <c r="I88" s="36" t="n">
        <v>0</v>
      </c>
      <c r="J88" s="5" t="n">
        <v>0</v>
      </c>
      <c r="K88" s="191">
        <f>I88-J88+H88</f>
        <v/>
      </c>
      <c r="L88" s="192" t="n">
        <v>0</v>
      </c>
      <c r="M88" s="191">
        <f>K88+L88</f>
        <v/>
      </c>
      <c r="N88" s="36" t="n">
        <v>2</v>
      </c>
      <c r="O88" s="5" t="n">
        <v>0</v>
      </c>
      <c r="P88" s="191">
        <f>N88-O88+M88</f>
        <v/>
      </c>
      <c r="Q88" s="192" t="n">
        <v>0</v>
      </c>
      <c r="R88" s="191">
        <f>P88+Q88</f>
        <v/>
      </c>
      <c r="S88" s="36" t="n">
        <v>0</v>
      </c>
      <c r="T88" s="5" t="n">
        <v>0</v>
      </c>
      <c r="U88" s="191">
        <f>S88-T88+R88</f>
        <v/>
      </c>
      <c r="V88" s="192" t="n">
        <v>0</v>
      </c>
      <c r="W88" s="191">
        <f>U88+V88</f>
        <v/>
      </c>
      <c r="X88" s="36" t="n">
        <v>0</v>
      </c>
      <c r="Y88" s="5" t="n">
        <v>0</v>
      </c>
      <c r="Z88" s="191">
        <f>X88-Y88+W88</f>
        <v/>
      </c>
      <c r="AA88" s="192" t="n">
        <v>0</v>
      </c>
      <c r="AB88" s="191">
        <f>Z88+AA88</f>
        <v/>
      </c>
      <c r="AC88" s="36" t="n">
        <v>0</v>
      </c>
      <c r="AD88" s="5" t="n">
        <v>0</v>
      </c>
      <c r="AE88" s="191">
        <f>AC88-AD88+AB88</f>
        <v/>
      </c>
      <c r="AF88" s="192" t="n">
        <v>0</v>
      </c>
      <c r="AG88" s="191">
        <f>AE88+AF88</f>
        <v/>
      </c>
      <c r="AH88" s="36" t="n">
        <v>0</v>
      </c>
      <c r="AI88" s="5" t="n">
        <v>0</v>
      </c>
      <c r="AJ88" s="191">
        <f>AH88-AI88+AG88</f>
        <v/>
      </c>
      <c r="AK88" s="192" t="n">
        <v>0</v>
      </c>
      <c r="AL88" s="191">
        <f>AJ88+AK88</f>
        <v/>
      </c>
      <c r="AM88" s="35" t="inlineStr">
        <is>
          <t>沖縄</t>
        </is>
      </c>
      <c r="AN88" s="35" t="inlineStr">
        <is>
          <t>箱</t>
        </is>
      </c>
      <c r="AO88" s="5" t="n">
        <v>0</v>
      </c>
      <c r="AP88" s="5" t="n">
        <v>0</v>
      </c>
      <c r="AQ88" s="35" t="inlineStr">
        <is>
          <t>○</t>
        </is>
      </c>
      <c r="AR88" s="35" t="n"/>
      <c r="AS88" s="122" t="n"/>
      <c r="AT88" s="35" t="n">
        <v>156</v>
      </c>
      <c r="AU88" s="35" t="inlineStr">
        <is>
          <t>沖縄ｵｰｶﾞﾆｯｸｸﾘｴｲﾄ㈱</t>
        </is>
      </c>
    </row>
    <row r="89">
      <c r="A89" s="14" t="inlineStr">
        <is>
          <t>1316-306</t>
        </is>
      </c>
      <c r="B89" s="5" t="inlineStr">
        <is>
          <t>■ｻﾂﾏ芋「すずほっくり」ML10kg(斉藤光政)</t>
        </is>
      </c>
      <c r="C89" s="36" t="n">
        <v>21</v>
      </c>
      <c r="D89" s="36" t="n">
        <v>0</v>
      </c>
      <c r="E89" s="5" t="n">
        <v>0</v>
      </c>
      <c r="F89" s="191">
        <f>D89-E89+C89</f>
        <v/>
      </c>
      <c r="G89" s="192" t="n">
        <v>0</v>
      </c>
      <c r="H89" s="191">
        <f>F89+G89</f>
        <v/>
      </c>
      <c r="I89" s="36" t="n">
        <v>0</v>
      </c>
      <c r="J89" s="5" t="n">
        <v>0</v>
      </c>
      <c r="K89" s="191">
        <f>I89-J89+H89</f>
        <v/>
      </c>
      <c r="L89" s="192" t="n">
        <v>0</v>
      </c>
      <c r="M89" s="191">
        <f>K89+L89</f>
        <v/>
      </c>
      <c r="N89" s="36" t="n">
        <v>0</v>
      </c>
      <c r="O89" s="5" t="n">
        <v>1</v>
      </c>
      <c r="P89" s="191">
        <f>N89-O89+M89</f>
        <v/>
      </c>
      <c r="Q89" s="192" t="n">
        <v>0</v>
      </c>
      <c r="R89" s="191">
        <f>P89+Q89</f>
        <v/>
      </c>
      <c r="S89" s="36" t="n">
        <v>0</v>
      </c>
      <c r="T89" s="5" t="n">
        <v>0</v>
      </c>
      <c r="U89" s="191">
        <f>S89-T89+R89</f>
        <v/>
      </c>
      <c r="V89" s="192" t="n">
        <v>0</v>
      </c>
      <c r="W89" s="191">
        <f>U89+V89</f>
        <v/>
      </c>
      <c r="X89" s="36" t="n">
        <v>0</v>
      </c>
      <c r="Y89" s="5" t="n">
        <v>1</v>
      </c>
      <c r="Z89" s="191">
        <f>X89-Y89+W89</f>
        <v/>
      </c>
      <c r="AA89" s="192" t="n">
        <v>0</v>
      </c>
      <c r="AB89" s="191">
        <f>Z89+AA89</f>
        <v/>
      </c>
      <c r="AC89" s="36" t="n">
        <v>0</v>
      </c>
      <c r="AD89" s="5" t="n">
        <v>0</v>
      </c>
      <c r="AE89" s="191">
        <f>AC89-AD89+AB89</f>
        <v/>
      </c>
      <c r="AF89" s="192" t="n">
        <v>0</v>
      </c>
      <c r="AG89" s="191">
        <f>AE89+AF89</f>
        <v/>
      </c>
      <c r="AH89" s="36" t="n">
        <v>0</v>
      </c>
      <c r="AI89" s="5" t="n">
        <v>1</v>
      </c>
      <c r="AJ89" s="191">
        <f>AH89-AI89+AG89</f>
        <v/>
      </c>
      <c r="AK89" s="192" t="n">
        <v>0</v>
      </c>
      <c r="AL89" s="191">
        <f>AJ89+AK89</f>
        <v/>
      </c>
      <c r="AM89" s="35" t="inlineStr">
        <is>
          <t>茨城</t>
        </is>
      </c>
      <c r="AN89" s="35" t="inlineStr">
        <is>
          <t>箱</t>
        </is>
      </c>
      <c r="AO89" s="163" t="n">
        <v>4200</v>
      </c>
      <c r="AP89" s="5" t="n">
        <v>0</v>
      </c>
      <c r="AQ89" s="35" t="n"/>
      <c r="AR89" s="35" t="n"/>
      <c r="AS89" s="122" t="n"/>
      <c r="AT89" s="35" t="n"/>
      <c r="AU89" s="35" t="n"/>
    </row>
    <row r="90">
      <c r="A90" s="14" t="inlineStr">
        <is>
          <t>1316-307</t>
        </is>
      </c>
      <c r="B90" s="5" t="inlineStr">
        <is>
          <t>ｻﾂﾏ芋「すずほっくり」700g(斉藤光正)◇</t>
        </is>
      </c>
      <c r="C90" s="36" t="n">
        <v>17</v>
      </c>
      <c r="D90" s="36" t="n">
        <v>0</v>
      </c>
      <c r="E90" s="5" t="n">
        <v>0</v>
      </c>
      <c r="F90" s="191">
        <f>D90-E90+C90</f>
        <v/>
      </c>
      <c r="G90" s="192" t="n">
        <v>0</v>
      </c>
      <c r="H90" s="191">
        <f>F90+G90</f>
        <v/>
      </c>
      <c r="I90" s="36" t="n">
        <v>0</v>
      </c>
      <c r="J90" s="5" t="n">
        <v>6</v>
      </c>
      <c r="K90" s="191">
        <f>I90-J90+H90</f>
        <v/>
      </c>
      <c r="L90" s="192" t="n">
        <v>0</v>
      </c>
      <c r="M90" s="191">
        <f>K90+L90</f>
        <v/>
      </c>
      <c r="N90" s="36" t="n">
        <v>0</v>
      </c>
      <c r="O90" s="5" t="n">
        <v>3</v>
      </c>
      <c r="P90" s="191">
        <f>N90-O90+M90</f>
        <v/>
      </c>
      <c r="Q90" s="192" t="n">
        <v>0</v>
      </c>
      <c r="R90" s="191">
        <f>P90+Q90</f>
        <v/>
      </c>
      <c r="S90" s="36" t="n">
        <v>0</v>
      </c>
      <c r="T90" s="5" t="n">
        <v>4</v>
      </c>
      <c r="U90" s="191">
        <f>S90-T90+R90</f>
        <v/>
      </c>
      <c r="V90" s="192" t="n">
        <v>0</v>
      </c>
      <c r="W90" s="191">
        <f>U90+V90</f>
        <v/>
      </c>
      <c r="X90" s="36" t="n">
        <v>0</v>
      </c>
      <c r="Y90" s="5" t="n">
        <v>3</v>
      </c>
      <c r="Z90" s="191">
        <f>X90-Y90+W90</f>
        <v/>
      </c>
      <c r="AA90" s="192" t="n">
        <v>0</v>
      </c>
      <c r="AB90" s="191">
        <f>Z90+AA90</f>
        <v/>
      </c>
      <c r="AC90" s="36" t="n">
        <v>0</v>
      </c>
      <c r="AD90" s="5" t="n">
        <v>9</v>
      </c>
      <c r="AE90" s="191">
        <f>AC90-AD90+AB90</f>
        <v/>
      </c>
      <c r="AF90" s="192" t="n">
        <v>0</v>
      </c>
      <c r="AG90" s="191">
        <f>AE90+AF90</f>
        <v/>
      </c>
      <c r="AH90" s="36" t="n">
        <v>0</v>
      </c>
      <c r="AI90" s="5" t="n">
        <v>11</v>
      </c>
      <c r="AJ90" s="191">
        <f>AH90-AI90+AG90</f>
        <v/>
      </c>
      <c r="AK90" s="192" t="n">
        <v>0</v>
      </c>
      <c r="AL90" s="191">
        <f>AJ90+AK90</f>
        <v/>
      </c>
      <c r="AM90" s="35" t="inlineStr">
        <is>
          <t>茨城</t>
        </is>
      </c>
      <c r="AN90" s="35" t="inlineStr">
        <is>
          <t>こもの</t>
        </is>
      </c>
      <c r="AO90" s="5" t="n">
        <v>350</v>
      </c>
      <c r="AP90" s="5" t="n">
        <v>0</v>
      </c>
      <c r="AQ90" s="35" t="n"/>
      <c r="AR90" s="35" t="n"/>
      <c r="AS90" s="122" t="n"/>
      <c r="AT90" s="35" t="n"/>
      <c r="AU90" s="35" t="n"/>
    </row>
    <row r="91">
      <c r="A91" s="14" t="inlineStr">
        <is>
          <t>1316-312</t>
        </is>
      </c>
      <c r="B91" s="5" t="inlineStr">
        <is>
          <t>■ｻﾂﾏ芋「ｼﾙｸｽｲｰﾄ」10kg(齊藤光正)6割・5割</t>
        </is>
      </c>
      <c r="C91" s="36" t="n">
        <v>18</v>
      </c>
      <c r="D91" s="36" t="n">
        <v>0</v>
      </c>
      <c r="E91" s="5" t="n">
        <v>0</v>
      </c>
      <c r="F91" s="191">
        <f>D91-E91+C91</f>
        <v/>
      </c>
      <c r="G91" s="192" t="n">
        <v>0</v>
      </c>
      <c r="H91" s="191">
        <f>F91+G91</f>
        <v/>
      </c>
      <c r="I91" s="36" t="n">
        <v>0</v>
      </c>
      <c r="J91" s="5" t="n">
        <v>1</v>
      </c>
      <c r="K91" s="191">
        <f>I91-J91+H91</f>
        <v/>
      </c>
      <c r="L91" s="192" t="n">
        <v>-2</v>
      </c>
      <c r="M91" s="191">
        <f>K91+L91</f>
        <v/>
      </c>
      <c r="N91" s="36" t="n">
        <v>0</v>
      </c>
      <c r="O91" s="5" t="n">
        <v>1</v>
      </c>
      <c r="P91" s="191">
        <f>N91-O91+M91</f>
        <v/>
      </c>
      <c r="Q91" s="192" t="n">
        <v>0</v>
      </c>
      <c r="R91" s="191">
        <f>P91+Q91</f>
        <v/>
      </c>
      <c r="S91" s="36" t="n">
        <v>0</v>
      </c>
      <c r="T91" s="5" t="n">
        <v>0</v>
      </c>
      <c r="U91" s="191">
        <f>S91-T91+R91</f>
        <v/>
      </c>
      <c r="V91" s="192" t="n">
        <v>0</v>
      </c>
      <c r="W91" s="191">
        <f>U91+V91</f>
        <v/>
      </c>
      <c r="X91" s="36" t="n">
        <v>0</v>
      </c>
      <c r="Y91" s="5" t="n">
        <v>1</v>
      </c>
      <c r="Z91" s="191">
        <f>X91-Y91+W91</f>
        <v/>
      </c>
      <c r="AA91" s="192" t="n">
        <v>0</v>
      </c>
      <c r="AB91" s="191">
        <f>Z91+AA91</f>
        <v/>
      </c>
      <c r="AC91" s="36" t="n">
        <v>0</v>
      </c>
      <c r="AD91" s="5" t="n">
        <v>0</v>
      </c>
      <c r="AE91" s="191">
        <f>AC91-AD91+AB91</f>
        <v/>
      </c>
      <c r="AF91" s="192" t="n">
        <v>0</v>
      </c>
      <c r="AG91" s="191">
        <f>AE91+AF91</f>
        <v/>
      </c>
      <c r="AH91" s="36" t="n">
        <v>0</v>
      </c>
      <c r="AI91" s="5" t="n">
        <v>1</v>
      </c>
      <c r="AJ91" s="191">
        <f>AH91-AI91+AG91</f>
        <v/>
      </c>
      <c r="AK91" s="192" t="n">
        <v>0</v>
      </c>
      <c r="AL91" s="191">
        <f>AJ91+AK91</f>
        <v/>
      </c>
      <c r="AM91" s="35" t="inlineStr">
        <is>
          <t>茨城</t>
        </is>
      </c>
      <c r="AN91" s="35" t="inlineStr">
        <is>
          <t>箱</t>
        </is>
      </c>
      <c r="AO91" s="163" t="n">
        <v>4000</v>
      </c>
      <c r="AP91" s="5" t="n">
        <v>0</v>
      </c>
      <c r="AQ91" s="35" t="n"/>
      <c r="AR91" s="35" t="n"/>
      <c r="AS91" s="122" t="n"/>
      <c r="AT91" s="35" t="n"/>
      <c r="AU91" s="35" t="n"/>
    </row>
    <row r="92">
      <c r="A92" s="14" t="inlineStr">
        <is>
          <t>1316-313</t>
        </is>
      </c>
      <c r="B92" s="5" t="inlineStr">
        <is>
          <t>ｻﾂﾏ芋「シルクスイート」700g(齊藤光正)◇</t>
        </is>
      </c>
      <c r="C92" s="36" t="n">
        <v>6</v>
      </c>
      <c r="D92" s="36" t="n">
        <v>0</v>
      </c>
      <c r="E92" s="5" t="n">
        <v>0</v>
      </c>
      <c r="F92" s="191">
        <f>D92-E92+C92</f>
        <v/>
      </c>
      <c r="G92" s="192" t="n">
        <v>0</v>
      </c>
      <c r="H92" s="191">
        <f>F92+G92</f>
        <v/>
      </c>
      <c r="I92" s="36" t="n">
        <v>30</v>
      </c>
      <c r="J92" s="5" t="n">
        <v>22</v>
      </c>
      <c r="K92" s="191">
        <f>I92-J92+H92</f>
        <v/>
      </c>
      <c r="L92" s="192" t="n">
        <v>0</v>
      </c>
      <c r="M92" s="191">
        <f>K92+L92</f>
        <v/>
      </c>
      <c r="N92" s="36" t="n">
        <v>0</v>
      </c>
      <c r="O92" s="5" t="n">
        <v>3</v>
      </c>
      <c r="P92" s="191">
        <f>N92-O92+M92</f>
        <v/>
      </c>
      <c r="Q92" s="192" t="n">
        <v>0</v>
      </c>
      <c r="R92" s="191">
        <f>P92+Q92</f>
        <v/>
      </c>
      <c r="S92" s="36" t="n">
        <v>0</v>
      </c>
      <c r="T92" s="5" t="n">
        <v>17</v>
      </c>
      <c r="U92" s="191">
        <f>S92-T92+R92</f>
        <v/>
      </c>
      <c r="V92" s="192" t="n">
        <v>0</v>
      </c>
      <c r="W92" s="191">
        <f>U92+V92</f>
        <v/>
      </c>
      <c r="X92" s="36" t="n">
        <v>0</v>
      </c>
      <c r="Y92" s="5" t="n">
        <v>3</v>
      </c>
      <c r="Z92" s="191">
        <f>X92-Y92+W92</f>
        <v/>
      </c>
      <c r="AA92" s="192" t="n">
        <v>0</v>
      </c>
      <c r="AB92" s="191">
        <f>Z92+AA92</f>
        <v/>
      </c>
      <c r="AC92" s="36" t="n">
        <v>0</v>
      </c>
      <c r="AD92" s="5" t="n">
        <v>8</v>
      </c>
      <c r="AE92" s="191">
        <f>AC92-AD92+AB92</f>
        <v/>
      </c>
      <c r="AF92" s="192" t="n">
        <v>0</v>
      </c>
      <c r="AG92" s="191">
        <f>AE92+AF92</f>
        <v/>
      </c>
      <c r="AH92" s="36" t="n">
        <v>0</v>
      </c>
      <c r="AI92" s="5" t="n">
        <v>23</v>
      </c>
      <c r="AJ92" s="191">
        <f>AH92-AI92+AG92</f>
        <v/>
      </c>
      <c r="AK92" s="192" t="n">
        <v>0</v>
      </c>
      <c r="AL92" s="191">
        <f>AJ92+AK92</f>
        <v/>
      </c>
      <c r="AM92" s="35" t="inlineStr">
        <is>
          <t>茨城</t>
        </is>
      </c>
      <c r="AN92" s="35" t="inlineStr">
        <is>
          <t>こもの</t>
        </is>
      </c>
      <c r="AO92" s="5" t="n">
        <v>330</v>
      </c>
      <c r="AP92" s="5" t="n">
        <v>0</v>
      </c>
      <c r="AQ92" s="35" t="n"/>
      <c r="AR92" s="35" t="n"/>
      <c r="AS92" s="122" t="n"/>
      <c r="AT92" s="35" t="n"/>
      <c r="AU92" s="35" t="n"/>
    </row>
    <row r="93">
      <c r="A93" s="14" t="inlineStr">
        <is>
          <t>1353-18</t>
        </is>
      </c>
      <c r="B93" s="5" t="inlineStr">
        <is>
          <t>有機長いも　200gﾊﾟｯｸ×５(みちのく)東一</t>
        </is>
      </c>
      <c r="C93" s="36" t="n">
        <v>0</v>
      </c>
      <c r="D93" s="36" t="n">
        <v>0</v>
      </c>
      <c r="E93" s="5" t="n">
        <v>0</v>
      </c>
      <c r="F93" s="191">
        <f>D93-E93+C93</f>
        <v/>
      </c>
      <c r="G93" s="192" t="n">
        <v>0</v>
      </c>
      <c r="H93" s="191">
        <f>F93+G93</f>
        <v/>
      </c>
      <c r="I93" s="36" t="n">
        <v>1</v>
      </c>
      <c r="J93" s="5" t="n">
        <v>1</v>
      </c>
      <c r="K93" s="191">
        <f>I93-J93+H93</f>
        <v/>
      </c>
      <c r="L93" s="192" t="n">
        <v>0</v>
      </c>
      <c r="M93" s="191">
        <f>K93+L93</f>
        <v/>
      </c>
      <c r="N93" s="36" t="n">
        <v>0</v>
      </c>
      <c r="O93" s="5" t="n">
        <v>0</v>
      </c>
      <c r="P93" s="191">
        <f>N93-O93+M93</f>
        <v/>
      </c>
      <c r="Q93" s="192" t="n">
        <v>0</v>
      </c>
      <c r="R93" s="191">
        <f>P93+Q93</f>
        <v/>
      </c>
      <c r="S93" s="36" t="n">
        <v>0</v>
      </c>
      <c r="T93" s="5" t="n">
        <v>0</v>
      </c>
      <c r="U93" s="191">
        <f>S93-T93+R93</f>
        <v/>
      </c>
      <c r="V93" s="192" t="n">
        <v>0</v>
      </c>
      <c r="W93" s="191">
        <f>U93+V93</f>
        <v/>
      </c>
      <c r="X93" s="36" t="n">
        <v>0</v>
      </c>
      <c r="Y93" s="5" t="n">
        <v>0</v>
      </c>
      <c r="Z93" s="191">
        <f>X93-Y93+W93</f>
        <v/>
      </c>
      <c r="AA93" s="192" t="n">
        <v>0</v>
      </c>
      <c r="AB93" s="191">
        <f>Z93+AA93</f>
        <v/>
      </c>
      <c r="AC93" s="36" t="n">
        <v>0</v>
      </c>
      <c r="AD93" s="5" t="n">
        <v>0</v>
      </c>
      <c r="AE93" s="191">
        <f>AC93-AD93+AB93</f>
        <v/>
      </c>
      <c r="AF93" s="192" t="n">
        <v>0</v>
      </c>
      <c r="AG93" s="191">
        <f>AE93+AF93</f>
        <v/>
      </c>
      <c r="AH93" s="36" t="n">
        <v>0</v>
      </c>
      <c r="AI93" s="5" t="n">
        <v>0</v>
      </c>
      <c r="AJ93" s="191">
        <f>AH93-AI93+AG93</f>
        <v/>
      </c>
      <c r="AK93" s="192" t="n">
        <v>0</v>
      </c>
      <c r="AL93" s="191">
        <f>AJ93+AK93</f>
        <v/>
      </c>
      <c r="AM93" s="35" t="inlineStr">
        <is>
          <t>青森</t>
        </is>
      </c>
      <c r="AN93" s="35" t="inlineStr">
        <is>
          <t>こもの</t>
        </is>
      </c>
      <c r="AO93" s="163" t="n">
        <v>1250</v>
      </c>
      <c r="AP93" s="5" t="n">
        <v>0</v>
      </c>
      <c r="AQ93" s="35" t="n"/>
      <c r="AR93" s="35" t="inlineStr">
        <is>
          <t>○</t>
        </is>
      </c>
      <c r="AS93" s="122" t="inlineStr">
        <is>
          <t>なし</t>
        </is>
      </c>
      <c r="AT93" s="35" t="n"/>
      <c r="AU93" s="35" t="n"/>
    </row>
    <row r="94">
      <c r="A94" s="14" t="inlineStr">
        <is>
          <t>1353-5</t>
        </is>
      </c>
      <c r="B94" s="5" t="inlineStr">
        <is>
          <t>有機長いも　200ｇ（みちのく）</t>
        </is>
      </c>
      <c r="C94" s="36" t="n">
        <v>28</v>
      </c>
      <c r="D94" s="36" t="n">
        <v>0</v>
      </c>
      <c r="E94" s="5" t="n">
        <v>0</v>
      </c>
      <c r="F94" s="191">
        <f>D94-E94+C94</f>
        <v/>
      </c>
      <c r="G94" s="192" t="n">
        <v>0</v>
      </c>
      <c r="H94" s="191">
        <f>F94+G94</f>
        <v/>
      </c>
      <c r="I94" s="36" t="n">
        <v>80</v>
      </c>
      <c r="J94" s="5" t="n">
        <v>37</v>
      </c>
      <c r="K94" s="191">
        <f>I94-J94+H94</f>
        <v/>
      </c>
      <c r="L94" s="192" t="n">
        <v>-5</v>
      </c>
      <c r="M94" s="191">
        <f>K94+L94</f>
        <v/>
      </c>
      <c r="N94" s="36" t="n">
        <v>0</v>
      </c>
      <c r="O94" s="5" t="n">
        <v>7</v>
      </c>
      <c r="P94" s="191">
        <f>N94-O94+M94</f>
        <v/>
      </c>
      <c r="Q94" s="192" t="n">
        <v>0</v>
      </c>
      <c r="R94" s="191">
        <f>P94+Q94</f>
        <v/>
      </c>
      <c r="S94" s="36" t="n">
        <v>0</v>
      </c>
      <c r="T94" s="5" t="n">
        <v>27</v>
      </c>
      <c r="U94" s="191">
        <f>S94-T94+R94</f>
        <v/>
      </c>
      <c r="V94" s="192" t="n">
        <v>0</v>
      </c>
      <c r="W94" s="191">
        <f>U94+V94</f>
        <v/>
      </c>
      <c r="X94" s="36" t="n">
        <v>0</v>
      </c>
      <c r="Y94" s="5" t="n">
        <v>6</v>
      </c>
      <c r="Z94" s="191">
        <f>X94-Y94+W94</f>
        <v/>
      </c>
      <c r="AA94" s="192" t="n">
        <v>0</v>
      </c>
      <c r="AB94" s="191">
        <f>Z94+AA94</f>
        <v/>
      </c>
      <c r="AC94" s="36" t="n">
        <v>80</v>
      </c>
      <c r="AD94" s="5" t="n">
        <v>25</v>
      </c>
      <c r="AE94" s="191">
        <f>AC94-AD94+AB94</f>
        <v/>
      </c>
      <c r="AF94" s="192" t="n">
        <v>0</v>
      </c>
      <c r="AG94" s="191">
        <f>AE94+AF94</f>
        <v/>
      </c>
      <c r="AH94" s="36" t="n">
        <v>0</v>
      </c>
      <c r="AI94" s="5" t="n">
        <v>8</v>
      </c>
      <c r="AJ94" s="191">
        <f>AH94-AI94+AG94</f>
        <v/>
      </c>
      <c r="AK94" s="192" t="n">
        <v>0</v>
      </c>
      <c r="AL94" s="191">
        <f>AJ94+AK94</f>
        <v/>
      </c>
      <c r="AM94" s="35" t="inlineStr">
        <is>
          <t>岩手</t>
        </is>
      </c>
      <c r="AN94" s="35" t="inlineStr">
        <is>
          <t>こもの</t>
        </is>
      </c>
      <c r="AO94" s="5" t="n">
        <v>250</v>
      </c>
      <c r="AP94" s="5" t="n">
        <v>0</v>
      </c>
      <c r="AQ94" s="35" t="inlineStr">
        <is>
          <t>○</t>
        </is>
      </c>
      <c r="AR94" s="35" t="n"/>
      <c r="AS94" s="122" t="n">
        <v>4580445524003</v>
      </c>
      <c r="AT94" s="35" t="n">
        <v>173</v>
      </c>
      <c r="AU94" s="35" t="inlineStr">
        <is>
          <t>㈱共同商事</t>
        </is>
      </c>
    </row>
    <row r="95">
      <c r="A95" s="14" t="inlineStr">
        <is>
          <t>1358-49</t>
        </is>
      </c>
      <c r="B95" s="5" t="inlineStr">
        <is>
          <t>■有機 赤玉ねぎ 混 10kg(雲仙)</t>
        </is>
      </c>
      <c r="C95" s="36" t="n">
        <v>3</v>
      </c>
      <c r="D95" s="36" t="n">
        <v>0</v>
      </c>
      <c r="E95" s="5" t="n">
        <v>0</v>
      </c>
      <c r="F95" s="191">
        <f>D95-E95+C95</f>
        <v/>
      </c>
      <c r="G95" s="192" t="n">
        <v>0</v>
      </c>
      <c r="H95" s="191">
        <f>F95+G95</f>
        <v/>
      </c>
      <c r="I95" s="36" t="n">
        <v>10</v>
      </c>
      <c r="J95" s="5" t="n">
        <v>0</v>
      </c>
      <c r="K95" s="191">
        <f>I95-J95+H95</f>
        <v/>
      </c>
      <c r="L95" s="192" t="n">
        <v>0</v>
      </c>
      <c r="M95" s="191">
        <f>K95+L95</f>
        <v/>
      </c>
      <c r="N95" s="36" t="n">
        <v>0</v>
      </c>
      <c r="O95" s="5" t="n">
        <v>0</v>
      </c>
      <c r="P95" s="191">
        <f>N95-O95+M95</f>
        <v/>
      </c>
      <c r="Q95" s="192" t="n">
        <v>0</v>
      </c>
      <c r="R95" s="191">
        <f>P95+Q95</f>
        <v/>
      </c>
      <c r="S95" s="36" t="n">
        <v>0</v>
      </c>
      <c r="T95" s="5" t="n">
        <v>0</v>
      </c>
      <c r="U95" s="191">
        <f>S95-T95+R95</f>
        <v/>
      </c>
      <c r="V95" s="192" t="n">
        <v>0</v>
      </c>
      <c r="W95" s="191">
        <f>U95+V95</f>
        <v/>
      </c>
      <c r="X95" s="36" t="n">
        <v>0</v>
      </c>
      <c r="Y95" s="5" t="n">
        <v>0</v>
      </c>
      <c r="Z95" s="191">
        <f>X95-Y95+W95</f>
        <v/>
      </c>
      <c r="AA95" s="192" t="n">
        <v>0</v>
      </c>
      <c r="AB95" s="191">
        <f>Z95+AA95</f>
        <v/>
      </c>
      <c r="AC95" s="36" t="n">
        <v>0</v>
      </c>
      <c r="AD95" s="5" t="n">
        <v>0</v>
      </c>
      <c r="AE95" s="191">
        <f>AC95-AD95+AB95</f>
        <v/>
      </c>
      <c r="AF95" s="192" t="n">
        <v>0</v>
      </c>
      <c r="AG95" s="191">
        <f>AE95+AF95</f>
        <v/>
      </c>
      <c r="AH95" s="36" t="n">
        <v>0</v>
      </c>
      <c r="AI95" s="5" t="n">
        <v>0</v>
      </c>
      <c r="AJ95" s="191">
        <f>AH95-AI95+AG95</f>
        <v/>
      </c>
      <c r="AK95" s="192" t="n">
        <v>0</v>
      </c>
      <c r="AL95" s="191">
        <f>AJ95+AK95</f>
        <v/>
      </c>
      <c r="AM95" s="35" t="inlineStr">
        <is>
          <t>長崎</t>
        </is>
      </c>
      <c r="AN95" s="35" t="inlineStr">
        <is>
          <t>箱</t>
        </is>
      </c>
      <c r="AO95" s="163" t="n">
        <v>3200</v>
      </c>
      <c r="AP95" s="5" t="n">
        <v>0</v>
      </c>
      <c r="AQ95" s="35" t="inlineStr">
        <is>
          <t>○</t>
        </is>
      </c>
      <c r="AR95" s="35" t="n"/>
      <c r="AS95" s="122" t="n"/>
      <c r="AT95" s="35" t="n">
        <v>719</v>
      </c>
      <c r="AU95" s="35" t="inlineStr">
        <is>
          <t>雲仙農園　本多繁喜</t>
        </is>
      </c>
    </row>
    <row r="96">
      <c r="A96" s="14" t="inlineStr">
        <is>
          <t>1358-50</t>
        </is>
      </c>
      <c r="B96" s="5" t="inlineStr">
        <is>
          <t>有機 赤玉ねぎ 混 400g(雲仙)◇</t>
        </is>
      </c>
      <c r="C96" s="36" t="n">
        <v>25</v>
      </c>
      <c r="D96" s="36" t="n">
        <v>0</v>
      </c>
      <c r="E96" s="5" t="n">
        <v>0</v>
      </c>
      <c r="F96" s="191">
        <f>D96-E96+C96</f>
        <v/>
      </c>
      <c r="G96" s="192" t="n">
        <v>0</v>
      </c>
      <c r="H96" s="191">
        <f>F96+G96</f>
        <v/>
      </c>
      <c r="I96" s="36" t="n">
        <v>0</v>
      </c>
      <c r="J96" s="5" t="n">
        <v>13</v>
      </c>
      <c r="K96" s="191">
        <f>I96-J96+H96</f>
        <v/>
      </c>
      <c r="L96" s="192" t="n">
        <v>0</v>
      </c>
      <c r="M96" s="191">
        <f>K96+L96</f>
        <v/>
      </c>
      <c r="N96" s="36" t="n">
        <v>0</v>
      </c>
      <c r="O96" s="5" t="n">
        <v>11</v>
      </c>
      <c r="P96" s="191">
        <f>N96-O96+M96</f>
        <v/>
      </c>
      <c r="Q96" s="192" t="n">
        <v>0</v>
      </c>
      <c r="R96" s="191">
        <f>P96+Q96</f>
        <v/>
      </c>
      <c r="S96" s="36" t="n">
        <v>0</v>
      </c>
      <c r="T96" s="5" t="n">
        <v>17</v>
      </c>
      <c r="U96" s="191">
        <f>S96-T96+R96</f>
        <v/>
      </c>
      <c r="V96" s="192" t="n">
        <v>0</v>
      </c>
      <c r="W96" s="191">
        <f>U96+V96</f>
        <v/>
      </c>
      <c r="X96" s="36" t="n">
        <v>0</v>
      </c>
      <c r="Y96" s="5" t="n">
        <v>11</v>
      </c>
      <c r="Z96" s="191">
        <f>X96-Y96+W96</f>
        <v/>
      </c>
      <c r="AA96" s="192" t="n">
        <v>0</v>
      </c>
      <c r="AB96" s="191">
        <f>Z96+AA96</f>
        <v/>
      </c>
      <c r="AC96" s="36" t="n">
        <v>0</v>
      </c>
      <c r="AD96" s="5" t="n">
        <v>11</v>
      </c>
      <c r="AE96" s="191">
        <f>AC96-AD96+AB96</f>
        <v/>
      </c>
      <c r="AF96" s="192" t="n">
        <v>0</v>
      </c>
      <c r="AG96" s="191">
        <f>AE96+AF96</f>
        <v/>
      </c>
      <c r="AH96" s="36" t="n">
        <v>0</v>
      </c>
      <c r="AI96" s="5" t="n">
        <v>25</v>
      </c>
      <c r="AJ96" s="191">
        <f>AH96-AI96+AG96</f>
        <v/>
      </c>
      <c r="AK96" s="192" t="n">
        <v>0</v>
      </c>
      <c r="AL96" s="191">
        <f>AJ96+AK96</f>
        <v/>
      </c>
      <c r="AM96" s="35" t="inlineStr">
        <is>
          <t>長崎</t>
        </is>
      </c>
      <c r="AN96" s="35" t="inlineStr">
        <is>
          <t>こもの</t>
        </is>
      </c>
      <c r="AO96" s="5" t="n">
        <v>160</v>
      </c>
      <c r="AP96" s="5" t="n">
        <v>0</v>
      </c>
      <c r="AQ96" s="35" t="n"/>
      <c r="AR96" s="35" t="n"/>
      <c r="AS96" s="122" t="n"/>
      <c r="AT96" s="35" t="n">
        <v>719</v>
      </c>
      <c r="AU96" s="35" t="inlineStr">
        <is>
          <t>雲仙農園　本多繁喜</t>
        </is>
      </c>
    </row>
    <row r="97">
      <c r="A97" s="14" t="inlineStr">
        <is>
          <t>1358-80</t>
        </is>
      </c>
      <c r="B97" s="5" t="inlineStr">
        <is>
          <t>■赤　玉ねぎ 10㎏ (長有研）不不</t>
        </is>
      </c>
      <c r="C97" s="36" t="n">
        <v>9</v>
      </c>
      <c r="D97" s="36" t="n">
        <v>0</v>
      </c>
      <c r="E97" s="5" t="n">
        <v>0</v>
      </c>
      <c r="F97" s="191">
        <f>D97-E97+C97</f>
        <v/>
      </c>
      <c r="G97" s="192" t="n">
        <v>0</v>
      </c>
      <c r="H97" s="191">
        <f>F97+G97</f>
        <v/>
      </c>
      <c r="I97" s="36" t="n">
        <v>0</v>
      </c>
      <c r="J97" s="5" t="n">
        <v>0</v>
      </c>
      <c r="K97" s="191">
        <f>I97-J97+H97</f>
        <v/>
      </c>
      <c r="L97" s="192" t="n">
        <v>0</v>
      </c>
      <c r="M97" s="191">
        <f>K97+L97</f>
        <v/>
      </c>
      <c r="N97" s="36" t="n">
        <v>0</v>
      </c>
      <c r="O97" s="5" t="n">
        <v>0</v>
      </c>
      <c r="P97" s="191">
        <f>N97-O97+M97</f>
        <v/>
      </c>
      <c r="Q97" s="192" t="n">
        <v>0</v>
      </c>
      <c r="R97" s="191">
        <f>P97+Q97</f>
        <v/>
      </c>
      <c r="S97" s="36" t="n">
        <v>0</v>
      </c>
      <c r="T97" s="5" t="n">
        <v>0</v>
      </c>
      <c r="U97" s="191">
        <f>S97-T97+R97</f>
        <v/>
      </c>
      <c r="V97" s="192" t="n">
        <v>0</v>
      </c>
      <c r="W97" s="191">
        <f>U97+V97</f>
        <v/>
      </c>
      <c r="X97" s="36" t="n">
        <v>0</v>
      </c>
      <c r="Y97" s="5" t="n">
        <v>0</v>
      </c>
      <c r="Z97" s="191">
        <f>X97-Y97+W97</f>
        <v/>
      </c>
      <c r="AA97" s="192" t="n">
        <v>0</v>
      </c>
      <c r="AB97" s="191">
        <f>Z97+AA97</f>
        <v/>
      </c>
      <c r="AC97" s="36" t="n">
        <v>0</v>
      </c>
      <c r="AD97" s="5" t="n">
        <v>0</v>
      </c>
      <c r="AE97" s="191">
        <f>AC97-AD97+AB97</f>
        <v/>
      </c>
      <c r="AF97" s="192" t="n">
        <v>0</v>
      </c>
      <c r="AG97" s="191">
        <f>AE97+AF97</f>
        <v/>
      </c>
      <c r="AH97" s="36" t="n">
        <v>0</v>
      </c>
      <c r="AI97" s="5" t="n">
        <v>0</v>
      </c>
      <c r="AJ97" s="191">
        <f>AH97-AI97+AG97</f>
        <v/>
      </c>
      <c r="AK97" s="192" t="n">
        <v>0</v>
      </c>
      <c r="AL97" s="191">
        <f>AJ97+AK97</f>
        <v/>
      </c>
      <c r="AM97" s="35" t="inlineStr">
        <is>
          <t>長崎</t>
        </is>
      </c>
      <c r="AN97" s="35" t="inlineStr">
        <is>
          <t>箱</t>
        </is>
      </c>
      <c r="AO97" s="5" t="n">
        <v>0</v>
      </c>
      <c r="AP97" s="5" t="n">
        <v>0</v>
      </c>
      <c r="AQ97" s="35" t="inlineStr">
        <is>
          <t>○</t>
        </is>
      </c>
      <c r="AR97" s="35" t="n"/>
      <c r="AS97" s="122" t="n"/>
      <c r="AT97" s="35" t="n"/>
      <c r="AU97" s="35" t="n"/>
    </row>
    <row r="98">
      <c r="A98" s="14" t="inlineStr">
        <is>
          <t>1365-14</t>
        </is>
      </c>
      <c r="B98" s="5" t="inlineStr">
        <is>
          <t>有機らっきょう 1kg袋 (かごしま)◇</t>
        </is>
      </c>
      <c r="C98" s="36" t="n">
        <v>0</v>
      </c>
      <c r="D98" s="36" t="n">
        <v>0</v>
      </c>
      <c r="E98" s="5" t="n">
        <v>0</v>
      </c>
      <c r="F98" s="191">
        <f>D98-E98+C98</f>
        <v/>
      </c>
      <c r="G98" s="192" t="n">
        <v>0</v>
      </c>
      <c r="H98" s="191">
        <f>F98+G98</f>
        <v/>
      </c>
      <c r="I98" s="36" t="n">
        <v>0</v>
      </c>
      <c r="J98" s="5" t="n">
        <v>0</v>
      </c>
      <c r="K98" s="191">
        <f>I98-J98+H98</f>
        <v/>
      </c>
      <c r="L98" s="192" t="n">
        <v>0</v>
      </c>
      <c r="M98" s="191">
        <f>K98+L98</f>
        <v/>
      </c>
      <c r="N98" s="36" t="n">
        <v>0</v>
      </c>
      <c r="O98" s="5" t="n">
        <v>0</v>
      </c>
      <c r="P98" s="191">
        <f>N98-O98+M98</f>
        <v/>
      </c>
      <c r="Q98" s="192" t="n">
        <v>0</v>
      </c>
      <c r="R98" s="191">
        <f>P98+Q98</f>
        <v/>
      </c>
      <c r="S98" s="36" t="n">
        <v>0</v>
      </c>
      <c r="T98" s="5" t="n">
        <v>0</v>
      </c>
      <c r="U98" s="191">
        <f>S98-T98+R98</f>
        <v/>
      </c>
      <c r="V98" s="192" t="n">
        <v>0</v>
      </c>
      <c r="W98" s="191">
        <f>U98+V98</f>
        <v/>
      </c>
      <c r="X98" s="36" t="n">
        <v>0</v>
      </c>
      <c r="Y98" s="5" t="n">
        <v>0</v>
      </c>
      <c r="Z98" s="191">
        <f>X98-Y98+W98</f>
        <v/>
      </c>
      <c r="AA98" s="192" t="n">
        <v>0</v>
      </c>
      <c r="AB98" s="191">
        <f>Z98+AA98</f>
        <v/>
      </c>
      <c r="AC98" s="36" t="n">
        <v>0</v>
      </c>
      <c r="AD98" s="5" t="n">
        <v>0</v>
      </c>
      <c r="AE98" s="191">
        <f>AC98-AD98+AB98</f>
        <v/>
      </c>
      <c r="AF98" s="192" t="n">
        <v>0</v>
      </c>
      <c r="AG98" s="191">
        <f>AE98+AF98</f>
        <v/>
      </c>
      <c r="AH98" s="36" t="n">
        <v>0</v>
      </c>
      <c r="AI98" s="5" t="n">
        <v>0</v>
      </c>
      <c r="AJ98" s="191">
        <f>AH98-AI98+AG98</f>
        <v/>
      </c>
      <c r="AK98" s="192" t="n">
        <v>0</v>
      </c>
      <c r="AL98" s="191">
        <f>AJ98+AK98</f>
        <v/>
      </c>
      <c r="AM98" s="35" t="inlineStr">
        <is>
          <t>鹿児島</t>
        </is>
      </c>
      <c r="AN98" s="35" t="inlineStr">
        <is>
          <t>こもの</t>
        </is>
      </c>
      <c r="AO98" s="163" t="n">
        <v>1190</v>
      </c>
      <c r="AP98" s="5" t="n">
        <v>0</v>
      </c>
      <c r="AQ98" s="35" t="n"/>
      <c r="AR98" s="35" t="n"/>
      <c r="AS98" s="122" t="n"/>
      <c r="AT98" s="35" t="n"/>
      <c r="AU98" s="35" t="n"/>
    </row>
    <row r="99">
      <c r="A99" s="14" t="inlineStr">
        <is>
          <t>1365-17</t>
        </is>
      </c>
      <c r="B99" s="5" t="inlineStr">
        <is>
          <t>らっきょう　泥　1kg袋 (まるよし)◇</t>
        </is>
      </c>
      <c r="C99" s="36" t="n">
        <v>0</v>
      </c>
      <c r="D99" s="36" t="n">
        <v>0</v>
      </c>
      <c r="E99" s="5" t="n">
        <v>0</v>
      </c>
      <c r="F99" s="191">
        <f>D99-E99+C99</f>
        <v/>
      </c>
      <c r="G99" s="192" t="n">
        <v>0</v>
      </c>
      <c r="H99" s="191">
        <f>F99+G99</f>
        <v/>
      </c>
      <c r="I99" s="36" t="n">
        <v>10</v>
      </c>
      <c r="J99" s="5" t="n">
        <v>10</v>
      </c>
      <c r="K99" s="191">
        <f>I99-J99+H99</f>
        <v/>
      </c>
      <c r="L99" s="192" t="n">
        <v>0</v>
      </c>
      <c r="M99" s="191">
        <f>K99+L99</f>
        <v/>
      </c>
      <c r="N99" s="36" t="n">
        <v>0</v>
      </c>
      <c r="O99" s="5" t="n">
        <v>1</v>
      </c>
      <c r="P99" s="191">
        <f>N99-O99+M99</f>
        <v/>
      </c>
      <c r="Q99" s="192" t="n">
        <v>0</v>
      </c>
      <c r="R99" s="191">
        <f>P99+Q99</f>
        <v/>
      </c>
      <c r="S99" s="36" t="n">
        <v>0</v>
      </c>
      <c r="T99" s="5" t="n">
        <v>10</v>
      </c>
      <c r="U99" s="191">
        <f>S99-T99+R99</f>
        <v/>
      </c>
      <c r="V99" s="192" t="n">
        <v>0</v>
      </c>
      <c r="W99" s="191">
        <f>U99+V99</f>
        <v/>
      </c>
      <c r="X99" s="36" t="n">
        <v>0</v>
      </c>
      <c r="Y99" s="5" t="n">
        <v>0</v>
      </c>
      <c r="Z99" s="191">
        <f>X99-Y99+W99</f>
        <v/>
      </c>
      <c r="AA99" s="192" t="n">
        <v>0</v>
      </c>
      <c r="AB99" s="191">
        <f>Z99+AA99</f>
        <v/>
      </c>
      <c r="AC99" s="36" t="n">
        <v>0</v>
      </c>
      <c r="AD99" s="5" t="n">
        <v>11</v>
      </c>
      <c r="AE99" s="191">
        <f>AC99-AD99+AB99</f>
        <v/>
      </c>
      <c r="AF99" s="192" t="n">
        <v>0</v>
      </c>
      <c r="AG99" s="191">
        <f>AE99+AF99</f>
        <v/>
      </c>
      <c r="AH99" s="36" t="n">
        <v>0</v>
      </c>
      <c r="AI99" s="5" t="n">
        <v>9</v>
      </c>
      <c r="AJ99" s="191">
        <f>AH99-AI99+AG99</f>
        <v/>
      </c>
      <c r="AK99" s="192" t="n">
        <v>0</v>
      </c>
      <c r="AL99" s="191">
        <f>AJ99+AK99</f>
        <v/>
      </c>
      <c r="AM99" s="35" t="inlineStr">
        <is>
          <t>佐賀</t>
        </is>
      </c>
      <c r="AN99" s="35" t="inlineStr">
        <is>
          <t>こもの</t>
        </is>
      </c>
      <c r="AO99" s="163" t="n">
        <v>1050</v>
      </c>
      <c r="AP99" s="5" t="n">
        <v>0</v>
      </c>
      <c r="AQ99" s="35" t="n"/>
      <c r="AR99" s="35" t="n"/>
      <c r="AS99" s="122" t="n">
        <v>4580450000000</v>
      </c>
      <c r="AT99" s="35" t="n">
        <v>214</v>
      </c>
      <c r="AU99" s="35" t="inlineStr">
        <is>
          <t>(有)ﾋﾞｰ･ｴｽ･ｼﾞｰ（まるよし出荷組合）</t>
        </is>
      </c>
    </row>
    <row r="100">
      <c r="A100" s="14" t="inlineStr">
        <is>
          <t>1365-18</t>
        </is>
      </c>
      <c r="B100" s="5" t="inlineStr">
        <is>
          <t>■らっきょう　泥 ﾊﾞﾗ 10kg箱 (まるよし)</t>
        </is>
      </c>
      <c r="C100" s="36" t="n">
        <v>0</v>
      </c>
      <c r="D100" s="36" t="n">
        <v>2</v>
      </c>
      <c r="E100" s="5" t="n">
        <v>0</v>
      </c>
      <c r="F100" s="191">
        <f>D100-E100+C100</f>
        <v/>
      </c>
      <c r="G100" s="192" t="n">
        <v>0</v>
      </c>
      <c r="H100" s="191">
        <f>F100+G100</f>
        <v/>
      </c>
      <c r="I100" s="36" t="n">
        <v>0</v>
      </c>
      <c r="J100" s="5" t="n">
        <v>0</v>
      </c>
      <c r="K100" s="191">
        <f>I100-J100+H100</f>
        <v/>
      </c>
      <c r="L100" s="192" t="n">
        <v>-2</v>
      </c>
      <c r="M100" s="191">
        <f>K100+L100</f>
        <v/>
      </c>
      <c r="N100" s="36" t="n">
        <v>2</v>
      </c>
      <c r="O100" s="5" t="n">
        <v>0</v>
      </c>
      <c r="P100" s="191">
        <f>N100-O100+M100</f>
        <v/>
      </c>
      <c r="Q100" s="192" t="n">
        <v>0</v>
      </c>
      <c r="R100" s="191">
        <f>P100+Q100</f>
        <v/>
      </c>
      <c r="S100" s="36" t="n">
        <v>0</v>
      </c>
      <c r="T100" s="5" t="n">
        <v>0</v>
      </c>
      <c r="U100" s="191">
        <f>S100-T100+R100</f>
        <v/>
      </c>
      <c r="V100" s="192" t="n">
        <v>0</v>
      </c>
      <c r="W100" s="191">
        <f>U100+V100</f>
        <v/>
      </c>
      <c r="X100" s="36" t="n">
        <v>4</v>
      </c>
      <c r="Y100" s="5" t="n">
        <v>0</v>
      </c>
      <c r="Z100" s="191">
        <f>X100-Y100+W100</f>
        <v/>
      </c>
      <c r="AA100" s="192" t="n">
        <v>0</v>
      </c>
      <c r="AB100" s="191">
        <f>Z100+AA100</f>
        <v/>
      </c>
      <c r="AC100" s="36" t="n">
        <v>0</v>
      </c>
      <c r="AD100" s="5" t="n">
        <v>0</v>
      </c>
      <c r="AE100" s="191">
        <f>AC100-AD100+AB100</f>
        <v/>
      </c>
      <c r="AF100" s="192" t="n">
        <v>0</v>
      </c>
      <c r="AG100" s="191">
        <f>AE100+AF100</f>
        <v/>
      </c>
      <c r="AH100" s="36" t="n">
        <v>0</v>
      </c>
      <c r="AI100" s="5" t="n">
        <v>0</v>
      </c>
      <c r="AJ100" s="191">
        <f>AH100-AI100+AG100</f>
        <v/>
      </c>
      <c r="AK100" s="192" t="n">
        <v>0</v>
      </c>
      <c r="AL100" s="191">
        <f>AJ100+AK100</f>
        <v/>
      </c>
      <c r="AM100" s="35" t="inlineStr">
        <is>
          <t>佐賀</t>
        </is>
      </c>
      <c r="AN100" s="35" t="inlineStr">
        <is>
          <t>箱</t>
        </is>
      </c>
      <c r="AO100" s="5" t="n">
        <v>0</v>
      </c>
      <c r="AP100" s="5" t="n">
        <v>0</v>
      </c>
      <c r="AQ100" s="35" t="inlineStr">
        <is>
          <t>○</t>
        </is>
      </c>
      <c r="AR100" s="35" t="n"/>
      <c r="AS100" s="122" t="n"/>
      <c r="AT100" s="35" t="n">
        <v>214</v>
      </c>
      <c r="AU100" s="35" t="inlineStr">
        <is>
          <t>(有)ﾋﾞｰ･ｴｽ･ｼﾞｰ（まるよし出荷組合）</t>
        </is>
      </c>
    </row>
    <row r="101">
      <c r="A101" s="14" t="inlineStr">
        <is>
          <t>1393-3</t>
        </is>
      </c>
      <c r="B101" s="5" t="inlineStr">
        <is>
          <t>瀬戸さん（野菜の里）の有機野菜セット</t>
        </is>
      </c>
      <c r="C101" s="36" t="n">
        <v>0</v>
      </c>
      <c r="D101" s="36" t="n">
        <v>0</v>
      </c>
      <c r="E101" s="5" t="n">
        <v>0</v>
      </c>
      <c r="F101" s="191">
        <f>D101-E101+C101</f>
        <v/>
      </c>
      <c r="G101" s="192" t="n">
        <v>0</v>
      </c>
      <c r="H101" s="191">
        <f>F101+G101</f>
        <v/>
      </c>
      <c r="I101" s="36" t="n">
        <v>5</v>
      </c>
      <c r="J101" s="5" t="n">
        <v>5</v>
      </c>
      <c r="K101" s="191">
        <f>I101-J101+H101</f>
        <v/>
      </c>
      <c r="L101" s="192" t="n">
        <v>0</v>
      </c>
      <c r="M101" s="191">
        <f>K101+L101</f>
        <v/>
      </c>
      <c r="N101" s="36" t="n">
        <v>0</v>
      </c>
      <c r="O101" s="5" t="n">
        <v>0</v>
      </c>
      <c r="P101" s="191">
        <f>N101-O101+M101</f>
        <v/>
      </c>
      <c r="Q101" s="192" t="n">
        <v>0</v>
      </c>
      <c r="R101" s="191">
        <f>P101+Q101</f>
        <v/>
      </c>
      <c r="S101" s="36" t="n">
        <v>0</v>
      </c>
      <c r="T101" s="5" t="n">
        <v>0</v>
      </c>
      <c r="U101" s="191">
        <f>S101-T101+R101</f>
        <v/>
      </c>
      <c r="V101" s="192" t="n">
        <v>0</v>
      </c>
      <c r="W101" s="191">
        <f>U101+V101</f>
        <v/>
      </c>
      <c r="X101" s="36" t="n">
        <v>0</v>
      </c>
      <c r="Y101" s="5" t="n">
        <v>5</v>
      </c>
      <c r="Z101" s="191">
        <f>X101-Y101+W101</f>
        <v/>
      </c>
      <c r="AA101" s="192" t="n">
        <v>0</v>
      </c>
      <c r="AB101" s="191">
        <f>Z101+AA101</f>
        <v/>
      </c>
      <c r="AC101" s="36" t="n">
        <v>0</v>
      </c>
      <c r="AD101" s="5" t="n">
        <v>0</v>
      </c>
      <c r="AE101" s="191">
        <f>AC101-AD101+AB101</f>
        <v/>
      </c>
      <c r="AF101" s="192" t="n">
        <v>0</v>
      </c>
      <c r="AG101" s="191">
        <f>AE101+AF101</f>
        <v/>
      </c>
      <c r="AH101" s="36" t="n">
        <v>0</v>
      </c>
      <c r="AI101" s="5" t="n">
        <v>0</v>
      </c>
      <c r="AJ101" s="191">
        <f>AH101-AI101+AG101</f>
        <v/>
      </c>
      <c r="AK101" s="192" t="n">
        <v>0</v>
      </c>
      <c r="AL101" s="191">
        <f>AJ101+AK101</f>
        <v/>
      </c>
      <c r="AM101" s="35" t="inlineStr">
        <is>
          <t>山梨</t>
        </is>
      </c>
      <c r="AN101" s="35" t="inlineStr">
        <is>
          <t>こもの</t>
        </is>
      </c>
      <c r="AO101" s="5" t="n">
        <v>0</v>
      </c>
      <c r="AP101" s="5" t="n">
        <v>830</v>
      </c>
      <c r="AQ101" s="35" t="n"/>
      <c r="AR101" s="35" t="n"/>
      <c r="AS101" s="122" t="n"/>
      <c r="AT101" s="35" t="n">
        <v>237</v>
      </c>
      <c r="AU101" s="35" t="inlineStr">
        <is>
          <t>八ケ岳オーガニック野菜の里</t>
        </is>
      </c>
    </row>
    <row r="102">
      <c r="A102" s="14" t="inlineStr">
        <is>
          <t>1393-40</t>
        </is>
      </c>
      <c r="B102" s="5" t="inlineStr">
        <is>
          <t>ｷﾃﾚﾂﾌｧｰﾑの野菜ｾｯﾄ</t>
        </is>
      </c>
      <c r="C102" s="36" t="n">
        <v>0</v>
      </c>
      <c r="D102" s="36" t="n">
        <v>0</v>
      </c>
      <c r="E102" s="5" t="n">
        <v>0</v>
      </c>
      <c r="F102" s="191">
        <f>D102-E102+C102</f>
        <v/>
      </c>
      <c r="G102" s="192" t="n">
        <v>0</v>
      </c>
      <c r="H102" s="191">
        <f>F102+G102</f>
        <v/>
      </c>
      <c r="I102" s="36" t="n">
        <v>2</v>
      </c>
      <c r="J102" s="5" t="n">
        <v>2</v>
      </c>
      <c r="K102" s="191">
        <f>I102-J102+H102</f>
        <v/>
      </c>
      <c r="L102" s="192" t="n">
        <v>0</v>
      </c>
      <c r="M102" s="191">
        <f>K102+L102</f>
        <v/>
      </c>
      <c r="N102" s="36" t="n">
        <v>0</v>
      </c>
      <c r="O102" s="5" t="n">
        <v>0</v>
      </c>
      <c r="P102" s="191">
        <f>N102-O102+M102</f>
        <v/>
      </c>
      <c r="Q102" s="192" t="n">
        <v>0</v>
      </c>
      <c r="R102" s="191">
        <f>P102+Q102</f>
        <v/>
      </c>
      <c r="S102" s="36" t="n">
        <v>0</v>
      </c>
      <c r="T102" s="5" t="n">
        <v>2</v>
      </c>
      <c r="U102" s="191">
        <f>S102-T102+R102</f>
        <v/>
      </c>
      <c r="V102" s="192" t="n">
        <v>0</v>
      </c>
      <c r="W102" s="191">
        <f>U102+V102</f>
        <v/>
      </c>
      <c r="X102" s="36" t="n">
        <v>0</v>
      </c>
      <c r="Y102" s="5" t="n">
        <v>0</v>
      </c>
      <c r="Z102" s="191">
        <f>X102-Y102+W102</f>
        <v/>
      </c>
      <c r="AA102" s="192" t="n">
        <v>0</v>
      </c>
      <c r="AB102" s="191">
        <f>Z102+AA102</f>
        <v/>
      </c>
      <c r="AC102" s="36" t="n">
        <v>0</v>
      </c>
      <c r="AD102" s="5" t="n">
        <v>2</v>
      </c>
      <c r="AE102" s="191">
        <f>AC102-AD102+AB102</f>
        <v/>
      </c>
      <c r="AF102" s="192" t="n">
        <v>0</v>
      </c>
      <c r="AG102" s="191">
        <f>AE102+AF102</f>
        <v/>
      </c>
      <c r="AH102" s="36" t="n">
        <v>0</v>
      </c>
      <c r="AI102" s="5" t="n">
        <v>0</v>
      </c>
      <c r="AJ102" s="191">
        <f>AH102-AI102+AG102</f>
        <v/>
      </c>
      <c r="AK102" s="192" t="n">
        <v>0</v>
      </c>
      <c r="AL102" s="191">
        <f>AJ102+AK102</f>
        <v/>
      </c>
      <c r="AM102" s="35" t="inlineStr">
        <is>
          <t>東京</t>
        </is>
      </c>
      <c r="AN102" s="35" t="inlineStr">
        <is>
          <t>こもの</t>
        </is>
      </c>
      <c r="AO102" s="5" t="n">
        <v>0</v>
      </c>
      <c r="AP102" s="5" t="n">
        <v>0</v>
      </c>
      <c r="AQ102" s="35" t="n"/>
      <c r="AR102" s="35" t="n"/>
      <c r="AS102" s="122" t="n"/>
      <c r="AT102" s="35" t="n"/>
      <c r="AU102" s="35" t="n"/>
    </row>
    <row r="103">
      <c r="A103" s="14" t="inlineStr">
        <is>
          <t>1404-24</t>
        </is>
      </c>
      <c r="B103" s="5" t="inlineStr">
        <is>
          <t>ほうれん草 150g(八ヶ岳ｸﾞﾘｰﾝ井出)不不</t>
        </is>
      </c>
      <c r="C103" s="36" t="n">
        <v>0</v>
      </c>
      <c r="D103" s="36" t="n">
        <v>0</v>
      </c>
      <c r="E103" s="5" t="n">
        <v>0</v>
      </c>
      <c r="F103" s="191">
        <f>D103-E103+C103</f>
        <v/>
      </c>
      <c r="G103" s="192" t="n">
        <v>0</v>
      </c>
      <c r="H103" s="191">
        <f>F103+G103</f>
        <v/>
      </c>
      <c r="I103" s="36" t="n">
        <v>360</v>
      </c>
      <c r="J103" s="5" t="n">
        <v>153</v>
      </c>
      <c r="K103" s="191">
        <f>I103-J103+H103</f>
        <v/>
      </c>
      <c r="L103" s="192" t="n">
        <v>0</v>
      </c>
      <c r="M103" s="191">
        <f>K103+L103</f>
        <v/>
      </c>
      <c r="N103" s="36" t="n">
        <v>0</v>
      </c>
      <c r="O103" s="5" t="n">
        <v>69</v>
      </c>
      <c r="P103" s="191">
        <f>N103-O103+M103</f>
        <v/>
      </c>
      <c r="Q103" s="192" t="n">
        <v>0</v>
      </c>
      <c r="R103" s="191">
        <f>P103+Q103</f>
        <v/>
      </c>
      <c r="S103" s="36" t="n">
        <v>0</v>
      </c>
      <c r="T103" s="5" t="n">
        <v>105</v>
      </c>
      <c r="U103" s="191">
        <f>S103-T103+R103</f>
        <v/>
      </c>
      <c r="V103" s="192" t="n">
        <v>0</v>
      </c>
      <c r="W103" s="191">
        <f>U103+V103</f>
        <v/>
      </c>
      <c r="X103" s="36" t="n">
        <v>210</v>
      </c>
      <c r="Y103" s="5" t="n">
        <v>66</v>
      </c>
      <c r="Z103" s="191">
        <f>X103-Y103+W103</f>
        <v/>
      </c>
      <c r="AA103" s="192" t="n">
        <v>0</v>
      </c>
      <c r="AB103" s="191">
        <f>Z103+AA103</f>
        <v/>
      </c>
      <c r="AC103" s="36" t="n">
        <v>0</v>
      </c>
      <c r="AD103" s="5" t="n">
        <v>86</v>
      </c>
      <c r="AE103" s="191">
        <f>AC103-AD103+AB103</f>
        <v/>
      </c>
      <c r="AF103" s="192" t="n">
        <v>0</v>
      </c>
      <c r="AG103" s="191">
        <f>AE103+AF103</f>
        <v/>
      </c>
      <c r="AH103" s="36" t="n">
        <v>330</v>
      </c>
      <c r="AI103" s="5" t="n">
        <v>147</v>
      </c>
      <c r="AJ103" s="191">
        <f>AH103-AI103+AG103</f>
        <v/>
      </c>
      <c r="AK103" s="192" t="n">
        <v>0</v>
      </c>
      <c r="AL103" s="191">
        <f>AJ103+AK103</f>
        <v/>
      </c>
      <c r="AM103" s="35" t="inlineStr">
        <is>
          <t>長野</t>
        </is>
      </c>
      <c r="AN103" s="35" t="inlineStr">
        <is>
          <t>こもの</t>
        </is>
      </c>
      <c r="AO103" s="5" t="n">
        <v>140</v>
      </c>
      <c r="AP103" s="5" t="n">
        <v>0</v>
      </c>
      <c r="AQ103" s="35" t="n"/>
      <c r="AR103" s="35" t="n"/>
      <c r="AS103" s="122" t="n"/>
      <c r="AT103" s="35" t="n">
        <v>254</v>
      </c>
      <c r="AU103" s="35" t="inlineStr">
        <is>
          <t>㈱すいてん</t>
        </is>
      </c>
    </row>
    <row r="104">
      <c r="A104" s="14" t="inlineStr">
        <is>
          <t>1404-28</t>
        </is>
      </c>
      <c r="B104" s="5" t="inlineStr">
        <is>
          <t>■ほうれん草 5kg (八ヶ岳グリーン)不不</t>
        </is>
      </c>
      <c r="C104" s="36" t="n">
        <v>0</v>
      </c>
      <c r="D104" s="36" t="n">
        <v>0</v>
      </c>
      <c r="E104" s="5" t="n">
        <v>0</v>
      </c>
      <c r="F104" s="191">
        <f>D104-E104+C104</f>
        <v/>
      </c>
      <c r="G104" s="192" t="n">
        <v>0</v>
      </c>
      <c r="H104" s="191">
        <f>F104+G104</f>
        <v/>
      </c>
      <c r="I104" s="36" t="n">
        <v>10</v>
      </c>
      <c r="J104" s="5" t="n">
        <v>2</v>
      </c>
      <c r="K104" s="191">
        <f>I104-J104+H104</f>
        <v/>
      </c>
      <c r="L104" s="192" t="n">
        <v>0</v>
      </c>
      <c r="M104" s="191">
        <f>K104+L104</f>
        <v/>
      </c>
      <c r="N104" s="36" t="n">
        <v>0</v>
      </c>
      <c r="O104" s="5" t="n">
        <v>2</v>
      </c>
      <c r="P104" s="191">
        <f>N104-O104+M104</f>
        <v/>
      </c>
      <c r="Q104" s="192" t="n">
        <v>0</v>
      </c>
      <c r="R104" s="191">
        <f>P104+Q104</f>
        <v/>
      </c>
      <c r="S104" s="36" t="n">
        <v>0</v>
      </c>
      <c r="T104" s="5" t="n">
        <v>2</v>
      </c>
      <c r="U104" s="191">
        <f>S104-T104+R104</f>
        <v/>
      </c>
      <c r="V104" s="192" t="n">
        <v>0</v>
      </c>
      <c r="W104" s="191">
        <f>U104+V104</f>
        <v/>
      </c>
      <c r="X104" s="36" t="n">
        <v>0</v>
      </c>
      <c r="Y104" s="5" t="n">
        <v>2</v>
      </c>
      <c r="Z104" s="191">
        <f>X104-Y104+W104</f>
        <v/>
      </c>
      <c r="AA104" s="192" t="n">
        <v>0</v>
      </c>
      <c r="AB104" s="191">
        <f>Z104+AA104</f>
        <v/>
      </c>
      <c r="AC104" s="36" t="n">
        <v>0</v>
      </c>
      <c r="AD104" s="5" t="n">
        <v>2</v>
      </c>
      <c r="AE104" s="191">
        <f>AC104-AD104+AB104</f>
        <v/>
      </c>
      <c r="AF104" s="192" t="n">
        <v>0</v>
      </c>
      <c r="AG104" s="191">
        <f>AE104+AF104</f>
        <v/>
      </c>
      <c r="AH104" s="36" t="n">
        <v>3</v>
      </c>
      <c r="AI104" s="5" t="n">
        <v>3</v>
      </c>
      <c r="AJ104" s="191">
        <f>AH104-AI104+AG104</f>
        <v/>
      </c>
      <c r="AK104" s="192" t="n">
        <v>0</v>
      </c>
      <c r="AL104" s="191">
        <f>AJ104+AK104</f>
        <v/>
      </c>
      <c r="AM104" s="35" t="inlineStr">
        <is>
          <t>長野</t>
        </is>
      </c>
      <c r="AN104" s="35" t="inlineStr">
        <is>
          <t>箱</t>
        </is>
      </c>
      <c r="AO104" s="163" t="n">
        <v>4600</v>
      </c>
      <c r="AP104" s="5" t="n">
        <v>0</v>
      </c>
      <c r="AQ104" s="35" t="n"/>
      <c r="AR104" s="35" t="n"/>
      <c r="AS104" s="122" t="n"/>
      <c r="AT104" s="35" t="n"/>
      <c r="AU104" s="35" t="n"/>
    </row>
    <row r="105">
      <c r="A105" s="14" t="inlineStr">
        <is>
          <t>1407-14</t>
        </is>
      </c>
      <c r="B105" s="5" t="inlineStr">
        <is>
          <t>有機ルッコラ 50g袋 (わ～ふぁ)</t>
        </is>
      </c>
      <c r="C105" s="36" t="n">
        <v>18</v>
      </c>
      <c r="D105" s="36" t="n">
        <v>60</v>
      </c>
      <c r="E105" s="5" t="n">
        <v>0</v>
      </c>
      <c r="F105" s="191">
        <f>D105-E105+C105</f>
        <v/>
      </c>
      <c r="G105" s="192" t="n">
        <v>0</v>
      </c>
      <c r="H105" s="191">
        <f>F105+G105</f>
        <v/>
      </c>
      <c r="I105" s="36" t="n">
        <v>0</v>
      </c>
      <c r="J105" s="5" t="n">
        <v>25</v>
      </c>
      <c r="K105" s="191">
        <f>I105-J105+H105</f>
        <v/>
      </c>
      <c r="L105" s="192" t="n">
        <v>-12</v>
      </c>
      <c r="M105" s="191">
        <f>K105+L105</f>
        <v/>
      </c>
      <c r="N105" s="36" t="n">
        <v>0</v>
      </c>
      <c r="O105" s="5" t="n">
        <v>22</v>
      </c>
      <c r="P105" s="191">
        <f>N105-O105+M105</f>
        <v/>
      </c>
      <c r="Q105" s="192" t="n">
        <v>-10</v>
      </c>
      <c r="R105" s="191">
        <f>P105+Q105</f>
        <v/>
      </c>
      <c r="S105" s="36" t="n">
        <v>70</v>
      </c>
      <c r="T105" s="5" t="n">
        <v>25</v>
      </c>
      <c r="U105" s="191">
        <f>S105-T105+R105</f>
        <v/>
      </c>
      <c r="V105" s="192" t="n">
        <v>0</v>
      </c>
      <c r="W105" s="191">
        <f>U105+V105</f>
        <v/>
      </c>
      <c r="X105" s="36" t="n">
        <v>0</v>
      </c>
      <c r="Y105" s="5" t="n">
        <v>23</v>
      </c>
      <c r="Z105" s="191">
        <f>X105-Y105+W105</f>
        <v/>
      </c>
      <c r="AA105" s="192" t="n">
        <v>-12</v>
      </c>
      <c r="AB105" s="191">
        <f>Z105+AA105</f>
        <v/>
      </c>
      <c r="AC105" s="36" t="n">
        <v>90</v>
      </c>
      <c r="AD105" s="5" t="n">
        <v>16</v>
      </c>
      <c r="AE105" s="191">
        <f>AC105-AD105+AB105</f>
        <v/>
      </c>
      <c r="AF105" s="192" t="n">
        <v>-36</v>
      </c>
      <c r="AG105" s="191">
        <f>AE105+AF105</f>
        <v/>
      </c>
      <c r="AH105" s="36" t="n">
        <v>0</v>
      </c>
      <c r="AI105" s="5" t="n">
        <v>40</v>
      </c>
      <c r="AJ105" s="191">
        <f>AH105-AI105+AG105</f>
        <v/>
      </c>
      <c r="AK105" s="192" t="n">
        <v>0</v>
      </c>
      <c r="AL105" s="191">
        <f>AJ105+AK105</f>
        <v/>
      </c>
      <c r="AM105" s="35" t="inlineStr">
        <is>
          <t>千葉</t>
        </is>
      </c>
      <c r="AN105" s="35" t="inlineStr">
        <is>
          <t>こもの</t>
        </is>
      </c>
      <c r="AO105" s="5" t="n">
        <v>160</v>
      </c>
      <c r="AP105" s="5" t="n">
        <v>0</v>
      </c>
      <c r="AQ105" s="35" t="n"/>
      <c r="AR105" s="35" t="n"/>
      <c r="AS105" s="122" t="n">
        <v>4560109260201</v>
      </c>
      <c r="AT105" s="35" t="n">
        <v>231</v>
      </c>
      <c r="AU105" s="35" t="inlineStr">
        <is>
          <t>(有）わ～ふぁ道本</t>
        </is>
      </c>
    </row>
    <row r="106">
      <c r="A106" s="14" t="inlineStr">
        <is>
          <t>1407-20</t>
        </is>
      </c>
      <c r="B106" s="5" t="inlineStr">
        <is>
          <t>有機ルッコラ 50g袋×５(わ～ふぁ)東一</t>
        </is>
      </c>
      <c r="C106" s="36" t="n">
        <v>0</v>
      </c>
      <c r="D106" s="36" t="n">
        <v>0</v>
      </c>
      <c r="E106" s="5" t="n">
        <v>0</v>
      </c>
      <c r="F106" s="191">
        <f>D106-E106+C106</f>
        <v/>
      </c>
      <c r="G106" s="192" t="n">
        <v>0</v>
      </c>
      <c r="H106" s="191">
        <f>F106+G106</f>
        <v/>
      </c>
      <c r="I106" s="36" t="n">
        <v>3</v>
      </c>
      <c r="J106" s="5" t="n">
        <v>3</v>
      </c>
      <c r="K106" s="191">
        <f>I106-J106+H106</f>
        <v/>
      </c>
      <c r="L106" s="192" t="n">
        <v>0</v>
      </c>
      <c r="M106" s="191">
        <f>K106+L106</f>
        <v/>
      </c>
      <c r="N106" s="36" t="n">
        <v>2</v>
      </c>
      <c r="O106" s="5" t="n">
        <v>2</v>
      </c>
      <c r="P106" s="191">
        <f>N106-O106+M106</f>
        <v/>
      </c>
      <c r="Q106" s="192" t="n">
        <v>0</v>
      </c>
      <c r="R106" s="191">
        <f>P106+Q106</f>
        <v/>
      </c>
      <c r="S106" s="36" t="n">
        <v>0</v>
      </c>
      <c r="T106" s="5" t="n">
        <v>0</v>
      </c>
      <c r="U106" s="191">
        <f>S106-T106+R106</f>
        <v/>
      </c>
      <c r="V106" s="192" t="n">
        <v>0</v>
      </c>
      <c r="W106" s="191">
        <f>U106+V106</f>
        <v/>
      </c>
      <c r="X106" s="36" t="n">
        <v>3</v>
      </c>
      <c r="Y106" s="5" t="n">
        <v>3</v>
      </c>
      <c r="Z106" s="191">
        <f>X106-Y106+W106</f>
        <v/>
      </c>
      <c r="AA106" s="192" t="n">
        <v>0</v>
      </c>
      <c r="AB106" s="191">
        <f>Z106+AA106</f>
        <v/>
      </c>
      <c r="AC106" s="36" t="n">
        <v>9</v>
      </c>
      <c r="AD106" s="5" t="n">
        <v>9</v>
      </c>
      <c r="AE106" s="191">
        <f>AC106-AD106+AB106</f>
        <v/>
      </c>
      <c r="AF106" s="192" t="n">
        <v>0</v>
      </c>
      <c r="AG106" s="191">
        <f>AE106+AF106</f>
        <v/>
      </c>
      <c r="AH106" s="36" t="n">
        <v>0</v>
      </c>
      <c r="AI106" s="5" t="n">
        <v>0</v>
      </c>
      <c r="AJ106" s="191">
        <f>AH106-AI106+AG106</f>
        <v/>
      </c>
      <c r="AK106" s="192" t="n">
        <v>0</v>
      </c>
      <c r="AL106" s="191">
        <f>AJ106+AK106</f>
        <v/>
      </c>
      <c r="AM106" s="35" t="inlineStr">
        <is>
          <t>千葉</t>
        </is>
      </c>
      <c r="AN106" s="35" t="inlineStr">
        <is>
          <t>こもの</t>
        </is>
      </c>
      <c r="AO106" s="5" t="n">
        <v>950</v>
      </c>
      <c r="AP106" s="5" t="n">
        <v>0</v>
      </c>
      <c r="AQ106" s="35" t="n"/>
      <c r="AR106" s="35" t="inlineStr">
        <is>
          <t>○</t>
        </is>
      </c>
      <c r="AS106" s="122" t="n">
        <v>4560109260201</v>
      </c>
      <c r="AT106" s="35" t="n">
        <v>231</v>
      </c>
      <c r="AU106" s="35" t="inlineStr">
        <is>
          <t>(有）わ～ふぁ道本</t>
        </is>
      </c>
    </row>
    <row r="107">
      <c r="A107" s="14" t="inlineStr">
        <is>
          <t>1408-166</t>
        </is>
      </c>
      <c r="B107" s="5" t="inlineStr">
        <is>
          <t>有機ほうれん草　150ｇ(北総)</t>
        </is>
      </c>
      <c r="C107" s="36" t="n">
        <v>26</v>
      </c>
      <c r="D107" s="36" t="n">
        <v>150</v>
      </c>
      <c r="E107" s="5" t="n">
        <v>0</v>
      </c>
      <c r="F107" s="191">
        <f>D107-E107+C107</f>
        <v/>
      </c>
      <c r="G107" s="192" t="n">
        <v>0</v>
      </c>
      <c r="H107" s="191">
        <f>F107+G107</f>
        <v/>
      </c>
      <c r="I107" s="36" t="n">
        <v>0</v>
      </c>
      <c r="J107" s="5" t="n">
        <v>43</v>
      </c>
      <c r="K107" s="191">
        <f>I107-J107+H107</f>
        <v/>
      </c>
      <c r="L107" s="192" t="n">
        <v>-50</v>
      </c>
      <c r="M107" s="191">
        <f>K107+L107</f>
        <v/>
      </c>
      <c r="N107" s="36" t="n">
        <v>0</v>
      </c>
      <c r="O107" s="5" t="n">
        <v>29</v>
      </c>
      <c r="P107" s="191">
        <f>N107-O107+M107</f>
        <v/>
      </c>
      <c r="Q107" s="192" t="n">
        <v>-20</v>
      </c>
      <c r="R107" s="191">
        <f>P107+Q107</f>
        <v/>
      </c>
      <c r="S107" s="36" t="n">
        <v>75</v>
      </c>
      <c r="T107" s="5" t="n">
        <v>61</v>
      </c>
      <c r="U107" s="191">
        <f>S107-T107+R107</f>
        <v/>
      </c>
      <c r="V107" s="192" t="n">
        <v>0</v>
      </c>
      <c r="W107" s="191">
        <f>U107+V107</f>
        <v/>
      </c>
      <c r="X107" s="36" t="n">
        <v>0</v>
      </c>
      <c r="Y107" s="5" t="n">
        <v>24</v>
      </c>
      <c r="Z107" s="191">
        <f>X107-Y107+W107</f>
        <v/>
      </c>
      <c r="AA107" s="192" t="n">
        <v>-8</v>
      </c>
      <c r="AB107" s="191">
        <f>Z107+AA107</f>
        <v/>
      </c>
      <c r="AC107" s="36" t="n">
        <v>150</v>
      </c>
      <c r="AD107" s="5" t="n">
        <v>42</v>
      </c>
      <c r="AE107" s="191">
        <f>AC107-AD107+AB107</f>
        <v/>
      </c>
      <c r="AF107" s="192" t="n">
        <v>-40</v>
      </c>
      <c r="AG107" s="191">
        <f>AE107+AF107</f>
        <v/>
      </c>
      <c r="AH107" s="36" t="n">
        <v>0</v>
      </c>
      <c r="AI107" s="5" t="n">
        <v>73</v>
      </c>
      <c r="AJ107" s="191">
        <f>AH107-AI107+AG107</f>
        <v/>
      </c>
      <c r="AK107" s="192" t="n">
        <v>-8</v>
      </c>
      <c r="AL107" s="191">
        <f>AJ107+AK107</f>
        <v/>
      </c>
      <c r="AM107" s="35" t="inlineStr">
        <is>
          <t>千葉</t>
        </is>
      </c>
      <c r="AN107" s="35" t="inlineStr">
        <is>
          <t>こもの</t>
        </is>
      </c>
      <c r="AO107" s="5" t="n">
        <v>170</v>
      </c>
      <c r="AP107" s="5" t="n">
        <v>0</v>
      </c>
      <c r="AQ107" s="35" t="n"/>
      <c r="AR107" s="35" t="n"/>
      <c r="AS107" s="122" t="n">
        <v>4582270160050</v>
      </c>
      <c r="AT107" s="35" t="n"/>
      <c r="AU107" s="35" t="n"/>
    </row>
    <row r="108">
      <c r="A108" s="14" t="inlineStr">
        <is>
          <t>1408-172</t>
        </is>
      </c>
      <c r="B108" s="5" t="inlineStr">
        <is>
          <t>有機ほうれん草　150g袋×４(北総)東一</t>
        </is>
      </c>
      <c r="C108" s="36" t="n">
        <v>0</v>
      </c>
      <c r="D108" s="36" t="n">
        <v>0</v>
      </c>
      <c r="E108" s="5" t="n">
        <v>0</v>
      </c>
      <c r="F108" s="191">
        <f>D108-E108+C108</f>
        <v/>
      </c>
      <c r="G108" s="192" t="n">
        <v>0</v>
      </c>
      <c r="H108" s="191">
        <f>F108+G108</f>
        <v/>
      </c>
      <c r="I108" s="36" t="n">
        <v>0</v>
      </c>
      <c r="J108" s="5" t="n">
        <v>0</v>
      </c>
      <c r="K108" s="191">
        <f>I108-J108+H108</f>
        <v/>
      </c>
      <c r="L108" s="192" t="n">
        <v>0</v>
      </c>
      <c r="M108" s="191">
        <f>K108+L108</f>
        <v/>
      </c>
      <c r="N108" s="36" t="n">
        <v>5</v>
      </c>
      <c r="O108" s="5" t="n">
        <v>5</v>
      </c>
      <c r="P108" s="191">
        <f>N108-O108+M108</f>
        <v/>
      </c>
      <c r="Q108" s="192" t="n">
        <v>0</v>
      </c>
      <c r="R108" s="191">
        <f>P108+Q108</f>
        <v/>
      </c>
      <c r="S108" s="36" t="n">
        <v>0</v>
      </c>
      <c r="T108" s="5" t="n">
        <v>0</v>
      </c>
      <c r="U108" s="191">
        <f>S108-T108+R108</f>
        <v/>
      </c>
      <c r="V108" s="192" t="n">
        <v>0</v>
      </c>
      <c r="W108" s="191">
        <f>U108+V108</f>
        <v/>
      </c>
      <c r="X108" s="36" t="n">
        <v>2</v>
      </c>
      <c r="Y108" s="5" t="n">
        <v>2</v>
      </c>
      <c r="Z108" s="191">
        <f>X108-Y108+W108</f>
        <v/>
      </c>
      <c r="AA108" s="192" t="n">
        <v>0</v>
      </c>
      <c r="AB108" s="191">
        <f>Z108+AA108</f>
        <v/>
      </c>
      <c r="AC108" s="36" t="n">
        <v>8</v>
      </c>
      <c r="AD108" s="5" t="n">
        <v>8</v>
      </c>
      <c r="AE108" s="191">
        <f>AC108-AD108+AB108</f>
        <v/>
      </c>
      <c r="AF108" s="192" t="n">
        <v>0</v>
      </c>
      <c r="AG108" s="191">
        <f>AE108+AF108</f>
        <v/>
      </c>
      <c r="AH108" s="36" t="n">
        <v>2</v>
      </c>
      <c r="AI108" s="5" t="n">
        <v>2</v>
      </c>
      <c r="AJ108" s="191">
        <f>AH108-AI108+AG108</f>
        <v/>
      </c>
      <c r="AK108" s="192" t="n">
        <v>0</v>
      </c>
      <c r="AL108" s="191">
        <f>AJ108+AK108</f>
        <v/>
      </c>
      <c r="AM108" s="35" t="inlineStr">
        <is>
          <t>千葉</t>
        </is>
      </c>
      <c r="AN108" s="35" t="inlineStr">
        <is>
          <t>こもの</t>
        </is>
      </c>
      <c r="AO108" s="5" t="n">
        <v>680</v>
      </c>
      <c r="AP108" s="5" t="n">
        <v>0</v>
      </c>
      <c r="AQ108" s="35" t="n"/>
      <c r="AR108" s="35" t="inlineStr">
        <is>
          <t>○</t>
        </is>
      </c>
      <c r="AS108" s="122" t="n">
        <v>4582270160050</v>
      </c>
      <c r="AT108" s="35" t="n"/>
      <c r="AU108" s="35" t="n"/>
    </row>
    <row r="109">
      <c r="A109" s="14" t="inlineStr">
        <is>
          <t>1408-179</t>
        </is>
      </c>
      <c r="B109" s="5" t="inlineStr">
        <is>
          <t>■有機ほうれん草　150ｇ×25入(北総)</t>
        </is>
      </c>
      <c r="C109" s="36" t="n">
        <v>0</v>
      </c>
      <c r="D109" s="36" t="n">
        <v>0</v>
      </c>
      <c r="E109" s="5" t="n">
        <v>0</v>
      </c>
      <c r="F109" s="191">
        <f>D109-E109+C109</f>
        <v/>
      </c>
      <c r="G109" s="192" t="n">
        <v>0</v>
      </c>
      <c r="H109" s="191">
        <f>F109+G109</f>
        <v/>
      </c>
      <c r="I109" s="36" t="n">
        <v>2</v>
      </c>
      <c r="J109" s="5" t="n">
        <v>2</v>
      </c>
      <c r="K109" s="191">
        <f>I109-J109+H109</f>
        <v/>
      </c>
      <c r="L109" s="192" t="n">
        <v>0</v>
      </c>
      <c r="M109" s="191">
        <f>K109+L109</f>
        <v/>
      </c>
      <c r="N109" s="36" t="n">
        <v>0</v>
      </c>
      <c r="O109" s="5" t="n">
        <v>0</v>
      </c>
      <c r="P109" s="191">
        <f>N109-O109+M109</f>
        <v/>
      </c>
      <c r="Q109" s="192" t="n">
        <v>0</v>
      </c>
      <c r="R109" s="191">
        <f>P109+Q109</f>
        <v/>
      </c>
      <c r="S109" s="36" t="n">
        <v>0</v>
      </c>
      <c r="T109" s="5" t="n">
        <v>0</v>
      </c>
      <c r="U109" s="191">
        <f>S109-T109+R109</f>
        <v/>
      </c>
      <c r="V109" s="192" t="n">
        <v>0</v>
      </c>
      <c r="W109" s="191">
        <f>U109+V109</f>
        <v/>
      </c>
      <c r="X109" s="36" t="n">
        <v>0</v>
      </c>
      <c r="Y109" s="5" t="n">
        <v>0</v>
      </c>
      <c r="Z109" s="191">
        <f>X109-Y109+W109</f>
        <v/>
      </c>
      <c r="AA109" s="192" t="n">
        <v>0</v>
      </c>
      <c r="AB109" s="191">
        <f>Z109+AA109</f>
        <v/>
      </c>
      <c r="AC109" s="36" t="n">
        <v>0</v>
      </c>
      <c r="AD109" s="5" t="n">
        <v>0</v>
      </c>
      <c r="AE109" s="191">
        <f>AC109-AD109+AB109</f>
        <v/>
      </c>
      <c r="AF109" s="192" t="n">
        <v>0</v>
      </c>
      <c r="AG109" s="191">
        <f>AE109+AF109</f>
        <v/>
      </c>
      <c r="AH109" s="36" t="n">
        <v>0</v>
      </c>
      <c r="AI109" s="5" t="n">
        <v>0</v>
      </c>
      <c r="AJ109" s="191">
        <f>AH109-AI109+AG109</f>
        <v/>
      </c>
      <c r="AK109" s="192" t="n">
        <v>0</v>
      </c>
      <c r="AL109" s="191">
        <f>AJ109+AK109</f>
        <v/>
      </c>
      <c r="AM109" s="35" t="inlineStr">
        <is>
          <t>千葉</t>
        </is>
      </c>
      <c r="AN109" s="35" t="inlineStr">
        <is>
          <t>箱</t>
        </is>
      </c>
      <c r="AO109" s="163" t="n">
        <v>4250</v>
      </c>
      <c r="AP109" s="5" t="n">
        <v>0</v>
      </c>
      <c r="AQ109" s="35" t="n"/>
      <c r="AR109" s="35" t="n"/>
      <c r="AS109" s="122" t="n">
        <v>4580450000000</v>
      </c>
      <c r="AT109" s="35" t="n">
        <v>287</v>
      </c>
      <c r="AU109" s="35" t="inlineStr">
        <is>
          <t>(有)北総ベジタブル</t>
        </is>
      </c>
    </row>
    <row r="110">
      <c r="A110" s="14" t="inlineStr">
        <is>
          <t>1408-72</t>
        </is>
      </c>
      <c r="B110" s="5" t="inlineStr">
        <is>
          <t>有機ほうれん草　150g袋 (わ～ふぁ)</t>
        </is>
      </c>
      <c r="C110" s="36" t="n">
        <v>7</v>
      </c>
      <c r="D110" s="36" t="n">
        <v>20</v>
      </c>
      <c r="E110" s="5" t="n">
        <v>0</v>
      </c>
      <c r="F110" s="191">
        <f>D110-E110+C110</f>
        <v/>
      </c>
      <c r="G110" s="192" t="n">
        <v>0</v>
      </c>
      <c r="H110" s="191">
        <f>F110+G110</f>
        <v/>
      </c>
      <c r="I110" s="36" t="n">
        <v>0</v>
      </c>
      <c r="J110" s="5" t="n">
        <v>23</v>
      </c>
      <c r="K110" s="191">
        <f>I110-J110+H110</f>
        <v/>
      </c>
      <c r="L110" s="192" t="n">
        <v>0</v>
      </c>
      <c r="M110" s="191">
        <f>K110+L110</f>
        <v/>
      </c>
      <c r="N110" s="36" t="n">
        <v>0</v>
      </c>
      <c r="O110" s="5" t="n">
        <v>0</v>
      </c>
      <c r="P110" s="191">
        <f>N110-O110+M110</f>
        <v/>
      </c>
      <c r="Q110" s="192" t="n">
        <v>0</v>
      </c>
      <c r="R110" s="191">
        <f>P110+Q110</f>
        <v/>
      </c>
      <c r="S110" s="36" t="n">
        <v>10</v>
      </c>
      <c r="T110" s="5" t="n">
        <v>7</v>
      </c>
      <c r="U110" s="191">
        <f>S110-T110+R110</f>
        <v/>
      </c>
      <c r="V110" s="192" t="n">
        <v>0</v>
      </c>
      <c r="W110" s="191">
        <f>U110+V110</f>
        <v/>
      </c>
      <c r="X110" s="36" t="n">
        <v>0</v>
      </c>
      <c r="Y110" s="5" t="n">
        <v>4</v>
      </c>
      <c r="Z110" s="191">
        <f>X110-Y110+W110</f>
        <v/>
      </c>
      <c r="AA110" s="192" t="n">
        <v>0</v>
      </c>
      <c r="AB110" s="191">
        <f>Z110+AA110</f>
        <v/>
      </c>
      <c r="AC110" s="36" t="n">
        <v>20</v>
      </c>
      <c r="AD110" s="5" t="n">
        <v>9</v>
      </c>
      <c r="AE110" s="191">
        <f>AC110-AD110+AB110</f>
        <v/>
      </c>
      <c r="AF110" s="192" t="n">
        <v>0</v>
      </c>
      <c r="AG110" s="191">
        <f>AE110+AF110</f>
        <v/>
      </c>
      <c r="AH110" s="36" t="n">
        <v>0</v>
      </c>
      <c r="AI110" s="5" t="n">
        <v>9</v>
      </c>
      <c r="AJ110" s="191">
        <f>AH110-AI110+AG110</f>
        <v/>
      </c>
      <c r="AK110" s="192" t="n">
        <v>0</v>
      </c>
      <c r="AL110" s="191">
        <f>AJ110+AK110</f>
        <v/>
      </c>
      <c r="AM110" s="35" t="inlineStr">
        <is>
          <t>千葉</t>
        </is>
      </c>
      <c r="AN110" s="35" t="inlineStr">
        <is>
          <t>こもの</t>
        </is>
      </c>
      <c r="AO110" s="5" t="n">
        <v>190</v>
      </c>
      <c r="AP110" s="5" t="n">
        <v>0</v>
      </c>
      <c r="AQ110" s="35" t="n"/>
      <c r="AR110" s="35" t="n"/>
      <c r="AS110" s="122" t="n"/>
      <c r="AT110" s="35" t="n">
        <v>231</v>
      </c>
      <c r="AU110" s="35" t="inlineStr">
        <is>
          <t>(有）わ～ふぁ道本</t>
        </is>
      </c>
    </row>
    <row r="111">
      <c r="A111" s="14" t="inlineStr">
        <is>
          <t>1409-136</t>
        </is>
      </c>
      <c r="B111" s="5" t="inlineStr">
        <is>
          <t>有機小松菜 200g(丸和)</t>
        </is>
      </c>
      <c r="C111" s="36" t="n">
        <v>0</v>
      </c>
      <c r="D111" s="36" t="n">
        <v>0</v>
      </c>
      <c r="E111" s="5" t="n">
        <v>0</v>
      </c>
      <c r="F111" s="191">
        <f>D111-E111+C111</f>
        <v/>
      </c>
      <c r="G111" s="192" t="n">
        <v>0</v>
      </c>
      <c r="H111" s="191">
        <f>F111+G111</f>
        <v/>
      </c>
      <c r="I111" s="36" t="n">
        <v>0</v>
      </c>
      <c r="J111" s="5" t="n">
        <v>0</v>
      </c>
      <c r="K111" s="191">
        <f>I111-J111+H111</f>
        <v/>
      </c>
      <c r="L111" s="192" t="n">
        <v>0</v>
      </c>
      <c r="M111" s="191">
        <f>K111+L111</f>
        <v/>
      </c>
      <c r="N111" s="36" t="n">
        <v>0</v>
      </c>
      <c r="O111" s="5" t="n">
        <v>0</v>
      </c>
      <c r="P111" s="191">
        <f>N111-O111+M111</f>
        <v/>
      </c>
      <c r="Q111" s="192" t="n">
        <v>0</v>
      </c>
      <c r="R111" s="191">
        <f>P111+Q111</f>
        <v/>
      </c>
      <c r="S111" s="36" t="n">
        <v>0</v>
      </c>
      <c r="T111" s="5" t="n">
        <v>0</v>
      </c>
      <c r="U111" s="191">
        <f>S111-T111+R111</f>
        <v/>
      </c>
      <c r="V111" s="192" t="n">
        <v>0</v>
      </c>
      <c r="W111" s="191">
        <f>U111+V111</f>
        <v/>
      </c>
      <c r="X111" s="36" t="n">
        <v>0</v>
      </c>
      <c r="Y111" s="5" t="n">
        <v>0</v>
      </c>
      <c r="Z111" s="191">
        <f>X111-Y111+W111</f>
        <v/>
      </c>
      <c r="AA111" s="192" t="n">
        <v>0</v>
      </c>
      <c r="AB111" s="191">
        <f>Z111+AA111</f>
        <v/>
      </c>
      <c r="AC111" s="36" t="n">
        <v>0</v>
      </c>
      <c r="AD111" s="5" t="n">
        <v>0</v>
      </c>
      <c r="AE111" s="191">
        <f>AC111-AD111+AB111</f>
        <v/>
      </c>
      <c r="AF111" s="192" t="n">
        <v>0</v>
      </c>
      <c r="AG111" s="191">
        <f>AE111+AF111</f>
        <v/>
      </c>
      <c r="AH111" s="36" t="n">
        <v>0</v>
      </c>
      <c r="AI111" s="5" t="n">
        <v>0</v>
      </c>
      <c r="AJ111" s="191">
        <f>AH111-AI111+AG111</f>
        <v/>
      </c>
      <c r="AK111" s="192" t="n">
        <v>0</v>
      </c>
      <c r="AL111" s="191">
        <f>AJ111+AK111</f>
        <v/>
      </c>
      <c r="AM111" s="35" t="inlineStr">
        <is>
          <t>千葉</t>
        </is>
      </c>
      <c r="AN111" s="35" t="inlineStr">
        <is>
          <t>こもの</t>
        </is>
      </c>
      <c r="AO111" s="5" t="n">
        <v>175</v>
      </c>
      <c r="AP111" s="5" t="n">
        <v>160</v>
      </c>
      <c r="AQ111" s="35" t="n"/>
      <c r="AR111" s="35" t="n"/>
      <c r="AS111" s="122" t="n"/>
      <c r="AT111" s="35" t="n">
        <v>244</v>
      </c>
      <c r="AU111" s="35" t="inlineStr">
        <is>
          <t>㈱ちばとみさと</t>
        </is>
      </c>
    </row>
    <row r="112">
      <c r="A112" s="14" t="inlineStr">
        <is>
          <t>1409-160</t>
        </is>
      </c>
      <c r="B112" s="5" t="inlineStr">
        <is>
          <t>有機小松菜　200g(北総)</t>
        </is>
      </c>
      <c r="C112" s="36" t="n">
        <v>44</v>
      </c>
      <c r="D112" s="36" t="n">
        <v>175</v>
      </c>
      <c r="E112" s="5" t="n">
        <v>0</v>
      </c>
      <c r="F112" s="191">
        <f>D112-E112+C112</f>
        <v/>
      </c>
      <c r="G112" s="192" t="n">
        <v>0</v>
      </c>
      <c r="H112" s="191">
        <f>F112+G112</f>
        <v/>
      </c>
      <c r="I112" s="36" t="n">
        <v>0</v>
      </c>
      <c r="J112" s="5" t="n">
        <v>112</v>
      </c>
      <c r="K112" s="191">
        <f>I112-J112+H112</f>
        <v/>
      </c>
      <c r="L112" s="192" t="n">
        <v>-4</v>
      </c>
      <c r="M112" s="191">
        <f>K112+L112</f>
        <v/>
      </c>
      <c r="N112" s="36" t="n">
        <v>0</v>
      </c>
      <c r="O112" s="5" t="n">
        <v>40</v>
      </c>
      <c r="P112" s="191">
        <f>N112-O112+M112</f>
        <v/>
      </c>
      <c r="Q112" s="192" t="n">
        <v>-12</v>
      </c>
      <c r="R112" s="191">
        <f>P112+Q112</f>
        <v/>
      </c>
      <c r="S112" s="36" t="n">
        <v>150</v>
      </c>
      <c r="T112" s="5" t="n">
        <v>93</v>
      </c>
      <c r="U112" s="191">
        <f>S112-T112+R112</f>
        <v/>
      </c>
      <c r="V112" s="192" t="n">
        <v>0</v>
      </c>
      <c r="W112" s="191">
        <f>U112+V112</f>
        <v/>
      </c>
      <c r="X112" s="36" t="n">
        <v>0</v>
      </c>
      <c r="Y112" s="5" t="n">
        <v>55</v>
      </c>
      <c r="Z112" s="191">
        <f>X112-Y112+W112</f>
        <v/>
      </c>
      <c r="AA112" s="192" t="n">
        <v>-8</v>
      </c>
      <c r="AB112" s="191">
        <f>Z112+AA112</f>
        <v/>
      </c>
      <c r="AC112" s="36" t="n">
        <v>200</v>
      </c>
      <c r="AD112" s="5" t="n">
        <v>65</v>
      </c>
      <c r="AE112" s="191">
        <f>AC112-AD112+AB112</f>
        <v/>
      </c>
      <c r="AF112" s="192" t="n">
        <v>-40</v>
      </c>
      <c r="AG112" s="191">
        <f>AE112+AF112</f>
        <v/>
      </c>
      <c r="AH112" s="36" t="n">
        <v>0</v>
      </c>
      <c r="AI112" s="5" t="n">
        <v>107</v>
      </c>
      <c r="AJ112" s="191">
        <f>AH112-AI112+AG112</f>
        <v/>
      </c>
      <c r="AK112" s="192" t="n">
        <v>-29</v>
      </c>
      <c r="AL112" s="191">
        <f>AJ112+AK112</f>
        <v/>
      </c>
      <c r="AM112" s="35" t="inlineStr">
        <is>
          <t>千葉</t>
        </is>
      </c>
      <c r="AN112" s="35" t="inlineStr">
        <is>
          <t>こもの</t>
        </is>
      </c>
      <c r="AO112" s="5" t="n">
        <v>160</v>
      </c>
      <c r="AP112" s="5" t="n">
        <v>0</v>
      </c>
      <c r="AQ112" s="35" t="n"/>
      <c r="AR112" s="35" t="n"/>
      <c r="AS112" s="122" t="n">
        <v>4582270160067</v>
      </c>
      <c r="AT112" s="35" t="n">
        <v>223</v>
      </c>
      <c r="AU112" s="35" t="inlineStr">
        <is>
          <t>(有)かごしま有機生産組合</t>
        </is>
      </c>
    </row>
    <row r="113">
      <c r="A113" s="14" t="inlineStr">
        <is>
          <t>1409-166</t>
        </is>
      </c>
      <c r="B113" s="5" t="inlineStr">
        <is>
          <t>有機小松菜　200g袋×４(北総)東一</t>
        </is>
      </c>
      <c r="C113" s="36" t="n">
        <v>0</v>
      </c>
      <c r="D113" s="36" t="n">
        <v>0</v>
      </c>
      <c r="E113" s="5" t="n">
        <v>0</v>
      </c>
      <c r="F113" s="191">
        <f>D113-E113+C113</f>
        <v/>
      </c>
      <c r="G113" s="192" t="n">
        <v>0</v>
      </c>
      <c r="H113" s="191">
        <f>F113+G113</f>
        <v/>
      </c>
      <c r="I113" s="36" t="n">
        <v>1</v>
      </c>
      <c r="J113" s="5" t="n">
        <v>1</v>
      </c>
      <c r="K113" s="191">
        <f>I113-J113+H113</f>
        <v/>
      </c>
      <c r="L113" s="192" t="n">
        <v>0</v>
      </c>
      <c r="M113" s="191">
        <f>K113+L113</f>
        <v/>
      </c>
      <c r="N113" s="36" t="n">
        <v>3</v>
      </c>
      <c r="O113" s="5" t="n">
        <v>3</v>
      </c>
      <c r="P113" s="191">
        <f>N113-O113+M113</f>
        <v/>
      </c>
      <c r="Q113" s="192" t="n">
        <v>0</v>
      </c>
      <c r="R113" s="191">
        <f>P113+Q113</f>
        <v/>
      </c>
      <c r="S113" s="36" t="n">
        <v>0</v>
      </c>
      <c r="T113" s="5" t="n">
        <v>0</v>
      </c>
      <c r="U113" s="191">
        <f>S113-T113+R113</f>
        <v/>
      </c>
      <c r="V113" s="192" t="n">
        <v>0</v>
      </c>
      <c r="W113" s="191">
        <f>U113+V113</f>
        <v/>
      </c>
      <c r="X113" s="36" t="n">
        <v>2</v>
      </c>
      <c r="Y113" s="5" t="n">
        <v>2</v>
      </c>
      <c r="Z113" s="191">
        <f>X113-Y113+W113</f>
        <v/>
      </c>
      <c r="AA113" s="192" t="n">
        <v>0</v>
      </c>
      <c r="AB113" s="191">
        <f>Z113+AA113</f>
        <v/>
      </c>
      <c r="AC113" s="36" t="n">
        <v>8</v>
      </c>
      <c r="AD113" s="5" t="n">
        <v>8</v>
      </c>
      <c r="AE113" s="191">
        <f>AC113-AD113+AB113</f>
        <v/>
      </c>
      <c r="AF113" s="192" t="n">
        <v>0</v>
      </c>
      <c r="AG113" s="191">
        <f>AE113+AF113</f>
        <v/>
      </c>
      <c r="AH113" s="36" t="n">
        <v>1</v>
      </c>
      <c r="AI113" s="5" t="n">
        <v>1</v>
      </c>
      <c r="AJ113" s="191">
        <f>AH113-AI113+AG113</f>
        <v/>
      </c>
      <c r="AK113" s="192" t="n">
        <v>0</v>
      </c>
      <c r="AL113" s="191">
        <f>AJ113+AK113</f>
        <v/>
      </c>
      <c r="AM113" s="35" t="inlineStr">
        <is>
          <t>千葉</t>
        </is>
      </c>
      <c r="AN113" s="35" t="inlineStr">
        <is>
          <t>こもの</t>
        </is>
      </c>
      <c r="AO113" s="5" t="n">
        <v>560</v>
      </c>
      <c r="AP113" s="5" t="n">
        <v>0</v>
      </c>
      <c r="AQ113" s="35" t="n"/>
      <c r="AR113" s="35" t="inlineStr">
        <is>
          <t>○</t>
        </is>
      </c>
      <c r="AS113" s="122" t="n">
        <v>4582270160067</v>
      </c>
      <c r="AT113" s="35" t="n"/>
      <c r="AU113" s="35" t="n"/>
    </row>
    <row r="114">
      <c r="A114" s="14" t="inlineStr">
        <is>
          <t>1409-172</t>
        </is>
      </c>
      <c r="B114" s="5" t="inlineStr">
        <is>
          <t>■有機小松菜　200ｇ×25入(北総)</t>
        </is>
      </c>
      <c r="C114" s="36" t="n">
        <v>0</v>
      </c>
      <c r="D114" s="36" t="n">
        <v>0</v>
      </c>
      <c r="E114" s="5" t="n">
        <v>0</v>
      </c>
      <c r="F114" s="191">
        <f>D114-E114+C114</f>
        <v/>
      </c>
      <c r="G114" s="192" t="n">
        <v>0</v>
      </c>
      <c r="H114" s="191">
        <f>F114+G114</f>
        <v/>
      </c>
      <c r="I114" s="36" t="n">
        <v>0</v>
      </c>
      <c r="J114" s="5" t="n">
        <v>0</v>
      </c>
      <c r="K114" s="191">
        <f>I114-J114+H114</f>
        <v/>
      </c>
      <c r="L114" s="192" t="n">
        <v>0</v>
      </c>
      <c r="M114" s="191">
        <f>K114+L114</f>
        <v/>
      </c>
      <c r="N114" s="36" t="n">
        <v>0</v>
      </c>
      <c r="O114" s="5" t="n">
        <v>0</v>
      </c>
      <c r="P114" s="191">
        <f>N114-O114+M114</f>
        <v/>
      </c>
      <c r="Q114" s="192" t="n">
        <v>0</v>
      </c>
      <c r="R114" s="191">
        <f>P114+Q114</f>
        <v/>
      </c>
      <c r="S114" s="36" t="n">
        <v>0</v>
      </c>
      <c r="T114" s="5" t="n">
        <v>0</v>
      </c>
      <c r="U114" s="191">
        <f>S114-T114+R114</f>
        <v/>
      </c>
      <c r="V114" s="192" t="n">
        <v>0</v>
      </c>
      <c r="W114" s="191">
        <f>U114+V114</f>
        <v/>
      </c>
      <c r="X114" s="36" t="n">
        <v>0</v>
      </c>
      <c r="Y114" s="5" t="n">
        <v>0</v>
      </c>
      <c r="Z114" s="191">
        <f>X114-Y114+W114</f>
        <v/>
      </c>
      <c r="AA114" s="192" t="n">
        <v>0</v>
      </c>
      <c r="AB114" s="191">
        <f>Z114+AA114</f>
        <v/>
      </c>
      <c r="AC114" s="36" t="n">
        <v>0</v>
      </c>
      <c r="AD114" s="5" t="n">
        <v>0</v>
      </c>
      <c r="AE114" s="191">
        <f>AC114-AD114+AB114</f>
        <v/>
      </c>
      <c r="AF114" s="192" t="n">
        <v>0</v>
      </c>
      <c r="AG114" s="191">
        <f>AE114+AF114</f>
        <v/>
      </c>
      <c r="AH114" s="36" t="n">
        <v>1</v>
      </c>
      <c r="AI114" s="5" t="n">
        <v>1</v>
      </c>
      <c r="AJ114" s="191">
        <f>AH114-AI114+AG114</f>
        <v/>
      </c>
      <c r="AK114" s="192" t="n">
        <v>0</v>
      </c>
      <c r="AL114" s="191">
        <f>AJ114+AK114</f>
        <v/>
      </c>
      <c r="AM114" s="35" t="inlineStr">
        <is>
          <t>千葉</t>
        </is>
      </c>
      <c r="AN114" s="35" t="inlineStr">
        <is>
          <t>箱</t>
        </is>
      </c>
      <c r="AO114" s="163" t="n">
        <v>3500</v>
      </c>
      <c r="AP114" s="5" t="n">
        <v>0</v>
      </c>
      <c r="AQ114" s="35" t="n"/>
      <c r="AR114" s="35" t="n"/>
      <c r="AS114" s="122" t="n">
        <v>4580450000000</v>
      </c>
      <c r="AT114" s="35" t="n">
        <v>287</v>
      </c>
      <c r="AU114" s="35" t="inlineStr">
        <is>
          <t>(有)北総ベジタブル</t>
        </is>
      </c>
    </row>
    <row r="115">
      <c r="A115" s="14" t="inlineStr">
        <is>
          <t>1409-197</t>
        </is>
      </c>
      <c r="B115" s="5" t="inlineStr">
        <is>
          <t>有機小松菜 150g(丸和)</t>
        </is>
      </c>
      <c r="C115" s="36" t="n">
        <v>0</v>
      </c>
      <c r="D115" s="36" t="n">
        <v>100</v>
      </c>
      <c r="E115" s="5" t="n">
        <v>0</v>
      </c>
      <c r="F115" s="191">
        <f>D115-E115+C115</f>
        <v/>
      </c>
      <c r="G115" s="192" t="n">
        <v>0</v>
      </c>
      <c r="H115" s="191">
        <f>F115+G115</f>
        <v/>
      </c>
      <c r="I115" s="36" t="n">
        <v>0</v>
      </c>
      <c r="J115" s="5" t="n">
        <v>100</v>
      </c>
      <c r="K115" s="191">
        <f>I115-J115+H115</f>
        <v/>
      </c>
      <c r="L115" s="192" t="n">
        <v>0</v>
      </c>
      <c r="M115" s="191">
        <f>K115+L115</f>
        <v/>
      </c>
      <c r="N115" s="36" t="n">
        <v>0</v>
      </c>
      <c r="O115" s="5" t="n">
        <v>0</v>
      </c>
      <c r="P115" s="191">
        <f>N115-O115+M115</f>
        <v/>
      </c>
      <c r="Q115" s="192" t="n">
        <v>0</v>
      </c>
      <c r="R115" s="191">
        <f>P115+Q115</f>
        <v/>
      </c>
      <c r="S115" s="36" t="n">
        <v>0</v>
      </c>
      <c r="T115" s="5" t="n">
        <v>0</v>
      </c>
      <c r="U115" s="191">
        <f>S115-T115+R115</f>
        <v/>
      </c>
      <c r="V115" s="192" t="n">
        <v>0</v>
      </c>
      <c r="W115" s="191">
        <f>U115+V115</f>
        <v/>
      </c>
      <c r="X115" s="36" t="n">
        <v>0</v>
      </c>
      <c r="Y115" s="5" t="n">
        <v>0</v>
      </c>
      <c r="Z115" s="191">
        <f>X115-Y115+W115</f>
        <v/>
      </c>
      <c r="AA115" s="192" t="n">
        <v>0</v>
      </c>
      <c r="AB115" s="191">
        <f>Z115+AA115</f>
        <v/>
      </c>
      <c r="AC115" s="36" t="n">
        <v>0</v>
      </c>
      <c r="AD115" s="5" t="n">
        <v>0</v>
      </c>
      <c r="AE115" s="191">
        <f>AC115-AD115+AB115</f>
        <v/>
      </c>
      <c r="AF115" s="192" t="n">
        <v>0</v>
      </c>
      <c r="AG115" s="191">
        <f>AE115+AF115</f>
        <v/>
      </c>
      <c r="AH115" s="36" t="n">
        <v>0</v>
      </c>
      <c r="AI115" s="5" t="n">
        <v>0</v>
      </c>
      <c r="AJ115" s="191">
        <f>AH115-AI115+AG115</f>
        <v/>
      </c>
      <c r="AK115" s="192" t="n">
        <v>0</v>
      </c>
      <c r="AL115" s="191">
        <f>AJ115+AK115</f>
        <v/>
      </c>
      <c r="AM115" s="35" t="inlineStr">
        <is>
          <t>千葉</t>
        </is>
      </c>
      <c r="AN115" s="35" t="inlineStr">
        <is>
          <t>こもの</t>
        </is>
      </c>
      <c r="AO115" s="5" t="n">
        <v>100</v>
      </c>
      <c r="AP115" s="5" t="n">
        <v>0</v>
      </c>
      <c r="AQ115" s="35" t="n"/>
      <c r="AR115" s="35" t="n"/>
      <c r="AS115" s="122" t="n"/>
      <c r="AT115" s="35" t="n">
        <v>244</v>
      </c>
      <c r="AU115" s="35" t="inlineStr">
        <is>
          <t>㈱ちばとみさと</t>
        </is>
      </c>
    </row>
    <row r="116">
      <c r="A116" s="14" t="inlineStr">
        <is>
          <t>1409-81</t>
        </is>
      </c>
      <c r="B116" s="5" t="inlineStr">
        <is>
          <t>有機小松菜　200g袋 (わ～ふぁ)</t>
        </is>
      </c>
      <c r="C116" s="36" t="n">
        <v>1</v>
      </c>
      <c r="D116" s="36" t="n">
        <v>20</v>
      </c>
      <c r="E116" s="5" t="n">
        <v>0</v>
      </c>
      <c r="F116" s="191">
        <f>D116-E116+C116</f>
        <v/>
      </c>
      <c r="G116" s="192" t="n">
        <v>0</v>
      </c>
      <c r="H116" s="191">
        <f>F116+G116</f>
        <v/>
      </c>
      <c r="I116" s="36" t="n">
        <v>0</v>
      </c>
      <c r="J116" s="5" t="n">
        <v>13</v>
      </c>
      <c r="K116" s="191">
        <f>I116-J116+H116</f>
        <v/>
      </c>
      <c r="L116" s="192" t="n">
        <v>0</v>
      </c>
      <c r="M116" s="191">
        <f>K116+L116</f>
        <v/>
      </c>
      <c r="N116" s="36" t="n">
        <v>0</v>
      </c>
      <c r="O116" s="5" t="n">
        <v>8</v>
      </c>
      <c r="P116" s="191">
        <f>N116-O116+M116</f>
        <v/>
      </c>
      <c r="Q116" s="192" t="n">
        <v>0</v>
      </c>
      <c r="R116" s="191">
        <f>P116+Q116</f>
        <v/>
      </c>
      <c r="S116" s="36" t="n">
        <v>20</v>
      </c>
      <c r="T116" s="5" t="n">
        <v>12</v>
      </c>
      <c r="U116" s="191">
        <f>S116-T116+R116</f>
        <v/>
      </c>
      <c r="V116" s="192" t="n">
        <v>0</v>
      </c>
      <c r="W116" s="191">
        <f>U116+V116</f>
        <v/>
      </c>
      <c r="X116" s="36" t="n">
        <v>0</v>
      </c>
      <c r="Y116" s="5" t="n">
        <v>7</v>
      </c>
      <c r="Z116" s="191">
        <f>X116-Y116+W116</f>
        <v/>
      </c>
      <c r="AA116" s="192" t="n">
        <v>0</v>
      </c>
      <c r="AB116" s="191">
        <f>Z116+AA116</f>
        <v/>
      </c>
      <c r="AC116" s="36" t="n">
        <v>30</v>
      </c>
      <c r="AD116" s="5" t="n">
        <v>9</v>
      </c>
      <c r="AE116" s="191">
        <f>AC116-AD116+AB116</f>
        <v/>
      </c>
      <c r="AF116" s="192" t="n">
        <v>0</v>
      </c>
      <c r="AG116" s="191">
        <f>AE116+AF116</f>
        <v/>
      </c>
      <c r="AH116" s="36" t="n">
        <v>0</v>
      </c>
      <c r="AI116" s="5" t="n">
        <v>13</v>
      </c>
      <c r="AJ116" s="191">
        <f>AH116-AI116+AG116</f>
        <v/>
      </c>
      <c r="AK116" s="192" t="n">
        <v>0</v>
      </c>
      <c r="AL116" s="191">
        <f>AJ116+AK116</f>
        <v/>
      </c>
      <c r="AM116" s="35" t="inlineStr">
        <is>
          <t>千葉</t>
        </is>
      </c>
      <c r="AN116" s="35" t="inlineStr">
        <is>
          <t>こもの</t>
        </is>
      </c>
      <c r="AO116" s="5" t="n">
        <v>180</v>
      </c>
      <c r="AP116" s="5" t="n">
        <v>0</v>
      </c>
      <c r="AQ116" s="35" t="n"/>
      <c r="AR116" s="35" t="n"/>
      <c r="AS116" s="122" t="n">
        <v>4560109260409</v>
      </c>
      <c r="AT116" s="35" t="n">
        <v>231</v>
      </c>
      <c r="AU116" s="35" t="inlineStr">
        <is>
          <t>(有）わ～ふぁ道本</t>
        </is>
      </c>
    </row>
    <row r="117">
      <c r="A117" s="14" t="inlineStr">
        <is>
          <t>1419-1</t>
        </is>
      </c>
      <c r="B117" s="5" t="inlineStr">
        <is>
          <t>有機フリルケール　３枚入（わ～ふぁ）</t>
        </is>
      </c>
      <c r="C117" s="36" t="n">
        <v>8</v>
      </c>
      <c r="D117" s="36" t="n">
        <v>40</v>
      </c>
      <c r="E117" s="5" t="n">
        <v>0</v>
      </c>
      <c r="F117" s="191">
        <f>D117-E117+C117</f>
        <v/>
      </c>
      <c r="G117" s="192" t="n">
        <v>0</v>
      </c>
      <c r="H117" s="191">
        <f>F117+G117</f>
        <v/>
      </c>
      <c r="I117" s="36" t="n">
        <v>0</v>
      </c>
      <c r="J117" s="5" t="n">
        <v>32</v>
      </c>
      <c r="K117" s="191">
        <f>I117-J117+H117</f>
        <v/>
      </c>
      <c r="L117" s="192" t="n">
        <v>0</v>
      </c>
      <c r="M117" s="191">
        <f>K117+L117</f>
        <v/>
      </c>
      <c r="N117" s="36" t="n">
        <v>0</v>
      </c>
      <c r="O117" s="5" t="n">
        <v>12</v>
      </c>
      <c r="P117" s="191">
        <f>N117-O117+M117</f>
        <v/>
      </c>
      <c r="Q117" s="192" t="n">
        <v>0</v>
      </c>
      <c r="R117" s="191">
        <f>P117+Q117</f>
        <v/>
      </c>
      <c r="S117" s="36" t="n">
        <v>40</v>
      </c>
      <c r="T117" s="5" t="n">
        <v>25</v>
      </c>
      <c r="U117" s="191">
        <f>S117-T117+R117</f>
        <v/>
      </c>
      <c r="V117" s="192" t="n">
        <v>0</v>
      </c>
      <c r="W117" s="191">
        <f>U117+V117</f>
        <v/>
      </c>
      <c r="X117" s="36" t="n">
        <v>0</v>
      </c>
      <c r="Y117" s="5" t="n">
        <v>15</v>
      </c>
      <c r="Z117" s="191">
        <f>X117-Y117+W117</f>
        <v/>
      </c>
      <c r="AA117" s="192" t="n">
        <v>0</v>
      </c>
      <c r="AB117" s="191">
        <f>Z117+AA117</f>
        <v/>
      </c>
      <c r="AC117" s="36" t="n">
        <v>60</v>
      </c>
      <c r="AD117" s="5" t="n">
        <v>12</v>
      </c>
      <c r="AE117" s="191">
        <f>AC117-AD117+AB117</f>
        <v/>
      </c>
      <c r="AF117" s="192" t="n">
        <v>-5</v>
      </c>
      <c r="AG117" s="191">
        <f>AE117+AF117</f>
        <v/>
      </c>
      <c r="AH117" s="36" t="n">
        <v>0</v>
      </c>
      <c r="AI117" s="5" t="n">
        <v>46</v>
      </c>
      <c r="AJ117" s="191">
        <f>AH117-AI117+AG117</f>
        <v/>
      </c>
      <c r="AK117" s="192" t="n">
        <v>0</v>
      </c>
      <c r="AL117" s="191">
        <f>AJ117+AK117</f>
        <v/>
      </c>
      <c r="AM117" s="35" t="inlineStr">
        <is>
          <t>千葉</t>
        </is>
      </c>
      <c r="AN117" s="35" t="inlineStr">
        <is>
          <t>こもの</t>
        </is>
      </c>
      <c r="AO117" s="5" t="n">
        <v>180</v>
      </c>
      <c r="AP117" s="5" t="n">
        <v>180</v>
      </c>
      <c r="AQ117" s="35" t="n"/>
      <c r="AR117" s="35" t="n"/>
      <c r="AS117" s="122" t="n">
        <v>4560109261284</v>
      </c>
      <c r="AT117" s="35" t="n">
        <v>231</v>
      </c>
      <c r="AU117" s="35" t="inlineStr">
        <is>
          <t>(有）わ～ふぁ道本</t>
        </is>
      </c>
    </row>
    <row r="118">
      <c r="A118" s="14" t="inlineStr">
        <is>
          <t>1419-15</t>
        </is>
      </c>
      <c r="B118" s="5" t="inlineStr">
        <is>
          <t>有機ケール　緑 80ｇ(富岡)</t>
        </is>
      </c>
      <c r="C118" s="36" t="n">
        <v>106</v>
      </c>
      <c r="D118" s="36" t="n">
        <v>0</v>
      </c>
      <c r="E118" s="5" t="n">
        <v>0</v>
      </c>
      <c r="F118" s="191">
        <f>D118-E118+C118</f>
        <v/>
      </c>
      <c r="G118" s="192" t="n">
        <v>0</v>
      </c>
      <c r="H118" s="191">
        <f>F118+G118</f>
        <v/>
      </c>
      <c r="I118" s="36" t="n">
        <v>80</v>
      </c>
      <c r="J118" s="5" t="n">
        <v>40</v>
      </c>
      <c r="K118" s="191">
        <f>I118-J118+H118</f>
        <v/>
      </c>
      <c r="L118" s="192" t="n">
        <v>0</v>
      </c>
      <c r="M118" s="191">
        <f>K118+L118</f>
        <v/>
      </c>
      <c r="N118" s="36" t="n">
        <v>0</v>
      </c>
      <c r="O118" s="5" t="n">
        <v>32</v>
      </c>
      <c r="P118" s="191">
        <f>N118-O118+M118</f>
        <v/>
      </c>
      <c r="Q118" s="192" t="n">
        <v>0</v>
      </c>
      <c r="R118" s="191">
        <f>P118+Q118</f>
        <v/>
      </c>
      <c r="S118" s="36" t="n">
        <v>0</v>
      </c>
      <c r="T118" s="5" t="n">
        <v>45</v>
      </c>
      <c r="U118" s="191">
        <f>S118-T118+R118</f>
        <v/>
      </c>
      <c r="V118" s="192" t="n">
        <v>0</v>
      </c>
      <c r="W118" s="191">
        <f>U118+V118</f>
        <v/>
      </c>
      <c r="X118" s="36" t="n">
        <v>60</v>
      </c>
      <c r="Y118" s="5" t="n">
        <v>33</v>
      </c>
      <c r="Z118" s="191">
        <f>X118-Y118+W118</f>
        <v/>
      </c>
      <c r="AA118" s="192" t="n">
        <v>0</v>
      </c>
      <c r="AB118" s="191">
        <f>Z118+AA118</f>
        <v/>
      </c>
      <c r="AC118" s="36" t="n">
        <v>0</v>
      </c>
      <c r="AD118" s="5" t="n">
        <v>35</v>
      </c>
      <c r="AE118" s="191">
        <f>AC118-AD118+AB118</f>
        <v/>
      </c>
      <c r="AF118" s="192" t="n">
        <v>0</v>
      </c>
      <c r="AG118" s="191">
        <f>AE118+AF118</f>
        <v/>
      </c>
      <c r="AH118" s="36" t="n">
        <v>60</v>
      </c>
      <c r="AI118" s="5" t="n">
        <v>40</v>
      </c>
      <c r="AJ118" s="191">
        <f>AH118-AI118+AG118</f>
        <v/>
      </c>
      <c r="AK118" s="192" t="n">
        <v>0</v>
      </c>
      <c r="AL118" s="191">
        <f>AJ118+AK118</f>
        <v/>
      </c>
      <c r="AM118" s="35" t="inlineStr">
        <is>
          <t>山梨</t>
        </is>
      </c>
      <c r="AN118" s="35" t="inlineStr">
        <is>
          <t>こもの</t>
        </is>
      </c>
      <c r="AO118" s="5" t="n">
        <v>145</v>
      </c>
      <c r="AP118" s="5" t="n">
        <v>0</v>
      </c>
      <c r="AQ118" s="35" t="n"/>
      <c r="AR118" s="35" t="n"/>
      <c r="AS118" s="122" t="n">
        <v>4560110000000</v>
      </c>
      <c r="AT118" s="35" t="n">
        <v>233</v>
      </c>
      <c r="AU118" s="35" t="inlineStr">
        <is>
          <t>富岡農園　●</t>
        </is>
      </c>
    </row>
    <row r="119">
      <c r="A119" s="14" t="inlineStr">
        <is>
          <t>1419-2</t>
        </is>
      </c>
      <c r="B119" s="5" t="inlineStr">
        <is>
          <t>有機ﾌﾘﾙｹｰﾙ　3枚入×５(わ～ふぁ)東一</t>
        </is>
      </c>
      <c r="C119" s="36" t="n">
        <v>0</v>
      </c>
      <c r="D119" s="36" t="n">
        <v>0</v>
      </c>
      <c r="E119" s="5" t="n">
        <v>0</v>
      </c>
      <c r="F119" s="191">
        <f>D119-E119+C119</f>
        <v/>
      </c>
      <c r="G119" s="192" t="n">
        <v>0</v>
      </c>
      <c r="H119" s="191">
        <f>F119+G119</f>
        <v/>
      </c>
      <c r="I119" s="36" t="n">
        <v>0</v>
      </c>
      <c r="J119" s="5" t="n">
        <v>0</v>
      </c>
      <c r="K119" s="191">
        <f>I119-J119+H119</f>
        <v/>
      </c>
      <c r="L119" s="192" t="n">
        <v>0</v>
      </c>
      <c r="M119" s="191">
        <f>K119+L119</f>
        <v/>
      </c>
      <c r="N119" s="36" t="n">
        <v>0</v>
      </c>
      <c r="O119" s="5" t="n">
        <v>0</v>
      </c>
      <c r="P119" s="191">
        <f>N119-O119+M119</f>
        <v/>
      </c>
      <c r="Q119" s="192" t="n">
        <v>0</v>
      </c>
      <c r="R119" s="191">
        <f>P119+Q119</f>
        <v/>
      </c>
      <c r="S119" s="36" t="n">
        <v>0</v>
      </c>
      <c r="T119" s="5" t="n">
        <v>0</v>
      </c>
      <c r="U119" s="191">
        <f>S119-T119+R119</f>
        <v/>
      </c>
      <c r="V119" s="192" t="n">
        <v>0</v>
      </c>
      <c r="W119" s="191">
        <f>U119+V119</f>
        <v/>
      </c>
      <c r="X119" s="36" t="n">
        <v>0</v>
      </c>
      <c r="Y119" s="5" t="n">
        <v>0</v>
      </c>
      <c r="Z119" s="191">
        <f>X119-Y119+W119</f>
        <v/>
      </c>
      <c r="AA119" s="192" t="n">
        <v>0</v>
      </c>
      <c r="AB119" s="191">
        <f>Z119+AA119</f>
        <v/>
      </c>
      <c r="AC119" s="36" t="n">
        <v>1</v>
      </c>
      <c r="AD119" s="5" t="n">
        <v>1</v>
      </c>
      <c r="AE119" s="191">
        <f>AC119-AD119+AB119</f>
        <v/>
      </c>
      <c r="AF119" s="192" t="n">
        <v>0</v>
      </c>
      <c r="AG119" s="191">
        <f>AE119+AF119</f>
        <v/>
      </c>
      <c r="AH119" s="36" t="n">
        <v>0</v>
      </c>
      <c r="AI119" s="5" t="n">
        <v>0</v>
      </c>
      <c r="AJ119" s="191">
        <f>AH119-AI119+AG119</f>
        <v/>
      </c>
      <c r="AK119" s="192" t="n">
        <v>0</v>
      </c>
      <c r="AL119" s="191">
        <f>AJ119+AK119</f>
        <v/>
      </c>
      <c r="AM119" s="35" t="inlineStr">
        <is>
          <t>千葉</t>
        </is>
      </c>
      <c r="AN119" s="35" t="inlineStr">
        <is>
          <t>こもの</t>
        </is>
      </c>
      <c r="AO119" s="5" t="n">
        <v>950</v>
      </c>
      <c r="AP119" s="5" t="n">
        <v>0</v>
      </c>
      <c r="AQ119" s="35" t="n"/>
      <c r="AR119" s="35" t="inlineStr">
        <is>
          <t>○</t>
        </is>
      </c>
      <c r="AS119" s="122" t="n">
        <v>4560109261284</v>
      </c>
      <c r="AT119" s="35" t="n">
        <v>231</v>
      </c>
      <c r="AU119" s="35" t="inlineStr">
        <is>
          <t>(有）わ～ふぁ道本</t>
        </is>
      </c>
    </row>
    <row r="120">
      <c r="A120" s="14" t="inlineStr">
        <is>
          <t>1419-35</t>
        </is>
      </c>
      <c r="B120" s="5" t="inlineStr">
        <is>
          <t>有機ケール　80ｇ(まるた)</t>
        </is>
      </c>
      <c r="C120" s="36" t="n">
        <v>41</v>
      </c>
      <c r="D120" s="36" t="n">
        <v>0</v>
      </c>
      <c r="E120" s="5" t="n">
        <v>0</v>
      </c>
      <c r="F120" s="191">
        <f>D120-E120+C120</f>
        <v/>
      </c>
      <c r="G120" s="192" t="n">
        <v>0</v>
      </c>
      <c r="H120" s="191">
        <f>F120+G120</f>
        <v/>
      </c>
      <c r="I120" s="36" t="n">
        <v>160</v>
      </c>
      <c r="J120" s="5" t="n">
        <v>66</v>
      </c>
      <c r="K120" s="191">
        <f>I120-J120+H120</f>
        <v/>
      </c>
      <c r="L120" s="192" t="n">
        <v>0</v>
      </c>
      <c r="M120" s="191">
        <f>K120+L120</f>
        <v/>
      </c>
      <c r="N120" s="36" t="n">
        <v>0</v>
      </c>
      <c r="O120" s="5" t="n">
        <v>38</v>
      </c>
      <c r="P120" s="191">
        <f>N120-O120+M120</f>
        <v/>
      </c>
      <c r="Q120" s="192" t="n">
        <v>0</v>
      </c>
      <c r="R120" s="191">
        <f>P120+Q120</f>
        <v/>
      </c>
      <c r="S120" s="36" t="n">
        <v>0</v>
      </c>
      <c r="T120" s="5" t="n">
        <v>65</v>
      </c>
      <c r="U120" s="191">
        <f>S120-T120+R120</f>
        <v/>
      </c>
      <c r="V120" s="192" t="n">
        <v>0</v>
      </c>
      <c r="W120" s="191">
        <f>U120+V120</f>
        <v/>
      </c>
      <c r="X120" s="36" t="n">
        <v>80</v>
      </c>
      <c r="Y120" s="5" t="n">
        <v>38</v>
      </c>
      <c r="Z120" s="191">
        <f>X120-Y120+W120</f>
        <v/>
      </c>
      <c r="AA120" s="192" t="n">
        <v>0</v>
      </c>
      <c r="AB120" s="191">
        <f>Z120+AA120</f>
        <v/>
      </c>
      <c r="AC120" s="36" t="n">
        <v>0</v>
      </c>
      <c r="AD120" s="5" t="n">
        <v>39</v>
      </c>
      <c r="AE120" s="191">
        <f>AC120-AD120+AB120</f>
        <v/>
      </c>
      <c r="AF120" s="192" t="n">
        <v>0</v>
      </c>
      <c r="AG120" s="191">
        <f>AE120+AF120</f>
        <v/>
      </c>
      <c r="AH120" s="36" t="n">
        <v>100</v>
      </c>
      <c r="AI120" s="5" t="n">
        <v>85</v>
      </c>
      <c r="AJ120" s="191">
        <f>AH120-AI120+AG120</f>
        <v/>
      </c>
      <c r="AK120" s="192" t="n">
        <v>0</v>
      </c>
      <c r="AL120" s="191">
        <f>AJ120+AK120</f>
        <v/>
      </c>
      <c r="AM120" s="35" t="inlineStr">
        <is>
          <t>山梨</t>
        </is>
      </c>
      <c r="AN120" s="35" t="inlineStr">
        <is>
          <t>こもの</t>
        </is>
      </c>
      <c r="AO120" s="5" t="n">
        <v>145</v>
      </c>
      <c r="AP120" s="5" t="n">
        <v>0</v>
      </c>
      <c r="AQ120" s="35" t="n"/>
      <c r="AR120" s="35" t="n"/>
      <c r="AS120" s="122" t="n">
        <v>4560110000000</v>
      </c>
      <c r="AT120" s="35" t="n">
        <v>679</v>
      </c>
      <c r="AU120" s="35" t="inlineStr">
        <is>
          <t>増子　太　●（八ヶ岳まるた農場）</t>
        </is>
      </c>
    </row>
    <row r="121">
      <c r="A121" s="14" t="inlineStr">
        <is>
          <t>1443-28</t>
        </is>
      </c>
      <c r="B121" s="5" t="inlineStr">
        <is>
          <t>有機ちんげん菜　２株(わ～ふぁ)</t>
        </is>
      </c>
      <c r="C121" s="36" t="n">
        <v>11</v>
      </c>
      <c r="D121" s="36" t="n">
        <v>30</v>
      </c>
      <c r="E121" s="5" t="n">
        <v>0</v>
      </c>
      <c r="F121" s="191">
        <f>D121-E121+C121</f>
        <v/>
      </c>
      <c r="G121" s="192" t="n">
        <v>0</v>
      </c>
      <c r="H121" s="191">
        <f>F121+G121</f>
        <v/>
      </c>
      <c r="I121" s="36" t="n">
        <v>0</v>
      </c>
      <c r="J121" s="5" t="n">
        <v>21</v>
      </c>
      <c r="K121" s="191">
        <f>I121-J121+H121</f>
        <v/>
      </c>
      <c r="L121" s="192" t="n">
        <v>0</v>
      </c>
      <c r="M121" s="191">
        <f>K121+L121</f>
        <v/>
      </c>
      <c r="N121" s="36" t="n">
        <v>0</v>
      </c>
      <c r="O121" s="5" t="n">
        <v>12</v>
      </c>
      <c r="P121" s="191">
        <f>N121-O121+M121</f>
        <v/>
      </c>
      <c r="Q121" s="192" t="n">
        <v>0</v>
      </c>
      <c r="R121" s="191">
        <f>P121+Q121</f>
        <v/>
      </c>
      <c r="S121" s="36" t="n">
        <v>20</v>
      </c>
      <c r="T121" s="5" t="n">
        <v>21</v>
      </c>
      <c r="U121" s="191">
        <f>S121-T121+R121</f>
        <v/>
      </c>
      <c r="V121" s="192" t="n">
        <v>0</v>
      </c>
      <c r="W121" s="191">
        <f>U121+V121</f>
        <v/>
      </c>
      <c r="X121" s="36" t="n">
        <v>0</v>
      </c>
      <c r="Y121" s="5" t="n">
        <v>2</v>
      </c>
      <c r="Z121" s="191">
        <f>X121-Y121+W121</f>
        <v/>
      </c>
      <c r="AA121" s="192" t="n">
        <v>0</v>
      </c>
      <c r="AB121" s="191">
        <f>Z121+AA121</f>
        <v/>
      </c>
      <c r="AC121" s="36" t="n">
        <v>30</v>
      </c>
      <c r="AD121" s="5" t="n">
        <v>16</v>
      </c>
      <c r="AE121" s="191">
        <f>AC121-AD121+AB121</f>
        <v/>
      </c>
      <c r="AF121" s="192" t="n">
        <v>0</v>
      </c>
      <c r="AG121" s="191">
        <f>AE121+AF121</f>
        <v/>
      </c>
      <c r="AH121" s="36" t="n">
        <v>0</v>
      </c>
      <c r="AI121" s="5" t="n">
        <v>17</v>
      </c>
      <c r="AJ121" s="191">
        <f>AH121-AI121+AG121</f>
        <v/>
      </c>
      <c r="AK121" s="192" t="n">
        <v>0</v>
      </c>
      <c r="AL121" s="191">
        <f>AJ121+AK121</f>
        <v/>
      </c>
      <c r="AM121" s="35" t="inlineStr">
        <is>
          <t>千葉</t>
        </is>
      </c>
      <c r="AN121" s="35" t="inlineStr">
        <is>
          <t>こもの</t>
        </is>
      </c>
      <c r="AO121" s="5" t="n">
        <v>185</v>
      </c>
      <c r="AP121" s="5" t="n">
        <v>0</v>
      </c>
      <c r="AQ121" s="35" t="n"/>
      <c r="AR121" s="35" t="n"/>
      <c r="AS121" s="122" t="n">
        <v>4560109260775</v>
      </c>
      <c r="AT121" s="35" t="n"/>
      <c r="AU121" s="35" t="n"/>
    </row>
    <row r="122">
      <c r="A122" s="14" t="inlineStr">
        <is>
          <t>1448-17</t>
        </is>
      </c>
      <c r="B122" s="5" t="inlineStr">
        <is>
          <t>春菊　150g(さんぶ)</t>
        </is>
      </c>
      <c r="C122" s="36" t="n">
        <v>0</v>
      </c>
      <c r="D122" s="36" t="n">
        <v>60</v>
      </c>
      <c r="E122" s="5" t="n">
        <v>0</v>
      </c>
      <c r="F122" s="191">
        <f>D122-E122+C122</f>
        <v/>
      </c>
      <c r="G122" s="192" t="n">
        <v>0</v>
      </c>
      <c r="H122" s="191">
        <f>F122+G122</f>
        <v/>
      </c>
      <c r="I122" s="36" t="n">
        <v>0</v>
      </c>
      <c r="J122" s="5" t="n">
        <v>19</v>
      </c>
      <c r="K122" s="191">
        <f>I122-J122+H122</f>
        <v/>
      </c>
      <c r="L122" s="192" t="n">
        <v>0</v>
      </c>
      <c r="M122" s="191">
        <f>K122+L122</f>
        <v/>
      </c>
      <c r="N122" s="36" t="n">
        <v>0</v>
      </c>
      <c r="O122" s="5" t="n">
        <v>17</v>
      </c>
      <c r="P122" s="191">
        <f>N122-O122+M122</f>
        <v/>
      </c>
      <c r="Q122" s="192" t="n">
        <v>0</v>
      </c>
      <c r="R122" s="191">
        <f>P122+Q122</f>
        <v/>
      </c>
      <c r="S122" s="36" t="n">
        <v>0</v>
      </c>
      <c r="T122" s="5" t="n">
        <v>12</v>
      </c>
      <c r="U122" s="191">
        <f>S122-T122+R122</f>
        <v/>
      </c>
      <c r="V122" s="192" t="n">
        <v>0</v>
      </c>
      <c r="W122" s="191">
        <f>U122+V122</f>
        <v/>
      </c>
      <c r="X122" s="36" t="n">
        <v>0</v>
      </c>
      <c r="Y122" s="5" t="n">
        <v>6</v>
      </c>
      <c r="Z122" s="191">
        <f>X122-Y122+W122</f>
        <v/>
      </c>
      <c r="AA122" s="192" t="n">
        <v>0</v>
      </c>
      <c r="AB122" s="191">
        <f>Z122+AA122</f>
        <v/>
      </c>
      <c r="AC122" s="36" t="n">
        <v>30</v>
      </c>
      <c r="AD122" s="5" t="n">
        <v>14</v>
      </c>
      <c r="AE122" s="191">
        <f>AC122-AD122+AB122</f>
        <v/>
      </c>
      <c r="AF122" s="192" t="n">
        <v>0</v>
      </c>
      <c r="AG122" s="191">
        <f>AE122+AF122</f>
        <v/>
      </c>
      <c r="AH122" s="36" t="n">
        <v>0</v>
      </c>
      <c r="AI122" s="5" t="n">
        <v>10</v>
      </c>
      <c r="AJ122" s="191">
        <f>AH122-AI122+AG122</f>
        <v/>
      </c>
      <c r="AK122" s="192" t="n">
        <v>0</v>
      </c>
      <c r="AL122" s="191">
        <f>AJ122+AK122</f>
        <v/>
      </c>
      <c r="AM122" s="35" t="inlineStr">
        <is>
          <t>千葉</t>
        </is>
      </c>
      <c r="AN122" s="35" t="inlineStr">
        <is>
          <t>こもの</t>
        </is>
      </c>
      <c r="AO122" s="5" t="n">
        <v>170</v>
      </c>
      <c r="AP122" s="5" t="n">
        <v>0</v>
      </c>
      <c r="AQ122" s="35" t="n"/>
      <c r="AR122" s="35" t="n"/>
      <c r="AS122" s="122" t="n"/>
      <c r="AT122" s="35" t="n">
        <v>188</v>
      </c>
      <c r="AU122" s="35" t="inlineStr">
        <is>
          <t>農事組合法人 さんぶ野菜ネットワーク</t>
        </is>
      </c>
    </row>
    <row r="123">
      <c r="A123" s="14" t="inlineStr">
        <is>
          <t>1448-36</t>
        </is>
      </c>
      <c r="B123" s="5" t="inlineStr">
        <is>
          <t>有機春菊　100ｇ(わ～ふぁ)</t>
        </is>
      </c>
      <c r="C123" s="36" t="n">
        <v>17</v>
      </c>
      <c r="D123" s="36" t="n">
        <v>10</v>
      </c>
      <c r="E123" s="5" t="n">
        <v>0</v>
      </c>
      <c r="F123" s="191">
        <f>D123-E123+C123</f>
        <v/>
      </c>
      <c r="G123" s="192" t="n">
        <v>0</v>
      </c>
      <c r="H123" s="191">
        <f>F123+G123</f>
        <v/>
      </c>
      <c r="I123" s="36" t="n">
        <v>0</v>
      </c>
      <c r="J123" s="5" t="n">
        <v>8</v>
      </c>
      <c r="K123" s="191">
        <f>I123-J123+H123</f>
        <v/>
      </c>
      <c r="L123" s="192" t="n">
        <v>0</v>
      </c>
      <c r="M123" s="191">
        <f>K123+L123</f>
        <v/>
      </c>
      <c r="N123" s="36" t="n">
        <v>0</v>
      </c>
      <c r="O123" s="5" t="n">
        <v>2</v>
      </c>
      <c r="P123" s="191">
        <f>N123-O123+M123</f>
        <v/>
      </c>
      <c r="Q123" s="192" t="n">
        <v>0</v>
      </c>
      <c r="R123" s="191">
        <f>P123+Q123</f>
        <v/>
      </c>
      <c r="S123" s="36" t="n">
        <v>10</v>
      </c>
      <c r="T123" s="5" t="n">
        <v>2</v>
      </c>
      <c r="U123" s="191">
        <f>S123-T123+R123</f>
        <v/>
      </c>
      <c r="V123" s="192" t="n">
        <v>0</v>
      </c>
      <c r="W123" s="191">
        <f>U123+V123</f>
        <v/>
      </c>
      <c r="X123" s="36" t="n">
        <v>0</v>
      </c>
      <c r="Y123" s="5" t="n">
        <v>2</v>
      </c>
      <c r="Z123" s="191">
        <f>X123-Y123+W123</f>
        <v/>
      </c>
      <c r="AA123" s="192" t="n">
        <v>0</v>
      </c>
      <c r="AB123" s="191">
        <f>Z123+AA123</f>
        <v/>
      </c>
      <c r="AC123" s="36" t="n">
        <v>10</v>
      </c>
      <c r="AD123" s="5" t="n">
        <v>2</v>
      </c>
      <c r="AE123" s="191">
        <f>AC123-AD123+AB123</f>
        <v/>
      </c>
      <c r="AF123" s="192" t="n">
        <v>0</v>
      </c>
      <c r="AG123" s="191">
        <f>AE123+AF123</f>
        <v/>
      </c>
      <c r="AH123" s="36" t="n">
        <v>0</v>
      </c>
      <c r="AI123" s="5" t="n">
        <v>7</v>
      </c>
      <c r="AJ123" s="191">
        <f>AH123-AI123+AG123</f>
        <v/>
      </c>
      <c r="AK123" s="192" t="n">
        <v>0</v>
      </c>
      <c r="AL123" s="191">
        <f>AJ123+AK123</f>
        <v/>
      </c>
      <c r="AM123" s="35" t="inlineStr">
        <is>
          <t>千葉</t>
        </is>
      </c>
      <c r="AN123" s="35" t="inlineStr">
        <is>
          <t>こもの</t>
        </is>
      </c>
      <c r="AO123" s="5" t="n">
        <v>180</v>
      </c>
      <c r="AP123" s="5" t="n">
        <v>0</v>
      </c>
      <c r="AQ123" s="35" t="n"/>
      <c r="AR123" s="35" t="n"/>
      <c r="AS123" s="122" t="n">
        <v>4560109260751</v>
      </c>
      <c r="AT123" s="35" t="n">
        <v>231</v>
      </c>
      <c r="AU123" s="35" t="inlineStr">
        <is>
          <t>(有）わ～ふぁ道本</t>
        </is>
      </c>
    </row>
    <row r="124">
      <c r="A124" s="14" t="inlineStr">
        <is>
          <t>1468-3</t>
        </is>
      </c>
      <c r="B124" s="5" t="inlineStr">
        <is>
          <t>有機山東菜　150ｇ（わ～ふぁ）</t>
        </is>
      </c>
      <c r="C124" s="36" t="n">
        <v>8</v>
      </c>
      <c r="D124" s="36" t="n">
        <v>30</v>
      </c>
      <c r="E124" s="5" t="n">
        <v>0</v>
      </c>
      <c r="F124" s="191">
        <f>D124-E124+C124</f>
        <v/>
      </c>
      <c r="G124" s="192" t="n">
        <v>0</v>
      </c>
      <c r="H124" s="191">
        <f>F124+G124</f>
        <v/>
      </c>
      <c r="I124" s="36" t="n">
        <v>0</v>
      </c>
      <c r="J124" s="5" t="n">
        <v>25</v>
      </c>
      <c r="K124" s="191">
        <f>I124-J124+H124</f>
        <v/>
      </c>
      <c r="L124" s="192" t="n">
        <v>0</v>
      </c>
      <c r="M124" s="191">
        <f>K124+L124</f>
        <v/>
      </c>
      <c r="N124" s="36" t="n">
        <v>0</v>
      </c>
      <c r="O124" s="5" t="n">
        <v>10</v>
      </c>
      <c r="P124" s="191">
        <f>N124-O124+M124</f>
        <v/>
      </c>
      <c r="Q124" s="192" t="n">
        <v>0</v>
      </c>
      <c r="R124" s="191">
        <f>P124+Q124</f>
        <v/>
      </c>
      <c r="S124" s="36" t="n">
        <v>30</v>
      </c>
      <c r="T124" s="5" t="n">
        <v>14</v>
      </c>
      <c r="U124" s="191">
        <f>S124-T124+R124</f>
        <v/>
      </c>
      <c r="V124" s="192" t="n">
        <v>0</v>
      </c>
      <c r="W124" s="191">
        <f>U124+V124</f>
        <v/>
      </c>
      <c r="X124" s="36" t="n">
        <v>0</v>
      </c>
      <c r="Y124" s="5" t="n">
        <v>14</v>
      </c>
      <c r="Z124" s="191">
        <f>X124-Y124+W124</f>
        <v/>
      </c>
      <c r="AA124" s="192" t="n">
        <v>0</v>
      </c>
      <c r="AB124" s="191">
        <f>Z124+AA124</f>
        <v/>
      </c>
      <c r="AC124" s="36" t="n">
        <v>20</v>
      </c>
      <c r="AD124" s="5" t="n">
        <v>14</v>
      </c>
      <c r="AE124" s="191">
        <f>AC124-AD124+AB124</f>
        <v/>
      </c>
      <c r="AF124" s="192" t="n">
        <v>0</v>
      </c>
      <c r="AG124" s="191">
        <f>AE124+AF124</f>
        <v/>
      </c>
      <c r="AH124" s="36" t="n">
        <v>0</v>
      </c>
      <c r="AI124" s="5" t="n">
        <v>11</v>
      </c>
      <c r="AJ124" s="191">
        <f>AH124-AI124+AG124</f>
        <v/>
      </c>
      <c r="AK124" s="192" t="n">
        <v>0</v>
      </c>
      <c r="AL124" s="191">
        <f>AJ124+AK124</f>
        <v/>
      </c>
      <c r="AM124" s="35" t="inlineStr">
        <is>
          <t>千葉</t>
        </is>
      </c>
      <c r="AN124" s="35" t="inlineStr">
        <is>
          <t>こもの</t>
        </is>
      </c>
      <c r="AO124" s="5" t="n">
        <v>170</v>
      </c>
      <c r="AP124" s="5" t="n">
        <v>0</v>
      </c>
      <c r="AQ124" s="35" t="n"/>
      <c r="AR124" s="35" t="n"/>
      <c r="AS124" s="122" t="n">
        <v>4560109260362</v>
      </c>
      <c r="AT124" s="35" t="n">
        <v>231</v>
      </c>
      <c r="AU124" s="35" t="inlineStr">
        <is>
          <t>(有）わ～ふぁ道本</t>
        </is>
      </c>
    </row>
    <row r="125">
      <c r="A125" s="14" t="inlineStr">
        <is>
          <t>1470-55</t>
        </is>
      </c>
      <c r="B125" s="5" t="inlineStr">
        <is>
          <t>有機水菜 200g袋 (わ～ふぁ・産ﾊﾟ)</t>
        </is>
      </c>
      <c r="C125" s="36" t="n">
        <v>13</v>
      </c>
      <c r="D125" s="36" t="n">
        <v>10</v>
      </c>
      <c r="E125" s="5" t="n">
        <v>0</v>
      </c>
      <c r="F125" s="191">
        <f>D125-E125+C125</f>
        <v/>
      </c>
      <c r="G125" s="192" t="n">
        <v>0</v>
      </c>
      <c r="H125" s="191">
        <f>F125+G125</f>
        <v/>
      </c>
      <c r="I125" s="36" t="n">
        <v>0</v>
      </c>
      <c r="J125" s="5" t="n">
        <v>8</v>
      </c>
      <c r="K125" s="191">
        <f>I125-J125+H125</f>
        <v/>
      </c>
      <c r="L125" s="192" t="n">
        <v>0</v>
      </c>
      <c r="M125" s="191">
        <f>K125+L125</f>
        <v/>
      </c>
      <c r="N125" s="36" t="n">
        <v>0</v>
      </c>
      <c r="O125" s="5" t="n">
        <v>4</v>
      </c>
      <c r="P125" s="191">
        <f>N125-O125+M125</f>
        <v/>
      </c>
      <c r="Q125" s="192" t="n">
        <v>0</v>
      </c>
      <c r="R125" s="191">
        <f>P125+Q125</f>
        <v/>
      </c>
      <c r="S125" s="36" t="n">
        <v>20</v>
      </c>
      <c r="T125" s="5" t="n">
        <v>16</v>
      </c>
      <c r="U125" s="191">
        <f>S125-T125+R125</f>
        <v/>
      </c>
      <c r="V125" s="192" t="n">
        <v>0</v>
      </c>
      <c r="W125" s="191">
        <f>U125+V125</f>
        <v/>
      </c>
      <c r="X125" s="36" t="n">
        <v>0</v>
      </c>
      <c r="Y125" s="5" t="n">
        <v>4</v>
      </c>
      <c r="Z125" s="191">
        <f>X125-Y125+W125</f>
        <v/>
      </c>
      <c r="AA125" s="192" t="n">
        <v>0</v>
      </c>
      <c r="AB125" s="191">
        <f>Z125+AA125</f>
        <v/>
      </c>
      <c r="AC125" s="36" t="n">
        <v>20</v>
      </c>
      <c r="AD125" s="5" t="n">
        <v>5</v>
      </c>
      <c r="AE125" s="191">
        <f>AC125-AD125+AB125</f>
        <v/>
      </c>
      <c r="AF125" s="192" t="n">
        <v>0</v>
      </c>
      <c r="AG125" s="191">
        <f>AE125+AF125</f>
        <v/>
      </c>
      <c r="AH125" s="36" t="n">
        <v>0</v>
      </c>
      <c r="AI125" s="5" t="n">
        <v>20</v>
      </c>
      <c r="AJ125" s="191">
        <f>AH125-AI125+AG125</f>
        <v/>
      </c>
      <c r="AK125" s="192" t="n">
        <v>0</v>
      </c>
      <c r="AL125" s="191">
        <f>AJ125+AK125</f>
        <v/>
      </c>
      <c r="AM125" s="35" t="inlineStr">
        <is>
          <t>千葉</t>
        </is>
      </c>
      <c r="AN125" s="35" t="inlineStr">
        <is>
          <t>こもの</t>
        </is>
      </c>
      <c r="AO125" s="5" t="n">
        <v>190</v>
      </c>
      <c r="AP125" s="5" t="n">
        <v>170</v>
      </c>
      <c r="AQ125" s="35" t="n"/>
      <c r="AR125" s="35" t="n"/>
      <c r="AS125" s="122" t="n">
        <v>4560109260317</v>
      </c>
      <c r="AT125" s="35" t="n">
        <v>231</v>
      </c>
      <c r="AU125" s="35" t="inlineStr">
        <is>
          <t>(有）わ～ふぁ道本</t>
        </is>
      </c>
    </row>
    <row r="126">
      <c r="A126" s="14" t="inlineStr">
        <is>
          <t>1502-148</t>
        </is>
      </c>
      <c r="B126" s="5" t="inlineStr">
        <is>
          <t>キャベツ　1個袋(キテレツ)不不</t>
        </is>
      </c>
      <c r="C126" s="36" t="n">
        <v>4</v>
      </c>
      <c r="D126" s="36" t="n">
        <v>0</v>
      </c>
      <c r="E126" s="5" t="n">
        <v>0</v>
      </c>
      <c r="F126" s="191">
        <f>D126-E126+C126</f>
        <v/>
      </c>
      <c r="G126" s="192" t="n">
        <v>0</v>
      </c>
      <c r="H126" s="191">
        <f>F126+G126</f>
        <v/>
      </c>
      <c r="I126" s="36" t="n">
        <v>20</v>
      </c>
      <c r="J126" s="5" t="n">
        <v>15</v>
      </c>
      <c r="K126" s="191">
        <f>I126-J126+H126</f>
        <v/>
      </c>
      <c r="L126" s="192" t="n">
        <v>0</v>
      </c>
      <c r="M126" s="191">
        <f>K126+L126</f>
        <v/>
      </c>
      <c r="N126" s="36" t="n">
        <v>0</v>
      </c>
      <c r="O126" s="5" t="n">
        <v>15</v>
      </c>
      <c r="P126" s="191">
        <f>N126-O126+M126</f>
        <v/>
      </c>
      <c r="Q126" s="192" t="n">
        <v>0</v>
      </c>
      <c r="R126" s="191">
        <f>P126+Q126</f>
        <v/>
      </c>
      <c r="S126" s="36" t="n">
        <v>30</v>
      </c>
      <c r="T126" s="5" t="n">
        <v>15</v>
      </c>
      <c r="U126" s="191">
        <f>S126-T126+R126</f>
        <v/>
      </c>
      <c r="V126" s="192" t="n">
        <v>0</v>
      </c>
      <c r="W126" s="191">
        <f>U126+V126</f>
        <v/>
      </c>
      <c r="X126" s="36" t="n">
        <v>0</v>
      </c>
      <c r="Y126" s="5" t="n">
        <v>15</v>
      </c>
      <c r="Z126" s="191">
        <f>X126-Y126+W126</f>
        <v/>
      </c>
      <c r="AA126" s="192" t="n">
        <v>0</v>
      </c>
      <c r="AB126" s="191">
        <f>Z126+AA126</f>
        <v/>
      </c>
      <c r="AC126" s="36" t="n">
        <v>50</v>
      </c>
      <c r="AD126" s="5" t="n">
        <v>15</v>
      </c>
      <c r="AE126" s="191">
        <f>AC126-AD126+AB126</f>
        <v/>
      </c>
      <c r="AF126" s="192" t="n">
        <v>0</v>
      </c>
      <c r="AG126" s="191">
        <f>AE126+AF126</f>
        <v/>
      </c>
      <c r="AH126" s="36" t="n">
        <v>0</v>
      </c>
      <c r="AI126" s="5" t="n">
        <v>35</v>
      </c>
      <c r="AJ126" s="191">
        <f>AH126-AI126+AG126</f>
        <v/>
      </c>
      <c r="AK126" s="192" t="n">
        <v>0</v>
      </c>
      <c r="AL126" s="191">
        <f>AJ126+AK126</f>
        <v/>
      </c>
      <c r="AM126" s="35" t="inlineStr">
        <is>
          <t>東京</t>
        </is>
      </c>
      <c r="AN126" s="35" t="inlineStr">
        <is>
          <t>こもの</t>
        </is>
      </c>
      <c r="AO126" s="5" t="n">
        <v>175</v>
      </c>
      <c r="AP126" s="5" t="n">
        <v>0</v>
      </c>
      <c r="AQ126" s="35" t="n"/>
      <c r="AR126" s="35" t="n"/>
      <c r="AS126" s="122" t="n"/>
      <c r="AT126" s="35" t="n">
        <v>693</v>
      </c>
      <c r="AU126" s="35" t="inlineStr">
        <is>
          <t>キテレツファーム</t>
        </is>
      </c>
    </row>
    <row r="127">
      <c r="A127" s="14" t="inlineStr">
        <is>
          <t>1502-149</t>
        </is>
      </c>
      <c r="B127" s="5" t="inlineStr">
        <is>
          <t>■キャベツ　８玉ｺﾝﾃﾅ(キテレツ)不不</t>
        </is>
      </c>
      <c r="C127" s="36" t="n">
        <v>10</v>
      </c>
      <c r="D127" s="36" t="n">
        <v>0</v>
      </c>
      <c r="E127" s="5" t="n">
        <v>0</v>
      </c>
      <c r="F127" s="191">
        <f>D127-E127+C127</f>
        <v/>
      </c>
      <c r="G127" s="192" t="n">
        <v>0</v>
      </c>
      <c r="H127" s="191">
        <f>F127+G127</f>
        <v/>
      </c>
      <c r="I127" s="36" t="n">
        <v>5</v>
      </c>
      <c r="J127" s="5" t="n">
        <v>2</v>
      </c>
      <c r="K127" s="191">
        <f>I127-J127+H127</f>
        <v/>
      </c>
      <c r="L127" s="192" t="n">
        <v>0</v>
      </c>
      <c r="M127" s="191">
        <f>K127+L127</f>
        <v/>
      </c>
      <c r="N127" s="36" t="n">
        <v>0</v>
      </c>
      <c r="O127" s="5" t="n">
        <v>3</v>
      </c>
      <c r="P127" s="191">
        <f>N127-O127+M127</f>
        <v/>
      </c>
      <c r="Q127" s="192" t="n">
        <v>0</v>
      </c>
      <c r="R127" s="191">
        <f>P127+Q127</f>
        <v/>
      </c>
      <c r="S127" s="36" t="n">
        <v>5</v>
      </c>
      <c r="T127" s="5" t="n">
        <v>3</v>
      </c>
      <c r="U127" s="191">
        <f>S127-T127+R127</f>
        <v/>
      </c>
      <c r="V127" s="192" t="n">
        <v>0</v>
      </c>
      <c r="W127" s="191">
        <f>U127+V127</f>
        <v/>
      </c>
      <c r="X127" s="36" t="n">
        <v>0</v>
      </c>
      <c r="Y127" s="5" t="n">
        <v>2</v>
      </c>
      <c r="Z127" s="191">
        <f>X127-Y127+W127</f>
        <v/>
      </c>
      <c r="AA127" s="192" t="n">
        <v>0</v>
      </c>
      <c r="AB127" s="191">
        <f>Z127+AA127</f>
        <v/>
      </c>
      <c r="AC127" s="36" t="n">
        <v>5</v>
      </c>
      <c r="AD127" s="5" t="n">
        <v>4</v>
      </c>
      <c r="AE127" s="191">
        <f>AC127-AD127+AB127</f>
        <v/>
      </c>
      <c r="AF127" s="192" t="n">
        <v>0</v>
      </c>
      <c r="AG127" s="191">
        <f>AE127+AF127</f>
        <v/>
      </c>
      <c r="AH127" s="36" t="n">
        <v>0</v>
      </c>
      <c r="AI127" s="5" t="n">
        <v>7</v>
      </c>
      <c r="AJ127" s="191">
        <f>AH127-AI127+AG127</f>
        <v/>
      </c>
      <c r="AK127" s="192" t="n">
        <v>0</v>
      </c>
      <c r="AL127" s="191">
        <f>AJ127+AK127</f>
        <v/>
      </c>
      <c r="AM127" s="35" t="inlineStr">
        <is>
          <t>東京</t>
        </is>
      </c>
      <c r="AN127" s="35" t="inlineStr">
        <is>
          <t>箱</t>
        </is>
      </c>
      <c r="AO127" s="163" t="n">
        <v>1520</v>
      </c>
      <c r="AP127" s="5" t="n">
        <v>0</v>
      </c>
      <c r="AQ127" s="35" t="n"/>
      <c r="AR127" s="35" t="n"/>
      <c r="AS127" s="122" t="n"/>
      <c r="AT127" s="35" t="n">
        <v>693</v>
      </c>
      <c r="AU127" s="35" t="inlineStr">
        <is>
          <t>キテレツファーム</t>
        </is>
      </c>
    </row>
    <row r="128">
      <c r="A128" s="14" t="inlineStr">
        <is>
          <t>1509-108</t>
        </is>
      </c>
      <c r="B128" s="5" t="inlineStr">
        <is>
          <t>有機グリーンボール　1玉(ﾌｧｰﾏｰｽﾞ)◇</t>
        </is>
      </c>
      <c r="C128" s="36" t="n">
        <v>6</v>
      </c>
      <c r="D128" s="36" t="n">
        <v>0</v>
      </c>
      <c r="E128" s="5" t="n">
        <v>0</v>
      </c>
      <c r="F128" s="191">
        <f>D128-E128+C128</f>
        <v/>
      </c>
      <c r="G128" s="192" t="n">
        <v>0</v>
      </c>
      <c r="H128" s="191">
        <f>F128+G128</f>
        <v/>
      </c>
      <c r="I128" s="36" t="n">
        <v>0</v>
      </c>
      <c r="J128" s="5" t="n">
        <v>3</v>
      </c>
      <c r="K128" s="191">
        <f>I128-J128+H128</f>
        <v/>
      </c>
      <c r="L128" s="192" t="n">
        <v>0</v>
      </c>
      <c r="M128" s="191">
        <f>K128+L128</f>
        <v/>
      </c>
      <c r="N128" s="36" t="n">
        <v>40</v>
      </c>
      <c r="O128" s="5" t="n">
        <v>7</v>
      </c>
      <c r="P128" s="191">
        <f>N128-O128+M128</f>
        <v/>
      </c>
      <c r="Q128" s="192" t="n">
        <v>0</v>
      </c>
      <c r="R128" s="191">
        <f>P128+Q128</f>
        <v/>
      </c>
      <c r="S128" s="36" t="n">
        <v>0</v>
      </c>
      <c r="T128" s="5" t="n">
        <v>7</v>
      </c>
      <c r="U128" s="191">
        <f>S128-T128+R128</f>
        <v/>
      </c>
      <c r="V128" s="192" t="n">
        <v>0</v>
      </c>
      <c r="W128" s="191">
        <f>U128+V128</f>
        <v/>
      </c>
      <c r="X128" s="36" t="n">
        <v>80</v>
      </c>
      <c r="Y128" s="5" t="n">
        <v>7</v>
      </c>
      <c r="Z128" s="191">
        <f>X128-Y128+W128</f>
        <v/>
      </c>
      <c r="AA128" s="192" t="n">
        <v>0</v>
      </c>
      <c r="AB128" s="191">
        <f>Z128+AA128</f>
        <v/>
      </c>
      <c r="AC128" s="36" t="n">
        <v>0</v>
      </c>
      <c r="AD128" s="5" t="n">
        <v>7</v>
      </c>
      <c r="AE128" s="191">
        <f>AC128-AD128+AB128</f>
        <v/>
      </c>
      <c r="AF128" s="192" t="n">
        <v>0</v>
      </c>
      <c r="AG128" s="191">
        <f>AE128+AF128</f>
        <v/>
      </c>
      <c r="AH128" s="36" t="n">
        <v>0</v>
      </c>
      <c r="AI128" s="5" t="n">
        <v>19</v>
      </c>
      <c r="AJ128" s="191">
        <f>AH128-AI128+AG128</f>
        <v/>
      </c>
      <c r="AK128" s="192" t="n">
        <v>0</v>
      </c>
      <c r="AL128" s="191">
        <f>AJ128+AK128</f>
        <v/>
      </c>
      <c r="AM128" s="35" t="inlineStr">
        <is>
          <t>山梨</t>
        </is>
      </c>
      <c r="AN128" s="35" t="inlineStr">
        <is>
          <t>こもの</t>
        </is>
      </c>
      <c r="AO128" s="5" t="n">
        <v>185</v>
      </c>
      <c r="AP128" s="5" t="n">
        <v>0</v>
      </c>
      <c r="AQ128" s="35" t="n"/>
      <c r="AR128" s="35" t="n"/>
      <c r="AS128" s="122" t="n"/>
      <c r="AT128" s="35" t="n">
        <v>233</v>
      </c>
      <c r="AU128" s="35" t="inlineStr">
        <is>
          <t>富岡農園　●</t>
        </is>
      </c>
    </row>
    <row r="129">
      <c r="A129" s="14" t="inlineStr">
        <is>
          <t>1509-118</t>
        </is>
      </c>
      <c r="B129" s="5" t="inlineStr">
        <is>
          <t>有機キャベツ １玉包（丸和）◇</t>
        </is>
      </c>
      <c r="C129" s="36" t="n">
        <v>3</v>
      </c>
      <c r="D129" s="36" t="n">
        <v>0</v>
      </c>
      <c r="E129" s="5" t="n">
        <v>0</v>
      </c>
      <c r="F129" s="191">
        <f>D129-E129+C129</f>
        <v/>
      </c>
      <c r="G129" s="192" t="n">
        <v>0</v>
      </c>
      <c r="H129" s="191">
        <f>F129+G129</f>
        <v/>
      </c>
      <c r="I129" s="36" t="n">
        <v>8</v>
      </c>
      <c r="J129" s="5" t="n">
        <v>6</v>
      </c>
      <c r="K129" s="191">
        <f>I129-J129+H129</f>
        <v/>
      </c>
      <c r="L129" s="192" t="n">
        <v>0</v>
      </c>
      <c r="M129" s="191">
        <f>K129+L129</f>
        <v/>
      </c>
      <c r="N129" s="36" t="n">
        <v>0</v>
      </c>
      <c r="O129" s="5" t="n">
        <v>0</v>
      </c>
      <c r="P129" s="191">
        <f>N129-O129+M129</f>
        <v/>
      </c>
      <c r="Q129" s="192" t="n">
        <v>0</v>
      </c>
      <c r="R129" s="191">
        <f>P129+Q129</f>
        <v/>
      </c>
      <c r="S129" s="36" t="n">
        <v>0</v>
      </c>
      <c r="T129" s="5" t="n">
        <v>4</v>
      </c>
      <c r="U129" s="191">
        <f>S129-T129+R129</f>
        <v/>
      </c>
      <c r="V129" s="192" t="n">
        <v>0</v>
      </c>
      <c r="W129" s="191">
        <f>U129+V129</f>
        <v/>
      </c>
      <c r="X129" s="36" t="n">
        <v>0</v>
      </c>
      <c r="Y129" s="5" t="n">
        <v>0</v>
      </c>
      <c r="Z129" s="191">
        <f>X129-Y129+W129</f>
        <v/>
      </c>
      <c r="AA129" s="192" t="n">
        <v>0</v>
      </c>
      <c r="AB129" s="191">
        <f>Z129+AA129</f>
        <v/>
      </c>
      <c r="AC129" s="36" t="n">
        <v>0</v>
      </c>
      <c r="AD129" s="5" t="n">
        <v>4</v>
      </c>
      <c r="AE129" s="191">
        <f>AC129-AD129+AB129</f>
        <v/>
      </c>
      <c r="AF129" s="192" t="n">
        <v>0</v>
      </c>
      <c r="AG129" s="191">
        <f>AE129+AF129</f>
        <v/>
      </c>
      <c r="AH129" s="36" t="n">
        <v>0</v>
      </c>
      <c r="AI129" s="5" t="n">
        <v>0</v>
      </c>
      <c r="AJ129" s="191">
        <f>AH129-AI129+AG129</f>
        <v/>
      </c>
      <c r="AK129" s="192" t="n">
        <v>0</v>
      </c>
      <c r="AL129" s="191">
        <f>AJ129+AK129</f>
        <v/>
      </c>
      <c r="AM129" s="35" t="inlineStr">
        <is>
          <t>千葉</t>
        </is>
      </c>
      <c r="AN129" s="35" t="inlineStr">
        <is>
          <t>こもの</t>
        </is>
      </c>
      <c r="AO129" s="5" t="n">
        <v>280</v>
      </c>
      <c r="AP129" s="5" t="n">
        <v>0</v>
      </c>
      <c r="AQ129" s="35" t="n"/>
      <c r="AR129" s="35" t="n"/>
      <c r="AS129" s="122" t="n">
        <v>4580450000000</v>
      </c>
      <c r="AT129" s="35" t="n"/>
      <c r="AU129" s="35" t="n"/>
    </row>
    <row r="130">
      <c r="A130" s="14" t="inlineStr">
        <is>
          <t>1509-133</t>
        </is>
      </c>
      <c r="B130" s="5" t="inlineStr">
        <is>
          <t>■有機ｸﾞﾘｰﾝﾎﾞｰﾙ(ｷｬﾍﾞﾂみさき)裸10玉(富岡)</t>
        </is>
      </c>
      <c r="C130" s="36" t="n">
        <v>4</v>
      </c>
      <c r="D130" s="36" t="n">
        <v>0</v>
      </c>
      <c r="E130" s="5" t="n">
        <v>0</v>
      </c>
      <c r="F130" s="191">
        <f>D130-E130+C130</f>
        <v/>
      </c>
      <c r="G130" s="192" t="n">
        <v>0</v>
      </c>
      <c r="H130" s="191">
        <f>F130+G130</f>
        <v/>
      </c>
      <c r="I130" s="36" t="n">
        <v>0</v>
      </c>
      <c r="J130" s="5" t="n">
        <v>0</v>
      </c>
      <c r="K130" s="191">
        <f>I130-J130+H130</f>
        <v/>
      </c>
      <c r="L130" s="192" t="n">
        <v>0</v>
      </c>
      <c r="M130" s="191">
        <f>K130+L130</f>
        <v/>
      </c>
      <c r="N130" s="36" t="n">
        <v>0</v>
      </c>
      <c r="O130" s="5" t="n">
        <v>0</v>
      </c>
      <c r="P130" s="191">
        <f>N130-O130+M130</f>
        <v/>
      </c>
      <c r="Q130" s="192" t="n">
        <v>-4</v>
      </c>
      <c r="R130" s="191">
        <f>P130+Q130</f>
        <v/>
      </c>
      <c r="S130" s="36" t="n">
        <v>0</v>
      </c>
      <c r="T130" s="5" t="n">
        <v>0</v>
      </c>
      <c r="U130" s="191">
        <f>S130-T130+R130</f>
        <v/>
      </c>
      <c r="V130" s="192" t="n">
        <v>0</v>
      </c>
      <c r="W130" s="191">
        <f>U130+V130</f>
        <v/>
      </c>
      <c r="X130" s="36" t="n">
        <v>8</v>
      </c>
      <c r="Y130" s="5" t="n">
        <v>0</v>
      </c>
      <c r="Z130" s="191">
        <f>X130-Y130+W130</f>
        <v/>
      </c>
      <c r="AA130" s="192" t="n">
        <v>-8</v>
      </c>
      <c r="AB130" s="191">
        <f>Z130+AA130</f>
        <v/>
      </c>
      <c r="AC130" s="36" t="n">
        <v>0</v>
      </c>
      <c r="AD130" s="5" t="n">
        <v>0</v>
      </c>
      <c r="AE130" s="191">
        <f>AC130-AD130+AB130</f>
        <v/>
      </c>
      <c r="AF130" s="192" t="n">
        <v>0</v>
      </c>
      <c r="AG130" s="191">
        <f>AE130+AF130</f>
        <v/>
      </c>
      <c r="AH130" s="36" t="n">
        <v>8</v>
      </c>
      <c r="AI130" s="5" t="n">
        <v>0</v>
      </c>
      <c r="AJ130" s="191">
        <f>AH130-AI130+AG130</f>
        <v/>
      </c>
      <c r="AK130" s="192" t="n">
        <v>0</v>
      </c>
      <c r="AL130" s="191">
        <f>AJ130+AK130</f>
        <v/>
      </c>
      <c r="AM130" s="35" t="inlineStr">
        <is>
          <t>山梨</t>
        </is>
      </c>
      <c r="AN130" s="35" t="inlineStr">
        <is>
          <t>箱</t>
        </is>
      </c>
      <c r="AO130" s="163" t="n">
        <v>2000</v>
      </c>
      <c r="AP130" s="5" t="n">
        <v>0</v>
      </c>
      <c r="AQ130" s="35" t="n"/>
      <c r="AR130" s="35" t="n"/>
      <c r="AS130" s="122" t="n"/>
      <c r="AT130" s="35" t="n">
        <v>233</v>
      </c>
      <c r="AU130" s="35" t="inlineStr">
        <is>
          <t>富岡農園　●</t>
        </is>
      </c>
    </row>
    <row r="131">
      <c r="A131" s="14" t="inlineStr">
        <is>
          <t>1509-161</t>
        </is>
      </c>
      <c r="B131" s="5" t="inlineStr">
        <is>
          <t>■有機キャベツ ８玉ｺﾝﾃﾅ(飯田）</t>
        </is>
      </c>
      <c r="C131" s="36" t="n">
        <v>0</v>
      </c>
      <c r="D131" s="36" t="n">
        <v>5</v>
      </c>
      <c r="E131" s="5" t="n">
        <v>0</v>
      </c>
      <c r="F131" s="191">
        <f>D131-E131+C131</f>
        <v/>
      </c>
      <c r="G131" s="192" t="n">
        <v>0</v>
      </c>
      <c r="H131" s="191">
        <f>F131+G131</f>
        <v/>
      </c>
      <c r="I131" s="36" t="n">
        <v>0</v>
      </c>
      <c r="J131" s="5" t="n">
        <v>1</v>
      </c>
      <c r="K131" s="191">
        <f>I131-J131+H131</f>
        <v/>
      </c>
      <c r="L131" s="192" t="n">
        <v>0</v>
      </c>
      <c r="M131" s="191">
        <f>K131+L131</f>
        <v/>
      </c>
      <c r="N131" s="36" t="n">
        <v>0</v>
      </c>
      <c r="O131" s="5" t="n">
        <v>0</v>
      </c>
      <c r="P131" s="191">
        <f>N131-O131+M131</f>
        <v/>
      </c>
      <c r="Q131" s="192" t="n">
        <v>0</v>
      </c>
      <c r="R131" s="191">
        <f>P131+Q131</f>
        <v/>
      </c>
      <c r="S131" s="36" t="n">
        <v>0</v>
      </c>
      <c r="T131" s="5" t="n">
        <v>0</v>
      </c>
      <c r="U131" s="191">
        <f>S131-T131+R131</f>
        <v/>
      </c>
      <c r="V131" s="192" t="n">
        <v>0</v>
      </c>
      <c r="W131" s="191">
        <f>U131+V131</f>
        <v/>
      </c>
      <c r="X131" s="36" t="n">
        <v>0</v>
      </c>
      <c r="Y131" s="5" t="n">
        <v>0</v>
      </c>
      <c r="Z131" s="191">
        <f>X131-Y131+W131</f>
        <v/>
      </c>
      <c r="AA131" s="192" t="n">
        <v>0</v>
      </c>
      <c r="AB131" s="191">
        <f>Z131+AA131</f>
        <v/>
      </c>
      <c r="AC131" s="36" t="n">
        <v>0</v>
      </c>
      <c r="AD131" s="5" t="n">
        <v>0</v>
      </c>
      <c r="AE131" s="191">
        <f>AC131-AD131+AB131</f>
        <v/>
      </c>
      <c r="AF131" s="192" t="n">
        <v>0</v>
      </c>
      <c r="AG131" s="191">
        <f>AE131+AF131</f>
        <v/>
      </c>
      <c r="AH131" s="36" t="n">
        <v>0</v>
      </c>
      <c r="AI131" s="5" t="n">
        <v>0</v>
      </c>
      <c r="AJ131" s="191">
        <f>AH131-AI131+AG131</f>
        <v/>
      </c>
      <c r="AK131" s="192" t="n">
        <v>0</v>
      </c>
      <c r="AL131" s="191">
        <f>AJ131+AK131</f>
        <v/>
      </c>
      <c r="AM131" s="35" t="inlineStr">
        <is>
          <t>千葉</t>
        </is>
      </c>
      <c r="AN131" s="35" t="inlineStr">
        <is>
          <t>箱</t>
        </is>
      </c>
      <c r="AO131" s="163" t="n">
        <v>1840</v>
      </c>
      <c r="AP131" s="5" t="n">
        <v>0</v>
      </c>
      <c r="AQ131" s="35" t="n"/>
      <c r="AR131" s="35" t="n"/>
      <c r="AS131" s="122" t="n"/>
      <c r="AT131" s="35" t="n">
        <v>696</v>
      </c>
      <c r="AU131" s="35" t="inlineStr">
        <is>
          <t>飯田　幹雄</t>
        </is>
      </c>
    </row>
    <row r="132">
      <c r="A132" s="14" t="inlineStr">
        <is>
          <t>1509-82</t>
        </is>
      </c>
      <c r="B132" s="5" t="inlineStr">
        <is>
          <t>■有機キャベツ ８玉箱（丸和）</t>
        </is>
      </c>
      <c r="C132" s="36" t="n">
        <v>34</v>
      </c>
      <c r="D132" s="36" t="n">
        <v>30</v>
      </c>
      <c r="E132" s="5" t="n">
        <v>0</v>
      </c>
      <c r="F132" s="191">
        <f>D132-E132+C132</f>
        <v/>
      </c>
      <c r="G132" s="192" t="n">
        <v>0</v>
      </c>
      <c r="H132" s="191">
        <f>F132+G132</f>
        <v/>
      </c>
      <c r="I132" s="36" t="n">
        <v>0</v>
      </c>
      <c r="J132" s="5" t="n">
        <v>25</v>
      </c>
      <c r="K132" s="191">
        <f>I132-J132+H132</f>
        <v/>
      </c>
      <c r="L132" s="192" t="n">
        <v>-1</v>
      </c>
      <c r="M132" s="191">
        <f>K132+L132</f>
        <v/>
      </c>
      <c r="N132" s="36" t="n">
        <v>0</v>
      </c>
      <c r="O132" s="5" t="n">
        <v>11</v>
      </c>
      <c r="P132" s="191">
        <f>N132-O132+M132</f>
        <v/>
      </c>
      <c r="Q132" s="192" t="n">
        <v>0</v>
      </c>
      <c r="R132" s="191">
        <f>P132+Q132</f>
        <v/>
      </c>
      <c r="S132" s="36" t="n">
        <v>30</v>
      </c>
      <c r="T132" s="5" t="n">
        <v>23</v>
      </c>
      <c r="U132" s="191">
        <f>S132-T132+R132</f>
        <v/>
      </c>
      <c r="V132" s="192" t="n">
        <v>0</v>
      </c>
      <c r="W132" s="191">
        <f>U132+V132</f>
        <v/>
      </c>
      <c r="X132" s="36" t="n">
        <v>0</v>
      </c>
      <c r="Y132" s="5" t="n">
        <v>14</v>
      </c>
      <c r="Z132" s="191">
        <f>X132-Y132+W132</f>
        <v/>
      </c>
      <c r="AA132" s="192" t="n">
        <v>0</v>
      </c>
      <c r="AB132" s="191">
        <f>Z132+AA132</f>
        <v/>
      </c>
      <c r="AC132" s="36" t="n">
        <v>50</v>
      </c>
      <c r="AD132" s="5" t="n">
        <v>22</v>
      </c>
      <c r="AE132" s="191">
        <f>AC132-AD132+AB132</f>
        <v/>
      </c>
      <c r="AF132" s="192" t="n">
        <v>0</v>
      </c>
      <c r="AG132" s="191">
        <f>AE132+AF132</f>
        <v/>
      </c>
      <c r="AH132" s="36" t="n">
        <v>0</v>
      </c>
      <c r="AI132" s="5" t="n">
        <v>29</v>
      </c>
      <c r="AJ132" s="191">
        <f>AH132-AI132+AG132</f>
        <v/>
      </c>
      <c r="AK132" s="192" t="n">
        <v>0</v>
      </c>
      <c r="AL132" s="191">
        <f>AJ132+AK132</f>
        <v/>
      </c>
      <c r="AM132" s="35" t="inlineStr">
        <is>
          <t>千葉</t>
        </is>
      </c>
      <c r="AN132" s="35" t="inlineStr">
        <is>
          <t>箱</t>
        </is>
      </c>
      <c r="AO132" s="163" t="n">
        <v>1880</v>
      </c>
      <c r="AP132" s="5" t="n">
        <v>0</v>
      </c>
      <c r="AQ132" s="35" t="n"/>
      <c r="AR132" s="35" t="n"/>
      <c r="AS132" s="122" t="n"/>
      <c r="AT132" s="35" t="n"/>
      <c r="AU132" s="35" t="n"/>
    </row>
    <row r="133">
      <c r="A133" s="14" t="inlineStr">
        <is>
          <t>1516-104</t>
        </is>
      </c>
      <c r="B133" s="5" t="inlineStr">
        <is>
          <t>有機サニーﾚﾀｽ　1個袋　(富岡・産ﾊﾟ)</t>
        </is>
      </c>
      <c r="C133" s="36" t="n">
        <v>5</v>
      </c>
      <c r="D133" s="36" t="n">
        <v>0</v>
      </c>
      <c r="E133" s="5" t="n">
        <v>0</v>
      </c>
      <c r="F133" s="191">
        <f>D133-E133+C133</f>
        <v/>
      </c>
      <c r="G133" s="192" t="n">
        <v>0</v>
      </c>
      <c r="H133" s="191">
        <f>F133+G133</f>
        <v/>
      </c>
      <c r="I133" s="36" t="n">
        <v>0</v>
      </c>
      <c r="J133" s="5" t="n">
        <v>5</v>
      </c>
      <c r="K133" s="191">
        <f>I133-J133+H133</f>
        <v/>
      </c>
      <c r="L133" s="192" t="n">
        <v>0</v>
      </c>
      <c r="M133" s="191">
        <f>K133+L133</f>
        <v/>
      </c>
      <c r="N133" s="36" t="n">
        <v>0</v>
      </c>
      <c r="O133" s="5" t="n">
        <v>0</v>
      </c>
      <c r="P133" s="191">
        <f>N133-O133+M133</f>
        <v/>
      </c>
      <c r="Q133" s="192" t="n">
        <v>0</v>
      </c>
      <c r="R133" s="191">
        <f>P133+Q133</f>
        <v/>
      </c>
      <c r="S133" s="36" t="n">
        <v>0</v>
      </c>
      <c r="T133" s="5" t="n">
        <v>0</v>
      </c>
      <c r="U133" s="191">
        <f>S133-T133+R133</f>
        <v/>
      </c>
      <c r="V133" s="192" t="n">
        <v>0</v>
      </c>
      <c r="W133" s="191">
        <f>U133+V133</f>
        <v/>
      </c>
      <c r="X133" s="36" t="n">
        <v>0</v>
      </c>
      <c r="Y133" s="5" t="n">
        <v>0</v>
      </c>
      <c r="Z133" s="191">
        <f>X133-Y133+W133</f>
        <v/>
      </c>
      <c r="AA133" s="192" t="n">
        <v>0</v>
      </c>
      <c r="AB133" s="191">
        <f>Z133+AA133</f>
        <v/>
      </c>
      <c r="AC133" s="36" t="n">
        <v>0</v>
      </c>
      <c r="AD133" s="5" t="n">
        <v>0</v>
      </c>
      <c r="AE133" s="191">
        <f>AC133-AD133+AB133</f>
        <v/>
      </c>
      <c r="AF133" s="192" t="n">
        <v>0</v>
      </c>
      <c r="AG133" s="191">
        <f>AE133+AF133</f>
        <v/>
      </c>
      <c r="AH133" s="36" t="n">
        <v>0</v>
      </c>
      <c r="AI133" s="5" t="n">
        <v>0</v>
      </c>
      <c r="AJ133" s="191">
        <f>AH133-AI133+AG133</f>
        <v/>
      </c>
      <c r="AK133" s="192" t="n">
        <v>0</v>
      </c>
      <c r="AL133" s="191">
        <f>AJ133+AK133</f>
        <v/>
      </c>
      <c r="AM133" s="35" t="inlineStr">
        <is>
          <t>山梨</t>
        </is>
      </c>
      <c r="AN133" s="35" t="inlineStr">
        <is>
          <t>こもの</t>
        </is>
      </c>
      <c r="AO133" s="5" t="n">
        <v>180</v>
      </c>
      <c r="AP133" s="5" t="n">
        <v>0</v>
      </c>
      <c r="AQ133" s="35" t="n"/>
      <c r="AR133" s="35" t="n"/>
      <c r="AS133" s="122" t="n"/>
      <c r="AT133" s="35" t="n"/>
      <c r="AU133" s="35" t="n"/>
    </row>
    <row r="134">
      <c r="A134" s="14" t="inlineStr">
        <is>
          <t>1516-38</t>
        </is>
      </c>
      <c r="B134" s="5" t="inlineStr">
        <is>
          <t>有機サニーﾚﾀｽ　ﾗｯﾌﾟ 1個(ﾌｧｰﾏｰｽﾞ)◇</t>
        </is>
      </c>
      <c r="C134" s="36" t="n">
        <v>23</v>
      </c>
      <c r="D134" s="36" t="n">
        <v>0</v>
      </c>
      <c r="E134" s="5" t="n">
        <v>0</v>
      </c>
      <c r="F134" s="191">
        <f>D134-E134+C134</f>
        <v/>
      </c>
      <c r="G134" s="192" t="n">
        <v>0</v>
      </c>
      <c r="H134" s="191">
        <f>F134+G134</f>
        <v/>
      </c>
      <c r="I134" s="36" t="n">
        <v>150</v>
      </c>
      <c r="J134" s="5" t="n">
        <v>157</v>
      </c>
      <c r="K134" s="191">
        <f>I134-J134+H134</f>
        <v/>
      </c>
      <c r="L134" s="192" t="n">
        <v>0</v>
      </c>
      <c r="M134" s="191">
        <f>K134+L134</f>
        <v/>
      </c>
      <c r="N134" s="36" t="n">
        <v>90</v>
      </c>
      <c r="O134" s="5" t="n">
        <v>87</v>
      </c>
      <c r="P134" s="191">
        <f>N134-O134+M134</f>
        <v/>
      </c>
      <c r="Q134" s="192" t="n">
        <v>0</v>
      </c>
      <c r="R134" s="191">
        <f>P134+Q134</f>
        <v/>
      </c>
      <c r="S134" s="36" t="n">
        <v>110</v>
      </c>
      <c r="T134" s="5" t="n">
        <v>111</v>
      </c>
      <c r="U134" s="191">
        <f>S134-T134+R134</f>
        <v/>
      </c>
      <c r="V134" s="192" t="n">
        <v>0</v>
      </c>
      <c r="W134" s="191">
        <f>U134+V134</f>
        <v/>
      </c>
      <c r="X134" s="36" t="n">
        <v>120</v>
      </c>
      <c r="Y134" s="5" t="n">
        <v>109</v>
      </c>
      <c r="Z134" s="191">
        <f>X134-Y134+W134</f>
        <v/>
      </c>
      <c r="AA134" s="192" t="n">
        <v>0</v>
      </c>
      <c r="AB134" s="191">
        <f>Z134+AA134</f>
        <v/>
      </c>
      <c r="AC134" s="36" t="n">
        <v>100</v>
      </c>
      <c r="AD134" s="5" t="n">
        <v>103</v>
      </c>
      <c r="AE134" s="191">
        <f>AC134-AD134+AB134</f>
        <v/>
      </c>
      <c r="AF134" s="192" t="n">
        <v>0</v>
      </c>
      <c r="AG134" s="191">
        <f>AE134+AF134</f>
        <v/>
      </c>
      <c r="AH134" s="36" t="n">
        <v>170</v>
      </c>
      <c r="AI134" s="5" t="n">
        <v>172</v>
      </c>
      <c r="AJ134" s="191">
        <f>AH134-AI134+AG134</f>
        <v/>
      </c>
      <c r="AK134" s="192" t="n">
        <v>0</v>
      </c>
      <c r="AL134" s="191">
        <f>AJ134+AK134</f>
        <v/>
      </c>
      <c r="AM134" s="35" t="inlineStr">
        <is>
          <t>山梨</t>
        </is>
      </c>
      <c r="AN134" s="35" t="inlineStr">
        <is>
          <t>こもの</t>
        </is>
      </c>
      <c r="AO134" s="5" t="n">
        <v>140</v>
      </c>
      <c r="AP134" s="5" t="n">
        <v>0</v>
      </c>
      <c r="AQ134" s="35" t="n"/>
      <c r="AR134" s="35" t="n"/>
      <c r="AS134" s="122" t="n"/>
      <c r="AT134" s="35" t="n"/>
      <c r="AU134" s="35" t="n"/>
    </row>
    <row r="135">
      <c r="A135" s="14" t="inlineStr">
        <is>
          <t>1516-39</t>
        </is>
      </c>
      <c r="B135" s="5" t="inlineStr">
        <is>
          <t>■有機サニーレタス裸　10個ｺﾝﾃﾅ(ﾌｧｰﾏｰｽﾞ)</t>
        </is>
      </c>
      <c r="C135" s="36" t="n">
        <v>32</v>
      </c>
      <c r="D135" s="36" t="n">
        <v>0</v>
      </c>
      <c r="E135" s="5" t="n">
        <v>0</v>
      </c>
      <c r="F135" s="191">
        <f>D135-E135+C135</f>
        <v/>
      </c>
      <c r="G135" s="192" t="n">
        <v>0</v>
      </c>
      <c r="H135" s="191">
        <f>F135+G135</f>
        <v/>
      </c>
      <c r="I135" s="36" t="n">
        <v>20</v>
      </c>
      <c r="J135" s="5" t="n">
        <v>2</v>
      </c>
      <c r="K135" s="191">
        <f>I135-J135+H135</f>
        <v/>
      </c>
      <c r="L135" s="192" t="n">
        <v>-15</v>
      </c>
      <c r="M135" s="191">
        <f>K135+L135</f>
        <v/>
      </c>
      <c r="N135" s="36" t="n">
        <v>0</v>
      </c>
      <c r="O135" s="5" t="n">
        <v>3</v>
      </c>
      <c r="P135" s="191">
        <f>N135-O135+M135</f>
        <v/>
      </c>
      <c r="Q135" s="192" t="n">
        <v>-9</v>
      </c>
      <c r="R135" s="191">
        <f>P135+Q135</f>
        <v/>
      </c>
      <c r="S135" s="36" t="n">
        <v>0</v>
      </c>
      <c r="T135" s="5" t="n">
        <v>3</v>
      </c>
      <c r="U135" s="191">
        <f>S135-T135+R135</f>
        <v/>
      </c>
      <c r="V135" s="192" t="n">
        <v>-11</v>
      </c>
      <c r="W135" s="191">
        <f>U135+V135</f>
        <v/>
      </c>
      <c r="X135" s="36" t="n">
        <v>25</v>
      </c>
      <c r="Y135" s="5" t="n">
        <v>3</v>
      </c>
      <c r="Z135" s="191">
        <f>X135-Y135+W135</f>
        <v/>
      </c>
      <c r="AA135" s="192" t="n">
        <v>-12</v>
      </c>
      <c r="AB135" s="191">
        <f>Z135+AA135</f>
        <v/>
      </c>
      <c r="AC135" s="36" t="n">
        <v>0</v>
      </c>
      <c r="AD135" s="5" t="n">
        <v>3</v>
      </c>
      <c r="AE135" s="191">
        <f>AC135-AD135+AB135</f>
        <v/>
      </c>
      <c r="AF135" s="192" t="n">
        <v>-10</v>
      </c>
      <c r="AG135" s="191">
        <f>AE135+AF135</f>
        <v/>
      </c>
      <c r="AH135" s="36" t="n">
        <v>20</v>
      </c>
      <c r="AI135" s="5" t="n">
        <v>6</v>
      </c>
      <c r="AJ135" s="191">
        <f>AH135-AI135+AG135</f>
        <v/>
      </c>
      <c r="AK135" s="192" t="n">
        <v>-17</v>
      </c>
      <c r="AL135" s="191">
        <f>AJ135+AK135</f>
        <v/>
      </c>
      <c r="AM135" s="35" t="inlineStr">
        <is>
          <t>山梨</t>
        </is>
      </c>
      <c r="AN135" s="35" t="inlineStr">
        <is>
          <t>箱</t>
        </is>
      </c>
      <c r="AO135" s="163" t="n">
        <v>1200</v>
      </c>
      <c r="AP135" s="5" t="n">
        <v>0</v>
      </c>
      <c r="AQ135" s="35" t="n"/>
      <c r="AR135" s="35" t="n"/>
      <c r="AS135" s="122" t="inlineStr">
        <is>
          <t>なし</t>
        </is>
      </c>
      <c r="AT135" s="35" t="n"/>
      <c r="AU135" s="35" t="n"/>
    </row>
    <row r="136">
      <c r="A136" s="14" t="inlineStr">
        <is>
          <t>1521-15</t>
        </is>
      </c>
      <c r="B136" s="5" t="inlineStr">
        <is>
          <t>グリーンボール　1個袋(キテレツ)不不</t>
        </is>
      </c>
      <c r="C136" s="36" t="n">
        <v>0</v>
      </c>
      <c r="D136" s="36" t="n">
        <v>0</v>
      </c>
      <c r="E136" s="5" t="n">
        <v>0</v>
      </c>
      <c r="F136" s="191">
        <f>D136-E136+C136</f>
        <v/>
      </c>
      <c r="G136" s="192" t="n">
        <v>0</v>
      </c>
      <c r="H136" s="191">
        <f>F136+G136</f>
        <v/>
      </c>
      <c r="I136" s="36" t="n">
        <v>0</v>
      </c>
      <c r="J136" s="5" t="n">
        <v>0</v>
      </c>
      <c r="K136" s="191">
        <f>I136-J136+H136</f>
        <v/>
      </c>
      <c r="L136" s="192" t="n">
        <v>0</v>
      </c>
      <c r="M136" s="191">
        <f>K136+L136</f>
        <v/>
      </c>
      <c r="N136" s="36" t="n">
        <v>0</v>
      </c>
      <c r="O136" s="5" t="n">
        <v>0</v>
      </c>
      <c r="P136" s="191">
        <f>N136-O136+M136</f>
        <v/>
      </c>
      <c r="Q136" s="192" t="n">
        <v>0</v>
      </c>
      <c r="R136" s="191">
        <f>P136+Q136</f>
        <v/>
      </c>
      <c r="S136" s="36" t="n">
        <v>0</v>
      </c>
      <c r="T136" s="5" t="n">
        <v>0</v>
      </c>
      <c r="U136" s="191">
        <f>S136-T136+R136</f>
        <v/>
      </c>
      <c r="V136" s="192" t="n">
        <v>0</v>
      </c>
      <c r="W136" s="191">
        <f>U136+V136</f>
        <v/>
      </c>
      <c r="X136" s="36" t="n">
        <v>0</v>
      </c>
      <c r="Y136" s="5" t="n">
        <v>0</v>
      </c>
      <c r="Z136" s="191">
        <f>X136-Y136+W136</f>
        <v/>
      </c>
      <c r="AA136" s="192" t="n">
        <v>0</v>
      </c>
      <c r="AB136" s="191">
        <f>Z136+AA136</f>
        <v/>
      </c>
      <c r="AC136" s="36" t="n">
        <v>0</v>
      </c>
      <c r="AD136" s="5" t="n">
        <v>0</v>
      </c>
      <c r="AE136" s="191">
        <f>AC136-AD136+AB136</f>
        <v/>
      </c>
      <c r="AF136" s="192" t="n">
        <v>0</v>
      </c>
      <c r="AG136" s="191">
        <f>AE136+AF136</f>
        <v/>
      </c>
      <c r="AH136" s="36" t="n">
        <v>0</v>
      </c>
      <c r="AI136" s="5" t="n">
        <v>0</v>
      </c>
      <c r="AJ136" s="191">
        <f>AH136-AI136+AG136</f>
        <v/>
      </c>
      <c r="AK136" s="192" t="n">
        <v>0</v>
      </c>
      <c r="AL136" s="191">
        <f>AJ136+AK136</f>
        <v/>
      </c>
      <c r="AM136" s="35" t="n"/>
      <c r="AN136" s="35" t="n"/>
      <c r="AO136" s="5" t="n">
        <v>0</v>
      </c>
      <c r="AP136" s="5" t="n">
        <v>0</v>
      </c>
      <c r="AQ136" s="35" t="n"/>
      <c r="AR136" s="35" t="n"/>
      <c r="AS136" s="122" t="n"/>
      <c r="AT136" s="35" t="n"/>
      <c r="AU136" s="35" t="n"/>
    </row>
    <row r="137">
      <c r="A137" s="14" t="inlineStr">
        <is>
          <t>1521-17</t>
        </is>
      </c>
      <c r="B137" s="5" t="inlineStr">
        <is>
          <t>グリーンボール　１個袋(せっせと畑)◇</t>
        </is>
      </c>
      <c r="C137" s="36" t="n">
        <v>0</v>
      </c>
      <c r="D137" s="36" t="n">
        <v>0</v>
      </c>
      <c r="E137" s="5" t="n">
        <v>0</v>
      </c>
      <c r="F137" s="191">
        <f>D137-E137+C137</f>
        <v/>
      </c>
      <c r="G137" s="192" t="n">
        <v>0</v>
      </c>
      <c r="H137" s="191">
        <f>F137+G137</f>
        <v/>
      </c>
      <c r="I137" s="36" t="n">
        <v>80</v>
      </c>
      <c r="J137" s="5" t="n">
        <v>71</v>
      </c>
      <c r="K137" s="191">
        <f>I137-J137+H137</f>
        <v/>
      </c>
      <c r="L137" s="192" t="n">
        <v>0</v>
      </c>
      <c r="M137" s="191">
        <f>K137+L137</f>
        <v/>
      </c>
      <c r="N137" s="36" t="n">
        <v>50</v>
      </c>
      <c r="O137" s="5" t="n">
        <v>47</v>
      </c>
      <c r="P137" s="191">
        <f>N137-O137+M137</f>
        <v/>
      </c>
      <c r="Q137" s="192" t="n">
        <v>0</v>
      </c>
      <c r="R137" s="191">
        <f>P137+Q137</f>
        <v/>
      </c>
      <c r="S137" s="36" t="n">
        <v>10</v>
      </c>
      <c r="T137" s="5" t="n">
        <v>21</v>
      </c>
      <c r="U137" s="191">
        <f>S137-T137+R137</f>
        <v/>
      </c>
      <c r="V137" s="192" t="n">
        <v>0</v>
      </c>
      <c r="W137" s="191">
        <f>U137+V137</f>
        <v/>
      </c>
      <c r="X137" s="36" t="n">
        <v>0</v>
      </c>
      <c r="Y137" s="5" t="n">
        <v>36</v>
      </c>
      <c r="Z137" s="191">
        <f>X137-Y137+W137</f>
        <v/>
      </c>
      <c r="AA137" s="192" t="n">
        <v>0</v>
      </c>
      <c r="AB137" s="191">
        <f>Z137+AA137</f>
        <v/>
      </c>
      <c r="AC137" s="36" t="n">
        <v>0</v>
      </c>
      <c r="AD137" s="5" t="n">
        <v>27</v>
      </c>
      <c r="AE137" s="191">
        <f>AC137-AD137+AB137</f>
        <v/>
      </c>
      <c r="AF137" s="192" t="n">
        <v>0</v>
      </c>
      <c r="AG137" s="191">
        <f>AE137+AF137</f>
        <v/>
      </c>
      <c r="AH137" s="36" t="n">
        <v>0</v>
      </c>
      <c r="AI137" s="5" t="n">
        <v>59</v>
      </c>
      <c r="AJ137" s="191">
        <f>AH137-AI137+AG137</f>
        <v/>
      </c>
      <c r="AK137" s="192" t="n">
        <v>0</v>
      </c>
      <c r="AL137" s="191">
        <f>AJ137+AK137</f>
        <v/>
      </c>
      <c r="AM137" s="35" t="inlineStr">
        <is>
          <t>埼玉</t>
        </is>
      </c>
      <c r="AN137" s="35" t="inlineStr">
        <is>
          <t>こもの</t>
        </is>
      </c>
      <c r="AO137" s="5" t="n">
        <v>200</v>
      </c>
      <c r="AP137" s="5" t="n">
        <v>0</v>
      </c>
      <c r="AQ137" s="35" t="n"/>
      <c r="AR137" s="35" t="n"/>
      <c r="AS137" s="122" t="n"/>
      <c r="AT137" s="35" t="n"/>
      <c r="AU137" s="35" t="n"/>
    </row>
    <row r="138">
      <c r="A138" s="14" t="inlineStr">
        <is>
          <t>1521-18</t>
        </is>
      </c>
      <c r="B138" s="5" t="inlineStr">
        <is>
          <t>■ｸﾞﾘｰﾝﾎﾞｰﾙ(ﾐﾆｷｬﾍﾞﾂ)裸１個(せっせと畑)</t>
        </is>
      </c>
      <c r="C138" s="36" t="n">
        <v>60</v>
      </c>
      <c r="D138" s="36" t="n">
        <v>0</v>
      </c>
      <c r="E138" s="5" t="n">
        <v>0</v>
      </c>
      <c r="F138" s="191">
        <f>D138-E138+C138</f>
        <v/>
      </c>
      <c r="G138" s="192" t="n">
        <v>0</v>
      </c>
      <c r="H138" s="191">
        <f>F138+G138</f>
        <v/>
      </c>
      <c r="I138" s="36" t="n">
        <v>80</v>
      </c>
      <c r="J138" s="5" t="n">
        <v>0</v>
      </c>
      <c r="K138" s="191">
        <f>I138-J138+H138</f>
        <v/>
      </c>
      <c r="L138" s="192" t="n">
        <v>-80</v>
      </c>
      <c r="M138" s="191">
        <f>K138+L138</f>
        <v/>
      </c>
      <c r="N138" s="36" t="n">
        <v>0</v>
      </c>
      <c r="O138" s="5" t="n">
        <v>0</v>
      </c>
      <c r="P138" s="191">
        <f>N138-O138+M138</f>
        <v/>
      </c>
      <c r="Q138" s="192" t="n">
        <v>-50</v>
      </c>
      <c r="R138" s="191">
        <f>P138+Q138</f>
        <v/>
      </c>
      <c r="S138" s="36" t="n">
        <v>0</v>
      </c>
      <c r="T138" s="5" t="n">
        <v>0</v>
      </c>
      <c r="U138" s="191">
        <f>S138-T138+R138</f>
        <v/>
      </c>
      <c r="V138" s="192" t="n">
        <v>-10</v>
      </c>
      <c r="W138" s="191">
        <f>U138+V138</f>
        <v/>
      </c>
      <c r="X138" s="36" t="n">
        <v>0</v>
      </c>
      <c r="Y138" s="5" t="n">
        <v>0</v>
      </c>
      <c r="Z138" s="191">
        <f>X138-Y138+W138</f>
        <v/>
      </c>
      <c r="AA138" s="192" t="n">
        <v>0</v>
      </c>
      <c r="AB138" s="191">
        <f>Z138+AA138</f>
        <v/>
      </c>
      <c r="AC138" s="36" t="n">
        <v>100</v>
      </c>
      <c r="AD138" s="5" t="n">
        <v>0</v>
      </c>
      <c r="AE138" s="191">
        <f>AC138-AD138+AB138</f>
        <v/>
      </c>
      <c r="AF138" s="192" t="n">
        <v>0</v>
      </c>
      <c r="AG138" s="191">
        <f>AE138+AF138</f>
        <v/>
      </c>
      <c r="AH138" s="36" t="n">
        <v>0</v>
      </c>
      <c r="AI138" s="5" t="n">
        <v>0</v>
      </c>
      <c r="AJ138" s="191">
        <f>AH138-AI138+AG138</f>
        <v/>
      </c>
      <c r="AK138" s="192" t="n">
        <v>0</v>
      </c>
      <c r="AL138" s="191">
        <f>AJ138+AK138</f>
        <v/>
      </c>
      <c r="AM138" s="35" t="inlineStr">
        <is>
          <t>埼玉</t>
        </is>
      </c>
      <c r="AN138" s="35" t="inlineStr">
        <is>
          <t>箱</t>
        </is>
      </c>
      <c r="AO138" s="5" t="n">
        <v>0</v>
      </c>
      <c r="AP138" s="5" t="n">
        <v>0</v>
      </c>
      <c r="AQ138" s="35" t="n"/>
      <c r="AR138" s="35" t="n"/>
      <c r="AS138" s="122" t="n"/>
      <c r="AT138" s="35" t="n"/>
      <c r="AU138" s="35" t="n"/>
    </row>
    <row r="139">
      <c r="A139" s="14" t="inlineStr">
        <is>
          <t>1533-150</t>
        </is>
      </c>
      <c r="B139" s="5" t="inlineStr">
        <is>
          <t>有機 玉レタス ﾗｯﾌﾟ 1個(ﾌｧｰﾏｰｽﾞ)◇</t>
        </is>
      </c>
      <c r="C139" s="36" t="n">
        <v>6</v>
      </c>
      <c r="D139" s="36" t="n">
        <v>0</v>
      </c>
      <c r="E139" s="5" t="n">
        <v>0</v>
      </c>
      <c r="F139" s="191">
        <f>D139-E139+C139</f>
        <v/>
      </c>
      <c r="G139" s="192" t="n">
        <v>0</v>
      </c>
      <c r="H139" s="191">
        <f>F139+G139</f>
        <v/>
      </c>
      <c r="I139" s="36" t="n">
        <v>150</v>
      </c>
      <c r="J139" s="5" t="n">
        <v>142</v>
      </c>
      <c r="K139" s="191">
        <f>I139-J139+H139</f>
        <v/>
      </c>
      <c r="L139" s="192" t="n">
        <v>0</v>
      </c>
      <c r="M139" s="191">
        <f>K139+L139</f>
        <v/>
      </c>
      <c r="N139" s="36" t="n">
        <v>70</v>
      </c>
      <c r="O139" s="5" t="n">
        <v>76</v>
      </c>
      <c r="P139" s="191">
        <f>N139-O139+M139</f>
        <v/>
      </c>
      <c r="Q139" s="192" t="n">
        <v>0</v>
      </c>
      <c r="R139" s="191">
        <f>P139+Q139</f>
        <v/>
      </c>
      <c r="S139" s="36" t="n">
        <v>130</v>
      </c>
      <c r="T139" s="5" t="n">
        <v>125</v>
      </c>
      <c r="U139" s="191">
        <f>S139-T139+R139</f>
        <v/>
      </c>
      <c r="V139" s="192" t="n">
        <v>0</v>
      </c>
      <c r="W139" s="191">
        <f>U139+V139</f>
        <v/>
      </c>
      <c r="X139" s="36" t="n">
        <v>100</v>
      </c>
      <c r="Y139" s="5" t="n">
        <v>100</v>
      </c>
      <c r="Z139" s="191">
        <f>X139-Y139+W139</f>
        <v/>
      </c>
      <c r="AA139" s="192" t="n">
        <v>0</v>
      </c>
      <c r="AB139" s="191">
        <f>Z139+AA139</f>
        <v/>
      </c>
      <c r="AC139" s="36" t="n">
        <v>120</v>
      </c>
      <c r="AD139" s="5" t="n">
        <v>116</v>
      </c>
      <c r="AE139" s="191">
        <f>AC139-AD139+AB139</f>
        <v/>
      </c>
      <c r="AF139" s="192" t="n">
        <v>0</v>
      </c>
      <c r="AG139" s="191">
        <f>AE139+AF139</f>
        <v/>
      </c>
      <c r="AH139" s="36" t="n">
        <v>180</v>
      </c>
      <c r="AI139" s="5" t="n">
        <v>179</v>
      </c>
      <c r="AJ139" s="191">
        <f>AH139-AI139+AG139</f>
        <v/>
      </c>
      <c r="AK139" s="192" t="n">
        <v>0</v>
      </c>
      <c r="AL139" s="191">
        <f>AJ139+AK139</f>
        <v/>
      </c>
      <c r="AM139" s="35" t="inlineStr">
        <is>
          <t>山梨</t>
        </is>
      </c>
      <c r="AN139" s="35" t="inlineStr">
        <is>
          <t>こもの</t>
        </is>
      </c>
      <c r="AO139" s="5" t="n">
        <v>160</v>
      </c>
      <c r="AP139" s="5" t="n">
        <v>0</v>
      </c>
      <c r="AQ139" s="35" t="n"/>
      <c r="AR139" s="35" t="n"/>
      <c r="AS139" s="122" t="n"/>
      <c r="AT139" s="35" t="n">
        <v>233</v>
      </c>
      <c r="AU139" s="35" t="inlineStr">
        <is>
          <t>富岡農園　●</t>
        </is>
      </c>
    </row>
    <row r="140">
      <c r="A140" s="14" t="inlineStr">
        <is>
          <t>1533-160</t>
        </is>
      </c>
      <c r="B140" s="5" t="inlineStr">
        <is>
          <t>有機レタス ラップ 1個(富岡・産ﾊﾟ)</t>
        </is>
      </c>
      <c r="C140" s="36" t="n">
        <v>5</v>
      </c>
      <c r="D140" s="36" t="n">
        <v>0</v>
      </c>
      <c r="E140" s="5" t="n">
        <v>0</v>
      </c>
      <c r="F140" s="191">
        <f>D140-E140+C140</f>
        <v/>
      </c>
      <c r="G140" s="192" t="n">
        <v>0</v>
      </c>
      <c r="H140" s="191">
        <f>F140+G140</f>
        <v/>
      </c>
      <c r="I140" s="36" t="n">
        <v>0</v>
      </c>
      <c r="J140" s="5" t="n">
        <v>5</v>
      </c>
      <c r="K140" s="191">
        <f>I140-J140+H140</f>
        <v/>
      </c>
      <c r="L140" s="192" t="n">
        <v>0</v>
      </c>
      <c r="M140" s="191">
        <f>K140+L140</f>
        <v/>
      </c>
      <c r="N140" s="36" t="n">
        <v>0</v>
      </c>
      <c r="O140" s="5" t="n">
        <v>0</v>
      </c>
      <c r="P140" s="191">
        <f>N140-O140+M140</f>
        <v/>
      </c>
      <c r="Q140" s="192" t="n">
        <v>0</v>
      </c>
      <c r="R140" s="191">
        <f>P140+Q140</f>
        <v/>
      </c>
      <c r="S140" s="36" t="n">
        <v>0</v>
      </c>
      <c r="T140" s="5" t="n">
        <v>0</v>
      </c>
      <c r="U140" s="191">
        <f>S140-T140+R140</f>
        <v/>
      </c>
      <c r="V140" s="192" t="n">
        <v>0</v>
      </c>
      <c r="W140" s="191">
        <f>U140+V140</f>
        <v/>
      </c>
      <c r="X140" s="36" t="n">
        <v>0</v>
      </c>
      <c r="Y140" s="5" t="n">
        <v>0</v>
      </c>
      <c r="Z140" s="191">
        <f>X140-Y140+W140</f>
        <v/>
      </c>
      <c r="AA140" s="192" t="n">
        <v>0</v>
      </c>
      <c r="AB140" s="191">
        <f>Z140+AA140</f>
        <v/>
      </c>
      <c r="AC140" s="36" t="n">
        <v>0</v>
      </c>
      <c r="AD140" s="5" t="n">
        <v>0</v>
      </c>
      <c r="AE140" s="191">
        <f>AC140-AD140+AB140</f>
        <v/>
      </c>
      <c r="AF140" s="192" t="n">
        <v>0</v>
      </c>
      <c r="AG140" s="191">
        <f>AE140+AF140</f>
        <v/>
      </c>
      <c r="AH140" s="36" t="n">
        <v>0</v>
      </c>
      <c r="AI140" s="5" t="n">
        <v>0</v>
      </c>
      <c r="AJ140" s="191">
        <f>AH140-AI140+AG140</f>
        <v/>
      </c>
      <c r="AK140" s="192" t="n">
        <v>0</v>
      </c>
      <c r="AL140" s="191">
        <f>AJ140+AK140</f>
        <v/>
      </c>
      <c r="AM140" s="35" t="inlineStr">
        <is>
          <t>山梨</t>
        </is>
      </c>
      <c r="AN140" s="35" t="inlineStr">
        <is>
          <t>こもの</t>
        </is>
      </c>
      <c r="AO140" s="5" t="n">
        <v>0</v>
      </c>
      <c r="AP140" s="5" t="n">
        <v>250</v>
      </c>
      <c r="AQ140" s="35" t="n"/>
      <c r="AR140" s="35" t="n"/>
      <c r="AS140" s="122" t="n">
        <v>4580450000000</v>
      </c>
      <c r="AT140" s="35" t="n">
        <v>233</v>
      </c>
      <c r="AU140" s="35" t="inlineStr">
        <is>
          <t>富岡農園　●</t>
        </is>
      </c>
    </row>
    <row r="141">
      <c r="A141" s="14" t="inlineStr">
        <is>
          <t>1533-249</t>
        </is>
      </c>
      <c r="B141" s="5" t="inlineStr">
        <is>
          <t>■有機レタス 裸 10個ｺﾝﾃﾅ(ﾌｧｰﾏｰｽﾞ)</t>
        </is>
      </c>
      <c r="C141" s="36" t="n">
        <v>15</v>
      </c>
      <c r="D141" s="36" t="n">
        <v>0</v>
      </c>
      <c r="E141" s="5" t="n">
        <v>0</v>
      </c>
      <c r="F141" s="191">
        <f>D141-E141+C141</f>
        <v/>
      </c>
      <c r="G141" s="192" t="n">
        <v>0</v>
      </c>
      <c r="H141" s="191">
        <f>F141+G141</f>
        <v/>
      </c>
      <c r="I141" s="36" t="n">
        <v>30</v>
      </c>
      <c r="J141" s="5" t="n">
        <v>1</v>
      </c>
      <c r="K141" s="191">
        <f>I141-J141+H141</f>
        <v/>
      </c>
      <c r="L141" s="192" t="n">
        <v>-15</v>
      </c>
      <c r="M141" s="191">
        <f>K141+L141</f>
        <v/>
      </c>
      <c r="N141" s="36" t="n">
        <v>0</v>
      </c>
      <c r="O141" s="5" t="n">
        <v>2</v>
      </c>
      <c r="P141" s="191">
        <f>N141-O141+M141</f>
        <v/>
      </c>
      <c r="Q141" s="192" t="n">
        <v>-7</v>
      </c>
      <c r="R141" s="191">
        <f>P141+Q141</f>
        <v/>
      </c>
      <c r="S141" s="36" t="n">
        <v>0</v>
      </c>
      <c r="T141" s="5" t="n">
        <v>2</v>
      </c>
      <c r="U141" s="191">
        <f>S141-T141+R141</f>
        <v/>
      </c>
      <c r="V141" s="192" t="n">
        <v>-13</v>
      </c>
      <c r="W141" s="191">
        <f>U141+V141</f>
        <v/>
      </c>
      <c r="X141" s="36" t="n">
        <v>30</v>
      </c>
      <c r="Y141" s="5" t="n">
        <v>2</v>
      </c>
      <c r="Z141" s="191">
        <f>X141-Y141+W141</f>
        <v/>
      </c>
      <c r="AA141" s="192" t="n">
        <v>-10</v>
      </c>
      <c r="AB141" s="191">
        <f>Z141+AA141</f>
        <v/>
      </c>
      <c r="AC141" s="36" t="n">
        <v>0</v>
      </c>
      <c r="AD141" s="5" t="n">
        <v>2</v>
      </c>
      <c r="AE141" s="191">
        <f>AC141-AD141+AB141</f>
        <v/>
      </c>
      <c r="AF141" s="192" t="n">
        <v>-12</v>
      </c>
      <c r="AG141" s="191">
        <f>AE141+AF141</f>
        <v/>
      </c>
      <c r="AH141" s="36" t="n">
        <v>20</v>
      </c>
      <c r="AI141" s="5" t="n">
        <v>4</v>
      </c>
      <c r="AJ141" s="191">
        <f>AH141-AI141+AG141</f>
        <v/>
      </c>
      <c r="AK141" s="192" t="n">
        <v>-18</v>
      </c>
      <c r="AL141" s="191">
        <f>AJ141+AK141</f>
        <v/>
      </c>
      <c r="AM141" s="35" t="inlineStr">
        <is>
          <t>山梨</t>
        </is>
      </c>
      <c r="AN141" s="35" t="inlineStr">
        <is>
          <t>箱</t>
        </is>
      </c>
      <c r="AO141" s="163" t="n">
        <v>1400</v>
      </c>
      <c r="AP141" s="5" t="n">
        <v>0</v>
      </c>
      <c r="AQ141" s="35" t="n"/>
      <c r="AR141" s="35" t="n"/>
      <c r="AS141" s="122" t="n"/>
      <c r="AT141" s="35" t="n"/>
      <c r="AU141" s="35" t="n"/>
    </row>
    <row r="142">
      <c r="A142" s="14" t="inlineStr">
        <is>
          <t>1543-134</t>
        </is>
      </c>
      <c r="B142" s="5" t="inlineStr">
        <is>
          <t>ブロッコリー1個袋(那須・益子美好)6割・不</t>
        </is>
      </c>
      <c r="C142" s="36" t="n">
        <v>8</v>
      </c>
      <c r="D142" s="36" t="n">
        <v>0</v>
      </c>
      <c r="E142" s="5" t="n">
        <v>0</v>
      </c>
      <c r="F142" s="191">
        <f>D142-E142+C142</f>
        <v/>
      </c>
      <c r="G142" s="192" t="n">
        <v>0</v>
      </c>
      <c r="H142" s="191">
        <f>F142+G142</f>
        <v/>
      </c>
      <c r="I142" s="36" t="n">
        <v>150</v>
      </c>
      <c r="J142" s="5" t="n">
        <v>152</v>
      </c>
      <c r="K142" s="191">
        <f>I142-J142+H142</f>
        <v/>
      </c>
      <c r="L142" s="192" t="n">
        <v>0</v>
      </c>
      <c r="M142" s="191">
        <f>K142+L142</f>
        <v/>
      </c>
      <c r="N142" s="36" t="n">
        <v>30</v>
      </c>
      <c r="O142" s="5" t="n">
        <v>40</v>
      </c>
      <c r="P142" s="191">
        <f>N142-O142+M142</f>
        <v/>
      </c>
      <c r="Q142" s="192" t="n">
        <v>0</v>
      </c>
      <c r="R142" s="191">
        <f>P142+Q142</f>
        <v/>
      </c>
      <c r="S142" s="36" t="n">
        <v>150</v>
      </c>
      <c r="T142" s="5" t="n">
        <v>146</v>
      </c>
      <c r="U142" s="191">
        <f>S142-T142+R142</f>
        <v/>
      </c>
      <c r="V142" s="192" t="n">
        <v>0</v>
      </c>
      <c r="W142" s="191">
        <f>U142+V142</f>
        <v/>
      </c>
      <c r="X142" s="36" t="n">
        <v>60</v>
      </c>
      <c r="Y142" s="5" t="n">
        <v>35</v>
      </c>
      <c r="Z142" s="191">
        <f>X142-Y142+W142</f>
        <v/>
      </c>
      <c r="AA142" s="192" t="n">
        <v>0</v>
      </c>
      <c r="AB142" s="191">
        <f>Z142+AA142</f>
        <v/>
      </c>
      <c r="AC142" s="36" t="n">
        <v>120</v>
      </c>
      <c r="AD142" s="5" t="n">
        <v>81</v>
      </c>
      <c r="AE142" s="191">
        <f>AC142-AD142+AB142</f>
        <v/>
      </c>
      <c r="AF142" s="192" t="n">
        <v>0</v>
      </c>
      <c r="AG142" s="191">
        <f>AE142+AF142</f>
        <v/>
      </c>
      <c r="AH142" s="36" t="n">
        <v>90</v>
      </c>
      <c r="AI142" s="5" t="n">
        <v>118</v>
      </c>
      <c r="AJ142" s="191">
        <f>AH142-AI142+AG142</f>
        <v/>
      </c>
      <c r="AK142" s="192" t="n">
        <v>0</v>
      </c>
      <c r="AL142" s="191">
        <f>AJ142+AK142</f>
        <v/>
      </c>
      <c r="AM142" s="35" t="inlineStr">
        <is>
          <t>栃木</t>
        </is>
      </c>
      <c r="AN142" s="35" t="inlineStr">
        <is>
          <t>こもの</t>
        </is>
      </c>
      <c r="AO142" s="5" t="n">
        <v>210</v>
      </c>
      <c r="AP142" s="5" t="n">
        <v>0</v>
      </c>
      <c r="AQ142" s="35" t="inlineStr">
        <is>
          <t>○</t>
        </is>
      </c>
      <c r="AR142" s="35" t="n"/>
      <c r="AS142" s="122" t="n">
        <v>4528950000000</v>
      </c>
      <c r="AT142" s="35" t="n"/>
      <c r="AU142" s="35" t="n"/>
    </row>
    <row r="143">
      <c r="A143" s="14" t="inlineStr">
        <is>
          <t>1561-54</t>
        </is>
      </c>
      <c r="B143" s="5" t="inlineStr">
        <is>
          <t>長ねぎ ムキ 300g (さんぶ)不不</t>
        </is>
      </c>
      <c r="C143" s="36" t="n">
        <v>27</v>
      </c>
      <c r="D143" s="36" t="n">
        <v>90</v>
      </c>
      <c r="E143" s="5" t="n">
        <v>0</v>
      </c>
      <c r="F143" s="191">
        <f>D143-E143+C143</f>
        <v/>
      </c>
      <c r="G143" s="192" t="n">
        <v>0</v>
      </c>
      <c r="H143" s="191">
        <f>F143+G143</f>
        <v/>
      </c>
      <c r="I143" s="36" t="n">
        <v>0</v>
      </c>
      <c r="J143" s="5" t="n">
        <v>47</v>
      </c>
      <c r="K143" s="191">
        <f>I143-J143+H143</f>
        <v/>
      </c>
      <c r="L143" s="192" t="n">
        <v>0</v>
      </c>
      <c r="M143" s="191">
        <f>K143+L143</f>
        <v/>
      </c>
      <c r="N143" s="36" t="n">
        <v>0</v>
      </c>
      <c r="O143" s="5" t="n">
        <v>24</v>
      </c>
      <c r="P143" s="191">
        <f>N143-O143+M143</f>
        <v/>
      </c>
      <c r="Q143" s="192" t="n">
        <v>0</v>
      </c>
      <c r="R143" s="191">
        <f>P143+Q143</f>
        <v/>
      </c>
      <c r="S143" s="36" t="n">
        <v>30</v>
      </c>
      <c r="T143" s="5" t="n">
        <v>28</v>
      </c>
      <c r="U143" s="191">
        <f>S143-T143+R143</f>
        <v/>
      </c>
      <c r="V143" s="192" t="n">
        <v>0</v>
      </c>
      <c r="W143" s="191">
        <f>U143+V143</f>
        <v/>
      </c>
      <c r="X143" s="36" t="n">
        <v>0</v>
      </c>
      <c r="Y143" s="5" t="n">
        <v>25</v>
      </c>
      <c r="Z143" s="191">
        <f>X143-Y143+W143</f>
        <v/>
      </c>
      <c r="AA143" s="192" t="n">
        <v>0</v>
      </c>
      <c r="AB143" s="191">
        <f>Z143+AA143</f>
        <v/>
      </c>
      <c r="AC143" s="36" t="n">
        <v>60</v>
      </c>
      <c r="AD143" s="5" t="n">
        <v>23</v>
      </c>
      <c r="AE143" s="191">
        <f>AC143-AD143+AB143</f>
        <v/>
      </c>
      <c r="AF143" s="192" t="n">
        <v>0</v>
      </c>
      <c r="AG143" s="191">
        <f>AE143+AF143</f>
        <v/>
      </c>
      <c r="AH143" s="36" t="n">
        <v>0</v>
      </c>
      <c r="AI143" s="5" t="n">
        <v>50</v>
      </c>
      <c r="AJ143" s="191">
        <f>AH143-AI143+AG143</f>
        <v/>
      </c>
      <c r="AK143" s="192" t="n">
        <v>0</v>
      </c>
      <c r="AL143" s="191">
        <f>AJ143+AK143</f>
        <v/>
      </c>
      <c r="AM143" s="35" t="inlineStr">
        <is>
          <t>千葉</t>
        </is>
      </c>
      <c r="AN143" s="35" t="inlineStr">
        <is>
          <t>こもの</t>
        </is>
      </c>
      <c r="AO143" s="5" t="n">
        <v>240</v>
      </c>
      <c r="AP143" s="5" t="n">
        <v>0</v>
      </c>
      <c r="AQ143" s="35" t="n"/>
      <c r="AR143" s="35" t="n"/>
      <c r="AS143" s="122" t="n">
        <v>45289500000000</v>
      </c>
      <c r="AT143" s="35" t="n">
        <v>188</v>
      </c>
      <c r="AU143" s="35" t="inlineStr">
        <is>
          <t>農事組合法人 さんぶ野菜ネットワーク</t>
        </is>
      </c>
    </row>
    <row r="144">
      <c r="A144" s="14" t="inlineStr">
        <is>
          <t>1564-100</t>
        </is>
      </c>
      <c r="B144" s="5" t="inlineStr">
        <is>
          <t>長ねぎ　ﾑｷ ２本袋(ﾊｲﾊｰﾊﾞｰ)◇</t>
        </is>
      </c>
      <c r="C144" s="36" t="n">
        <v>19</v>
      </c>
      <c r="D144" s="36" t="n">
        <v>0</v>
      </c>
      <c r="E144" s="5" t="n">
        <v>0</v>
      </c>
      <c r="F144" s="191">
        <f>D144-E144+C144</f>
        <v/>
      </c>
      <c r="G144" s="192" t="n">
        <v>0</v>
      </c>
      <c r="H144" s="191">
        <f>F144+G144</f>
        <v/>
      </c>
      <c r="I144" s="36" t="n">
        <v>319</v>
      </c>
      <c r="J144" s="5" t="n">
        <v>312</v>
      </c>
      <c r="K144" s="191">
        <f>I144-J144+H144</f>
        <v/>
      </c>
      <c r="L144" s="192" t="n">
        <v>0</v>
      </c>
      <c r="M144" s="191">
        <f>K144+L144</f>
        <v/>
      </c>
      <c r="N144" s="36" t="n">
        <v>120</v>
      </c>
      <c r="O144" s="5" t="n">
        <v>137</v>
      </c>
      <c r="P144" s="191">
        <f>N144-O144+M144</f>
        <v/>
      </c>
      <c r="Q144" s="192" t="n">
        <v>0</v>
      </c>
      <c r="R144" s="191">
        <f>P144+Q144</f>
        <v/>
      </c>
      <c r="S144" s="36" t="n">
        <v>260</v>
      </c>
      <c r="T144" s="5" t="n">
        <v>269</v>
      </c>
      <c r="U144" s="191">
        <f>S144-T144+R144</f>
        <v/>
      </c>
      <c r="V144" s="192" t="n">
        <v>0</v>
      </c>
      <c r="W144" s="191">
        <f>U144+V144</f>
        <v/>
      </c>
      <c r="X144" s="36" t="n">
        <v>160</v>
      </c>
      <c r="Y144" s="5" t="n">
        <v>146</v>
      </c>
      <c r="Z144" s="191">
        <f>X144-Y144+W144</f>
        <v/>
      </c>
      <c r="AA144" s="192" t="n">
        <v>0</v>
      </c>
      <c r="AB144" s="191">
        <f>Z144+AA144</f>
        <v/>
      </c>
      <c r="AC144" s="36" t="n">
        <v>280</v>
      </c>
      <c r="AD144" s="5" t="n">
        <v>276</v>
      </c>
      <c r="AE144" s="191">
        <f>AC144-AD144+AB144</f>
        <v/>
      </c>
      <c r="AF144" s="192" t="n">
        <v>0</v>
      </c>
      <c r="AG144" s="191">
        <f>AE144+AF144</f>
        <v/>
      </c>
      <c r="AH144" s="36" t="n">
        <v>400</v>
      </c>
      <c r="AI144" s="5" t="n">
        <v>417</v>
      </c>
      <c r="AJ144" s="191">
        <f>AH144-AI144+AG144</f>
        <v/>
      </c>
      <c r="AK144" s="192" t="n">
        <v>0</v>
      </c>
      <c r="AL144" s="191">
        <f>AJ144+AK144</f>
        <v/>
      </c>
      <c r="AM144" s="35" t="inlineStr">
        <is>
          <t>長野</t>
        </is>
      </c>
      <c r="AN144" s="35" t="inlineStr">
        <is>
          <t>こもの</t>
        </is>
      </c>
      <c r="AO144" s="5" t="n">
        <v>230</v>
      </c>
      <c r="AP144" s="5" t="n">
        <v>0</v>
      </c>
      <c r="AQ144" s="35" t="n"/>
      <c r="AR144" s="35" t="n"/>
      <c r="AS144" s="122" t="n">
        <v>4580445527653</v>
      </c>
      <c r="AT144" s="35" t="n"/>
      <c r="AU144" s="35" t="n"/>
    </row>
    <row r="145">
      <c r="A145" s="14" t="inlineStr">
        <is>
          <t>1564-101</t>
        </is>
      </c>
      <c r="B145" s="5" t="inlineStr">
        <is>
          <t>■長ねぎ　ﾑｷ ５ｋｇ(ﾊｲﾊｰﾊﾞｰ)</t>
        </is>
      </c>
      <c r="C145" s="36" t="n">
        <v>1</v>
      </c>
      <c r="D145" s="36" t="n">
        <v>0</v>
      </c>
      <c r="E145" s="5" t="n">
        <v>0</v>
      </c>
      <c r="F145" s="191">
        <f>D145-E145+C145</f>
        <v/>
      </c>
      <c r="G145" s="192" t="n">
        <v>0</v>
      </c>
      <c r="H145" s="191">
        <f>F145+G145</f>
        <v/>
      </c>
      <c r="I145" s="36" t="n">
        <v>15</v>
      </c>
      <c r="J145" s="5" t="n">
        <v>0</v>
      </c>
      <c r="K145" s="191">
        <f>I145-J145+H145</f>
        <v/>
      </c>
      <c r="L145" s="192" t="n">
        <v>-16</v>
      </c>
      <c r="M145" s="191">
        <f>K145+L145</f>
        <v/>
      </c>
      <c r="N145" s="36" t="n">
        <v>6</v>
      </c>
      <c r="O145" s="5" t="n">
        <v>0</v>
      </c>
      <c r="P145" s="191">
        <f>N145-O145+M145</f>
        <v/>
      </c>
      <c r="Q145" s="192" t="n">
        <v>-6</v>
      </c>
      <c r="R145" s="191">
        <f>P145+Q145</f>
        <v/>
      </c>
      <c r="S145" s="36" t="n">
        <v>18</v>
      </c>
      <c r="T145" s="5" t="n">
        <v>0</v>
      </c>
      <c r="U145" s="191">
        <f>S145-T145+R145</f>
        <v/>
      </c>
      <c r="V145" s="192" t="n">
        <v>-13</v>
      </c>
      <c r="W145" s="191">
        <f>U145+V145</f>
        <v/>
      </c>
      <c r="X145" s="36" t="n">
        <v>9</v>
      </c>
      <c r="Y145" s="5" t="n">
        <v>0</v>
      </c>
      <c r="Z145" s="191">
        <f>X145-Y145+W145</f>
        <v/>
      </c>
      <c r="AA145" s="192" t="n">
        <v>-8</v>
      </c>
      <c r="AB145" s="191">
        <f>Z145+AA145</f>
        <v/>
      </c>
      <c r="AC145" s="36" t="n">
        <v>15</v>
      </c>
      <c r="AD145" s="5" t="n">
        <v>0</v>
      </c>
      <c r="AE145" s="191">
        <f>AC145-AD145+AB145</f>
        <v/>
      </c>
      <c r="AF145" s="192" t="n">
        <v>-14</v>
      </c>
      <c r="AG145" s="191">
        <f>AE145+AF145</f>
        <v/>
      </c>
      <c r="AH145" s="36" t="n">
        <v>18</v>
      </c>
      <c r="AI145" s="5" t="n">
        <v>0</v>
      </c>
      <c r="AJ145" s="191">
        <f>AH145-AI145+AG145</f>
        <v/>
      </c>
      <c r="AK145" s="192" t="n">
        <v>-20</v>
      </c>
      <c r="AL145" s="191">
        <f>AJ145+AK145</f>
        <v/>
      </c>
      <c r="AM145" s="35" t="inlineStr">
        <is>
          <t>長野</t>
        </is>
      </c>
      <c r="AN145" s="35" t="inlineStr">
        <is>
          <t>箱</t>
        </is>
      </c>
      <c r="AO145" s="163" t="n">
        <v>3200</v>
      </c>
      <c r="AP145" s="5" t="n">
        <v>0</v>
      </c>
      <c r="AQ145" s="35" t="inlineStr">
        <is>
          <t>○</t>
        </is>
      </c>
      <c r="AR145" s="35" t="n"/>
      <c r="AS145" s="122" t="n"/>
      <c r="AT145" s="35" t="n"/>
      <c r="AU145" s="35" t="n"/>
    </row>
    <row r="146">
      <c r="A146" s="14" t="inlineStr">
        <is>
          <t>1569-23</t>
        </is>
      </c>
      <c r="B146" s="5" t="inlineStr">
        <is>
          <t>有機長ねぎ　ムキ　300ｇ(よしだ農園)</t>
        </is>
      </c>
      <c r="C146" s="36" t="n">
        <v>0</v>
      </c>
      <c r="D146" s="36" t="n">
        <v>0</v>
      </c>
      <c r="E146" s="5" t="n">
        <v>0</v>
      </c>
      <c r="F146" s="191">
        <f>D146-E146+C146</f>
        <v/>
      </c>
      <c r="G146" s="192" t="n">
        <v>0</v>
      </c>
      <c r="H146" s="191">
        <f>F146+G146</f>
        <v/>
      </c>
      <c r="I146" s="36" t="n">
        <v>80</v>
      </c>
      <c r="J146" s="5" t="n">
        <v>30</v>
      </c>
      <c r="K146" s="191">
        <f>I146-J146+H146</f>
        <v/>
      </c>
      <c r="L146" s="192" t="n">
        <v>0</v>
      </c>
      <c r="M146" s="191">
        <f>K146+L146</f>
        <v/>
      </c>
      <c r="N146" s="36" t="n">
        <v>0</v>
      </c>
      <c r="O146" s="5" t="n">
        <v>20</v>
      </c>
      <c r="P146" s="191">
        <f>N146-O146+M146</f>
        <v/>
      </c>
      <c r="Q146" s="192" t="n">
        <v>0</v>
      </c>
      <c r="R146" s="191">
        <f>P146+Q146</f>
        <v/>
      </c>
      <c r="S146" s="36" t="n">
        <v>0</v>
      </c>
      <c r="T146" s="5" t="n">
        <v>20</v>
      </c>
      <c r="U146" s="191">
        <f>S146-T146+R146</f>
        <v/>
      </c>
      <c r="V146" s="192" t="n">
        <v>0</v>
      </c>
      <c r="W146" s="191">
        <f>U146+V146</f>
        <v/>
      </c>
      <c r="X146" s="36" t="n">
        <v>0</v>
      </c>
      <c r="Y146" s="5" t="n">
        <v>0</v>
      </c>
      <c r="Z146" s="191">
        <f>X146-Y146+W146</f>
        <v/>
      </c>
      <c r="AA146" s="192" t="n">
        <v>0</v>
      </c>
      <c r="AB146" s="191">
        <f>Z146+AA146</f>
        <v/>
      </c>
      <c r="AC146" s="36" t="n">
        <v>0</v>
      </c>
      <c r="AD146" s="5" t="n">
        <v>0</v>
      </c>
      <c r="AE146" s="191">
        <f>AC146-AD146+AB146</f>
        <v/>
      </c>
      <c r="AF146" s="192" t="n">
        <v>0</v>
      </c>
      <c r="AG146" s="191">
        <f>AE146+AF146</f>
        <v/>
      </c>
      <c r="AH146" s="36" t="n">
        <v>0</v>
      </c>
      <c r="AI146" s="5" t="n">
        <v>0</v>
      </c>
      <c r="AJ146" s="191">
        <f>AH146-AI146+AG146</f>
        <v/>
      </c>
      <c r="AK146" s="192" t="n">
        <v>0</v>
      </c>
      <c r="AL146" s="191">
        <f>AJ146+AK146</f>
        <v/>
      </c>
      <c r="AM146" s="35" t="inlineStr">
        <is>
          <t>群馬</t>
        </is>
      </c>
      <c r="AN146" s="35" t="inlineStr">
        <is>
          <t>こもの</t>
        </is>
      </c>
      <c r="AO146" s="5" t="n">
        <v>240</v>
      </c>
      <c r="AP146" s="5" t="n">
        <v>0</v>
      </c>
      <c r="AQ146" s="35" t="n"/>
      <c r="AR146" s="35" t="n"/>
      <c r="AS146" s="122" t="n"/>
      <c r="AT146" s="35" t="n"/>
      <c r="AU146" s="35" t="n"/>
    </row>
    <row r="147">
      <c r="A147" s="14" t="inlineStr">
        <is>
          <t>1584-36</t>
        </is>
      </c>
      <c r="B147" s="5" t="inlineStr">
        <is>
          <t>■有機ロメインﾚﾀｽ　裸 10個ｺﾝﾃﾅ(ﾌｧｰﾏｰｽﾞ)</t>
        </is>
      </c>
      <c r="C147" s="36" t="n">
        <v>4</v>
      </c>
      <c r="D147" s="36" t="n">
        <v>0</v>
      </c>
      <c r="E147" s="5" t="n">
        <v>0</v>
      </c>
      <c r="F147" s="191">
        <f>D147-E147+C147</f>
        <v/>
      </c>
      <c r="G147" s="192" t="n">
        <v>0</v>
      </c>
      <c r="H147" s="191">
        <f>F147+G147</f>
        <v/>
      </c>
      <c r="I147" s="36" t="n">
        <v>6</v>
      </c>
      <c r="J147" s="5" t="n">
        <v>0</v>
      </c>
      <c r="K147" s="191">
        <f>I147-J147+H147</f>
        <v/>
      </c>
      <c r="L147" s="192" t="n">
        <v>-4</v>
      </c>
      <c r="M147" s="191">
        <f>K147+L147</f>
        <v/>
      </c>
      <c r="N147" s="36" t="n">
        <v>0</v>
      </c>
      <c r="O147" s="5" t="n">
        <v>0</v>
      </c>
      <c r="P147" s="191">
        <f>N147-O147+M147</f>
        <v/>
      </c>
      <c r="Q147" s="192" t="n">
        <v>-2</v>
      </c>
      <c r="R147" s="191">
        <f>P147+Q147</f>
        <v/>
      </c>
      <c r="S147" s="36" t="n">
        <v>0</v>
      </c>
      <c r="T147" s="5" t="n">
        <v>0</v>
      </c>
      <c r="U147" s="191">
        <f>S147-T147+R147</f>
        <v/>
      </c>
      <c r="V147" s="192" t="n">
        <v>-3</v>
      </c>
      <c r="W147" s="191">
        <f>U147+V147</f>
        <v/>
      </c>
      <c r="X147" s="36" t="n">
        <v>6</v>
      </c>
      <c r="Y147" s="5" t="n">
        <v>0</v>
      </c>
      <c r="Z147" s="191">
        <f>X147-Y147+W147</f>
        <v/>
      </c>
      <c r="AA147" s="192" t="n">
        <v>-2</v>
      </c>
      <c r="AB147" s="191">
        <f>Z147+AA147</f>
        <v/>
      </c>
      <c r="AC147" s="36" t="n">
        <v>0</v>
      </c>
      <c r="AD147" s="5" t="n">
        <v>0</v>
      </c>
      <c r="AE147" s="191">
        <f>AC147-AD147+AB147</f>
        <v/>
      </c>
      <c r="AF147" s="192" t="n">
        <v>-4</v>
      </c>
      <c r="AG147" s="191">
        <f>AE147+AF147</f>
        <v/>
      </c>
      <c r="AH147" s="36" t="n">
        <v>3</v>
      </c>
      <c r="AI147" s="5" t="n">
        <v>0</v>
      </c>
      <c r="AJ147" s="191">
        <f>AH147-AI147+AG147</f>
        <v/>
      </c>
      <c r="AK147" s="192" t="n">
        <v>-3</v>
      </c>
      <c r="AL147" s="191">
        <f>AJ147+AK147</f>
        <v/>
      </c>
      <c r="AM147" s="35" t="inlineStr">
        <is>
          <t>山梨</t>
        </is>
      </c>
      <c r="AN147" s="35" t="inlineStr">
        <is>
          <t>箱</t>
        </is>
      </c>
      <c r="AO147" s="5" t="n">
        <v>0</v>
      </c>
      <c r="AP147" s="5" t="n">
        <v>0</v>
      </c>
      <c r="AQ147" s="35" t="n"/>
      <c r="AR147" s="35" t="n"/>
      <c r="AS147" s="122" t="n"/>
      <c r="AT147" s="35" t="n">
        <v>233</v>
      </c>
      <c r="AU147" s="35" t="inlineStr">
        <is>
          <t>富岡農園　●</t>
        </is>
      </c>
    </row>
    <row r="148">
      <c r="A148" s="14" t="inlineStr">
        <is>
          <t>1584-39</t>
        </is>
      </c>
      <c r="B148" s="5" t="inlineStr">
        <is>
          <t>有機ロメインﾚﾀｽ ﾗｯﾌﾟ 1個(ﾌｧｰﾏｰｽﾞ)◇</t>
        </is>
      </c>
      <c r="C148" s="36" t="n">
        <v>7</v>
      </c>
      <c r="D148" s="36" t="n">
        <v>0</v>
      </c>
      <c r="E148" s="5" t="n">
        <v>0</v>
      </c>
      <c r="F148" s="191">
        <f>D148-E148+C148</f>
        <v/>
      </c>
      <c r="G148" s="192" t="n">
        <v>0</v>
      </c>
      <c r="H148" s="191">
        <f>F148+G148</f>
        <v/>
      </c>
      <c r="I148" s="36" t="n">
        <v>41</v>
      </c>
      <c r="J148" s="5" t="n">
        <v>30</v>
      </c>
      <c r="K148" s="191">
        <f>I148-J148+H148</f>
        <v/>
      </c>
      <c r="L148" s="192" t="n">
        <v>0</v>
      </c>
      <c r="M148" s="191">
        <f>K148+L148</f>
        <v/>
      </c>
      <c r="N148" s="36" t="n">
        <v>20</v>
      </c>
      <c r="O148" s="5" t="n">
        <v>20</v>
      </c>
      <c r="P148" s="191">
        <f>N148-O148+M148</f>
        <v/>
      </c>
      <c r="Q148" s="192" t="n">
        <v>0</v>
      </c>
      <c r="R148" s="191">
        <f>P148+Q148</f>
        <v/>
      </c>
      <c r="S148" s="36" t="n">
        <v>30</v>
      </c>
      <c r="T148" s="5" t="n">
        <v>37</v>
      </c>
      <c r="U148" s="191">
        <f>S148-T148+R148</f>
        <v/>
      </c>
      <c r="V148" s="192" t="n">
        <v>0</v>
      </c>
      <c r="W148" s="191">
        <f>U148+V148</f>
        <v/>
      </c>
      <c r="X148" s="36" t="n">
        <v>20</v>
      </c>
      <c r="Y148" s="5" t="n">
        <v>22</v>
      </c>
      <c r="Z148" s="191">
        <f>X148-Y148+W148</f>
        <v/>
      </c>
      <c r="AA148" s="192" t="n">
        <v>0</v>
      </c>
      <c r="AB148" s="191">
        <f>Z148+AA148</f>
        <v/>
      </c>
      <c r="AC148" s="36" t="n">
        <v>40</v>
      </c>
      <c r="AD148" s="5" t="n">
        <v>32</v>
      </c>
      <c r="AE148" s="191">
        <f>AC148-AD148+AB148</f>
        <v/>
      </c>
      <c r="AF148" s="192" t="n">
        <v>0</v>
      </c>
      <c r="AG148" s="191">
        <f>AE148+AF148</f>
        <v/>
      </c>
      <c r="AH148" s="36" t="n">
        <v>30</v>
      </c>
      <c r="AI148" s="5" t="n">
        <v>34</v>
      </c>
      <c r="AJ148" s="191">
        <f>AH148-AI148+AG148</f>
        <v/>
      </c>
      <c r="AK148" s="192" t="n">
        <v>0</v>
      </c>
      <c r="AL148" s="191">
        <f>AJ148+AK148</f>
        <v/>
      </c>
      <c r="AM148" s="35" t="inlineStr">
        <is>
          <t>山梨</t>
        </is>
      </c>
      <c r="AN148" s="35" t="inlineStr">
        <is>
          <t>こもの</t>
        </is>
      </c>
      <c r="AO148" s="5" t="n">
        <v>140</v>
      </c>
      <c r="AP148" s="5" t="n">
        <v>0</v>
      </c>
      <c r="AQ148" s="35" t="n"/>
      <c r="AR148" s="35" t="n"/>
      <c r="AS148" s="122" t="n">
        <v>4580450000000</v>
      </c>
      <c r="AT148" s="35" t="n">
        <v>233</v>
      </c>
      <c r="AU148" s="35" t="inlineStr">
        <is>
          <t>富岡農園　●</t>
        </is>
      </c>
    </row>
    <row r="149">
      <c r="A149" s="14" t="inlineStr">
        <is>
          <t>1588-15</t>
        </is>
      </c>
      <c r="B149" s="5" t="inlineStr">
        <is>
          <t>有機フリルレタス ﾗｯﾌﾟ １個(ﾌｧｰﾏｰｽﾞ)◇</t>
        </is>
      </c>
      <c r="C149" s="36" t="n">
        <v>10</v>
      </c>
      <c r="D149" s="36" t="n">
        <v>0</v>
      </c>
      <c r="E149" s="5" t="n">
        <v>0</v>
      </c>
      <c r="F149" s="191">
        <f>D149-E149+C149</f>
        <v/>
      </c>
      <c r="G149" s="192" t="n">
        <v>0</v>
      </c>
      <c r="H149" s="191">
        <f>F149+G149</f>
        <v/>
      </c>
      <c r="I149" s="36" t="n">
        <v>10</v>
      </c>
      <c r="J149" s="5" t="n">
        <v>16</v>
      </c>
      <c r="K149" s="191">
        <f>I149-J149+H149</f>
        <v/>
      </c>
      <c r="L149" s="192" t="n">
        <v>0</v>
      </c>
      <c r="M149" s="191">
        <f>K149+L149</f>
        <v/>
      </c>
      <c r="N149" s="36" t="n">
        <v>0</v>
      </c>
      <c r="O149" s="5" t="n">
        <v>4</v>
      </c>
      <c r="P149" s="191">
        <f>N149-O149+M149</f>
        <v/>
      </c>
      <c r="Q149" s="192" t="n">
        <v>0</v>
      </c>
      <c r="R149" s="191">
        <f>P149+Q149</f>
        <v/>
      </c>
      <c r="S149" s="36" t="n">
        <v>20</v>
      </c>
      <c r="T149" s="5" t="n">
        <v>15</v>
      </c>
      <c r="U149" s="191">
        <f>S149-T149+R149</f>
        <v/>
      </c>
      <c r="V149" s="192" t="n">
        <v>0</v>
      </c>
      <c r="W149" s="191">
        <f>U149+V149</f>
        <v/>
      </c>
      <c r="X149" s="36" t="n">
        <v>0</v>
      </c>
      <c r="Y149" s="5" t="n">
        <v>4</v>
      </c>
      <c r="Z149" s="191">
        <f>X149-Y149+W149</f>
        <v/>
      </c>
      <c r="AA149" s="192" t="n">
        <v>0</v>
      </c>
      <c r="AB149" s="191">
        <f>Z149+AA149</f>
        <v/>
      </c>
      <c r="AC149" s="36" t="n">
        <v>10</v>
      </c>
      <c r="AD149" s="5" t="n">
        <v>11</v>
      </c>
      <c r="AE149" s="191">
        <f>AC149-AD149+AB149</f>
        <v/>
      </c>
      <c r="AF149" s="192" t="n">
        <v>0</v>
      </c>
      <c r="AG149" s="191">
        <f>AE149+AF149</f>
        <v/>
      </c>
      <c r="AH149" s="36" t="n">
        <v>20</v>
      </c>
      <c r="AI149" s="5" t="n">
        <v>16</v>
      </c>
      <c r="AJ149" s="191">
        <f>AH149-AI149+AG149</f>
        <v/>
      </c>
      <c r="AK149" s="192" t="n">
        <v>0</v>
      </c>
      <c r="AL149" s="191">
        <f>AJ149+AK149</f>
        <v/>
      </c>
      <c r="AM149" s="35" t="inlineStr">
        <is>
          <t>山梨</t>
        </is>
      </c>
      <c r="AN149" s="35" t="inlineStr">
        <is>
          <t>こもの</t>
        </is>
      </c>
      <c r="AO149" s="5" t="n">
        <v>140</v>
      </c>
      <c r="AP149" s="5" t="n">
        <v>0</v>
      </c>
      <c r="AQ149" s="35" t="n"/>
      <c r="AR149" s="35" t="n"/>
      <c r="AS149" s="122" t="n"/>
      <c r="AT149" s="35" t="n">
        <v>233</v>
      </c>
      <c r="AU149" s="35" t="inlineStr">
        <is>
          <t>富岡農園　●</t>
        </is>
      </c>
    </row>
    <row r="150">
      <c r="A150" s="14" t="inlineStr">
        <is>
          <t>1588-21</t>
        </is>
      </c>
      <c r="B150" s="5" t="inlineStr">
        <is>
          <t>■有機フリルレタス　裸 １０個 (ﾌｧｰﾏｰｽﾞ)</t>
        </is>
      </c>
      <c r="C150" s="36" t="n">
        <v>0</v>
      </c>
      <c r="D150" s="36" t="n">
        <v>0</v>
      </c>
      <c r="E150" s="5" t="n">
        <v>0</v>
      </c>
      <c r="F150" s="191">
        <f>D150-E150+C150</f>
        <v/>
      </c>
      <c r="G150" s="192" t="n">
        <v>0</v>
      </c>
      <c r="H150" s="191">
        <f>F150+G150</f>
        <v/>
      </c>
      <c r="I150" s="36" t="n">
        <v>2</v>
      </c>
      <c r="J150" s="5" t="n">
        <v>0</v>
      </c>
      <c r="K150" s="191">
        <f>I150-J150+H150</f>
        <v/>
      </c>
      <c r="L150" s="192" t="n">
        <v>-1</v>
      </c>
      <c r="M150" s="191">
        <f>K150+L150</f>
        <v/>
      </c>
      <c r="N150" s="36" t="n">
        <v>0</v>
      </c>
      <c r="O150" s="5" t="n">
        <v>0</v>
      </c>
      <c r="P150" s="191">
        <f>N150-O150+M150</f>
        <v/>
      </c>
      <c r="Q150" s="192" t="n">
        <v>0</v>
      </c>
      <c r="R150" s="191">
        <f>P150+Q150</f>
        <v/>
      </c>
      <c r="S150" s="36" t="n">
        <v>0</v>
      </c>
      <c r="T150" s="5" t="n">
        <v>0</v>
      </c>
      <c r="U150" s="191">
        <f>S150-T150+R150</f>
        <v/>
      </c>
      <c r="V150" s="192" t="n">
        <v>-1</v>
      </c>
      <c r="W150" s="191">
        <f>U150+V150</f>
        <v/>
      </c>
      <c r="X150" s="36" t="n">
        <v>4</v>
      </c>
      <c r="Y150" s="5" t="n">
        <v>0</v>
      </c>
      <c r="Z150" s="191">
        <f>X150-Y150+W150</f>
        <v/>
      </c>
      <c r="AA150" s="192" t="n">
        <v>0</v>
      </c>
      <c r="AB150" s="191">
        <f>Z150+AA150</f>
        <v/>
      </c>
      <c r="AC150" s="36" t="n">
        <v>0</v>
      </c>
      <c r="AD150" s="5" t="n">
        <v>0</v>
      </c>
      <c r="AE150" s="191">
        <f>AC150-AD150+AB150</f>
        <v/>
      </c>
      <c r="AF150" s="192" t="n">
        <v>-2</v>
      </c>
      <c r="AG150" s="191">
        <f>AE150+AF150</f>
        <v/>
      </c>
      <c r="AH150" s="36" t="n">
        <v>1</v>
      </c>
      <c r="AI150" s="5" t="n">
        <v>0</v>
      </c>
      <c r="AJ150" s="191">
        <f>AH150-AI150+AG150</f>
        <v/>
      </c>
      <c r="AK150" s="192" t="n">
        <v>-2</v>
      </c>
      <c r="AL150" s="191">
        <f>AJ150+AK150</f>
        <v/>
      </c>
      <c r="AM150" s="35" t="inlineStr">
        <is>
          <t>山梨</t>
        </is>
      </c>
      <c r="AN150" s="35" t="inlineStr">
        <is>
          <t>箱</t>
        </is>
      </c>
      <c r="AO150" s="5" t="n">
        <v>0</v>
      </c>
      <c r="AP150" s="5" t="n">
        <v>0</v>
      </c>
      <c r="AQ150" s="35" t="n"/>
      <c r="AR150" s="35" t="n"/>
      <c r="AS150" s="122" t="n"/>
      <c r="AT150" s="35" t="n">
        <v>233</v>
      </c>
      <c r="AU150" s="35" t="inlineStr">
        <is>
          <t>富岡農園　●</t>
        </is>
      </c>
    </row>
    <row r="151">
      <c r="A151" s="14" t="inlineStr">
        <is>
          <t>1588-25</t>
        </is>
      </c>
      <c r="B151" s="5" t="inlineStr">
        <is>
          <t>有機レッドフリルﾚﾀｽ ﾗｯﾌﾟ １個(ﾌｧｰﾏｰｽﾞ)◇</t>
        </is>
      </c>
      <c r="C151" s="36" t="n">
        <v>0</v>
      </c>
      <c r="D151" s="36" t="n">
        <v>0</v>
      </c>
      <c r="E151" s="5" t="n">
        <v>0</v>
      </c>
      <c r="F151" s="191">
        <f>D151-E151+C151</f>
        <v/>
      </c>
      <c r="G151" s="192" t="n">
        <v>0</v>
      </c>
      <c r="H151" s="191">
        <f>F151+G151</f>
        <v/>
      </c>
      <c r="I151" s="36" t="n">
        <v>20</v>
      </c>
      <c r="J151" s="5" t="n">
        <v>11</v>
      </c>
      <c r="K151" s="191">
        <f>I151-J151+H151</f>
        <v/>
      </c>
      <c r="L151" s="192" t="n">
        <v>0</v>
      </c>
      <c r="M151" s="191">
        <f>K151+L151</f>
        <v/>
      </c>
      <c r="N151" s="36" t="n">
        <v>0</v>
      </c>
      <c r="O151" s="5" t="n">
        <v>0</v>
      </c>
      <c r="P151" s="191">
        <f>N151-O151+M151</f>
        <v/>
      </c>
      <c r="Q151" s="192" t="n">
        <v>0</v>
      </c>
      <c r="R151" s="191">
        <f>P151+Q151</f>
        <v/>
      </c>
      <c r="S151" s="36" t="n">
        <v>10</v>
      </c>
      <c r="T151" s="5" t="n">
        <v>10</v>
      </c>
      <c r="U151" s="191">
        <f>S151-T151+R151</f>
        <v/>
      </c>
      <c r="V151" s="192" t="n">
        <v>0</v>
      </c>
      <c r="W151" s="191">
        <f>U151+V151</f>
        <v/>
      </c>
      <c r="X151" s="36" t="n">
        <v>0</v>
      </c>
      <c r="Y151" s="5" t="n">
        <v>0</v>
      </c>
      <c r="Z151" s="191">
        <f>X151-Y151+W151</f>
        <v/>
      </c>
      <c r="AA151" s="192" t="n">
        <v>0</v>
      </c>
      <c r="AB151" s="191">
        <f>Z151+AA151</f>
        <v/>
      </c>
      <c r="AC151" s="36" t="n">
        <v>0</v>
      </c>
      <c r="AD151" s="5" t="n">
        <v>4</v>
      </c>
      <c r="AE151" s="191">
        <f>AC151-AD151+AB151</f>
        <v/>
      </c>
      <c r="AF151" s="192" t="n">
        <v>0</v>
      </c>
      <c r="AG151" s="191">
        <f>AE151+AF151</f>
        <v/>
      </c>
      <c r="AH151" s="36" t="n">
        <v>10</v>
      </c>
      <c r="AI151" s="5" t="n">
        <v>7</v>
      </c>
      <c r="AJ151" s="191">
        <f>AH151-AI151+AG151</f>
        <v/>
      </c>
      <c r="AK151" s="192" t="n">
        <v>0</v>
      </c>
      <c r="AL151" s="191">
        <f>AJ151+AK151</f>
        <v/>
      </c>
      <c r="AM151" s="35" t="inlineStr">
        <is>
          <t>山梨</t>
        </is>
      </c>
      <c r="AN151" s="35" t="inlineStr">
        <is>
          <t>こもの</t>
        </is>
      </c>
      <c r="AO151" s="5" t="n">
        <v>140</v>
      </c>
      <c r="AP151" s="5" t="n">
        <v>0</v>
      </c>
      <c r="AQ151" s="35" t="n"/>
      <c r="AR151" s="35" t="n"/>
      <c r="AS151" s="122" t="n"/>
      <c r="AT151" s="35" t="n">
        <v>233</v>
      </c>
      <c r="AU151" s="35" t="inlineStr">
        <is>
          <t>富岡農園　●</t>
        </is>
      </c>
    </row>
    <row r="152">
      <c r="A152" s="14" t="inlineStr">
        <is>
          <t>1588-28</t>
        </is>
      </c>
      <c r="B152" s="5" t="inlineStr">
        <is>
          <t>■有機レッドﾌﾘﾙﾚﾀｽ　裸 10個 (ﾌｧｰﾏｰｽﾞ)</t>
        </is>
      </c>
      <c r="C152" s="36" t="n">
        <v>0</v>
      </c>
      <c r="D152" s="36" t="n">
        <v>0</v>
      </c>
      <c r="E152" s="5" t="n">
        <v>0</v>
      </c>
      <c r="F152" s="191">
        <f>D152-E152+C152</f>
        <v/>
      </c>
      <c r="G152" s="192" t="n">
        <v>0</v>
      </c>
      <c r="H152" s="191">
        <f>F152+G152</f>
        <v/>
      </c>
      <c r="I152" s="36" t="n">
        <v>3</v>
      </c>
      <c r="J152" s="5" t="n">
        <v>0</v>
      </c>
      <c r="K152" s="191">
        <f>I152-J152+H152</f>
        <v/>
      </c>
      <c r="L152" s="192" t="n">
        <v>-2</v>
      </c>
      <c r="M152" s="191">
        <f>K152+L152</f>
        <v/>
      </c>
      <c r="N152" s="36" t="n">
        <v>0</v>
      </c>
      <c r="O152" s="5" t="n">
        <v>0</v>
      </c>
      <c r="P152" s="191">
        <f>N152-O152+M152</f>
        <v/>
      </c>
      <c r="Q152" s="192" t="n">
        <v>0</v>
      </c>
      <c r="R152" s="191">
        <f>P152+Q152</f>
        <v/>
      </c>
      <c r="S152" s="36" t="n">
        <v>0</v>
      </c>
      <c r="T152" s="5" t="n">
        <v>0</v>
      </c>
      <c r="U152" s="191">
        <f>S152-T152+R152</f>
        <v/>
      </c>
      <c r="V152" s="192" t="n">
        <v>-1</v>
      </c>
      <c r="W152" s="191">
        <f>U152+V152</f>
        <v/>
      </c>
      <c r="X152" s="36" t="n">
        <v>1</v>
      </c>
      <c r="Y152" s="5" t="n">
        <v>0</v>
      </c>
      <c r="Z152" s="191">
        <f>X152-Y152+W152</f>
        <v/>
      </c>
      <c r="AA152" s="192" t="n">
        <v>0</v>
      </c>
      <c r="AB152" s="191">
        <f>Z152+AA152</f>
        <v/>
      </c>
      <c r="AC152" s="36" t="n">
        <v>0</v>
      </c>
      <c r="AD152" s="5" t="n">
        <v>0</v>
      </c>
      <c r="AE152" s="191">
        <f>AC152-AD152+AB152</f>
        <v/>
      </c>
      <c r="AF152" s="192" t="n">
        <v>0</v>
      </c>
      <c r="AG152" s="191">
        <f>AE152+AF152</f>
        <v/>
      </c>
      <c r="AH152" s="36" t="n">
        <v>0</v>
      </c>
      <c r="AI152" s="5" t="n">
        <v>0</v>
      </c>
      <c r="AJ152" s="191">
        <f>AH152-AI152+AG152</f>
        <v/>
      </c>
      <c r="AK152" s="192" t="n">
        <v>-1</v>
      </c>
      <c r="AL152" s="191">
        <f>AJ152+AK152</f>
        <v/>
      </c>
      <c r="AM152" s="35" t="inlineStr">
        <is>
          <t>山梨</t>
        </is>
      </c>
      <c r="AN152" s="35" t="inlineStr">
        <is>
          <t>箱</t>
        </is>
      </c>
      <c r="AO152" s="5" t="n">
        <v>0</v>
      </c>
      <c r="AP152" s="5" t="n">
        <v>0</v>
      </c>
      <c r="AQ152" s="35" t="n"/>
      <c r="AR152" s="35" t="n"/>
      <c r="AS152" s="122" t="n"/>
      <c r="AT152" s="35" t="n">
        <v>233</v>
      </c>
      <c r="AU152" s="35" t="inlineStr">
        <is>
          <t>富岡農園　●</t>
        </is>
      </c>
    </row>
    <row r="153">
      <c r="A153" s="14" t="inlineStr">
        <is>
          <t>1589-138</t>
        </is>
      </c>
      <c r="B153" s="5" t="inlineStr">
        <is>
          <t>有機リーフﾚﾀｽ ﾗｯﾌﾟ1個(やさと・産ﾊﾟ)</t>
        </is>
      </c>
      <c r="C153" s="36" t="n">
        <v>22</v>
      </c>
      <c r="D153" s="36" t="n">
        <v>150</v>
      </c>
      <c r="E153" s="5" t="n">
        <v>0</v>
      </c>
      <c r="F153" s="191">
        <f>D153-E153+C153</f>
        <v/>
      </c>
      <c r="G153" s="192" t="n">
        <v>0</v>
      </c>
      <c r="H153" s="191">
        <f>F153+G153</f>
        <v/>
      </c>
      <c r="I153" s="36" t="n">
        <v>0</v>
      </c>
      <c r="J153" s="5" t="n">
        <v>79</v>
      </c>
      <c r="K153" s="191">
        <f>I153-J153+H153</f>
        <v/>
      </c>
      <c r="L153" s="192" t="n">
        <v>0</v>
      </c>
      <c r="M153" s="191">
        <f>K153+L153</f>
        <v/>
      </c>
      <c r="N153" s="36" t="n">
        <v>0</v>
      </c>
      <c r="O153" s="5" t="n">
        <v>55</v>
      </c>
      <c r="P153" s="191">
        <f>N153-O153+M153</f>
        <v/>
      </c>
      <c r="Q153" s="192" t="n">
        <v>0</v>
      </c>
      <c r="R153" s="191">
        <f>P153+Q153</f>
        <v/>
      </c>
      <c r="S153" s="36" t="n">
        <v>120</v>
      </c>
      <c r="T153" s="5" t="n">
        <v>72</v>
      </c>
      <c r="U153" s="191">
        <f>S153-T153+R153</f>
        <v/>
      </c>
      <c r="V153" s="192" t="n">
        <v>0</v>
      </c>
      <c r="W153" s="191">
        <f>U153+V153</f>
        <v/>
      </c>
      <c r="X153" s="36" t="n">
        <v>0</v>
      </c>
      <c r="Y153" s="5" t="n">
        <v>62</v>
      </c>
      <c r="Z153" s="191">
        <f>X153-Y153+W153</f>
        <v/>
      </c>
      <c r="AA153" s="192" t="n">
        <v>0</v>
      </c>
      <c r="AB153" s="191">
        <f>Z153+AA153</f>
        <v/>
      </c>
      <c r="AC153" s="36" t="n">
        <v>75</v>
      </c>
      <c r="AD153" s="5" t="n">
        <v>52</v>
      </c>
      <c r="AE153" s="191">
        <f>AC153-AD153+AB153</f>
        <v/>
      </c>
      <c r="AF153" s="192" t="n">
        <v>0</v>
      </c>
      <c r="AG153" s="191">
        <f>AE153+AF153</f>
        <v/>
      </c>
      <c r="AH153" s="36" t="n">
        <v>90</v>
      </c>
      <c r="AI153" s="5" t="n">
        <v>107</v>
      </c>
      <c r="AJ153" s="191">
        <f>AH153-AI153+AG153</f>
        <v/>
      </c>
      <c r="AK153" s="192" t="n">
        <v>0</v>
      </c>
      <c r="AL153" s="191">
        <f>AJ153+AK153</f>
        <v/>
      </c>
      <c r="AM153" s="35" t="inlineStr">
        <is>
          <t>茨城</t>
        </is>
      </c>
      <c r="AN153" s="35" t="inlineStr">
        <is>
          <t>こもの</t>
        </is>
      </c>
      <c r="AO153" s="5" t="n">
        <v>180</v>
      </c>
      <c r="AP153" s="5" t="n">
        <v>0</v>
      </c>
      <c r="AQ153" s="35" t="inlineStr">
        <is>
          <t>○</t>
        </is>
      </c>
      <c r="AR153" s="35" t="n"/>
      <c r="AS153" s="122" t="n"/>
      <c r="AT153" s="35" t="n">
        <v>272</v>
      </c>
      <c r="AU153" s="35" t="inlineStr">
        <is>
          <t>JAやさと有機部会</t>
        </is>
      </c>
    </row>
    <row r="154">
      <c r="A154" s="14" t="inlineStr">
        <is>
          <t>1589-57</t>
        </is>
      </c>
      <c r="B154" s="5" t="inlineStr">
        <is>
          <t>有機リーフレタス　ﾗｯﾌﾟ 1個(ﾌｧｰﾏｰｽﾞ)◇</t>
        </is>
      </c>
      <c r="C154" s="36" t="n">
        <v>3</v>
      </c>
      <c r="D154" s="36" t="n">
        <v>0</v>
      </c>
      <c r="E154" s="5" t="n">
        <v>0</v>
      </c>
      <c r="F154" s="191">
        <f>D154-E154+C154</f>
        <v/>
      </c>
      <c r="G154" s="192" t="n">
        <v>0</v>
      </c>
      <c r="H154" s="191">
        <f>F154+G154</f>
        <v/>
      </c>
      <c r="I154" s="36" t="n">
        <v>0</v>
      </c>
      <c r="J154" s="5" t="n">
        <v>3</v>
      </c>
      <c r="K154" s="191">
        <f>I154-J154+H154</f>
        <v/>
      </c>
      <c r="L154" s="192" t="n">
        <v>0</v>
      </c>
      <c r="M154" s="191">
        <f>K154+L154</f>
        <v/>
      </c>
      <c r="N154" s="36" t="n">
        <v>0</v>
      </c>
      <c r="O154" s="5" t="n">
        <v>0</v>
      </c>
      <c r="P154" s="191">
        <f>N154-O154+M154</f>
        <v/>
      </c>
      <c r="Q154" s="192" t="n">
        <v>0</v>
      </c>
      <c r="R154" s="191">
        <f>P154+Q154</f>
        <v/>
      </c>
      <c r="S154" s="36" t="n">
        <v>0</v>
      </c>
      <c r="T154" s="5" t="n">
        <v>0</v>
      </c>
      <c r="U154" s="191">
        <f>S154-T154+R154</f>
        <v/>
      </c>
      <c r="V154" s="192" t="n">
        <v>0</v>
      </c>
      <c r="W154" s="191">
        <f>U154+V154</f>
        <v/>
      </c>
      <c r="X154" s="36" t="n">
        <v>0</v>
      </c>
      <c r="Y154" s="5" t="n">
        <v>0</v>
      </c>
      <c r="Z154" s="191">
        <f>X154-Y154+W154</f>
        <v/>
      </c>
      <c r="AA154" s="192" t="n">
        <v>0</v>
      </c>
      <c r="AB154" s="191">
        <f>Z154+AA154</f>
        <v/>
      </c>
      <c r="AC154" s="36" t="n">
        <v>0</v>
      </c>
      <c r="AD154" s="5" t="n">
        <v>0</v>
      </c>
      <c r="AE154" s="191">
        <f>AC154-AD154+AB154</f>
        <v/>
      </c>
      <c r="AF154" s="192" t="n">
        <v>0</v>
      </c>
      <c r="AG154" s="191">
        <f>AE154+AF154</f>
        <v/>
      </c>
      <c r="AH154" s="36" t="n">
        <v>0</v>
      </c>
      <c r="AI154" s="5" t="n">
        <v>0</v>
      </c>
      <c r="AJ154" s="191">
        <f>AH154-AI154+AG154</f>
        <v/>
      </c>
      <c r="AK154" s="192" t="n">
        <v>0</v>
      </c>
      <c r="AL154" s="191">
        <f>AJ154+AK154</f>
        <v/>
      </c>
      <c r="AM154" s="35" t="inlineStr">
        <is>
          <t>山梨</t>
        </is>
      </c>
      <c r="AN154" s="35" t="inlineStr">
        <is>
          <t>こもの</t>
        </is>
      </c>
      <c r="AO154" s="5" t="n">
        <v>180</v>
      </c>
      <c r="AP154" s="5" t="n">
        <v>0</v>
      </c>
      <c r="AQ154" s="35" t="n"/>
      <c r="AR154" s="35" t="n"/>
      <c r="AS154" s="122" t="n"/>
      <c r="AT154" s="35" t="n">
        <v>233</v>
      </c>
      <c r="AU154" s="35" t="inlineStr">
        <is>
          <t>富岡農園　●</t>
        </is>
      </c>
    </row>
    <row r="155">
      <c r="A155" s="14" t="inlineStr">
        <is>
          <t>1593-113</t>
        </is>
      </c>
      <c r="B155" s="5" t="inlineStr">
        <is>
          <t>ミニ白菜　1個袋(せっせと畑)◇不不</t>
        </is>
      </c>
      <c r="C155" s="36" t="n">
        <v>6</v>
      </c>
      <c r="D155" s="36" t="n">
        <v>0</v>
      </c>
      <c r="E155" s="5" t="n">
        <v>0</v>
      </c>
      <c r="F155" s="191">
        <f>D155-E155+C155</f>
        <v/>
      </c>
      <c r="G155" s="192" t="n">
        <v>0</v>
      </c>
      <c r="H155" s="191">
        <f>F155+G155</f>
        <v/>
      </c>
      <c r="I155" s="36" t="n">
        <v>70</v>
      </c>
      <c r="J155" s="5" t="n">
        <v>68</v>
      </c>
      <c r="K155" s="191">
        <f>I155-J155+H155</f>
        <v/>
      </c>
      <c r="L155" s="192" t="n">
        <v>0</v>
      </c>
      <c r="M155" s="191">
        <f>K155+L155</f>
        <v/>
      </c>
      <c r="N155" s="36" t="n">
        <v>40</v>
      </c>
      <c r="O155" s="5" t="n">
        <v>40</v>
      </c>
      <c r="P155" s="191">
        <f>N155-O155+M155</f>
        <v/>
      </c>
      <c r="Q155" s="192" t="n">
        <v>0</v>
      </c>
      <c r="R155" s="191">
        <f>P155+Q155</f>
        <v/>
      </c>
      <c r="S155" s="36" t="n">
        <v>60</v>
      </c>
      <c r="T155" s="5" t="n">
        <v>57</v>
      </c>
      <c r="U155" s="191">
        <f>S155-T155+R155</f>
        <v/>
      </c>
      <c r="V155" s="192" t="n">
        <v>0</v>
      </c>
      <c r="W155" s="191">
        <f>U155+V155</f>
        <v/>
      </c>
      <c r="X155" s="36" t="n">
        <v>40</v>
      </c>
      <c r="Y155" s="5" t="n">
        <v>41</v>
      </c>
      <c r="Z155" s="191">
        <f>X155-Y155+W155</f>
        <v/>
      </c>
      <c r="AA155" s="192" t="n">
        <v>0</v>
      </c>
      <c r="AB155" s="191">
        <f>Z155+AA155</f>
        <v/>
      </c>
      <c r="AC155" s="36" t="n">
        <v>60</v>
      </c>
      <c r="AD155" s="5" t="n">
        <v>54</v>
      </c>
      <c r="AE155" s="191">
        <f>AC155-AD155+AB155</f>
        <v/>
      </c>
      <c r="AF155" s="192" t="n">
        <v>0</v>
      </c>
      <c r="AG155" s="191">
        <f>AE155+AF155</f>
        <v/>
      </c>
      <c r="AH155" s="36" t="n">
        <v>80</v>
      </c>
      <c r="AI155" s="5" t="n">
        <v>84</v>
      </c>
      <c r="AJ155" s="191">
        <f>AH155-AI155+AG155</f>
        <v/>
      </c>
      <c r="AK155" s="192" t="n">
        <v>0</v>
      </c>
      <c r="AL155" s="191">
        <f>AJ155+AK155</f>
        <v/>
      </c>
      <c r="AM155" s="35" t="inlineStr">
        <is>
          <t>埼玉</t>
        </is>
      </c>
      <c r="AN155" s="35" t="inlineStr">
        <is>
          <t>こもの</t>
        </is>
      </c>
      <c r="AO155" s="5" t="n">
        <v>200</v>
      </c>
      <c r="AP155" s="5" t="n">
        <v>0</v>
      </c>
      <c r="AQ155" s="35" t="n"/>
      <c r="AR155" s="35" t="n"/>
      <c r="AS155" s="122" t="n"/>
      <c r="AT155" s="35" t="n"/>
      <c r="AU155" s="35" t="n"/>
    </row>
    <row r="156">
      <c r="A156" s="14" t="inlineStr">
        <is>
          <t>1593-114</t>
        </is>
      </c>
      <c r="B156" s="5" t="inlineStr">
        <is>
          <t>■ミニ白菜　裸　1個(せっせと畑)無無</t>
        </is>
      </c>
      <c r="C156" s="36" t="n">
        <v>60</v>
      </c>
      <c r="D156" s="36" t="n">
        <v>0</v>
      </c>
      <c r="E156" s="5" t="n">
        <v>0</v>
      </c>
      <c r="F156" s="191">
        <f>D156-E156+C156</f>
        <v/>
      </c>
      <c r="G156" s="192" t="n">
        <v>0</v>
      </c>
      <c r="H156" s="191">
        <f>F156+G156</f>
        <v/>
      </c>
      <c r="I156" s="36" t="n">
        <v>50</v>
      </c>
      <c r="J156" s="5" t="n">
        <v>0</v>
      </c>
      <c r="K156" s="191">
        <f>I156-J156+H156</f>
        <v/>
      </c>
      <c r="L156" s="192" t="n">
        <v>-70</v>
      </c>
      <c r="M156" s="191">
        <f>K156+L156</f>
        <v/>
      </c>
      <c r="N156" s="36" t="n">
        <v>0</v>
      </c>
      <c r="O156" s="5" t="n">
        <v>0</v>
      </c>
      <c r="P156" s="191">
        <f>N156-O156+M156</f>
        <v/>
      </c>
      <c r="Q156" s="192" t="n">
        <v>-40</v>
      </c>
      <c r="R156" s="191">
        <f>P156+Q156</f>
        <v/>
      </c>
      <c r="S156" s="36" t="n">
        <v>100</v>
      </c>
      <c r="T156" s="5" t="n">
        <v>0</v>
      </c>
      <c r="U156" s="191">
        <f>S156-T156+R156</f>
        <v/>
      </c>
      <c r="V156" s="192" t="n">
        <v>-60</v>
      </c>
      <c r="W156" s="191">
        <f>U156+V156</f>
        <v/>
      </c>
      <c r="X156" s="36" t="n">
        <v>0</v>
      </c>
      <c r="Y156" s="5" t="n">
        <v>0</v>
      </c>
      <c r="Z156" s="191">
        <f>X156-Y156+W156</f>
        <v/>
      </c>
      <c r="AA156" s="192" t="n">
        <v>-40</v>
      </c>
      <c r="AB156" s="191">
        <f>Z156+AA156</f>
        <v/>
      </c>
      <c r="AC156" s="36" t="n">
        <v>150</v>
      </c>
      <c r="AD156" s="5" t="n">
        <v>0</v>
      </c>
      <c r="AE156" s="191">
        <f>AC156-AD156+AB156</f>
        <v/>
      </c>
      <c r="AF156" s="192" t="n">
        <v>-60</v>
      </c>
      <c r="AG156" s="191">
        <f>AE156+AF156</f>
        <v/>
      </c>
      <c r="AH156" s="36" t="n">
        <v>0</v>
      </c>
      <c r="AI156" s="5" t="n">
        <v>0</v>
      </c>
      <c r="AJ156" s="191">
        <f>AH156-AI156+AG156</f>
        <v/>
      </c>
      <c r="AK156" s="192" t="n">
        <v>-80</v>
      </c>
      <c r="AL156" s="191">
        <f>AJ156+AK156</f>
        <v/>
      </c>
      <c r="AM156" s="35" t="inlineStr">
        <is>
          <t>埼玉</t>
        </is>
      </c>
      <c r="AN156" s="35" t="inlineStr">
        <is>
          <t>箱</t>
        </is>
      </c>
      <c r="AO156" s="5" t="n">
        <v>0</v>
      </c>
      <c r="AP156" s="5" t="n">
        <v>0</v>
      </c>
      <c r="AQ156" s="35" t="n"/>
      <c r="AR156" s="35" t="n"/>
      <c r="AS156" s="122" t="n"/>
      <c r="AT156" s="35" t="n"/>
      <c r="AU156" s="35" t="n"/>
    </row>
    <row r="157">
      <c r="A157" s="14" t="inlineStr">
        <is>
          <t>1593-22</t>
        </is>
      </c>
      <c r="B157" s="5" t="inlineStr">
        <is>
          <t>有機ベビー白菜 １個袋 (さんぶ)</t>
        </is>
      </c>
      <c r="C157" s="36" t="n">
        <v>14</v>
      </c>
      <c r="D157" s="36" t="n">
        <v>90</v>
      </c>
      <c r="E157" s="5" t="n">
        <v>0</v>
      </c>
      <c r="F157" s="191">
        <f>D157-E157+C157</f>
        <v/>
      </c>
      <c r="G157" s="192" t="n">
        <v>0</v>
      </c>
      <c r="H157" s="191">
        <f>F157+G157</f>
        <v/>
      </c>
      <c r="I157" s="36" t="n">
        <v>0</v>
      </c>
      <c r="J157" s="5" t="n">
        <v>69</v>
      </c>
      <c r="K157" s="191">
        <f>I157-J157+H157</f>
        <v/>
      </c>
      <c r="L157" s="192" t="n">
        <v>0</v>
      </c>
      <c r="M157" s="191">
        <f>K157+L157</f>
        <v/>
      </c>
      <c r="N157" s="36" t="n">
        <v>0</v>
      </c>
      <c r="O157" s="5" t="n">
        <v>22</v>
      </c>
      <c r="P157" s="191">
        <f>N157-O157+M157</f>
        <v/>
      </c>
      <c r="Q157" s="192" t="n">
        <v>0</v>
      </c>
      <c r="R157" s="191">
        <f>P157+Q157</f>
        <v/>
      </c>
      <c r="S157" s="36" t="n">
        <v>90</v>
      </c>
      <c r="T157" s="5" t="n">
        <v>46</v>
      </c>
      <c r="U157" s="191">
        <f>S157-T157+R157</f>
        <v/>
      </c>
      <c r="V157" s="192" t="n">
        <v>0</v>
      </c>
      <c r="W157" s="191">
        <f>U157+V157</f>
        <v/>
      </c>
      <c r="X157" s="36" t="n">
        <v>0</v>
      </c>
      <c r="Y157" s="5" t="n">
        <v>36</v>
      </c>
      <c r="Z157" s="191">
        <f>X157-Y157+W157</f>
        <v/>
      </c>
      <c r="AA157" s="192" t="n">
        <v>0</v>
      </c>
      <c r="AB157" s="191">
        <f>Z157+AA157</f>
        <v/>
      </c>
      <c r="AC157" s="36" t="n">
        <v>108</v>
      </c>
      <c r="AD157" s="5" t="n">
        <v>48</v>
      </c>
      <c r="AE157" s="191">
        <f>AC157-AD157+AB157</f>
        <v/>
      </c>
      <c r="AF157" s="192" t="n">
        <v>0</v>
      </c>
      <c r="AG157" s="191">
        <f>AE157+AF157</f>
        <v/>
      </c>
      <c r="AH157" s="36" t="n">
        <v>0</v>
      </c>
      <c r="AI157" s="5" t="n">
        <v>68</v>
      </c>
      <c r="AJ157" s="191">
        <f>AH157-AI157+AG157</f>
        <v/>
      </c>
      <c r="AK157" s="192" t="n">
        <v>0</v>
      </c>
      <c r="AL157" s="191">
        <f>AJ157+AK157</f>
        <v/>
      </c>
      <c r="AM157" s="35" t="inlineStr">
        <is>
          <t>千葉</t>
        </is>
      </c>
      <c r="AN157" s="35" t="inlineStr">
        <is>
          <t>こもの</t>
        </is>
      </c>
      <c r="AO157" s="5" t="n">
        <v>220</v>
      </c>
      <c r="AP157" s="5" t="n">
        <v>0</v>
      </c>
      <c r="AQ157" s="35" t="n"/>
      <c r="AR157" s="35" t="n"/>
      <c r="AS157" s="122" t="n">
        <v>4528947143117</v>
      </c>
      <c r="AT157" s="35" t="n">
        <v>188</v>
      </c>
      <c r="AU157" s="35" t="inlineStr">
        <is>
          <t>農事組合法人 さんぶ野菜ネットワーク</t>
        </is>
      </c>
    </row>
    <row r="158">
      <c r="A158" s="14" t="inlineStr">
        <is>
          <t>1601-37</t>
        </is>
      </c>
      <c r="B158" s="5" t="inlineStr">
        <is>
          <t>□トマト ４ｋｇ箱（沃土会）８割減・不</t>
        </is>
      </c>
      <c r="C158" s="36" t="n">
        <v>4</v>
      </c>
      <c r="D158" s="36" t="n">
        <v>0</v>
      </c>
      <c r="E158" s="5" t="n">
        <v>0</v>
      </c>
      <c r="F158" s="191">
        <f>D158-E158+C158</f>
        <v/>
      </c>
      <c r="G158" s="192" t="n">
        <v>0</v>
      </c>
      <c r="H158" s="191">
        <f>F158+G158</f>
        <v/>
      </c>
      <c r="I158" s="36" t="n">
        <v>5</v>
      </c>
      <c r="J158" s="5" t="n">
        <v>0</v>
      </c>
      <c r="K158" s="191">
        <f>I158-J158+H158</f>
        <v/>
      </c>
      <c r="L158" s="192" t="n">
        <v>-3</v>
      </c>
      <c r="M158" s="191">
        <f>K158+L158</f>
        <v/>
      </c>
      <c r="N158" s="36" t="n">
        <v>0</v>
      </c>
      <c r="O158" s="5" t="n">
        <v>0</v>
      </c>
      <c r="P158" s="191">
        <f>N158-O158+M158</f>
        <v/>
      </c>
      <c r="Q158" s="192" t="n">
        <v>-3</v>
      </c>
      <c r="R158" s="191">
        <f>P158+Q158</f>
        <v/>
      </c>
      <c r="S158" s="36" t="n">
        <v>5</v>
      </c>
      <c r="T158" s="5" t="n">
        <v>0</v>
      </c>
      <c r="U158" s="191">
        <f>S158-T158+R158</f>
        <v/>
      </c>
      <c r="V158" s="192" t="n">
        <v>-3</v>
      </c>
      <c r="W158" s="191">
        <f>U158+V158</f>
        <v/>
      </c>
      <c r="X158" s="36" t="n">
        <v>0</v>
      </c>
      <c r="Y158" s="5" t="n">
        <v>0</v>
      </c>
      <c r="Z158" s="191">
        <f>X158-Y158+W158</f>
        <v/>
      </c>
      <c r="AA158" s="192" t="n">
        <v>-3</v>
      </c>
      <c r="AB158" s="191">
        <f>Z158+AA158</f>
        <v/>
      </c>
      <c r="AC158" s="36" t="n">
        <v>5</v>
      </c>
      <c r="AD158" s="5" t="n">
        <v>0</v>
      </c>
      <c r="AE158" s="191">
        <f>AC158-AD158+AB158</f>
        <v/>
      </c>
      <c r="AF158" s="192" t="n">
        <v>-3</v>
      </c>
      <c r="AG158" s="191">
        <f>AE158+AF158</f>
        <v/>
      </c>
      <c r="AH158" s="36" t="n">
        <v>0</v>
      </c>
      <c r="AI158" s="5" t="n">
        <v>0</v>
      </c>
      <c r="AJ158" s="191">
        <f>AH158-AI158+AG158</f>
        <v/>
      </c>
      <c r="AK158" s="192" t="n">
        <v>-3</v>
      </c>
      <c r="AL158" s="191">
        <f>AJ158+AK158</f>
        <v/>
      </c>
      <c r="AM158" s="35" t="inlineStr">
        <is>
          <t>埼玉</t>
        </is>
      </c>
      <c r="AN158" s="35" t="inlineStr">
        <is>
          <t>こもの</t>
        </is>
      </c>
      <c r="AO158" s="163" t="n">
        <v>2700</v>
      </c>
      <c r="AP158" s="5" t="n">
        <v>0</v>
      </c>
      <c r="AQ158" s="35" t="n"/>
      <c r="AR158" s="35" t="n"/>
      <c r="AS158" s="122" t="n"/>
      <c r="AT158" s="35" t="n">
        <v>525</v>
      </c>
      <c r="AU158" s="35" t="inlineStr">
        <is>
          <t>(有)沃土会</t>
        </is>
      </c>
    </row>
    <row r="159">
      <c r="A159" s="14" t="inlineStr">
        <is>
          <t>1601-46</t>
        </is>
      </c>
      <c r="B159" s="5" t="inlineStr">
        <is>
          <t>トマト 約350g～(沃土会)◇</t>
        </is>
      </c>
      <c r="C159" s="36" t="n">
        <v>0</v>
      </c>
      <c r="D159" s="36" t="n">
        <v>0</v>
      </c>
      <c r="E159" s="5" t="n">
        <v>0</v>
      </c>
      <c r="F159" s="191">
        <f>D159-E159+C159</f>
        <v/>
      </c>
      <c r="G159" s="192" t="n">
        <v>0</v>
      </c>
      <c r="H159" s="191">
        <f>F159+G159</f>
        <v/>
      </c>
      <c r="I159" s="36" t="n">
        <v>0</v>
      </c>
      <c r="J159" s="5" t="n">
        <v>10</v>
      </c>
      <c r="K159" s="191">
        <f>I159-J159+H159</f>
        <v/>
      </c>
      <c r="L159" s="192" t="n">
        <v>0</v>
      </c>
      <c r="M159" s="191">
        <f>K159+L159</f>
        <v/>
      </c>
      <c r="N159" s="36" t="n">
        <v>0</v>
      </c>
      <c r="O159" s="5" t="n">
        <v>0</v>
      </c>
      <c r="P159" s="191">
        <f>N159-O159+M159</f>
        <v/>
      </c>
      <c r="Q159" s="192" t="n">
        <v>0</v>
      </c>
      <c r="R159" s="191">
        <f>P159+Q159</f>
        <v/>
      </c>
      <c r="S159" s="36" t="n">
        <v>0</v>
      </c>
      <c r="T159" s="5" t="n">
        <v>0</v>
      </c>
      <c r="U159" s="191">
        <f>S159-T159+R159</f>
        <v/>
      </c>
      <c r="V159" s="192" t="n">
        <v>0</v>
      </c>
      <c r="W159" s="191">
        <f>U159+V159</f>
        <v/>
      </c>
      <c r="X159" s="36" t="n">
        <v>0</v>
      </c>
      <c r="Y159" s="5" t="n">
        <v>0</v>
      </c>
      <c r="Z159" s="191">
        <f>X159-Y159+W159</f>
        <v/>
      </c>
      <c r="AA159" s="192" t="n">
        <v>0</v>
      </c>
      <c r="AB159" s="191">
        <f>Z159+AA159</f>
        <v/>
      </c>
      <c r="AC159" s="36" t="n">
        <v>0</v>
      </c>
      <c r="AD159" s="5" t="n">
        <v>0</v>
      </c>
      <c r="AE159" s="191">
        <f>AC159-AD159+AB159</f>
        <v/>
      </c>
      <c r="AF159" s="192" t="n">
        <v>0</v>
      </c>
      <c r="AG159" s="191">
        <f>AE159+AF159</f>
        <v/>
      </c>
      <c r="AH159" s="36" t="n">
        <v>0</v>
      </c>
      <c r="AI159" s="5" t="n">
        <v>0</v>
      </c>
      <c r="AJ159" s="191">
        <f>AH159-AI159+AG159</f>
        <v/>
      </c>
      <c r="AK159" s="192" t="n">
        <v>0</v>
      </c>
      <c r="AL159" s="191">
        <f>AJ159+AK159</f>
        <v/>
      </c>
      <c r="AM159" s="35" t="inlineStr">
        <is>
          <t>埼玉</t>
        </is>
      </c>
      <c r="AN159" s="35" t="inlineStr">
        <is>
          <t>こもの</t>
        </is>
      </c>
      <c r="AO159" s="5" t="n">
        <v>320</v>
      </c>
      <c r="AP159" s="5" t="n">
        <v>0</v>
      </c>
      <c r="AQ159" s="35" t="n"/>
      <c r="AR159" s="35" t="n"/>
      <c r="AS159" s="122" t="n"/>
      <c r="AT159" s="35" t="n">
        <v>525</v>
      </c>
      <c r="AU159" s="35" t="inlineStr">
        <is>
          <t>(有)沃土会</t>
        </is>
      </c>
    </row>
    <row r="160">
      <c r="A160" s="14" t="inlineStr">
        <is>
          <t>1601-82</t>
        </is>
      </c>
      <c r="B160" s="5" t="inlineStr">
        <is>
          <t>トマト ｽﾀﾝﾄﾞﾊﾞｯｸﾞ約500g(沃土会)◇</t>
        </is>
      </c>
      <c r="C160" s="36" t="n">
        <v>0</v>
      </c>
      <c r="D160" s="36" t="n">
        <v>0</v>
      </c>
      <c r="E160" s="5" t="n">
        <v>0</v>
      </c>
      <c r="F160" s="191">
        <f>D160-E160+C160</f>
        <v/>
      </c>
      <c r="G160" s="192" t="n">
        <v>0</v>
      </c>
      <c r="H160" s="191">
        <f>F160+G160</f>
        <v/>
      </c>
      <c r="I160" s="36" t="n">
        <v>20</v>
      </c>
      <c r="J160" s="5" t="n">
        <v>10</v>
      </c>
      <c r="K160" s="191">
        <f>I160-J160+H160</f>
        <v/>
      </c>
      <c r="L160" s="192" t="n">
        <v>0</v>
      </c>
      <c r="M160" s="191">
        <f>K160+L160</f>
        <v/>
      </c>
      <c r="N160" s="36" t="n">
        <v>20</v>
      </c>
      <c r="O160" s="5" t="n">
        <v>15</v>
      </c>
      <c r="P160" s="191">
        <f>N160-O160+M160</f>
        <v/>
      </c>
      <c r="Q160" s="192" t="n">
        <v>0</v>
      </c>
      <c r="R160" s="191">
        <f>P160+Q160</f>
        <v/>
      </c>
      <c r="S160" s="36" t="n">
        <v>20</v>
      </c>
      <c r="T160" s="5" t="n">
        <v>15</v>
      </c>
      <c r="U160" s="191">
        <f>S160-T160+R160</f>
        <v/>
      </c>
      <c r="V160" s="192" t="n">
        <v>0</v>
      </c>
      <c r="W160" s="191">
        <f>U160+V160</f>
        <v/>
      </c>
      <c r="X160" s="36" t="n">
        <v>20</v>
      </c>
      <c r="Y160" s="5" t="n">
        <v>15</v>
      </c>
      <c r="Z160" s="191">
        <f>X160-Y160+W160</f>
        <v/>
      </c>
      <c r="AA160" s="192" t="n">
        <v>0</v>
      </c>
      <c r="AB160" s="191">
        <f>Z160+AA160</f>
        <v/>
      </c>
      <c r="AC160" s="36" t="n">
        <v>20</v>
      </c>
      <c r="AD160" s="5" t="n">
        <v>15</v>
      </c>
      <c r="AE160" s="191">
        <f>AC160-AD160+AB160</f>
        <v/>
      </c>
      <c r="AF160" s="192" t="n">
        <v>0</v>
      </c>
      <c r="AG160" s="191">
        <f>AE160+AF160</f>
        <v/>
      </c>
      <c r="AH160" s="36" t="n">
        <v>20</v>
      </c>
      <c r="AI160" s="5" t="n">
        <v>33</v>
      </c>
      <c r="AJ160" s="191">
        <f>AH160-AI160+AG160</f>
        <v/>
      </c>
      <c r="AK160" s="192" t="n">
        <v>0</v>
      </c>
      <c r="AL160" s="191">
        <f>AJ160+AK160</f>
        <v/>
      </c>
      <c r="AM160" s="35" t="inlineStr">
        <is>
          <t>埼玉</t>
        </is>
      </c>
      <c r="AN160" s="35" t="inlineStr">
        <is>
          <t>こもの</t>
        </is>
      </c>
      <c r="AO160" s="5" t="n">
        <v>320</v>
      </c>
      <c r="AP160" s="5" t="n">
        <v>0</v>
      </c>
      <c r="AQ160" s="35" t="n"/>
      <c r="AR160" s="35" t="n"/>
      <c r="AS160" s="122" t="n"/>
      <c r="AT160" s="35" t="n">
        <v>525</v>
      </c>
      <c r="AU160" s="35" t="inlineStr">
        <is>
          <t>(有)沃土会</t>
        </is>
      </c>
    </row>
    <row r="161">
      <c r="A161" s="14" t="inlineStr">
        <is>
          <t>1606-42</t>
        </is>
      </c>
      <c r="B161" s="5" t="inlineStr">
        <is>
          <t>□有機トマト４kg箱 (澤村)</t>
        </is>
      </c>
      <c r="C161" s="36" t="n">
        <v>6</v>
      </c>
      <c r="D161" s="36" t="n">
        <v>0</v>
      </c>
      <c r="E161" s="5" t="n">
        <v>0</v>
      </c>
      <c r="F161" s="191">
        <f>D161-E161+C161</f>
        <v/>
      </c>
      <c r="G161" s="192" t="n">
        <v>0</v>
      </c>
      <c r="H161" s="191">
        <f>F161+G161</f>
        <v/>
      </c>
      <c r="I161" s="36" t="n">
        <v>0</v>
      </c>
      <c r="J161" s="5" t="n">
        <v>1</v>
      </c>
      <c r="K161" s="191">
        <f>I161-J161+H161</f>
        <v/>
      </c>
      <c r="L161" s="192" t="n">
        <v>-2</v>
      </c>
      <c r="M161" s="191">
        <f>K161+L161</f>
        <v/>
      </c>
      <c r="N161" s="36" t="n">
        <v>0</v>
      </c>
      <c r="O161" s="5" t="n">
        <v>0</v>
      </c>
      <c r="P161" s="191">
        <f>N161-O161+M161</f>
        <v/>
      </c>
      <c r="Q161" s="192" t="n">
        <v>0</v>
      </c>
      <c r="R161" s="191">
        <f>P161+Q161</f>
        <v/>
      </c>
      <c r="S161" s="36" t="n">
        <v>0</v>
      </c>
      <c r="T161" s="5" t="n">
        <v>1</v>
      </c>
      <c r="U161" s="191">
        <f>S161-T161+R161</f>
        <v/>
      </c>
      <c r="V161" s="192" t="n">
        <v>0</v>
      </c>
      <c r="W161" s="191">
        <f>U161+V161</f>
        <v/>
      </c>
      <c r="X161" s="36" t="n">
        <v>10</v>
      </c>
      <c r="Y161" s="5" t="n">
        <v>0</v>
      </c>
      <c r="Z161" s="191">
        <f>X161-Y161+W161</f>
        <v/>
      </c>
      <c r="AA161" s="192" t="n">
        <v>0</v>
      </c>
      <c r="AB161" s="191">
        <f>Z161+AA161</f>
        <v/>
      </c>
      <c r="AC161" s="36" t="n">
        <v>0</v>
      </c>
      <c r="AD161" s="5" t="n">
        <v>1</v>
      </c>
      <c r="AE161" s="191">
        <f>AC161-AD161+AB161</f>
        <v/>
      </c>
      <c r="AF161" s="192" t="n">
        <v>0</v>
      </c>
      <c r="AG161" s="191">
        <f>AE161+AF161</f>
        <v/>
      </c>
      <c r="AH161" s="36" t="n">
        <v>0</v>
      </c>
      <c r="AI161" s="5" t="n">
        <v>0</v>
      </c>
      <c r="AJ161" s="191">
        <f>AH161-AI161+AG161</f>
        <v/>
      </c>
      <c r="AK161" s="192" t="n">
        <v>0</v>
      </c>
      <c r="AL161" s="191">
        <f>AJ161+AK161</f>
        <v/>
      </c>
      <c r="AM161" s="35" t="inlineStr">
        <is>
          <t>熊本</t>
        </is>
      </c>
      <c r="AN161" s="35" t="inlineStr">
        <is>
          <t>こもの</t>
        </is>
      </c>
      <c r="AO161" s="163" t="n">
        <v>3450</v>
      </c>
      <c r="AP161" s="5" t="n">
        <v>0</v>
      </c>
      <c r="AQ161" s="35" t="inlineStr">
        <is>
          <t>○</t>
        </is>
      </c>
      <c r="AR161" s="35" t="n"/>
      <c r="AS161" s="122" t="inlineStr">
        <is>
          <t>なし</t>
        </is>
      </c>
      <c r="AT161" s="35" t="n">
        <v>215</v>
      </c>
      <c r="AU161" s="35" t="inlineStr">
        <is>
          <t>(有)肥後あゆみの会　澤村輝彦</t>
        </is>
      </c>
    </row>
    <row r="162">
      <c r="A162" s="14" t="inlineStr">
        <is>
          <t>1606-96</t>
        </is>
      </c>
      <c r="B162" s="5" t="inlineStr">
        <is>
          <t>有機トマト１袋（220ｇ～)(澤村)◇</t>
        </is>
      </c>
      <c r="C162" s="36" t="n">
        <v>0</v>
      </c>
      <c r="D162" s="36" t="n">
        <v>0</v>
      </c>
      <c r="E162" s="5" t="n">
        <v>0</v>
      </c>
      <c r="F162" s="191">
        <f>D162-E162+C162</f>
        <v/>
      </c>
      <c r="G162" s="192" t="n">
        <v>0</v>
      </c>
      <c r="H162" s="191">
        <f>F162+G162</f>
        <v/>
      </c>
      <c r="I162" s="36" t="n">
        <v>20</v>
      </c>
      <c r="J162" s="5" t="n">
        <v>17</v>
      </c>
      <c r="K162" s="191">
        <f>I162-J162+H162</f>
        <v/>
      </c>
      <c r="L162" s="192" t="n">
        <v>0</v>
      </c>
      <c r="M162" s="191">
        <f>K162+L162</f>
        <v/>
      </c>
      <c r="N162" s="36" t="n">
        <v>0</v>
      </c>
      <c r="O162" s="5" t="n">
        <v>8</v>
      </c>
      <c r="P162" s="191">
        <f>N162-O162+M162</f>
        <v/>
      </c>
      <c r="Q162" s="192" t="n">
        <v>0</v>
      </c>
      <c r="R162" s="191">
        <f>P162+Q162</f>
        <v/>
      </c>
      <c r="S162" s="36" t="n">
        <v>0</v>
      </c>
      <c r="T162" s="5" t="n">
        <v>12</v>
      </c>
      <c r="U162" s="191">
        <f>S162-T162+R162</f>
        <v/>
      </c>
      <c r="V162" s="192" t="n">
        <v>0</v>
      </c>
      <c r="W162" s="191">
        <f>U162+V162</f>
        <v/>
      </c>
      <c r="X162" s="36" t="n">
        <v>0</v>
      </c>
      <c r="Y162" s="5" t="n">
        <v>8</v>
      </c>
      <c r="Z162" s="191">
        <f>X162-Y162+W162</f>
        <v/>
      </c>
      <c r="AA162" s="192" t="n">
        <v>0</v>
      </c>
      <c r="AB162" s="191">
        <f>Z162+AA162</f>
        <v/>
      </c>
      <c r="AC162" s="36" t="n">
        <v>0</v>
      </c>
      <c r="AD162" s="5" t="n">
        <v>6</v>
      </c>
      <c r="AE162" s="191">
        <f>AC162-AD162+AB162</f>
        <v/>
      </c>
      <c r="AF162" s="192" t="n">
        <v>0</v>
      </c>
      <c r="AG162" s="191">
        <f>AE162+AF162</f>
        <v/>
      </c>
      <c r="AH162" s="36" t="n">
        <v>0</v>
      </c>
      <c r="AI162" s="5" t="n">
        <v>0</v>
      </c>
      <c r="AJ162" s="191">
        <f>AH162-AI162+AG162</f>
        <v/>
      </c>
      <c r="AK162" s="192" t="n">
        <v>0</v>
      </c>
      <c r="AL162" s="191">
        <f>AJ162+AK162</f>
        <v/>
      </c>
      <c r="AM162" s="35" t="inlineStr">
        <is>
          <t>熊本</t>
        </is>
      </c>
      <c r="AN162" s="35" t="inlineStr">
        <is>
          <t>こもの</t>
        </is>
      </c>
      <c r="AO162" s="5" t="n">
        <v>260</v>
      </c>
      <c r="AP162" s="5" t="n">
        <v>0</v>
      </c>
      <c r="AQ162" s="35" t="n"/>
      <c r="AR162" s="35" t="n"/>
      <c r="AS162" s="122" t="n">
        <v>4580450000000</v>
      </c>
      <c r="AT162" s="35" t="n"/>
      <c r="AU162" s="35" t="n"/>
    </row>
    <row r="163">
      <c r="A163" s="14" t="inlineStr">
        <is>
          <t>1612-24</t>
        </is>
      </c>
      <c r="B163" s="5" t="inlineStr">
        <is>
          <t>□ミニトマト　３kg箱(ｼｪｱｶﾞｰﾃﾞﾝ)</t>
        </is>
      </c>
      <c r="C163" s="36" t="n">
        <v>5</v>
      </c>
      <c r="D163" s="36" t="n">
        <v>5</v>
      </c>
      <c r="E163" s="5" t="n">
        <v>0</v>
      </c>
      <c r="F163" s="191">
        <f>D163-E163+C163</f>
        <v/>
      </c>
      <c r="G163" s="192" t="n">
        <v>0</v>
      </c>
      <c r="H163" s="191">
        <f>F163+G163</f>
        <v/>
      </c>
      <c r="I163" s="36" t="n">
        <v>0</v>
      </c>
      <c r="J163" s="5" t="n">
        <v>3</v>
      </c>
      <c r="K163" s="191">
        <f>I163-J163+H163</f>
        <v/>
      </c>
      <c r="L163" s="192" t="n">
        <v>-3</v>
      </c>
      <c r="M163" s="191">
        <f>K163+L163</f>
        <v/>
      </c>
      <c r="N163" s="36" t="n">
        <v>0</v>
      </c>
      <c r="O163" s="5" t="n">
        <v>1</v>
      </c>
      <c r="P163" s="191">
        <f>N163-O163+M163</f>
        <v/>
      </c>
      <c r="Q163" s="192" t="n">
        <v>0</v>
      </c>
      <c r="R163" s="191">
        <f>P163+Q163</f>
        <v/>
      </c>
      <c r="S163" s="36" t="n">
        <v>10</v>
      </c>
      <c r="T163" s="5" t="n">
        <v>3</v>
      </c>
      <c r="U163" s="191">
        <f>S163-T163+R163</f>
        <v/>
      </c>
      <c r="V163" s="192" t="n">
        <v>-2</v>
      </c>
      <c r="W163" s="191">
        <f>U163+V163</f>
        <v/>
      </c>
      <c r="X163" s="36" t="n">
        <v>0</v>
      </c>
      <c r="Y163" s="5" t="n">
        <v>2</v>
      </c>
      <c r="Z163" s="191">
        <f>X163-Y163+W163</f>
        <v/>
      </c>
      <c r="AA163" s="192" t="n">
        <v>-1</v>
      </c>
      <c r="AB163" s="191">
        <f>Z163+AA163</f>
        <v/>
      </c>
      <c r="AC163" s="36" t="n">
        <v>5</v>
      </c>
      <c r="AD163" s="5" t="n">
        <v>1</v>
      </c>
      <c r="AE163" s="191">
        <f>AC163-AD163+AB163</f>
        <v/>
      </c>
      <c r="AF163" s="192" t="n">
        <v>-1</v>
      </c>
      <c r="AG163" s="191">
        <f>AE163+AF163</f>
        <v/>
      </c>
      <c r="AH163" s="36" t="n">
        <v>0</v>
      </c>
      <c r="AI163" s="5" t="n">
        <v>1</v>
      </c>
      <c r="AJ163" s="191">
        <f>AH163-AI163+AG163</f>
        <v/>
      </c>
      <c r="AK163" s="192" t="n">
        <v>0</v>
      </c>
      <c r="AL163" s="191">
        <f>AJ163+AK163</f>
        <v/>
      </c>
      <c r="AM163" s="35" t="inlineStr">
        <is>
          <t>千葉</t>
        </is>
      </c>
      <c r="AN163" s="35" t="inlineStr">
        <is>
          <t>こもの</t>
        </is>
      </c>
      <c r="AO163" s="163" t="n">
        <v>2800</v>
      </c>
      <c r="AP163" s="5" t="n">
        <v>0</v>
      </c>
      <c r="AQ163" s="35" t="n"/>
      <c r="AR163" s="35" t="n"/>
      <c r="AS163" s="122" t="inlineStr">
        <is>
          <t>なし</t>
        </is>
      </c>
      <c r="AT163" s="35" t="n"/>
      <c r="AU163" s="35" t="n"/>
    </row>
    <row r="164">
      <c r="A164" s="14" t="inlineStr">
        <is>
          <t>1612-25</t>
        </is>
      </c>
      <c r="B164" s="5" t="inlineStr">
        <is>
          <t>ミニトマト　150ｇ(ｼｪｱｶﾞｰﾃﾞﾝ)◇</t>
        </is>
      </c>
      <c r="C164" s="36" t="n">
        <v>0</v>
      </c>
      <c r="D164" s="36" t="n">
        <v>0</v>
      </c>
      <c r="E164" s="5" t="n">
        <v>0</v>
      </c>
      <c r="F164" s="191">
        <f>D164-E164+C164</f>
        <v/>
      </c>
      <c r="G164" s="192" t="n">
        <v>0</v>
      </c>
      <c r="H164" s="191">
        <f>F164+G164</f>
        <v/>
      </c>
      <c r="I164" s="36" t="n">
        <v>59</v>
      </c>
      <c r="J164" s="5" t="n">
        <v>51</v>
      </c>
      <c r="K164" s="191">
        <f>I164-J164+H164</f>
        <v/>
      </c>
      <c r="L164" s="192" t="n">
        <v>0</v>
      </c>
      <c r="M164" s="191">
        <f>K164+L164</f>
        <v/>
      </c>
      <c r="N164" s="36" t="n">
        <v>0</v>
      </c>
      <c r="O164" s="5" t="n">
        <v>11</v>
      </c>
      <c r="P164" s="191">
        <f>N164-O164+M164</f>
        <v/>
      </c>
      <c r="Q164" s="192" t="n">
        <v>0</v>
      </c>
      <c r="R164" s="191">
        <f>P164+Q164</f>
        <v/>
      </c>
      <c r="S164" s="36" t="n">
        <v>40</v>
      </c>
      <c r="T164" s="5" t="n">
        <v>29</v>
      </c>
      <c r="U164" s="191">
        <f>S164-T164+R164</f>
        <v/>
      </c>
      <c r="V164" s="192" t="n">
        <v>0</v>
      </c>
      <c r="W164" s="191">
        <f>U164+V164</f>
        <v/>
      </c>
      <c r="X164" s="36" t="n">
        <v>20</v>
      </c>
      <c r="Y164" s="5" t="n">
        <v>16</v>
      </c>
      <c r="Z164" s="191">
        <f>X164-Y164+W164</f>
        <v/>
      </c>
      <c r="AA164" s="192" t="n">
        <v>0</v>
      </c>
      <c r="AB164" s="191">
        <f>Z164+AA164</f>
        <v/>
      </c>
      <c r="AC164" s="36" t="n">
        <v>20</v>
      </c>
      <c r="AD164" s="5" t="n">
        <v>26</v>
      </c>
      <c r="AE164" s="191">
        <f>AC164-AD164+AB164</f>
        <v/>
      </c>
      <c r="AF164" s="192" t="n">
        <v>0</v>
      </c>
      <c r="AG164" s="191">
        <f>AE164+AF164</f>
        <v/>
      </c>
      <c r="AH164" s="36" t="n">
        <v>0</v>
      </c>
      <c r="AI164" s="5" t="n">
        <v>8</v>
      </c>
      <c r="AJ164" s="191">
        <f>AH164-AI164+AG164</f>
        <v/>
      </c>
      <c r="AK164" s="192" t="n">
        <v>0</v>
      </c>
      <c r="AL164" s="191">
        <f>AJ164+AK164</f>
        <v/>
      </c>
      <c r="AM164" s="35" t="inlineStr">
        <is>
          <t>千葉</t>
        </is>
      </c>
      <c r="AN164" s="35" t="inlineStr">
        <is>
          <t>こもの</t>
        </is>
      </c>
      <c r="AO164" s="5" t="n">
        <v>165</v>
      </c>
      <c r="AP164" s="5" t="n">
        <v>0</v>
      </c>
      <c r="AQ164" s="35" t="n"/>
      <c r="AR164" s="35" t="n"/>
      <c r="AS164" s="122" t="inlineStr">
        <is>
          <t>なし</t>
        </is>
      </c>
      <c r="AT164" s="35" t="n"/>
      <c r="AU164" s="35" t="n"/>
    </row>
    <row r="165">
      <c r="A165" s="14" t="inlineStr">
        <is>
          <t>1614-251</t>
        </is>
      </c>
      <c r="B165" s="5" t="inlineStr">
        <is>
          <t>有機ミニトマト　150g（吉水)◇</t>
        </is>
      </c>
      <c r="C165" s="36" t="n">
        <v>43</v>
      </c>
      <c r="D165" s="36" t="n">
        <v>0</v>
      </c>
      <c r="E165" s="5" t="n">
        <v>0</v>
      </c>
      <c r="F165" s="191">
        <f>D165-E165+C165</f>
        <v/>
      </c>
      <c r="G165" s="192" t="n">
        <v>0</v>
      </c>
      <c r="H165" s="191">
        <f>F165+G165</f>
        <v/>
      </c>
      <c r="I165" s="36" t="n">
        <v>0</v>
      </c>
      <c r="J165" s="5" t="n">
        <v>0</v>
      </c>
      <c r="K165" s="191">
        <f>I165-J165+H165</f>
        <v/>
      </c>
      <c r="L165" s="192" t="n">
        <v>0</v>
      </c>
      <c r="M165" s="191">
        <f>K165+L165</f>
        <v/>
      </c>
      <c r="N165" s="36" t="n">
        <v>0</v>
      </c>
      <c r="O165" s="5" t="n">
        <v>0</v>
      </c>
      <c r="P165" s="191">
        <f>N165-O165+M165</f>
        <v/>
      </c>
      <c r="Q165" s="192" t="n">
        <v>0</v>
      </c>
      <c r="R165" s="191">
        <f>P165+Q165</f>
        <v/>
      </c>
      <c r="S165" s="36" t="n">
        <v>0</v>
      </c>
      <c r="T165" s="5" t="n">
        <v>0</v>
      </c>
      <c r="U165" s="191">
        <f>S165-T165+R165</f>
        <v/>
      </c>
      <c r="V165" s="192" t="n">
        <v>0</v>
      </c>
      <c r="W165" s="191">
        <f>U165+V165</f>
        <v/>
      </c>
      <c r="X165" s="36" t="n">
        <v>0</v>
      </c>
      <c r="Y165" s="5" t="n">
        <v>0</v>
      </c>
      <c r="Z165" s="191">
        <f>X165-Y165+W165</f>
        <v/>
      </c>
      <c r="AA165" s="192" t="n">
        <v>0</v>
      </c>
      <c r="AB165" s="191">
        <f>Z165+AA165</f>
        <v/>
      </c>
      <c r="AC165" s="36" t="n">
        <v>0</v>
      </c>
      <c r="AD165" s="5" t="n">
        <v>0</v>
      </c>
      <c r="AE165" s="191">
        <f>AC165-AD165+AB165</f>
        <v/>
      </c>
      <c r="AF165" s="192" t="n">
        <v>0</v>
      </c>
      <c r="AG165" s="191">
        <f>AE165+AF165</f>
        <v/>
      </c>
      <c r="AH165" s="36" t="n">
        <v>0</v>
      </c>
      <c r="AI165" s="5" t="n">
        <v>0</v>
      </c>
      <c r="AJ165" s="191">
        <f>AH165-AI165+AG165</f>
        <v/>
      </c>
      <c r="AK165" s="192" t="n">
        <v>0</v>
      </c>
      <c r="AL165" s="191">
        <f>AJ165+AK165</f>
        <v/>
      </c>
      <c r="AM165" s="35" t="inlineStr">
        <is>
          <t>熊本</t>
        </is>
      </c>
      <c r="AN165" s="35" t="inlineStr">
        <is>
          <t>こもの</t>
        </is>
      </c>
      <c r="AO165" s="5" t="n">
        <v>240</v>
      </c>
      <c r="AP165" s="5" t="n">
        <v>0</v>
      </c>
      <c r="AQ165" s="35" t="n"/>
      <c r="AR165" s="35" t="n"/>
      <c r="AS165" s="122" t="n">
        <v>4580445524553</v>
      </c>
      <c r="AT165" s="35" t="n">
        <v>246</v>
      </c>
      <c r="AU165" s="35" t="inlineStr">
        <is>
          <t>（有）吉水農園</t>
        </is>
      </c>
    </row>
    <row r="166">
      <c r="A166" s="14" t="inlineStr">
        <is>
          <t>1614-279</t>
        </is>
      </c>
      <c r="B166" s="5" t="inlineStr">
        <is>
          <t>有機ﾐﾆﾄﾏﾄ「アイコ」150ｇ(肥後あゆみ)◇</t>
        </is>
      </c>
      <c r="C166" s="36" t="n">
        <v>5</v>
      </c>
      <c r="D166" s="36" t="n">
        <v>0</v>
      </c>
      <c r="E166" s="5" t="n">
        <v>0</v>
      </c>
      <c r="F166" s="191">
        <f>D166-E166+C166</f>
        <v/>
      </c>
      <c r="G166" s="192" t="n">
        <v>0</v>
      </c>
      <c r="H166" s="191">
        <f>F166+G166</f>
        <v/>
      </c>
      <c r="I166" s="36" t="n">
        <v>20</v>
      </c>
      <c r="J166" s="5" t="n">
        <v>9</v>
      </c>
      <c r="K166" s="191">
        <f>I166-J166+H166</f>
        <v/>
      </c>
      <c r="L166" s="192" t="n">
        <v>0</v>
      </c>
      <c r="M166" s="191">
        <f>K166+L166</f>
        <v/>
      </c>
      <c r="N166" s="36" t="n">
        <v>0</v>
      </c>
      <c r="O166" s="5" t="n">
        <v>0</v>
      </c>
      <c r="P166" s="191">
        <f>N166-O166+M166</f>
        <v/>
      </c>
      <c r="Q166" s="192" t="n">
        <v>0</v>
      </c>
      <c r="R166" s="191">
        <f>P166+Q166</f>
        <v/>
      </c>
      <c r="S166" s="36" t="n">
        <v>0</v>
      </c>
      <c r="T166" s="5" t="n">
        <v>6</v>
      </c>
      <c r="U166" s="191">
        <f>S166-T166+R166</f>
        <v/>
      </c>
      <c r="V166" s="192" t="n">
        <v>0</v>
      </c>
      <c r="W166" s="191">
        <f>U166+V166</f>
        <v/>
      </c>
      <c r="X166" s="36" t="n">
        <v>0</v>
      </c>
      <c r="Y166" s="5" t="n">
        <v>0</v>
      </c>
      <c r="Z166" s="191">
        <f>X166-Y166+W166</f>
        <v/>
      </c>
      <c r="AA166" s="192" t="n">
        <v>0</v>
      </c>
      <c r="AB166" s="191">
        <f>Z166+AA166</f>
        <v/>
      </c>
      <c r="AC166" s="36" t="n">
        <v>0</v>
      </c>
      <c r="AD166" s="5" t="n">
        <v>0</v>
      </c>
      <c r="AE166" s="191">
        <f>AC166-AD166+AB166</f>
        <v/>
      </c>
      <c r="AF166" s="192" t="n">
        <v>0</v>
      </c>
      <c r="AG166" s="191">
        <f>AE166+AF166</f>
        <v/>
      </c>
      <c r="AH166" s="36" t="n">
        <v>0</v>
      </c>
      <c r="AI166" s="5" t="n">
        <v>0</v>
      </c>
      <c r="AJ166" s="191">
        <f>AH166-AI166+AG166</f>
        <v/>
      </c>
      <c r="AK166" s="192" t="n">
        <v>0</v>
      </c>
      <c r="AL166" s="191">
        <f>AJ166+AK166</f>
        <v/>
      </c>
      <c r="AM166" s="35" t="inlineStr">
        <is>
          <t>熊本</t>
        </is>
      </c>
      <c r="AN166" s="35" t="inlineStr">
        <is>
          <t>こもの</t>
        </is>
      </c>
      <c r="AO166" s="5" t="n">
        <v>240</v>
      </c>
      <c r="AP166" s="5" t="n">
        <v>0</v>
      </c>
      <c r="AQ166" s="35" t="n"/>
      <c r="AR166" s="35" t="n"/>
      <c r="AS166" s="122" t="n"/>
      <c r="AT166" s="35" t="n">
        <v>215</v>
      </c>
      <c r="AU166" s="35" t="inlineStr">
        <is>
          <t>(有)肥後あゆみの会　澤村輝彦</t>
        </is>
      </c>
    </row>
    <row r="167">
      <c r="A167" s="14" t="inlineStr">
        <is>
          <t>1614-280</t>
        </is>
      </c>
      <c r="B167" s="5" t="inlineStr">
        <is>
          <t>□有機ﾐﾆﾄﾏﾄ「ｱｲｺ」３kg(肥後あゆみ)</t>
        </is>
      </c>
      <c r="C167" s="36" t="n">
        <v>0</v>
      </c>
      <c r="D167" s="36" t="n">
        <v>0</v>
      </c>
      <c r="E167" s="5" t="n">
        <v>0</v>
      </c>
      <c r="F167" s="191">
        <f>D167-E167+C167</f>
        <v/>
      </c>
      <c r="G167" s="192" t="n">
        <v>0</v>
      </c>
      <c r="H167" s="191">
        <f>F167+G167</f>
        <v/>
      </c>
      <c r="I167" s="36" t="n">
        <v>5</v>
      </c>
      <c r="J167" s="5" t="n">
        <v>1</v>
      </c>
      <c r="K167" s="191">
        <f>I167-J167+H167</f>
        <v/>
      </c>
      <c r="L167" s="192" t="n">
        <v>-1</v>
      </c>
      <c r="M167" s="191">
        <f>K167+L167</f>
        <v/>
      </c>
      <c r="N167" s="36" t="n">
        <v>0</v>
      </c>
      <c r="O167" s="5" t="n">
        <v>1</v>
      </c>
      <c r="P167" s="191">
        <f>N167-O167+M167</f>
        <v/>
      </c>
      <c r="Q167" s="192" t="n">
        <v>0</v>
      </c>
      <c r="R167" s="191">
        <f>P167+Q167</f>
        <v/>
      </c>
      <c r="S167" s="36" t="n">
        <v>0</v>
      </c>
      <c r="T167" s="5" t="n">
        <v>1</v>
      </c>
      <c r="U167" s="191">
        <f>S167-T167+R167</f>
        <v/>
      </c>
      <c r="V167" s="192" t="n">
        <v>0</v>
      </c>
      <c r="W167" s="191">
        <f>U167+V167</f>
        <v/>
      </c>
      <c r="X167" s="36" t="n">
        <v>0</v>
      </c>
      <c r="Y167" s="5" t="n">
        <v>1</v>
      </c>
      <c r="Z167" s="191">
        <f>X167-Y167+W167</f>
        <v/>
      </c>
      <c r="AA167" s="192" t="n">
        <v>0</v>
      </c>
      <c r="AB167" s="191">
        <f>Z167+AA167</f>
        <v/>
      </c>
      <c r="AC167" s="36" t="n">
        <v>0</v>
      </c>
      <c r="AD167" s="5" t="n">
        <v>0</v>
      </c>
      <c r="AE167" s="191">
        <f>AC167-AD167+AB167</f>
        <v/>
      </c>
      <c r="AF167" s="192" t="n">
        <v>0</v>
      </c>
      <c r="AG167" s="191">
        <f>AE167+AF167</f>
        <v/>
      </c>
      <c r="AH167" s="36" t="n">
        <v>0</v>
      </c>
      <c r="AI167" s="5" t="n">
        <v>0</v>
      </c>
      <c r="AJ167" s="191">
        <f>AH167-AI167+AG167</f>
        <v/>
      </c>
      <c r="AK167" s="192" t="n">
        <v>0</v>
      </c>
      <c r="AL167" s="191">
        <f>AJ167+AK167</f>
        <v/>
      </c>
      <c r="AM167" s="35" t="inlineStr">
        <is>
          <t>熊本</t>
        </is>
      </c>
      <c r="AN167" s="35" t="inlineStr">
        <is>
          <t>こもの</t>
        </is>
      </c>
      <c r="AO167" s="163" t="n">
        <v>4000</v>
      </c>
      <c r="AP167" s="5" t="n">
        <v>0</v>
      </c>
      <c r="AQ167" s="35" t="inlineStr">
        <is>
          <t>○</t>
        </is>
      </c>
      <c r="AR167" s="35" t="n"/>
      <c r="AS167" s="122" t="n"/>
      <c r="AT167" s="35" t="n">
        <v>215</v>
      </c>
      <c r="AU167" s="35" t="inlineStr">
        <is>
          <t>(有)肥後あゆみの会　澤村輝彦</t>
        </is>
      </c>
    </row>
    <row r="168">
      <c r="A168" s="14" t="inlineStr">
        <is>
          <t>1614-3</t>
        </is>
      </c>
      <c r="B168" s="5" t="inlineStr">
        <is>
          <t>ミニトマト　150ｇ（沃土会）</t>
        </is>
      </c>
      <c r="C168" s="36" t="n">
        <v>74</v>
      </c>
      <c r="D168" s="36" t="n">
        <v>0</v>
      </c>
      <c r="E168" s="5" t="n">
        <v>0</v>
      </c>
      <c r="F168" s="191">
        <f>D168-E168+C168</f>
        <v/>
      </c>
      <c r="G168" s="192" t="n">
        <v>0</v>
      </c>
      <c r="H168" s="191">
        <f>F168+G168</f>
        <v/>
      </c>
      <c r="I168" s="36" t="n">
        <v>20</v>
      </c>
      <c r="J168" s="5" t="n">
        <v>20</v>
      </c>
      <c r="K168" s="191">
        <f>I168-J168+H168</f>
        <v/>
      </c>
      <c r="L168" s="192" t="n">
        <v>0</v>
      </c>
      <c r="M168" s="191">
        <f>K168+L168</f>
        <v/>
      </c>
      <c r="N168" s="36" t="n">
        <v>0</v>
      </c>
      <c r="O168" s="5" t="n">
        <v>30</v>
      </c>
      <c r="P168" s="191">
        <f>N168-O168+M168</f>
        <v/>
      </c>
      <c r="Q168" s="192" t="n">
        <v>0</v>
      </c>
      <c r="R168" s="191">
        <f>P168+Q168</f>
        <v/>
      </c>
      <c r="S168" s="36" t="n">
        <v>60</v>
      </c>
      <c r="T168" s="5" t="n">
        <v>30</v>
      </c>
      <c r="U168" s="191">
        <f>S168-T168+R168</f>
        <v/>
      </c>
      <c r="V168" s="192" t="n">
        <v>0</v>
      </c>
      <c r="W168" s="191">
        <f>U168+V168</f>
        <v/>
      </c>
      <c r="X168" s="36" t="n">
        <v>0</v>
      </c>
      <c r="Y168" s="5" t="n">
        <v>30</v>
      </c>
      <c r="Z168" s="191">
        <f>X168-Y168+W168</f>
        <v/>
      </c>
      <c r="AA168" s="192" t="n">
        <v>0</v>
      </c>
      <c r="AB168" s="191">
        <f>Z168+AA168</f>
        <v/>
      </c>
      <c r="AC168" s="36" t="n">
        <v>100</v>
      </c>
      <c r="AD168" s="5" t="n">
        <v>30</v>
      </c>
      <c r="AE168" s="191">
        <f>AC168-AD168+AB168</f>
        <v/>
      </c>
      <c r="AF168" s="192" t="n">
        <v>0</v>
      </c>
      <c r="AG168" s="191">
        <f>AE168+AF168</f>
        <v/>
      </c>
      <c r="AH168" s="36" t="n">
        <v>0</v>
      </c>
      <c r="AI168" s="5" t="n">
        <v>80</v>
      </c>
      <c r="AJ168" s="191">
        <f>AH168-AI168+AG168</f>
        <v/>
      </c>
      <c r="AK168" s="192" t="n">
        <v>0</v>
      </c>
      <c r="AL168" s="191">
        <f>AJ168+AK168</f>
        <v/>
      </c>
      <c r="AM168" s="35" t="inlineStr">
        <is>
          <t>埼玉</t>
        </is>
      </c>
      <c r="AN168" s="35" t="inlineStr">
        <is>
          <t>こもの</t>
        </is>
      </c>
      <c r="AO168" s="5" t="n">
        <v>220</v>
      </c>
      <c r="AP168" s="5" t="n">
        <v>0</v>
      </c>
      <c r="AQ168" s="35" t="n"/>
      <c r="AR168" s="35" t="n"/>
      <c r="AS168" s="122" t="n"/>
      <c r="AT168" s="35" t="n">
        <v>525</v>
      </c>
      <c r="AU168" s="35" t="inlineStr">
        <is>
          <t>(有)沃土会</t>
        </is>
      </c>
    </row>
    <row r="169">
      <c r="A169" s="14" t="inlineStr">
        <is>
          <t>1619-68</t>
        </is>
      </c>
      <c r="B169" s="5" t="inlineStr">
        <is>
          <t>きゅうり　２本袋（沃土会）</t>
        </is>
      </c>
      <c r="C169" s="36" t="n">
        <v>0</v>
      </c>
      <c r="D169" s="36" t="n">
        <v>0</v>
      </c>
      <c r="E169" s="5" t="n">
        <v>0</v>
      </c>
      <c r="F169" s="191">
        <f>D169-E169+C169</f>
        <v/>
      </c>
      <c r="G169" s="192" t="n">
        <v>0</v>
      </c>
      <c r="H169" s="191">
        <f>F169+G169</f>
        <v/>
      </c>
      <c r="I169" s="36" t="n">
        <v>20</v>
      </c>
      <c r="J169" s="5" t="n">
        <v>10</v>
      </c>
      <c r="K169" s="191">
        <f>I169-J169+H169</f>
        <v/>
      </c>
      <c r="L169" s="192" t="n">
        <v>0</v>
      </c>
      <c r="M169" s="191">
        <f>K169+L169</f>
        <v/>
      </c>
      <c r="N169" s="36" t="n">
        <v>0</v>
      </c>
      <c r="O169" s="5" t="n">
        <v>10</v>
      </c>
      <c r="P169" s="191">
        <f>N169-O169+M169</f>
        <v/>
      </c>
      <c r="Q169" s="192" t="n">
        <v>0</v>
      </c>
      <c r="R169" s="191">
        <f>P169+Q169</f>
        <v/>
      </c>
      <c r="S169" s="36" t="n">
        <v>20</v>
      </c>
      <c r="T169" s="5" t="n">
        <v>10</v>
      </c>
      <c r="U169" s="191">
        <f>S169-T169+R169</f>
        <v/>
      </c>
      <c r="V169" s="192" t="n">
        <v>0</v>
      </c>
      <c r="W169" s="191">
        <f>U169+V169</f>
        <v/>
      </c>
      <c r="X169" s="36" t="n">
        <v>0</v>
      </c>
      <c r="Y169" s="5" t="n">
        <v>10</v>
      </c>
      <c r="Z169" s="191">
        <f>X169-Y169+W169</f>
        <v/>
      </c>
      <c r="AA169" s="192" t="n">
        <v>0</v>
      </c>
      <c r="AB169" s="191">
        <f>Z169+AA169</f>
        <v/>
      </c>
      <c r="AC169" s="36" t="n">
        <v>40</v>
      </c>
      <c r="AD169" s="5" t="n">
        <v>10</v>
      </c>
      <c r="AE169" s="191">
        <f>AC169-AD169+AB169</f>
        <v/>
      </c>
      <c r="AF169" s="192" t="n">
        <v>0</v>
      </c>
      <c r="AG169" s="191">
        <f>AE169+AF169</f>
        <v/>
      </c>
      <c r="AH169" s="36" t="n">
        <v>0</v>
      </c>
      <c r="AI169" s="5" t="n">
        <v>30</v>
      </c>
      <c r="AJ169" s="191">
        <f>AH169-AI169+AG169</f>
        <v/>
      </c>
      <c r="AK169" s="192" t="n">
        <v>0</v>
      </c>
      <c r="AL169" s="191">
        <f>AJ169+AK169</f>
        <v/>
      </c>
      <c r="AM169" s="35" t="inlineStr">
        <is>
          <t>埼玉</t>
        </is>
      </c>
      <c r="AN169" s="35" t="inlineStr">
        <is>
          <t>こもの</t>
        </is>
      </c>
      <c r="AO169" s="5" t="n">
        <v>0</v>
      </c>
      <c r="AP169" s="5" t="n">
        <v>0</v>
      </c>
      <c r="AQ169" s="35" t="n"/>
      <c r="AR169" s="35" t="n"/>
      <c r="AS169" s="122" t="n"/>
      <c r="AT169" s="35" t="n">
        <v>525</v>
      </c>
      <c r="AU169" s="35" t="inlineStr">
        <is>
          <t>(有)沃土会</t>
        </is>
      </c>
    </row>
    <row r="170">
      <c r="A170" s="14" t="inlineStr">
        <is>
          <t>1621-64</t>
        </is>
      </c>
      <c r="B170" s="5" t="inlineStr">
        <is>
          <t>□きゅうり 5kg箱(太一興陽石毛)菌5虫8・不</t>
        </is>
      </c>
      <c r="C170" s="36" t="n">
        <v>25</v>
      </c>
      <c r="D170" s="36" t="n">
        <v>40</v>
      </c>
      <c r="E170" s="5" t="n">
        <v>2</v>
      </c>
      <c r="F170" s="191">
        <f>D170-E170+C170</f>
        <v/>
      </c>
      <c r="G170" s="192" t="n">
        <v>0</v>
      </c>
      <c r="H170" s="191">
        <f>F170+G170</f>
        <v/>
      </c>
      <c r="I170" s="36" t="n">
        <v>0</v>
      </c>
      <c r="J170" s="5" t="n">
        <v>12</v>
      </c>
      <c r="K170" s="191">
        <f>I170-J170+H170</f>
        <v/>
      </c>
      <c r="L170" s="192" t="n">
        <v>-8</v>
      </c>
      <c r="M170" s="191">
        <f>K170+L170</f>
        <v/>
      </c>
      <c r="N170" s="36" t="n">
        <v>0</v>
      </c>
      <c r="O170" s="5" t="n">
        <v>16</v>
      </c>
      <c r="P170" s="191">
        <f>N170-O170+M170</f>
        <v/>
      </c>
      <c r="Q170" s="192" t="n">
        <v>0</v>
      </c>
      <c r="R170" s="191">
        <f>P170+Q170</f>
        <v/>
      </c>
      <c r="S170" s="36" t="n">
        <v>40</v>
      </c>
      <c r="T170" s="5" t="n">
        <v>19</v>
      </c>
      <c r="U170" s="191">
        <f>S170-T170+R170</f>
        <v/>
      </c>
      <c r="V170" s="192" t="n">
        <v>0</v>
      </c>
      <c r="W170" s="191">
        <f>U170+V170</f>
        <v/>
      </c>
      <c r="X170" s="36" t="n">
        <v>0</v>
      </c>
      <c r="Y170" s="5" t="n">
        <v>15</v>
      </c>
      <c r="Z170" s="191">
        <f>X170-Y170+W170</f>
        <v/>
      </c>
      <c r="AA170" s="192" t="n">
        <v>0</v>
      </c>
      <c r="AB170" s="191">
        <f>Z170+AA170</f>
        <v/>
      </c>
      <c r="AC170" s="36" t="n">
        <v>40</v>
      </c>
      <c r="AD170" s="5" t="n">
        <v>10</v>
      </c>
      <c r="AE170" s="191">
        <f>AC170-AD170+AB170</f>
        <v/>
      </c>
      <c r="AF170" s="192" t="n">
        <v>0</v>
      </c>
      <c r="AG170" s="191">
        <f>AE170+AF170</f>
        <v/>
      </c>
      <c r="AH170" s="36" t="n">
        <v>0</v>
      </c>
      <c r="AI170" s="5" t="n">
        <v>19</v>
      </c>
      <c r="AJ170" s="191">
        <f>AH170-AI170+AG170</f>
        <v/>
      </c>
      <c r="AK170" s="192" t="n">
        <v>0</v>
      </c>
      <c r="AL170" s="191">
        <f>AJ170+AK170</f>
        <v/>
      </c>
      <c r="AM170" s="35" t="inlineStr">
        <is>
          <t>千葉</t>
        </is>
      </c>
      <c r="AN170" s="35" t="inlineStr">
        <is>
          <t>こもの</t>
        </is>
      </c>
      <c r="AO170" s="163" t="n">
        <v>2300</v>
      </c>
      <c r="AP170" s="5" t="n">
        <v>0</v>
      </c>
      <c r="AQ170" s="35" t="n"/>
      <c r="AR170" s="35" t="n"/>
      <c r="AS170" s="122" t="n"/>
      <c r="AT170" s="35" t="n">
        <v>194</v>
      </c>
      <c r="AU170" s="35" t="inlineStr">
        <is>
          <t>㈱ｱｸﾞﾘｲﾉﾍﾞｰｼｮﾝｽﾞｶﾝﾊﾟﾆｰ（旧：旭愛農）</t>
        </is>
      </c>
    </row>
    <row r="171">
      <c r="A171" s="14" t="inlineStr">
        <is>
          <t>1621-65</t>
        </is>
      </c>
      <c r="B171" s="5" t="inlineStr">
        <is>
          <t>きゅうり　２本袋(石毛)◇</t>
        </is>
      </c>
      <c r="C171" s="36" t="n">
        <v>11</v>
      </c>
      <c r="D171" s="36" t="n">
        <v>0</v>
      </c>
      <c r="E171" s="5" t="n">
        <v>0</v>
      </c>
      <c r="F171" s="191">
        <f>D171-E171+C171</f>
        <v/>
      </c>
      <c r="G171" s="192" t="n">
        <v>0</v>
      </c>
      <c r="H171" s="191">
        <f>F171+G171</f>
        <v/>
      </c>
      <c r="I171" s="36" t="n">
        <v>105</v>
      </c>
      <c r="J171" s="5" t="n">
        <v>91</v>
      </c>
      <c r="K171" s="191">
        <f>I171-J171+H171</f>
        <v/>
      </c>
      <c r="L171" s="192" t="n">
        <v>0</v>
      </c>
      <c r="M171" s="191">
        <f>K171+L171</f>
        <v/>
      </c>
      <c r="N171" s="36" t="n">
        <v>0</v>
      </c>
      <c r="O171" s="5" t="n">
        <v>40</v>
      </c>
      <c r="P171" s="191">
        <f>N171-O171+M171</f>
        <v/>
      </c>
      <c r="Q171" s="192" t="n">
        <v>0</v>
      </c>
      <c r="R171" s="191">
        <f>P171+Q171</f>
        <v/>
      </c>
      <c r="S171" s="36" t="n">
        <v>0</v>
      </c>
      <c r="T171" s="5" t="n">
        <v>84</v>
      </c>
      <c r="U171" s="191">
        <f>S171-T171+R171</f>
        <v/>
      </c>
      <c r="V171" s="192" t="n">
        <v>0</v>
      </c>
      <c r="W171" s="191">
        <f>U171+V171</f>
        <v/>
      </c>
      <c r="X171" s="36" t="n">
        <v>0</v>
      </c>
      <c r="Y171" s="5" t="n">
        <v>40</v>
      </c>
      <c r="Z171" s="191">
        <f>X171-Y171+W171</f>
        <v/>
      </c>
      <c r="AA171" s="192" t="n">
        <v>0</v>
      </c>
      <c r="AB171" s="191">
        <f>Z171+AA171</f>
        <v/>
      </c>
      <c r="AC171" s="36" t="n">
        <v>0</v>
      </c>
      <c r="AD171" s="5" t="n">
        <v>49</v>
      </c>
      <c r="AE171" s="191">
        <f>AC171-AD171+AB171</f>
        <v/>
      </c>
      <c r="AF171" s="192" t="n">
        <v>0</v>
      </c>
      <c r="AG171" s="191">
        <f>AE171+AF171</f>
        <v/>
      </c>
      <c r="AH171" s="36" t="n">
        <v>0</v>
      </c>
      <c r="AI171" s="5" t="n">
        <v>93</v>
      </c>
      <c r="AJ171" s="191">
        <f>AH171-AI171+AG171</f>
        <v/>
      </c>
      <c r="AK171" s="192" t="n">
        <v>0</v>
      </c>
      <c r="AL171" s="191">
        <f>AJ171+AK171</f>
        <v/>
      </c>
      <c r="AM171" s="35" t="inlineStr">
        <is>
          <t>千葉</t>
        </is>
      </c>
      <c r="AN171" s="35" t="inlineStr">
        <is>
          <t>こもの</t>
        </is>
      </c>
      <c r="AO171" s="5" t="n">
        <v>110</v>
      </c>
      <c r="AP171" s="5" t="n">
        <v>0</v>
      </c>
      <c r="AQ171" s="35" t="n"/>
      <c r="AR171" s="35" t="n"/>
      <c r="AS171" s="122" t="n"/>
      <c r="AT171" s="35" t="n">
        <v>194</v>
      </c>
      <c r="AU171" s="35" t="inlineStr">
        <is>
          <t>㈱ｱｸﾞﾘｲﾉﾍﾞｰｼｮﾝｽﾞｶﾝﾊﾟﾆｰ（旧：旭愛農）</t>
        </is>
      </c>
    </row>
    <row r="172">
      <c r="A172" s="14" t="inlineStr">
        <is>
          <t>1621-73</t>
        </is>
      </c>
      <c r="B172" s="5" t="inlineStr">
        <is>
          <t>きゅうり　３本袋(石毛)◇</t>
        </is>
      </c>
      <c r="C172" s="36" t="n">
        <v>0</v>
      </c>
      <c r="D172" s="36" t="n">
        <v>0</v>
      </c>
      <c r="E172" s="5" t="n">
        <v>0</v>
      </c>
      <c r="F172" s="191">
        <f>D172-E172+C172</f>
        <v/>
      </c>
      <c r="G172" s="192" t="n">
        <v>0</v>
      </c>
      <c r="H172" s="191">
        <f>F172+G172</f>
        <v/>
      </c>
      <c r="I172" s="36" t="n">
        <v>53</v>
      </c>
      <c r="J172" s="5" t="n">
        <v>53</v>
      </c>
      <c r="K172" s="191">
        <f>I172-J172+H172</f>
        <v/>
      </c>
      <c r="L172" s="192" t="n">
        <v>0</v>
      </c>
      <c r="M172" s="191">
        <f>K172+L172</f>
        <v/>
      </c>
      <c r="N172" s="36" t="n">
        <v>0</v>
      </c>
      <c r="O172" s="5" t="n">
        <v>3</v>
      </c>
      <c r="P172" s="191">
        <f>N172-O172+M172</f>
        <v/>
      </c>
      <c r="Q172" s="192" t="n">
        <v>0</v>
      </c>
      <c r="R172" s="191">
        <f>P172+Q172</f>
        <v/>
      </c>
      <c r="S172" s="36" t="n">
        <v>0</v>
      </c>
      <c r="T172" s="5" t="n">
        <v>28</v>
      </c>
      <c r="U172" s="191">
        <f>S172-T172+R172</f>
        <v/>
      </c>
      <c r="V172" s="192" t="n">
        <v>0</v>
      </c>
      <c r="W172" s="191">
        <f>U172+V172</f>
        <v/>
      </c>
      <c r="X172" s="36" t="n">
        <v>0</v>
      </c>
      <c r="Y172" s="5" t="n">
        <v>53</v>
      </c>
      <c r="Z172" s="191">
        <f>X172-Y172+W172</f>
        <v/>
      </c>
      <c r="AA172" s="192" t="n">
        <v>0</v>
      </c>
      <c r="AB172" s="191">
        <f>Z172+AA172</f>
        <v/>
      </c>
      <c r="AC172" s="36" t="n">
        <v>0</v>
      </c>
      <c r="AD172" s="5" t="n">
        <v>3</v>
      </c>
      <c r="AE172" s="191">
        <f>AC172-AD172+AB172</f>
        <v/>
      </c>
      <c r="AF172" s="192" t="n">
        <v>0</v>
      </c>
      <c r="AG172" s="191">
        <f>AE172+AF172</f>
        <v/>
      </c>
      <c r="AH172" s="36" t="n">
        <v>0</v>
      </c>
      <c r="AI172" s="5" t="n">
        <v>50</v>
      </c>
      <c r="AJ172" s="191">
        <f>AH172-AI172+AG172</f>
        <v/>
      </c>
      <c r="AK172" s="192" t="n">
        <v>0</v>
      </c>
      <c r="AL172" s="191">
        <f>AJ172+AK172</f>
        <v/>
      </c>
      <c r="AM172" s="35" t="inlineStr">
        <is>
          <t>千葉</t>
        </is>
      </c>
      <c r="AN172" s="35" t="inlineStr">
        <is>
          <t>こもの</t>
        </is>
      </c>
      <c r="AO172" s="5" t="n">
        <v>160</v>
      </c>
      <c r="AP172" s="5" t="n">
        <v>0</v>
      </c>
      <c r="AQ172" s="35" t="n"/>
      <c r="AR172" s="35" t="n"/>
      <c r="AS172" s="122" t="n"/>
      <c r="AT172" s="35" t="n">
        <v>194</v>
      </c>
      <c r="AU172" s="35" t="inlineStr">
        <is>
          <t>㈱ｱｸﾞﾘｲﾉﾍﾞｰｼｮﾝｽﾞｶﾝﾊﾟﾆｰ（旧：旭愛農）</t>
        </is>
      </c>
    </row>
    <row r="173">
      <c r="A173" s="14" t="inlineStr">
        <is>
          <t>1638-110</t>
        </is>
      </c>
      <c r="B173" s="5" t="inlineStr">
        <is>
          <t>有機なす１袋 (浦部)</t>
        </is>
      </c>
      <c r="C173" s="36" t="n">
        <v>33</v>
      </c>
      <c r="D173" s="36" t="n">
        <v>0</v>
      </c>
      <c r="E173" s="5" t="n">
        <v>0</v>
      </c>
      <c r="F173" s="191">
        <f>D173-E173+C173</f>
        <v/>
      </c>
      <c r="G173" s="192" t="n">
        <v>0</v>
      </c>
      <c r="H173" s="191">
        <f>F173+G173</f>
        <v/>
      </c>
      <c r="I173" s="36" t="n">
        <v>49</v>
      </c>
      <c r="J173" s="5" t="n">
        <v>15</v>
      </c>
      <c r="K173" s="191">
        <f>I173-J173+H173</f>
        <v/>
      </c>
      <c r="L173" s="192" t="n">
        <v>0</v>
      </c>
      <c r="M173" s="191">
        <f>K173+L173</f>
        <v/>
      </c>
      <c r="N173" s="36" t="n">
        <v>0</v>
      </c>
      <c r="O173" s="5" t="n">
        <v>15</v>
      </c>
      <c r="P173" s="191">
        <f>N173-O173+M173</f>
        <v/>
      </c>
      <c r="Q173" s="192" t="n">
        <v>0</v>
      </c>
      <c r="R173" s="191">
        <f>P173+Q173</f>
        <v/>
      </c>
      <c r="S173" s="36" t="n">
        <v>0</v>
      </c>
      <c r="T173" s="5" t="n">
        <v>15</v>
      </c>
      <c r="U173" s="191">
        <f>S173-T173+R173</f>
        <v/>
      </c>
      <c r="V173" s="192" t="n">
        <v>0</v>
      </c>
      <c r="W173" s="191">
        <f>U173+V173</f>
        <v/>
      </c>
      <c r="X173" s="36" t="n">
        <v>0</v>
      </c>
      <c r="Y173" s="5" t="n">
        <v>15</v>
      </c>
      <c r="Z173" s="191">
        <f>X173-Y173+W173</f>
        <v/>
      </c>
      <c r="AA173" s="192" t="n">
        <v>0</v>
      </c>
      <c r="AB173" s="191">
        <f>Z173+AA173</f>
        <v/>
      </c>
      <c r="AC173" s="36" t="n">
        <v>0</v>
      </c>
      <c r="AD173" s="5" t="n">
        <v>15</v>
      </c>
      <c r="AE173" s="191">
        <f>AC173-AD173+AB173</f>
        <v/>
      </c>
      <c r="AF173" s="192" t="n">
        <v>0</v>
      </c>
      <c r="AG173" s="191">
        <f>AE173+AF173</f>
        <v/>
      </c>
      <c r="AH173" s="36" t="n">
        <v>0</v>
      </c>
      <c r="AI173" s="5" t="n">
        <v>40</v>
      </c>
      <c r="AJ173" s="191">
        <f>AH173-AI173+AG173</f>
        <v/>
      </c>
      <c r="AK173" s="192" t="n">
        <v>0</v>
      </c>
      <c r="AL173" s="191">
        <f>AJ173+AK173</f>
        <v/>
      </c>
      <c r="AM173" s="35" t="inlineStr">
        <is>
          <t>群馬</t>
        </is>
      </c>
      <c r="AN173" s="35" t="inlineStr">
        <is>
          <t>こもの</t>
        </is>
      </c>
      <c r="AO173" s="5" t="n">
        <v>0</v>
      </c>
      <c r="AP173" s="5" t="n">
        <v>0</v>
      </c>
      <c r="AQ173" s="35" t="n"/>
      <c r="AR173" s="35" t="n"/>
      <c r="AS173" s="122" t="n"/>
      <c r="AT173" s="35" t="n"/>
      <c r="AU173" s="35" t="n"/>
    </row>
    <row r="174">
      <c r="A174" s="14" t="inlineStr">
        <is>
          <t>1638-112</t>
        </is>
      </c>
      <c r="B174" s="5" t="inlineStr">
        <is>
          <t>なす　400ｇ(石毛)菌2虫1(=9割減)・不</t>
        </is>
      </c>
      <c r="C174" s="36" t="n">
        <v>186</v>
      </c>
      <c r="D174" s="36" t="n">
        <v>120</v>
      </c>
      <c r="E174" s="5" t="n">
        <v>0</v>
      </c>
      <c r="F174" s="191">
        <f>D174-E174+C174</f>
        <v/>
      </c>
      <c r="G174" s="192" t="n">
        <v>0</v>
      </c>
      <c r="H174" s="191">
        <f>F174+G174</f>
        <v/>
      </c>
      <c r="I174" s="36" t="n">
        <v>0</v>
      </c>
      <c r="J174" s="5" t="n">
        <v>114</v>
      </c>
      <c r="K174" s="191">
        <f>I174-J174+H174</f>
        <v/>
      </c>
      <c r="L174" s="192" t="n">
        <v>0</v>
      </c>
      <c r="M174" s="191">
        <f>K174+L174</f>
        <v/>
      </c>
      <c r="N174" s="36" t="n">
        <v>0</v>
      </c>
      <c r="O174" s="5" t="n">
        <v>92</v>
      </c>
      <c r="P174" s="191">
        <f>N174-O174+M174</f>
        <v/>
      </c>
      <c r="Q174" s="192" t="n">
        <v>0</v>
      </c>
      <c r="R174" s="191">
        <f>P174+Q174</f>
        <v/>
      </c>
      <c r="S174" s="36" t="n">
        <v>240</v>
      </c>
      <c r="T174" s="5" t="n">
        <v>170</v>
      </c>
      <c r="U174" s="191">
        <f>S174-T174+R174</f>
        <v/>
      </c>
      <c r="V174" s="192" t="n">
        <v>0</v>
      </c>
      <c r="W174" s="191">
        <f>U174+V174</f>
        <v/>
      </c>
      <c r="X174" s="36" t="n">
        <v>0</v>
      </c>
      <c r="Y174" s="5" t="n">
        <v>88</v>
      </c>
      <c r="Z174" s="191">
        <f>X174-Y174+W174</f>
        <v/>
      </c>
      <c r="AA174" s="192" t="n">
        <v>0</v>
      </c>
      <c r="AB174" s="191">
        <f>Z174+AA174</f>
        <v/>
      </c>
      <c r="AC174" s="36" t="n">
        <v>456</v>
      </c>
      <c r="AD174" s="5" t="n">
        <v>197</v>
      </c>
      <c r="AE174" s="191">
        <f>AC174-AD174+AB174</f>
        <v/>
      </c>
      <c r="AF174" s="192" t="n">
        <v>0</v>
      </c>
      <c r="AG174" s="191">
        <f>AE174+AF174</f>
        <v/>
      </c>
      <c r="AH174" s="36" t="n">
        <v>0</v>
      </c>
      <c r="AI174" s="5" t="n">
        <v>262</v>
      </c>
      <c r="AJ174" s="191">
        <f>AH174-AI174+AG174</f>
        <v/>
      </c>
      <c r="AK174" s="192" t="n">
        <v>0</v>
      </c>
      <c r="AL174" s="191">
        <f>AJ174+AK174</f>
        <v/>
      </c>
      <c r="AM174" s="35" t="inlineStr">
        <is>
          <t>千葉</t>
        </is>
      </c>
      <c r="AN174" s="35" t="inlineStr">
        <is>
          <t>こもの</t>
        </is>
      </c>
      <c r="AO174" s="5" t="n">
        <v>200</v>
      </c>
      <c r="AP174" s="5" t="n">
        <v>0</v>
      </c>
      <c r="AQ174" s="35" t="n"/>
      <c r="AR174" s="35" t="n"/>
      <c r="AS174" s="122" t="n"/>
      <c r="AT174" s="35" t="n"/>
      <c r="AU174" s="35" t="n"/>
    </row>
    <row r="175">
      <c r="A175" s="14" t="inlineStr">
        <is>
          <t>1647-2</t>
        </is>
      </c>
      <c r="B175" s="5" t="inlineStr">
        <is>
          <t>中玉とまと 200g (さんぶ)</t>
        </is>
      </c>
      <c r="C175" s="36" t="n">
        <v>13</v>
      </c>
      <c r="D175" s="36" t="n">
        <v>60</v>
      </c>
      <c r="E175" s="5" t="n">
        <v>0</v>
      </c>
      <c r="F175" s="191">
        <f>D175-E175+C175</f>
        <v/>
      </c>
      <c r="G175" s="192" t="n">
        <v>0</v>
      </c>
      <c r="H175" s="191">
        <f>F175+G175</f>
        <v/>
      </c>
      <c r="I175" s="36" t="n">
        <v>0</v>
      </c>
      <c r="J175" s="5" t="n">
        <v>41</v>
      </c>
      <c r="K175" s="191">
        <f>I175-J175+H175</f>
        <v/>
      </c>
      <c r="L175" s="192" t="n">
        <v>0</v>
      </c>
      <c r="M175" s="191">
        <f>K175+L175</f>
        <v/>
      </c>
      <c r="N175" s="36" t="n">
        <v>0</v>
      </c>
      <c r="O175" s="5" t="n">
        <v>4</v>
      </c>
      <c r="P175" s="191">
        <f>N175-O175+M175</f>
        <v/>
      </c>
      <c r="Q175" s="192" t="n">
        <v>0</v>
      </c>
      <c r="R175" s="191">
        <f>P175+Q175</f>
        <v/>
      </c>
      <c r="S175" s="36" t="n">
        <v>0</v>
      </c>
      <c r="T175" s="5" t="n">
        <v>18</v>
      </c>
      <c r="U175" s="191">
        <f>S175-T175+R175</f>
        <v/>
      </c>
      <c r="V175" s="192" t="n">
        <v>0</v>
      </c>
      <c r="W175" s="191">
        <f>U175+V175</f>
        <v/>
      </c>
      <c r="X175" s="36" t="n">
        <v>0</v>
      </c>
      <c r="Y175" s="5" t="n">
        <v>7</v>
      </c>
      <c r="Z175" s="191">
        <f>X175-Y175+W175</f>
        <v/>
      </c>
      <c r="AA175" s="192" t="n">
        <v>0</v>
      </c>
      <c r="AB175" s="191">
        <f>Z175+AA175</f>
        <v/>
      </c>
      <c r="AC175" s="36" t="n">
        <v>40</v>
      </c>
      <c r="AD175" s="5" t="n">
        <v>15</v>
      </c>
      <c r="AE175" s="191">
        <f>AC175-AD175+AB175</f>
        <v/>
      </c>
      <c r="AF175" s="192" t="n">
        <v>0</v>
      </c>
      <c r="AG175" s="191">
        <f>AE175+AF175</f>
        <v/>
      </c>
      <c r="AH175" s="36" t="n">
        <v>0</v>
      </c>
      <c r="AI175" s="5" t="n">
        <v>19</v>
      </c>
      <c r="AJ175" s="191">
        <f>AH175-AI175+AG175</f>
        <v/>
      </c>
      <c r="AK175" s="192" t="n">
        <v>0</v>
      </c>
      <c r="AL175" s="191">
        <f>AJ175+AK175</f>
        <v/>
      </c>
      <c r="AM175" s="35" t="inlineStr">
        <is>
          <t>千葉</t>
        </is>
      </c>
      <c r="AN175" s="35" t="inlineStr">
        <is>
          <t>こもの</t>
        </is>
      </c>
      <c r="AO175" s="5" t="n">
        <v>215</v>
      </c>
      <c r="AP175" s="5" t="n">
        <v>0</v>
      </c>
      <c r="AQ175" s="35" t="n"/>
      <c r="AR175" s="35" t="n"/>
      <c r="AS175" s="122" t="n">
        <v>4528947014318</v>
      </c>
      <c r="AT175" s="35" t="n">
        <v>188</v>
      </c>
      <c r="AU175" s="35" t="inlineStr">
        <is>
          <t>農事組合法人 さんぶ野菜ネットワーク</t>
        </is>
      </c>
    </row>
    <row r="176">
      <c r="A176" s="14" t="inlineStr">
        <is>
          <t>1647-50</t>
        </is>
      </c>
      <c r="B176" s="5" t="inlineStr">
        <is>
          <t>中玉トマト 250g (沃土会)</t>
        </is>
      </c>
      <c r="C176" s="36" t="n">
        <v>114</v>
      </c>
      <c r="D176" s="36" t="n">
        <v>0</v>
      </c>
      <c r="E176" s="5" t="n">
        <v>0</v>
      </c>
      <c r="F176" s="191">
        <f>D176-E176+C176</f>
        <v/>
      </c>
      <c r="G176" s="192" t="n">
        <v>0</v>
      </c>
      <c r="H176" s="191">
        <f>F176+G176</f>
        <v/>
      </c>
      <c r="I176" s="36" t="n">
        <v>0</v>
      </c>
      <c r="J176" s="5" t="n">
        <v>20</v>
      </c>
      <c r="K176" s="191">
        <f>I176-J176+H176</f>
        <v/>
      </c>
      <c r="L176" s="192" t="n">
        <v>0</v>
      </c>
      <c r="M176" s="191">
        <f>K176+L176</f>
        <v/>
      </c>
      <c r="N176" s="36" t="n">
        <v>0</v>
      </c>
      <c r="O176" s="5" t="n">
        <v>20</v>
      </c>
      <c r="P176" s="191">
        <f>N176-O176+M176</f>
        <v/>
      </c>
      <c r="Q176" s="192" t="n">
        <v>0</v>
      </c>
      <c r="R176" s="191">
        <f>P176+Q176</f>
        <v/>
      </c>
      <c r="S176" s="36" t="n">
        <v>0</v>
      </c>
      <c r="T176" s="5" t="n">
        <v>20</v>
      </c>
      <c r="U176" s="191">
        <f>S176-T176+R176</f>
        <v/>
      </c>
      <c r="V176" s="192" t="n">
        <v>0</v>
      </c>
      <c r="W176" s="191">
        <f>U176+V176</f>
        <v/>
      </c>
      <c r="X176" s="36" t="n">
        <v>0</v>
      </c>
      <c r="Y176" s="5" t="n">
        <v>20</v>
      </c>
      <c r="Z176" s="191">
        <f>X176-Y176+W176</f>
        <v/>
      </c>
      <c r="AA176" s="192" t="n">
        <v>0</v>
      </c>
      <c r="AB176" s="191">
        <f>Z176+AA176</f>
        <v/>
      </c>
      <c r="AC176" s="36" t="n">
        <v>60</v>
      </c>
      <c r="AD176" s="5" t="n">
        <v>20</v>
      </c>
      <c r="AE176" s="191">
        <f>AC176-AD176+AB176</f>
        <v/>
      </c>
      <c r="AF176" s="192" t="n">
        <v>0</v>
      </c>
      <c r="AG176" s="191">
        <f>AE176+AF176</f>
        <v/>
      </c>
      <c r="AH176" s="36" t="n">
        <v>0</v>
      </c>
      <c r="AI176" s="5" t="n">
        <v>54</v>
      </c>
      <c r="AJ176" s="191">
        <f>AH176-AI176+AG176</f>
        <v/>
      </c>
      <c r="AK176" s="192" t="n">
        <v>0</v>
      </c>
      <c r="AL176" s="191">
        <f>AJ176+AK176</f>
        <v/>
      </c>
      <c r="AM176" s="35" t="inlineStr">
        <is>
          <t>埼玉</t>
        </is>
      </c>
      <c r="AN176" s="35" t="inlineStr">
        <is>
          <t>こもの</t>
        </is>
      </c>
      <c r="AO176" s="5" t="n">
        <v>280</v>
      </c>
      <c r="AP176" s="5" t="n">
        <v>0</v>
      </c>
      <c r="AQ176" s="35" t="n"/>
      <c r="AR176" s="35" t="n"/>
      <c r="AS176" s="122" t="n"/>
      <c r="AT176" s="35" t="n">
        <v>525</v>
      </c>
      <c r="AU176" s="35" t="inlineStr">
        <is>
          <t>(有)沃土会</t>
        </is>
      </c>
    </row>
    <row r="177">
      <c r="A177" s="14" t="inlineStr">
        <is>
          <t>1654-74</t>
        </is>
      </c>
      <c r="B177" s="5" t="inlineStr">
        <is>
          <t>■有機ピーマン ５㎏箱（SOHﾌｧｰﾑ）</t>
        </is>
      </c>
      <c r="C177" s="36" t="n">
        <v>5</v>
      </c>
      <c r="D177" s="36" t="n">
        <v>3</v>
      </c>
      <c r="E177" s="5" t="n">
        <v>0</v>
      </c>
      <c r="F177" s="191">
        <f>D177-E177+C177</f>
        <v/>
      </c>
      <c r="G177" s="192" t="n">
        <v>0</v>
      </c>
      <c r="H177" s="191">
        <f>F177+G177</f>
        <v/>
      </c>
      <c r="I177" s="36" t="n">
        <v>6</v>
      </c>
      <c r="J177" s="5" t="n">
        <v>0</v>
      </c>
      <c r="K177" s="191">
        <f>I177-J177+H177</f>
        <v/>
      </c>
      <c r="L177" s="192" t="n">
        <v>-7</v>
      </c>
      <c r="M177" s="191">
        <f>K177+L177</f>
        <v/>
      </c>
      <c r="N177" s="36" t="n">
        <v>6</v>
      </c>
      <c r="O177" s="5" t="n">
        <v>0</v>
      </c>
      <c r="P177" s="191">
        <f>N177-O177+M177</f>
        <v/>
      </c>
      <c r="Q177" s="192" t="n">
        <v>0</v>
      </c>
      <c r="R177" s="191">
        <f>P177+Q177</f>
        <v/>
      </c>
      <c r="S177" s="36" t="n">
        <v>0</v>
      </c>
      <c r="T177" s="5" t="n">
        <v>0</v>
      </c>
      <c r="U177" s="191">
        <f>S177-T177+R177</f>
        <v/>
      </c>
      <c r="V177" s="192" t="n">
        <v>0</v>
      </c>
      <c r="W177" s="191">
        <f>U177+V177</f>
        <v/>
      </c>
      <c r="X177" s="36" t="n">
        <v>6</v>
      </c>
      <c r="Y177" s="5" t="n">
        <v>0</v>
      </c>
      <c r="Z177" s="191">
        <f>X177-Y177+W177</f>
        <v/>
      </c>
      <c r="AA177" s="192" t="n">
        <v>0</v>
      </c>
      <c r="AB177" s="191">
        <f>Z177+AA177</f>
        <v/>
      </c>
      <c r="AC177" s="36" t="n">
        <v>6</v>
      </c>
      <c r="AD177" s="5" t="n">
        <v>0</v>
      </c>
      <c r="AE177" s="191">
        <f>AC177-AD177+AB177</f>
        <v/>
      </c>
      <c r="AF177" s="192" t="n">
        <v>0</v>
      </c>
      <c r="AG177" s="191">
        <f>AE177+AF177</f>
        <v/>
      </c>
      <c r="AH177" s="36" t="n">
        <v>6</v>
      </c>
      <c r="AI177" s="5" t="n">
        <v>0</v>
      </c>
      <c r="AJ177" s="191">
        <f>AH177-AI177+AG177</f>
        <v/>
      </c>
      <c r="AK177" s="192" t="n">
        <v>0</v>
      </c>
      <c r="AL177" s="191">
        <f>AJ177+AK177</f>
        <v/>
      </c>
      <c r="AM177" s="35" t="inlineStr">
        <is>
          <t>鹿児島</t>
        </is>
      </c>
      <c r="AN177" s="35" t="inlineStr">
        <is>
          <t>箱</t>
        </is>
      </c>
      <c r="AO177" s="5" t="n">
        <v>0</v>
      </c>
      <c r="AP177" s="5" t="n">
        <v>0</v>
      </c>
      <c r="AQ177" s="35" t="inlineStr">
        <is>
          <t>○</t>
        </is>
      </c>
      <c r="AR177" s="35" t="n"/>
      <c r="AS177" s="122" t="n"/>
      <c r="AT177" s="35" t="n">
        <v>191</v>
      </c>
      <c r="AU177" s="35" t="inlineStr">
        <is>
          <t>(有)オーガニックプロデュース</t>
        </is>
      </c>
    </row>
    <row r="178">
      <c r="A178" s="14" t="inlineStr">
        <is>
          <t>1654-75</t>
        </is>
      </c>
      <c r="B178" s="5" t="inlineStr">
        <is>
          <t>有機ピーマン　150g（SOHﾌｧｰﾑ）◇</t>
        </is>
      </c>
      <c r="C178" s="36" t="n">
        <v>59</v>
      </c>
      <c r="D178" s="36" t="n">
        <v>0</v>
      </c>
      <c r="E178" s="5" t="n">
        <v>0</v>
      </c>
      <c r="F178" s="191">
        <f>D178-E178+C178</f>
        <v/>
      </c>
      <c r="G178" s="192" t="n">
        <v>0</v>
      </c>
      <c r="H178" s="191">
        <f>F178+G178</f>
        <v/>
      </c>
      <c r="I178" s="36" t="n">
        <v>221</v>
      </c>
      <c r="J178" s="5" t="n">
        <v>228</v>
      </c>
      <c r="K178" s="191">
        <f>I178-J178+H178</f>
        <v/>
      </c>
      <c r="L178" s="192" t="n">
        <v>0</v>
      </c>
      <c r="M178" s="191">
        <f>K178+L178</f>
        <v/>
      </c>
      <c r="N178" s="36" t="n">
        <v>0</v>
      </c>
      <c r="O178" s="5" t="n">
        <v>116</v>
      </c>
      <c r="P178" s="191">
        <f>N178-O178+M178</f>
        <v/>
      </c>
      <c r="Q178" s="192" t="n">
        <v>-10</v>
      </c>
      <c r="R178" s="191">
        <f>P178+Q178</f>
        <v/>
      </c>
      <c r="S178" s="36" t="n">
        <v>0</v>
      </c>
      <c r="T178" s="5" t="n">
        <v>164</v>
      </c>
      <c r="U178" s="191">
        <f>S178-T178+R178</f>
        <v/>
      </c>
      <c r="V178" s="192" t="n">
        <v>0</v>
      </c>
      <c r="W178" s="191">
        <f>U178+V178</f>
        <v/>
      </c>
      <c r="X178" s="36" t="n">
        <v>0</v>
      </c>
      <c r="Y178" s="5" t="n">
        <v>142</v>
      </c>
      <c r="Z178" s="191">
        <f>X178-Y178+W178</f>
        <v/>
      </c>
      <c r="AA178" s="192" t="n">
        <v>0</v>
      </c>
      <c r="AB178" s="191">
        <f>Z178+AA178</f>
        <v/>
      </c>
      <c r="AC178" s="36" t="n">
        <v>0</v>
      </c>
      <c r="AD178" s="5" t="n">
        <v>163</v>
      </c>
      <c r="AE178" s="191">
        <f>AC178-AD178+AB178</f>
        <v/>
      </c>
      <c r="AF178" s="192" t="n">
        <v>-40</v>
      </c>
      <c r="AG178" s="191">
        <f>AE178+AF178</f>
        <v/>
      </c>
      <c r="AH178" s="36" t="n">
        <v>0</v>
      </c>
      <c r="AI178" s="5" t="n">
        <v>259</v>
      </c>
      <c r="AJ178" s="191">
        <f>AH178-AI178+AG178</f>
        <v/>
      </c>
      <c r="AK178" s="192" t="n">
        <v>-5</v>
      </c>
      <c r="AL178" s="191">
        <f>AJ178+AK178</f>
        <v/>
      </c>
      <c r="AM178" s="35" t="inlineStr">
        <is>
          <t>鹿児島</t>
        </is>
      </c>
      <c r="AN178" s="35" t="inlineStr">
        <is>
          <t>こもの</t>
        </is>
      </c>
      <c r="AO178" s="5" t="n">
        <v>170</v>
      </c>
      <c r="AP178" s="5" t="n">
        <v>0</v>
      </c>
      <c r="AQ178" s="35" t="n"/>
      <c r="AR178" s="35" t="n"/>
      <c r="AS178" s="122" t="n">
        <v>4580450000000</v>
      </c>
      <c r="AT178" s="35" t="n">
        <v>191</v>
      </c>
      <c r="AU178" s="35" t="inlineStr">
        <is>
          <t>(有)オーガニックプロデュース</t>
        </is>
      </c>
    </row>
    <row r="179">
      <c r="A179" s="14" t="inlineStr">
        <is>
          <t>1654-98</t>
        </is>
      </c>
      <c r="B179" s="5" t="inlineStr">
        <is>
          <t>有機ピーマン　150g◇×５(SOHﾌｧｰﾑ）東一</t>
        </is>
      </c>
      <c r="C179" s="36" t="n">
        <v>0</v>
      </c>
      <c r="D179" s="36" t="n">
        <v>0</v>
      </c>
      <c r="E179" s="5" t="n">
        <v>0</v>
      </c>
      <c r="F179" s="191">
        <f>D179-E179+C179</f>
        <v/>
      </c>
      <c r="G179" s="192" t="n">
        <v>0</v>
      </c>
      <c r="H179" s="191">
        <f>F179+G179</f>
        <v/>
      </c>
      <c r="I179" s="36" t="n">
        <v>0</v>
      </c>
      <c r="J179" s="5" t="n">
        <v>0</v>
      </c>
      <c r="K179" s="191">
        <f>I179-J179+H179</f>
        <v/>
      </c>
      <c r="L179" s="192" t="n">
        <v>0</v>
      </c>
      <c r="M179" s="191">
        <f>K179+L179</f>
        <v/>
      </c>
      <c r="N179" s="36" t="n">
        <v>2</v>
      </c>
      <c r="O179" s="5" t="n">
        <v>2</v>
      </c>
      <c r="P179" s="191">
        <f>N179-O179+M179</f>
        <v/>
      </c>
      <c r="Q179" s="192" t="n">
        <v>0</v>
      </c>
      <c r="R179" s="191">
        <f>P179+Q179</f>
        <v/>
      </c>
      <c r="S179" s="36" t="n">
        <v>0</v>
      </c>
      <c r="T179" s="5" t="n">
        <v>0</v>
      </c>
      <c r="U179" s="191">
        <f>S179-T179+R179</f>
        <v/>
      </c>
      <c r="V179" s="192" t="n">
        <v>0</v>
      </c>
      <c r="W179" s="191">
        <f>U179+V179</f>
        <v/>
      </c>
      <c r="X179" s="36" t="n">
        <v>0</v>
      </c>
      <c r="Y179" s="5" t="n">
        <v>0</v>
      </c>
      <c r="Z179" s="191">
        <f>X179-Y179+W179</f>
        <v/>
      </c>
      <c r="AA179" s="192" t="n">
        <v>0</v>
      </c>
      <c r="AB179" s="191">
        <f>Z179+AA179</f>
        <v/>
      </c>
      <c r="AC179" s="36" t="n">
        <v>8</v>
      </c>
      <c r="AD179" s="5" t="n">
        <v>8</v>
      </c>
      <c r="AE179" s="191">
        <f>AC179-AD179+AB179</f>
        <v/>
      </c>
      <c r="AF179" s="192" t="n">
        <v>0</v>
      </c>
      <c r="AG179" s="191">
        <f>AE179+AF179</f>
        <v/>
      </c>
      <c r="AH179" s="36" t="n">
        <v>1</v>
      </c>
      <c r="AI179" s="5" t="n">
        <v>1</v>
      </c>
      <c r="AJ179" s="191">
        <f>AH179-AI179+AG179</f>
        <v/>
      </c>
      <c r="AK179" s="192" t="n">
        <v>0</v>
      </c>
      <c r="AL179" s="191">
        <f>AJ179+AK179</f>
        <v/>
      </c>
      <c r="AM179" s="35" t="inlineStr">
        <is>
          <t>鹿児島</t>
        </is>
      </c>
      <c r="AN179" s="35" t="inlineStr">
        <is>
          <t>こもの</t>
        </is>
      </c>
      <c r="AO179" s="5" t="n">
        <v>875</v>
      </c>
      <c r="AP179" s="5" t="n">
        <v>0</v>
      </c>
      <c r="AQ179" s="35" t="n"/>
      <c r="AR179" s="35" t="inlineStr">
        <is>
          <t>○</t>
        </is>
      </c>
      <c r="AS179" s="122" t="n">
        <v>4580445525307</v>
      </c>
      <c r="AT179" s="35" t="n">
        <v>191</v>
      </c>
      <c r="AU179" s="35" t="inlineStr">
        <is>
          <t>(有)オーガニックプロデュース</t>
        </is>
      </c>
    </row>
    <row r="180">
      <c r="A180" s="14" t="inlineStr">
        <is>
          <t>1660-5</t>
        </is>
      </c>
      <c r="B180" s="5" t="inlineStr">
        <is>
          <t>イエローミニトマト　150ｇ(沃土会)</t>
        </is>
      </c>
      <c r="C180" s="36" t="n">
        <v>0</v>
      </c>
      <c r="D180" s="36" t="n">
        <v>0</v>
      </c>
      <c r="E180" s="5" t="n">
        <v>0</v>
      </c>
      <c r="F180" s="191">
        <f>D180-E180+C180</f>
        <v/>
      </c>
      <c r="G180" s="192" t="n">
        <v>0</v>
      </c>
      <c r="H180" s="191">
        <f>F180+G180</f>
        <v/>
      </c>
      <c r="I180" s="36" t="n">
        <v>20</v>
      </c>
      <c r="J180" s="5" t="n">
        <v>17</v>
      </c>
      <c r="K180" s="191">
        <f>I180-J180+H180</f>
        <v/>
      </c>
      <c r="L180" s="192" t="n">
        <v>0</v>
      </c>
      <c r="M180" s="191">
        <f>K180+L180</f>
        <v/>
      </c>
      <c r="N180" s="36" t="n">
        <v>0</v>
      </c>
      <c r="O180" s="5" t="n">
        <v>5</v>
      </c>
      <c r="P180" s="191">
        <f>N180-O180+M180</f>
        <v/>
      </c>
      <c r="Q180" s="192" t="n">
        <v>0</v>
      </c>
      <c r="R180" s="191">
        <f>P180+Q180</f>
        <v/>
      </c>
      <c r="S180" s="36" t="n">
        <v>20</v>
      </c>
      <c r="T180" s="5" t="n">
        <v>3</v>
      </c>
      <c r="U180" s="191">
        <f>S180-T180+R180</f>
        <v/>
      </c>
      <c r="V180" s="192" t="n">
        <v>0</v>
      </c>
      <c r="W180" s="191">
        <f>U180+V180</f>
        <v/>
      </c>
      <c r="X180" s="36" t="n">
        <v>0</v>
      </c>
      <c r="Y180" s="5" t="n">
        <v>13</v>
      </c>
      <c r="Z180" s="191">
        <f>X180-Y180+W180</f>
        <v/>
      </c>
      <c r="AA180" s="192" t="n">
        <v>0</v>
      </c>
      <c r="AB180" s="191">
        <f>Z180+AA180</f>
        <v/>
      </c>
      <c r="AC180" s="36" t="n">
        <v>0</v>
      </c>
      <c r="AD180" s="5" t="n">
        <v>3</v>
      </c>
      <c r="AE180" s="191">
        <f>AC180-AD180+AB180</f>
        <v/>
      </c>
      <c r="AF180" s="192" t="n">
        <v>0</v>
      </c>
      <c r="AG180" s="191">
        <f>AE180+AF180</f>
        <v/>
      </c>
      <c r="AH180" s="36" t="n">
        <v>0</v>
      </c>
      <c r="AI180" s="5" t="n">
        <v>11</v>
      </c>
      <c r="AJ180" s="191">
        <f>AH180-AI180+AG180</f>
        <v/>
      </c>
      <c r="AK180" s="192" t="n">
        <v>0</v>
      </c>
      <c r="AL180" s="191">
        <f>AJ180+AK180</f>
        <v/>
      </c>
      <c r="AM180" s="35" t="inlineStr">
        <is>
          <t>埼玉</t>
        </is>
      </c>
      <c r="AN180" s="35" t="inlineStr">
        <is>
          <t>こもの</t>
        </is>
      </c>
      <c r="AO180" s="5" t="n">
        <v>235</v>
      </c>
      <c r="AP180" s="5" t="n">
        <v>0</v>
      </c>
      <c r="AQ180" s="35" t="n"/>
      <c r="AR180" s="35" t="n"/>
      <c r="AS180" s="122" t="n"/>
      <c r="AT180" s="35" t="n">
        <v>525</v>
      </c>
      <c r="AU180" s="35" t="inlineStr">
        <is>
          <t>(有)沃土会</t>
        </is>
      </c>
    </row>
    <row r="181">
      <c r="A181" s="14" t="inlineStr">
        <is>
          <t>1661-15</t>
        </is>
      </c>
      <c r="B181" s="5" t="inlineStr">
        <is>
          <t>パプリカ　１個袋200ｇ(高生連)</t>
        </is>
      </c>
      <c r="C181" s="36" t="n">
        <v>23</v>
      </c>
      <c r="D181" s="36" t="n">
        <v>0</v>
      </c>
      <c r="E181" s="5" t="n">
        <v>0</v>
      </c>
      <c r="F181" s="191">
        <f>D181-E181+C181</f>
        <v/>
      </c>
      <c r="G181" s="192" t="n">
        <v>0</v>
      </c>
      <c r="H181" s="191">
        <f>F181+G181</f>
        <v/>
      </c>
      <c r="I181" s="36" t="n">
        <v>0</v>
      </c>
      <c r="J181" s="5" t="n">
        <v>8</v>
      </c>
      <c r="K181" s="191">
        <f>I181-J181+H181</f>
        <v/>
      </c>
      <c r="L181" s="192" t="n">
        <v>0</v>
      </c>
      <c r="M181" s="191">
        <f>K181+L181</f>
        <v/>
      </c>
      <c r="N181" s="36" t="n">
        <v>0</v>
      </c>
      <c r="O181" s="5" t="n">
        <v>8</v>
      </c>
      <c r="P181" s="191">
        <f>N181-O181+M181</f>
        <v/>
      </c>
      <c r="Q181" s="192" t="n">
        <v>0</v>
      </c>
      <c r="R181" s="191">
        <f>P181+Q181</f>
        <v/>
      </c>
      <c r="S181" s="36" t="n">
        <v>40</v>
      </c>
      <c r="T181" s="5" t="n">
        <v>8</v>
      </c>
      <c r="U181" s="191">
        <f>S181-T181+R181</f>
        <v/>
      </c>
      <c r="V181" s="192" t="n">
        <v>0</v>
      </c>
      <c r="W181" s="191">
        <f>U181+V181</f>
        <v/>
      </c>
      <c r="X181" s="36" t="n">
        <v>0</v>
      </c>
      <c r="Y181" s="5" t="n">
        <v>8</v>
      </c>
      <c r="Z181" s="191">
        <f>X181-Y181+W181</f>
        <v/>
      </c>
      <c r="AA181" s="192" t="n">
        <v>0</v>
      </c>
      <c r="AB181" s="191">
        <f>Z181+AA181</f>
        <v/>
      </c>
      <c r="AC181" s="36" t="n">
        <v>0</v>
      </c>
      <c r="AD181" s="5" t="n">
        <v>8</v>
      </c>
      <c r="AE181" s="191">
        <f>AC181-AD181+AB181</f>
        <v/>
      </c>
      <c r="AF181" s="192" t="n">
        <v>0</v>
      </c>
      <c r="AG181" s="191">
        <f>AE181+AF181</f>
        <v/>
      </c>
      <c r="AH181" s="36" t="n">
        <v>0</v>
      </c>
      <c r="AI181" s="5" t="n">
        <v>21</v>
      </c>
      <c r="AJ181" s="191">
        <f>AH181-AI181+AG181</f>
        <v/>
      </c>
      <c r="AK181" s="192" t="n">
        <v>0</v>
      </c>
      <c r="AL181" s="191">
        <f>AJ181+AK181</f>
        <v/>
      </c>
      <c r="AM181" s="35" t="inlineStr">
        <is>
          <t>高知</t>
        </is>
      </c>
      <c r="AN181" s="35" t="inlineStr">
        <is>
          <t>こもの</t>
        </is>
      </c>
      <c r="AO181" s="5" t="n">
        <v>300</v>
      </c>
      <c r="AP181" s="5" t="n">
        <v>0</v>
      </c>
      <c r="AQ181" s="35" t="inlineStr">
        <is>
          <t>○</t>
        </is>
      </c>
      <c r="AR181" s="35" t="n"/>
      <c r="AS181" s="122" t="n"/>
      <c r="AT181" s="35" t="n">
        <v>254</v>
      </c>
      <c r="AU181" s="35" t="inlineStr">
        <is>
          <t>㈱すいてん</t>
        </is>
      </c>
    </row>
    <row r="182">
      <c r="A182" s="14" t="inlineStr">
        <is>
          <t>1684-94</t>
        </is>
      </c>
      <c r="B182" s="5" t="inlineStr">
        <is>
          <t>スイートコーン　１本袋(高生連)</t>
        </is>
      </c>
      <c r="C182" s="36" t="n">
        <v>0</v>
      </c>
      <c r="D182" s="36" t="n">
        <v>0</v>
      </c>
      <c r="E182" s="5" t="n">
        <v>0</v>
      </c>
      <c r="F182" s="191">
        <f>D182-E182+C182</f>
        <v/>
      </c>
      <c r="G182" s="192" t="n">
        <v>0</v>
      </c>
      <c r="H182" s="191">
        <f>F182+G182</f>
        <v/>
      </c>
      <c r="I182" s="36" t="n">
        <v>0</v>
      </c>
      <c r="J182" s="5" t="n">
        <v>0</v>
      </c>
      <c r="K182" s="191">
        <f>I182-J182+H182</f>
        <v/>
      </c>
      <c r="L182" s="192" t="n">
        <v>0</v>
      </c>
      <c r="M182" s="191">
        <f>K182+L182</f>
        <v/>
      </c>
      <c r="N182" s="36" t="n">
        <v>0</v>
      </c>
      <c r="O182" s="5" t="n">
        <v>0</v>
      </c>
      <c r="P182" s="191">
        <f>N182-O182+M182</f>
        <v/>
      </c>
      <c r="Q182" s="192" t="n">
        <v>0</v>
      </c>
      <c r="R182" s="191">
        <f>P182+Q182</f>
        <v/>
      </c>
      <c r="S182" s="36" t="n">
        <v>20</v>
      </c>
      <c r="T182" s="5" t="n">
        <v>0</v>
      </c>
      <c r="U182" s="191">
        <f>S182-T182+R182</f>
        <v/>
      </c>
      <c r="V182" s="192" t="n">
        <v>0</v>
      </c>
      <c r="W182" s="191">
        <f>U182+V182</f>
        <v/>
      </c>
      <c r="X182" s="36" t="n">
        <v>0</v>
      </c>
      <c r="Y182" s="5" t="n">
        <v>0</v>
      </c>
      <c r="Z182" s="191">
        <f>X182-Y182+W182</f>
        <v/>
      </c>
      <c r="AA182" s="192" t="n">
        <v>0</v>
      </c>
      <c r="AB182" s="191">
        <f>Z182+AA182</f>
        <v/>
      </c>
      <c r="AC182" s="36" t="n">
        <v>0</v>
      </c>
      <c r="AD182" s="5" t="n">
        <v>0</v>
      </c>
      <c r="AE182" s="191">
        <f>AC182-AD182+AB182</f>
        <v/>
      </c>
      <c r="AF182" s="192" t="n">
        <v>0</v>
      </c>
      <c r="AG182" s="191">
        <f>AE182+AF182</f>
        <v/>
      </c>
      <c r="AH182" s="36" t="n">
        <v>0</v>
      </c>
      <c r="AI182" s="5" t="n">
        <v>0</v>
      </c>
      <c r="AJ182" s="191">
        <f>AH182-AI182+AG182</f>
        <v/>
      </c>
      <c r="AK182" s="192" t="n">
        <v>0</v>
      </c>
      <c r="AL182" s="191">
        <f>AJ182+AK182</f>
        <v/>
      </c>
      <c r="AM182" s="35" t="inlineStr">
        <is>
          <t>高知</t>
        </is>
      </c>
      <c r="AN182" s="35" t="inlineStr">
        <is>
          <t>こもの</t>
        </is>
      </c>
      <c r="AO182" s="5" t="n">
        <v>240</v>
      </c>
      <c r="AP182" s="5" t="n">
        <v>0</v>
      </c>
      <c r="AQ182" s="35" t="inlineStr">
        <is>
          <t>○</t>
        </is>
      </c>
      <c r="AR182" s="35" t="n"/>
      <c r="AS182" s="122" t="n"/>
      <c r="AT182" s="35" t="n">
        <v>673</v>
      </c>
      <c r="AU182" s="35" t="inlineStr">
        <is>
          <t>小林　力　●</t>
        </is>
      </c>
    </row>
    <row r="183">
      <c r="A183" s="14" t="inlineStr">
        <is>
          <t>1697-3</t>
        </is>
      </c>
      <c r="B183" s="5" t="inlineStr">
        <is>
          <t>■いんげん　２ｋｇ (長有研)</t>
        </is>
      </c>
      <c r="C183" s="36" t="n">
        <v>0</v>
      </c>
      <c r="D183" s="36" t="n">
        <v>0</v>
      </c>
      <c r="E183" s="5" t="n">
        <v>0</v>
      </c>
      <c r="F183" s="191">
        <f>D183-E183+C183</f>
        <v/>
      </c>
      <c r="G183" s="192" t="n">
        <v>0</v>
      </c>
      <c r="H183" s="191">
        <f>F183+G183</f>
        <v/>
      </c>
      <c r="I183" s="36" t="n">
        <v>8</v>
      </c>
      <c r="J183" s="5" t="n">
        <v>0</v>
      </c>
      <c r="K183" s="191">
        <f>I183-J183+H183</f>
        <v/>
      </c>
      <c r="L183" s="192" t="n">
        <v>0</v>
      </c>
      <c r="M183" s="191">
        <f>K183+L183</f>
        <v/>
      </c>
      <c r="N183" s="36" t="n">
        <v>0</v>
      </c>
      <c r="O183" s="5" t="n">
        <v>0</v>
      </c>
      <c r="P183" s="191">
        <f>N183-O183+M183</f>
        <v/>
      </c>
      <c r="Q183" s="192" t="n">
        <v>0</v>
      </c>
      <c r="R183" s="191">
        <f>P183+Q183</f>
        <v/>
      </c>
      <c r="S183" s="36" t="n">
        <v>0</v>
      </c>
      <c r="T183" s="5" t="n">
        <v>0</v>
      </c>
      <c r="U183" s="191">
        <f>S183-T183+R183</f>
        <v/>
      </c>
      <c r="V183" s="192" t="n">
        <v>0</v>
      </c>
      <c r="W183" s="191">
        <f>U183+V183</f>
        <v/>
      </c>
      <c r="X183" s="36" t="n">
        <v>8</v>
      </c>
      <c r="Y183" s="5" t="n">
        <v>0</v>
      </c>
      <c r="Z183" s="191">
        <f>X183-Y183+W183</f>
        <v/>
      </c>
      <c r="AA183" s="192" t="n">
        <v>0</v>
      </c>
      <c r="AB183" s="191">
        <f>Z183+AA183</f>
        <v/>
      </c>
      <c r="AC183" s="36" t="n">
        <v>0</v>
      </c>
      <c r="AD183" s="5" t="n">
        <v>0</v>
      </c>
      <c r="AE183" s="191">
        <f>AC183-AD183+AB183</f>
        <v/>
      </c>
      <c r="AF183" s="192" t="n">
        <v>0</v>
      </c>
      <c r="AG183" s="191">
        <f>AE183+AF183</f>
        <v/>
      </c>
      <c r="AH183" s="36" t="n">
        <v>0</v>
      </c>
      <c r="AI183" s="5" t="n">
        <v>0</v>
      </c>
      <c r="AJ183" s="191">
        <f>AH183-AI183+AG183</f>
        <v/>
      </c>
      <c r="AK183" s="192" t="n">
        <v>0</v>
      </c>
      <c r="AL183" s="191">
        <f>AJ183+AK183</f>
        <v/>
      </c>
      <c r="AM183" s="35" t="inlineStr">
        <is>
          <t>長崎</t>
        </is>
      </c>
      <c r="AN183" s="35" t="inlineStr">
        <is>
          <t>箱</t>
        </is>
      </c>
      <c r="AO183" s="5" t="n">
        <v>0</v>
      </c>
      <c r="AP183" s="5" t="n">
        <v>0</v>
      </c>
      <c r="AQ183" s="35" t="inlineStr">
        <is>
          <t>○</t>
        </is>
      </c>
      <c r="AR183" s="35" t="n"/>
      <c r="AS183" s="122" t="n"/>
      <c r="AT183" s="35" t="n">
        <v>172</v>
      </c>
      <c r="AU183" s="35" t="inlineStr">
        <is>
          <t>㈱長有研</t>
        </is>
      </c>
    </row>
    <row r="184">
      <c r="A184" s="14" t="inlineStr">
        <is>
          <t>1707-101</t>
        </is>
      </c>
      <c r="B184" s="5" t="inlineStr">
        <is>
          <t>■有機ズッキーニ緑　裸１本(キテレツ）</t>
        </is>
      </c>
      <c r="C184" s="36" t="n">
        <v>282</v>
      </c>
      <c r="D184" s="36" t="n">
        <v>0</v>
      </c>
      <c r="E184" s="5" t="n">
        <v>0</v>
      </c>
      <c r="F184" s="191">
        <f>D184-E184+C184</f>
        <v/>
      </c>
      <c r="G184" s="192" t="n">
        <v>0</v>
      </c>
      <c r="H184" s="191">
        <f>F184+G184</f>
        <v/>
      </c>
      <c r="I184" s="36" t="n">
        <v>60</v>
      </c>
      <c r="J184" s="5" t="n">
        <v>0</v>
      </c>
      <c r="K184" s="191">
        <f>I184-J184+H184</f>
        <v/>
      </c>
      <c r="L184" s="192" t="n">
        <v>-100</v>
      </c>
      <c r="M184" s="191">
        <f>K184+L184</f>
        <v/>
      </c>
      <c r="N184" s="36" t="n">
        <v>0</v>
      </c>
      <c r="O184" s="5" t="n">
        <v>0</v>
      </c>
      <c r="P184" s="191">
        <f>N184-O184+M184</f>
        <v/>
      </c>
      <c r="Q184" s="192" t="n">
        <v>0</v>
      </c>
      <c r="R184" s="191">
        <f>P184+Q184</f>
        <v/>
      </c>
      <c r="S184" s="36" t="n">
        <v>0</v>
      </c>
      <c r="T184" s="5" t="n">
        <v>0</v>
      </c>
      <c r="U184" s="191">
        <f>S184-T184+R184</f>
        <v/>
      </c>
      <c r="V184" s="192" t="n">
        <v>0</v>
      </c>
      <c r="W184" s="191">
        <f>U184+V184</f>
        <v/>
      </c>
      <c r="X184" s="36" t="n">
        <v>0</v>
      </c>
      <c r="Y184" s="5" t="n">
        <v>0</v>
      </c>
      <c r="Z184" s="191">
        <f>X184-Y184+W184</f>
        <v/>
      </c>
      <c r="AA184" s="192" t="n">
        <v>0</v>
      </c>
      <c r="AB184" s="191">
        <f>Z184+AA184</f>
        <v/>
      </c>
      <c r="AC184" s="36" t="n">
        <v>0</v>
      </c>
      <c r="AD184" s="5" t="n">
        <v>0</v>
      </c>
      <c r="AE184" s="191">
        <f>AC184-AD184+AB184</f>
        <v/>
      </c>
      <c r="AF184" s="192" t="n">
        <v>0</v>
      </c>
      <c r="AG184" s="191">
        <f>AE184+AF184</f>
        <v/>
      </c>
      <c r="AH184" s="36" t="n">
        <v>0</v>
      </c>
      <c r="AI184" s="5" t="n">
        <v>0</v>
      </c>
      <c r="AJ184" s="191">
        <f>AH184-AI184+AG184</f>
        <v/>
      </c>
      <c r="AK184" s="192" t="n">
        <v>0</v>
      </c>
      <c r="AL184" s="191">
        <f>AJ184+AK184</f>
        <v/>
      </c>
      <c r="AM184" s="35" t="inlineStr">
        <is>
          <t>東京</t>
        </is>
      </c>
      <c r="AN184" s="35" t="inlineStr">
        <is>
          <t>箱</t>
        </is>
      </c>
      <c r="AO184" s="5" t="n">
        <v>0</v>
      </c>
      <c r="AP184" s="5" t="n">
        <v>0</v>
      </c>
      <c r="AQ184" s="35" t="n"/>
      <c r="AR184" s="35" t="n"/>
      <c r="AS184" s="122" t="n"/>
      <c r="AT184" s="35" t="n">
        <v>693</v>
      </c>
      <c r="AU184" s="35" t="inlineStr">
        <is>
          <t>キテレツファーム</t>
        </is>
      </c>
    </row>
    <row r="185">
      <c r="A185" s="14" t="inlineStr">
        <is>
          <t>1707-102</t>
        </is>
      </c>
      <c r="B185" s="5" t="inlineStr">
        <is>
          <t>■有機ズッキーニ黄色　裸１本(キテレツ）</t>
        </is>
      </c>
      <c r="C185" s="36" t="n">
        <v>0</v>
      </c>
      <c r="D185" s="36" t="n">
        <v>0</v>
      </c>
      <c r="E185" s="5" t="n">
        <v>0</v>
      </c>
      <c r="F185" s="191">
        <f>D185-E185+C185</f>
        <v/>
      </c>
      <c r="G185" s="192" t="n">
        <v>0</v>
      </c>
      <c r="H185" s="191">
        <f>F185+G185</f>
        <v/>
      </c>
      <c r="I185" s="36" t="n">
        <v>0</v>
      </c>
      <c r="J185" s="5" t="n">
        <v>0</v>
      </c>
      <c r="K185" s="191">
        <f>I185-J185+H185</f>
        <v/>
      </c>
      <c r="L185" s="192" t="n">
        <v>0</v>
      </c>
      <c r="M185" s="191">
        <f>K185+L185</f>
        <v/>
      </c>
      <c r="N185" s="36" t="n">
        <v>0</v>
      </c>
      <c r="O185" s="5" t="n">
        <v>0</v>
      </c>
      <c r="P185" s="191">
        <f>N185-O185+M185</f>
        <v/>
      </c>
      <c r="Q185" s="192" t="n">
        <v>0</v>
      </c>
      <c r="R185" s="191">
        <f>P185+Q185</f>
        <v/>
      </c>
      <c r="S185" s="36" t="n">
        <v>0</v>
      </c>
      <c r="T185" s="5" t="n">
        <v>0</v>
      </c>
      <c r="U185" s="191">
        <f>S185-T185+R185</f>
        <v/>
      </c>
      <c r="V185" s="192" t="n">
        <v>0</v>
      </c>
      <c r="W185" s="191">
        <f>U185+V185</f>
        <v/>
      </c>
      <c r="X185" s="36" t="n">
        <v>0</v>
      </c>
      <c r="Y185" s="5" t="n">
        <v>0</v>
      </c>
      <c r="Z185" s="191">
        <f>X185-Y185+W185</f>
        <v/>
      </c>
      <c r="AA185" s="192" t="n">
        <v>0</v>
      </c>
      <c r="AB185" s="191">
        <f>Z185+AA185</f>
        <v/>
      </c>
      <c r="AC185" s="36" t="n">
        <v>0</v>
      </c>
      <c r="AD185" s="5" t="n">
        <v>0</v>
      </c>
      <c r="AE185" s="191">
        <f>AC185-AD185+AB185</f>
        <v/>
      </c>
      <c r="AF185" s="192" t="n">
        <v>0</v>
      </c>
      <c r="AG185" s="191">
        <f>AE185+AF185</f>
        <v/>
      </c>
      <c r="AH185" s="36" t="n">
        <v>0</v>
      </c>
      <c r="AI185" s="5" t="n">
        <v>0</v>
      </c>
      <c r="AJ185" s="191">
        <f>AH185-AI185+AG185</f>
        <v/>
      </c>
      <c r="AK185" s="192" t="n">
        <v>0</v>
      </c>
      <c r="AL185" s="191">
        <f>AJ185+AK185</f>
        <v/>
      </c>
      <c r="AM185" s="35" t="inlineStr">
        <is>
          <t>東京</t>
        </is>
      </c>
      <c r="AN185" s="35" t="inlineStr">
        <is>
          <t>箱</t>
        </is>
      </c>
      <c r="AO185" s="5" t="n">
        <v>0</v>
      </c>
      <c r="AP185" s="5" t="n">
        <v>0</v>
      </c>
      <c r="AQ185" s="35" t="n"/>
      <c r="AR185" s="35" t="n"/>
      <c r="AS185" s="122" t="n"/>
      <c r="AT185" s="35" t="n">
        <v>693</v>
      </c>
      <c r="AU185" s="35" t="inlineStr">
        <is>
          <t>キテレツファーム</t>
        </is>
      </c>
    </row>
    <row r="186">
      <c r="A186" s="14" t="inlineStr">
        <is>
          <t>1707-103</t>
        </is>
      </c>
      <c r="B186" s="5" t="inlineStr">
        <is>
          <t>有機ズッキーニ緑 １本袋(キテレツ)◇</t>
        </is>
      </c>
      <c r="C186" s="36" t="n">
        <v>15</v>
      </c>
      <c r="D186" s="36" t="n">
        <v>0</v>
      </c>
      <c r="E186" s="5" t="n">
        <v>0</v>
      </c>
      <c r="F186" s="191">
        <f>D186-E186+C186</f>
        <v/>
      </c>
      <c r="G186" s="192" t="n">
        <v>0</v>
      </c>
      <c r="H186" s="191">
        <f>F186+G186</f>
        <v/>
      </c>
      <c r="I186" s="36" t="n">
        <v>103</v>
      </c>
      <c r="J186" s="5" t="n">
        <v>106</v>
      </c>
      <c r="K186" s="191">
        <f>I186-J186+H186</f>
        <v/>
      </c>
      <c r="L186" s="192" t="n">
        <v>0</v>
      </c>
      <c r="M186" s="191">
        <f>K186+L186</f>
        <v/>
      </c>
      <c r="N186" s="36" t="n">
        <v>0</v>
      </c>
      <c r="O186" s="5" t="n">
        <v>41</v>
      </c>
      <c r="P186" s="191">
        <f>N186-O186+M186</f>
        <v/>
      </c>
      <c r="Q186" s="192" t="n">
        <v>0</v>
      </c>
      <c r="R186" s="191">
        <f>P186+Q186</f>
        <v/>
      </c>
      <c r="S186" s="36" t="n">
        <v>0</v>
      </c>
      <c r="T186" s="5" t="n">
        <v>72</v>
      </c>
      <c r="U186" s="191">
        <f>S186-T186+R186</f>
        <v/>
      </c>
      <c r="V186" s="192" t="n">
        <v>0</v>
      </c>
      <c r="W186" s="191">
        <f>U186+V186</f>
        <v/>
      </c>
      <c r="X186" s="36" t="n">
        <v>0</v>
      </c>
      <c r="Y186" s="5" t="n">
        <v>37</v>
      </c>
      <c r="Z186" s="191">
        <f>X186-Y186+W186</f>
        <v/>
      </c>
      <c r="AA186" s="192" t="n">
        <v>0</v>
      </c>
      <c r="AB186" s="191">
        <f>Z186+AA186</f>
        <v/>
      </c>
      <c r="AC186" s="36" t="n">
        <v>0</v>
      </c>
      <c r="AD186" s="5" t="n">
        <v>60</v>
      </c>
      <c r="AE186" s="191">
        <f>AC186-AD186+AB186</f>
        <v/>
      </c>
      <c r="AF186" s="192" t="n">
        <v>0</v>
      </c>
      <c r="AG186" s="191">
        <f>AE186+AF186</f>
        <v/>
      </c>
      <c r="AH186" s="36" t="n">
        <v>0</v>
      </c>
      <c r="AI186" s="5" t="n">
        <v>63</v>
      </c>
      <c r="AJ186" s="191">
        <f>AH186-AI186+AG186</f>
        <v/>
      </c>
      <c r="AK186" s="192" t="n">
        <v>0</v>
      </c>
      <c r="AL186" s="191">
        <f>AJ186+AK186</f>
        <v/>
      </c>
      <c r="AM186" s="35" t="inlineStr">
        <is>
          <t>東京</t>
        </is>
      </c>
      <c r="AN186" s="35" t="inlineStr">
        <is>
          <t>こもの</t>
        </is>
      </c>
      <c r="AO186" s="5" t="n">
        <v>100</v>
      </c>
      <c r="AP186" s="5" t="n">
        <v>0</v>
      </c>
      <c r="AQ186" s="35" t="n"/>
      <c r="AR186" s="35" t="n"/>
      <c r="AS186" s="122" t="n"/>
      <c r="AT186" s="35" t="n">
        <v>693</v>
      </c>
      <c r="AU186" s="35" t="inlineStr">
        <is>
          <t>キテレツファーム</t>
        </is>
      </c>
    </row>
    <row r="187">
      <c r="A187" s="14" t="inlineStr">
        <is>
          <t>1707-104</t>
        </is>
      </c>
      <c r="B187" s="5" t="inlineStr">
        <is>
          <t>有機ズッキーニ黄色 １本袋(キテレツ)◇</t>
        </is>
      </c>
      <c r="C187" s="36" t="n">
        <v>0</v>
      </c>
      <c r="D187" s="36" t="n">
        <v>0</v>
      </c>
      <c r="E187" s="5" t="n">
        <v>0</v>
      </c>
      <c r="F187" s="191">
        <f>D187-E187+C187</f>
        <v/>
      </c>
      <c r="G187" s="192" t="n">
        <v>0</v>
      </c>
      <c r="H187" s="191">
        <f>F187+G187</f>
        <v/>
      </c>
      <c r="I187" s="36" t="n">
        <v>0</v>
      </c>
      <c r="J187" s="5" t="n">
        <v>0</v>
      </c>
      <c r="K187" s="191">
        <f>I187-J187+H187</f>
        <v/>
      </c>
      <c r="L187" s="192" t="n">
        <v>0</v>
      </c>
      <c r="M187" s="191">
        <f>K187+L187</f>
        <v/>
      </c>
      <c r="N187" s="36" t="n">
        <v>0</v>
      </c>
      <c r="O187" s="5" t="n">
        <v>0</v>
      </c>
      <c r="P187" s="191">
        <f>N187-O187+M187</f>
        <v/>
      </c>
      <c r="Q187" s="192" t="n">
        <v>0</v>
      </c>
      <c r="R187" s="191">
        <f>P187+Q187</f>
        <v/>
      </c>
      <c r="S187" s="36" t="n">
        <v>0</v>
      </c>
      <c r="T187" s="5" t="n">
        <v>0</v>
      </c>
      <c r="U187" s="191">
        <f>S187-T187+R187</f>
        <v/>
      </c>
      <c r="V187" s="192" t="n">
        <v>0</v>
      </c>
      <c r="W187" s="191">
        <f>U187+V187</f>
        <v/>
      </c>
      <c r="X187" s="36" t="n">
        <v>0</v>
      </c>
      <c r="Y187" s="5" t="n">
        <v>0</v>
      </c>
      <c r="Z187" s="191">
        <f>X187-Y187+W187</f>
        <v/>
      </c>
      <c r="AA187" s="192" t="n">
        <v>0</v>
      </c>
      <c r="AB187" s="191">
        <f>Z187+AA187</f>
        <v/>
      </c>
      <c r="AC187" s="36" t="n">
        <v>0</v>
      </c>
      <c r="AD187" s="5" t="n">
        <v>0</v>
      </c>
      <c r="AE187" s="191">
        <f>AC187-AD187+AB187</f>
        <v/>
      </c>
      <c r="AF187" s="192" t="n">
        <v>0</v>
      </c>
      <c r="AG187" s="191">
        <f>AE187+AF187</f>
        <v/>
      </c>
      <c r="AH187" s="36" t="n">
        <v>0</v>
      </c>
      <c r="AI187" s="5" t="n">
        <v>0</v>
      </c>
      <c r="AJ187" s="191">
        <f>AH187-AI187+AG187</f>
        <v/>
      </c>
      <c r="AK187" s="192" t="n">
        <v>0</v>
      </c>
      <c r="AL187" s="191">
        <f>AJ187+AK187</f>
        <v/>
      </c>
      <c r="AM187" s="35" t="inlineStr">
        <is>
          <t>東京</t>
        </is>
      </c>
      <c r="AN187" s="35" t="inlineStr">
        <is>
          <t>こもの</t>
        </is>
      </c>
      <c r="AO187" s="5" t="n">
        <v>150</v>
      </c>
      <c r="AP187" s="5" t="n">
        <v>0</v>
      </c>
      <c r="AQ187" s="35" t="n"/>
      <c r="AR187" s="35" t="n"/>
      <c r="AS187" s="122" t="n"/>
      <c r="AT187" s="35" t="n">
        <v>693</v>
      </c>
      <c r="AU187" s="35" t="inlineStr">
        <is>
          <t>キテレツファーム</t>
        </is>
      </c>
    </row>
    <row r="188">
      <c r="A188" s="14" t="inlineStr">
        <is>
          <t>1707-127</t>
        </is>
      </c>
      <c r="B188" s="5" t="inlineStr">
        <is>
          <t>ズッキーニ １本袋（沃土会)不不</t>
        </is>
      </c>
      <c r="C188" s="36" t="n">
        <v>28</v>
      </c>
      <c r="D188" s="36" t="n">
        <v>0</v>
      </c>
      <c r="E188" s="5" t="n">
        <v>0</v>
      </c>
      <c r="F188" s="191">
        <f>D188-E188+C188</f>
        <v/>
      </c>
      <c r="G188" s="192" t="n">
        <v>0</v>
      </c>
      <c r="H188" s="191">
        <f>F188+G188</f>
        <v/>
      </c>
      <c r="I188" s="36" t="n">
        <v>0</v>
      </c>
      <c r="J188" s="5" t="n">
        <v>10</v>
      </c>
      <c r="K188" s="191">
        <f>I188-J188+H188</f>
        <v/>
      </c>
      <c r="L188" s="192" t="n">
        <v>0</v>
      </c>
      <c r="M188" s="191">
        <f>K188+L188</f>
        <v/>
      </c>
      <c r="N188" s="36" t="n">
        <v>0</v>
      </c>
      <c r="O188" s="5" t="n">
        <v>10</v>
      </c>
      <c r="P188" s="191">
        <f>N188-O188+M188</f>
        <v/>
      </c>
      <c r="Q188" s="192" t="n">
        <v>0</v>
      </c>
      <c r="R188" s="191">
        <f>P188+Q188</f>
        <v/>
      </c>
      <c r="S188" s="36" t="n">
        <v>20</v>
      </c>
      <c r="T188" s="5" t="n">
        <v>10</v>
      </c>
      <c r="U188" s="191">
        <f>S188-T188+R188</f>
        <v/>
      </c>
      <c r="V188" s="192" t="n">
        <v>0</v>
      </c>
      <c r="W188" s="191">
        <f>U188+V188</f>
        <v/>
      </c>
      <c r="X188" s="36" t="n">
        <v>0</v>
      </c>
      <c r="Y188" s="5" t="n">
        <v>10</v>
      </c>
      <c r="Z188" s="191">
        <f>X188-Y188+W188</f>
        <v/>
      </c>
      <c r="AA188" s="192" t="n">
        <v>0</v>
      </c>
      <c r="AB188" s="191">
        <f>Z188+AA188</f>
        <v/>
      </c>
      <c r="AC188" s="36" t="n">
        <v>40</v>
      </c>
      <c r="AD188" s="5" t="n">
        <v>10</v>
      </c>
      <c r="AE188" s="191">
        <f>AC188-AD188+AB188</f>
        <v/>
      </c>
      <c r="AF188" s="192" t="n">
        <v>0</v>
      </c>
      <c r="AG188" s="191">
        <f>AE188+AF188</f>
        <v/>
      </c>
      <c r="AH188" s="36" t="n">
        <v>0</v>
      </c>
      <c r="AI188" s="5" t="n">
        <v>30</v>
      </c>
      <c r="AJ188" s="191">
        <f>AH188-AI188+AG188</f>
        <v/>
      </c>
      <c r="AK188" s="192" t="n">
        <v>0</v>
      </c>
      <c r="AL188" s="191">
        <f>AJ188+AK188</f>
        <v/>
      </c>
      <c r="AM188" s="35" t="inlineStr">
        <is>
          <t>埼玉</t>
        </is>
      </c>
      <c r="AN188" s="35" t="inlineStr">
        <is>
          <t>こもの</t>
        </is>
      </c>
      <c r="AO188" s="5" t="n">
        <v>145</v>
      </c>
      <c r="AP188" s="5" t="n">
        <v>0</v>
      </c>
      <c r="AQ188" s="35" t="n"/>
      <c r="AR188" s="35" t="n"/>
      <c r="AS188" s="122" t="n"/>
      <c r="AT188" s="35" t="n">
        <v>525</v>
      </c>
      <c r="AU188" s="35" t="inlineStr">
        <is>
          <t>(有)沃土会</t>
        </is>
      </c>
    </row>
    <row r="189">
      <c r="A189" s="14" t="inlineStr">
        <is>
          <t>1720-22</t>
        </is>
      </c>
      <c r="B189" s="5" t="inlineStr">
        <is>
          <t>枝豆　200g袋（さんぶ）</t>
        </is>
      </c>
      <c r="C189" s="36" t="n">
        <v>18</v>
      </c>
      <c r="D189" s="36" t="n">
        <v>30</v>
      </c>
      <c r="E189" s="5" t="n">
        <v>0</v>
      </c>
      <c r="F189" s="191">
        <f>D189-E189+C189</f>
        <v/>
      </c>
      <c r="G189" s="192" t="n">
        <v>0</v>
      </c>
      <c r="H189" s="191">
        <f>F189+G189</f>
        <v/>
      </c>
      <c r="I189" s="36" t="n">
        <v>0</v>
      </c>
      <c r="J189" s="5" t="n">
        <v>10</v>
      </c>
      <c r="K189" s="191">
        <f>I189-J189+H189</f>
        <v/>
      </c>
      <c r="L189" s="192" t="n">
        <v>0</v>
      </c>
      <c r="M189" s="191">
        <f>K189+L189</f>
        <v/>
      </c>
      <c r="N189" s="36" t="n">
        <v>0</v>
      </c>
      <c r="O189" s="5" t="n">
        <v>10</v>
      </c>
      <c r="P189" s="191">
        <f>N189-O189+M189</f>
        <v/>
      </c>
      <c r="Q189" s="192" t="n">
        <v>0</v>
      </c>
      <c r="R189" s="191">
        <f>P189+Q189</f>
        <v/>
      </c>
      <c r="S189" s="36" t="n">
        <v>60</v>
      </c>
      <c r="T189" s="5" t="n">
        <v>10</v>
      </c>
      <c r="U189" s="191">
        <f>S189-T189+R189</f>
        <v/>
      </c>
      <c r="V189" s="192" t="n">
        <v>0</v>
      </c>
      <c r="W189" s="191">
        <f>U189+V189</f>
        <v/>
      </c>
      <c r="X189" s="36" t="n">
        <v>0</v>
      </c>
      <c r="Y189" s="5" t="n">
        <v>10</v>
      </c>
      <c r="Z189" s="191">
        <f>X189-Y189+W189</f>
        <v/>
      </c>
      <c r="AA189" s="192" t="n">
        <v>0</v>
      </c>
      <c r="AB189" s="191">
        <f>Z189+AA189</f>
        <v/>
      </c>
      <c r="AC189" s="36" t="n">
        <v>60</v>
      </c>
      <c r="AD189" s="5" t="n">
        <v>10</v>
      </c>
      <c r="AE189" s="191">
        <f>AC189-AD189+AB189</f>
        <v/>
      </c>
      <c r="AF189" s="192" t="n">
        <v>0</v>
      </c>
      <c r="AG189" s="191">
        <f>AE189+AF189</f>
        <v/>
      </c>
      <c r="AH189" s="36" t="n">
        <v>0</v>
      </c>
      <c r="AI189" s="5" t="n">
        <v>30</v>
      </c>
      <c r="AJ189" s="191">
        <f>AH189-AI189+AG189</f>
        <v/>
      </c>
      <c r="AK189" s="192" t="n">
        <v>0</v>
      </c>
      <c r="AL189" s="191">
        <f>AJ189+AK189</f>
        <v/>
      </c>
      <c r="AM189" s="35" t="inlineStr">
        <is>
          <t>千葉</t>
        </is>
      </c>
      <c r="AN189" s="35" t="inlineStr">
        <is>
          <t>こもの</t>
        </is>
      </c>
      <c r="AO189" s="5" t="n">
        <v>480</v>
      </c>
      <c r="AP189" s="5" t="n">
        <v>0</v>
      </c>
      <c r="AQ189" s="35" t="n"/>
      <c r="AR189" s="35" t="n"/>
      <c r="AS189" s="122" t="n">
        <v>4528950000000</v>
      </c>
      <c r="AT189" s="35" t="n">
        <v>188</v>
      </c>
      <c r="AU189" s="35" t="inlineStr">
        <is>
          <t>農事組合法人 さんぶ野菜ネットワーク</t>
        </is>
      </c>
    </row>
    <row r="190">
      <c r="A190" s="14" t="inlineStr">
        <is>
          <t>1804-1</t>
        </is>
      </c>
      <c r="B190" s="5" t="inlineStr">
        <is>
          <t>しめじほぐし(ｶｯﾄぶなしめじ)　500ｇ(ﾐｽｽﾞ)</t>
        </is>
      </c>
      <c r="C190" s="36" t="n">
        <v>3</v>
      </c>
      <c r="D190" s="36" t="n">
        <v>12</v>
      </c>
      <c r="E190" s="5" t="n">
        <v>0</v>
      </c>
      <c r="F190" s="191">
        <f>D190-E190+C190</f>
        <v/>
      </c>
      <c r="G190" s="192" t="n">
        <v>0</v>
      </c>
      <c r="H190" s="191">
        <f>F190+G190</f>
        <v/>
      </c>
      <c r="I190" s="36" t="n">
        <v>0</v>
      </c>
      <c r="J190" s="5" t="n">
        <v>6</v>
      </c>
      <c r="K190" s="191">
        <f>I190-J190+H190</f>
        <v/>
      </c>
      <c r="L190" s="192" t="n">
        <v>0</v>
      </c>
      <c r="M190" s="191">
        <f>K190+L190</f>
        <v/>
      </c>
      <c r="N190" s="36" t="n">
        <v>12</v>
      </c>
      <c r="O190" s="5" t="n">
        <v>9</v>
      </c>
      <c r="P190" s="191">
        <f>N190-O190+M190</f>
        <v/>
      </c>
      <c r="Q190" s="192" t="n">
        <v>0</v>
      </c>
      <c r="R190" s="191">
        <f>P190+Q190</f>
        <v/>
      </c>
      <c r="S190" s="36" t="n">
        <v>0</v>
      </c>
      <c r="T190" s="5" t="n">
        <v>0</v>
      </c>
      <c r="U190" s="191">
        <f>S190-T190+R190</f>
        <v/>
      </c>
      <c r="V190" s="192" t="n">
        <v>0</v>
      </c>
      <c r="W190" s="191">
        <f>U190+V190</f>
        <v/>
      </c>
      <c r="X190" s="36" t="n">
        <v>0</v>
      </c>
      <c r="Y190" s="5" t="n">
        <v>8</v>
      </c>
      <c r="Z190" s="191">
        <f>X190-Y190+W190</f>
        <v/>
      </c>
      <c r="AA190" s="192" t="n">
        <v>0</v>
      </c>
      <c r="AB190" s="191">
        <f>Z190+AA190</f>
        <v/>
      </c>
      <c r="AC190" s="36" t="n">
        <v>0</v>
      </c>
      <c r="AD190" s="5" t="n">
        <v>0</v>
      </c>
      <c r="AE190" s="191">
        <f>AC190-AD190+AB190</f>
        <v/>
      </c>
      <c r="AF190" s="192" t="n">
        <v>0</v>
      </c>
      <c r="AG190" s="191">
        <f>AE190+AF190</f>
        <v/>
      </c>
      <c r="AH190" s="36" t="n">
        <v>12</v>
      </c>
      <c r="AI190" s="5" t="n">
        <v>6</v>
      </c>
      <c r="AJ190" s="191">
        <f>AH190-AI190+AG190</f>
        <v/>
      </c>
      <c r="AK190" s="192" t="n">
        <v>0</v>
      </c>
      <c r="AL190" s="191">
        <f>AJ190+AK190</f>
        <v/>
      </c>
      <c r="AM190" s="35" t="inlineStr">
        <is>
          <t>長野</t>
        </is>
      </c>
      <c r="AN190" s="35" t="inlineStr">
        <is>
          <t>こもの</t>
        </is>
      </c>
      <c r="AO190" s="5" t="n">
        <v>600</v>
      </c>
      <c r="AP190" s="5" t="n">
        <v>0</v>
      </c>
      <c r="AQ190" s="35" t="inlineStr">
        <is>
          <t>○</t>
        </is>
      </c>
      <c r="AR190" s="35" t="n"/>
      <c r="AS190" s="122" t="n"/>
      <c r="AT190" s="35" t="n">
        <v>138</v>
      </c>
      <c r="AU190" s="35" t="inlineStr">
        <is>
          <t>㈱ミスズライフ</t>
        </is>
      </c>
    </row>
    <row r="191">
      <c r="A191" s="14" t="inlineStr">
        <is>
          <t>1804-5</t>
        </is>
      </c>
      <c r="B191" s="5" t="inlineStr">
        <is>
          <t>ｶｯﾄぶなしめじ 90ｇ(ﾐｽｽﾞ)</t>
        </is>
      </c>
      <c r="C191" s="36" t="n">
        <v>101</v>
      </c>
      <c r="D191" s="36" t="n">
        <v>180</v>
      </c>
      <c r="E191" s="5" t="n">
        <v>0</v>
      </c>
      <c r="F191" s="191">
        <f>D191-E191+C191</f>
        <v/>
      </c>
      <c r="G191" s="192" t="n">
        <v>0</v>
      </c>
      <c r="H191" s="191">
        <f>F191+G191</f>
        <v/>
      </c>
      <c r="I191" s="36" t="n">
        <v>0</v>
      </c>
      <c r="J191" s="5" t="n">
        <v>159</v>
      </c>
      <c r="K191" s="191">
        <f>I191-J191+H191</f>
        <v/>
      </c>
      <c r="L191" s="192" t="n">
        <v>0</v>
      </c>
      <c r="M191" s="191">
        <f>K191+L191</f>
        <v/>
      </c>
      <c r="N191" s="36" t="n">
        <v>90</v>
      </c>
      <c r="O191" s="5" t="n">
        <v>72</v>
      </c>
      <c r="P191" s="191">
        <f>N191-O191+M191</f>
        <v/>
      </c>
      <c r="Q191" s="192" t="n">
        <v>0</v>
      </c>
      <c r="R191" s="191">
        <f>P191+Q191</f>
        <v/>
      </c>
      <c r="S191" s="36" t="n">
        <v>60</v>
      </c>
      <c r="T191" s="5" t="n">
        <v>124</v>
      </c>
      <c r="U191" s="191">
        <f>S191-T191+R191</f>
        <v/>
      </c>
      <c r="V191" s="192" t="n">
        <v>0</v>
      </c>
      <c r="W191" s="191">
        <f>U191+V191</f>
        <v/>
      </c>
      <c r="X191" s="36" t="n">
        <v>210</v>
      </c>
      <c r="Y191" s="5" t="n">
        <v>67</v>
      </c>
      <c r="Z191" s="191">
        <f>X191-Y191+W191</f>
        <v/>
      </c>
      <c r="AA191" s="192" t="n">
        <v>0</v>
      </c>
      <c r="AB191" s="191">
        <f>Z191+AA191</f>
        <v/>
      </c>
      <c r="AC191" s="36" t="n">
        <v>0</v>
      </c>
      <c r="AD191" s="5" t="n">
        <v>136</v>
      </c>
      <c r="AE191" s="191">
        <f>AC191-AD191+AB191</f>
        <v/>
      </c>
      <c r="AF191" s="192" t="n">
        <v>0</v>
      </c>
      <c r="AG191" s="191">
        <f>AE191+AF191</f>
        <v/>
      </c>
      <c r="AH191" s="36" t="n">
        <v>150</v>
      </c>
      <c r="AI191" s="5" t="n">
        <v>160</v>
      </c>
      <c r="AJ191" s="191">
        <f>AH191-AI191+AG191</f>
        <v/>
      </c>
      <c r="AK191" s="192" t="n">
        <v>0</v>
      </c>
      <c r="AL191" s="191">
        <f>AJ191+AK191</f>
        <v/>
      </c>
      <c r="AM191" s="35" t="inlineStr">
        <is>
          <t>長野</t>
        </is>
      </c>
      <c r="AN191" s="35" t="inlineStr">
        <is>
          <t>こもの</t>
        </is>
      </c>
      <c r="AO191" s="5" t="n">
        <v>110</v>
      </c>
      <c r="AP191" s="5" t="n">
        <v>0</v>
      </c>
      <c r="AQ191" s="35" t="inlineStr">
        <is>
          <t>○</t>
        </is>
      </c>
      <c r="AR191" s="35" t="n"/>
      <c r="AS191" s="122" t="n"/>
      <c r="AT191" s="35" t="n">
        <v>138</v>
      </c>
      <c r="AU191" s="35" t="inlineStr">
        <is>
          <t>㈱ミスズライフ</t>
        </is>
      </c>
    </row>
    <row r="192">
      <c r="A192" s="14" t="inlineStr">
        <is>
          <t>1806-2</t>
        </is>
      </c>
      <c r="B192" s="5" t="inlineStr">
        <is>
          <t>ぶなクイーン　１００ｇ(ﾐｽｽﾞ)</t>
        </is>
      </c>
      <c r="C192" s="36" t="n">
        <v>23</v>
      </c>
      <c r="D192" s="36" t="n">
        <v>20</v>
      </c>
      <c r="E192" s="5" t="n">
        <v>0</v>
      </c>
      <c r="F192" s="191">
        <f>D192-E192+C192</f>
        <v/>
      </c>
      <c r="G192" s="192" t="n">
        <v>0</v>
      </c>
      <c r="H192" s="191">
        <f>F192+G192</f>
        <v/>
      </c>
      <c r="I192" s="36" t="n">
        <v>0</v>
      </c>
      <c r="J192" s="5" t="n">
        <v>8</v>
      </c>
      <c r="K192" s="191">
        <f>I192-J192+H192</f>
        <v/>
      </c>
      <c r="L192" s="192" t="n">
        <v>0</v>
      </c>
      <c r="M192" s="191">
        <f>K192+L192</f>
        <v/>
      </c>
      <c r="N192" s="36" t="n">
        <v>0</v>
      </c>
      <c r="O192" s="5" t="n">
        <v>3</v>
      </c>
      <c r="P192" s="191">
        <f>N192-O192+M192</f>
        <v/>
      </c>
      <c r="Q192" s="192" t="n">
        <v>0</v>
      </c>
      <c r="R192" s="191">
        <f>P192+Q192</f>
        <v/>
      </c>
      <c r="S192" s="36" t="n">
        <v>0</v>
      </c>
      <c r="T192" s="5" t="n">
        <v>8</v>
      </c>
      <c r="U192" s="191">
        <f>S192-T192+R192</f>
        <v/>
      </c>
      <c r="V192" s="192" t="n">
        <v>0</v>
      </c>
      <c r="W192" s="191">
        <f>U192+V192</f>
        <v/>
      </c>
      <c r="X192" s="36" t="n">
        <v>0</v>
      </c>
      <c r="Y192" s="5" t="n">
        <v>3</v>
      </c>
      <c r="Z192" s="191">
        <f>X192-Y192+W192</f>
        <v/>
      </c>
      <c r="AA192" s="192" t="n">
        <v>0</v>
      </c>
      <c r="AB192" s="191">
        <f>Z192+AA192</f>
        <v/>
      </c>
      <c r="AC192" s="36" t="n">
        <v>0</v>
      </c>
      <c r="AD192" s="5" t="n">
        <v>8</v>
      </c>
      <c r="AE192" s="191">
        <f>AC192-AD192+AB192</f>
        <v/>
      </c>
      <c r="AF192" s="192" t="n">
        <v>0</v>
      </c>
      <c r="AG192" s="191">
        <f>AE192+AF192</f>
        <v/>
      </c>
      <c r="AH192" s="36" t="n">
        <v>20</v>
      </c>
      <c r="AI192" s="5" t="n">
        <v>9</v>
      </c>
      <c r="AJ192" s="191">
        <f>AH192-AI192+AG192</f>
        <v/>
      </c>
      <c r="AK192" s="192" t="n">
        <v>0</v>
      </c>
      <c r="AL192" s="191">
        <f>AJ192+AK192</f>
        <v/>
      </c>
      <c r="AM192" s="35" t="inlineStr">
        <is>
          <t>長野</t>
        </is>
      </c>
      <c r="AN192" s="35" t="inlineStr">
        <is>
          <t>こもの</t>
        </is>
      </c>
      <c r="AO192" s="5" t="n">
        <v>110</v>
      </c>
      <c r="AP192" s="5" t="n">
        <v>0</v>
      </c>
      <c r="AQ192" s="35" t="inlineStr">
        <is>
          <t>○</t>
        </is>
      </c>
      <c r="AR192" s="35" t="n"/>
      <c r="AS192" s="122" t="n"/>
      <c r="AT192" s="35" t="n">
        <v>138</v>
      </c>
      <c r="AU192" s="35" t="inlineStr">
        <is>
          <t>㈱ミスズライフ</t>
        </is>
      </c>
    </row>
    <row r="193">
      <c r="A193" s="14" t="inlineStr">
        <is>
          <t>1807-55</t>
        </is>
      </c>
      <c r="B193" s="5" t="inlineStr">
        <is>
          <t>有機生しいたけ(菌床)100gﾄﾚｰ(太洋社)</t>
        </is>
      </c>
      <c r="C193" s="36" t="n">
        <v>48</v>
      </c>
      <c r="D193" s="36" t="n">
        <v>0</v>
      </c>
      <c r="E193" s="5" t="n">
        <v>0</v>
      </c>
      <c r="F193" s="191">
        <f>D193-E193+C193</f>
        <v/>
      </c>
      <c r="G193" s="192" t="n">
        <v>0</v>
      </c>
      <c r="H193" s="191">
        <f>F193+G193</f>
        <v/>
      </c>
      <c r="I193" s="36" t="n">
        <v>0</v>
      </c>
      <c r="J193" s="5" t="n">
        <v>24</v>
      </c>
      <c r="K193" s="191">
        <f>I193-J193+H193</f>
        <v/>
      </c>
      <c r="L193" s="192" t="n">
        <v>-5</v>
      </c>
      <c r="M193" s="191">
        <f>K193+L193</f>
        <v/>
      </c>
      <c r="N193" s="36" t="n">
        <v>30</v>
      </c>
      <c r="O193" s="5" t="n">
        <v>18</v>
      </c>
      <c r="P193" s="191">
        <f>N193-O193+M193</f>
        <v/>
      </c>
      <c r="Q193" s="192" t="n">
        <v>0</v>
      </c>
      <c r="R193" s="191">
        <f>P193+Q193</f>
        <v/>
      </c>
      <c r="S193" s="36" t="n">
        <v>30</v>
      </c>
      <c r="T193" s="5" t="n">
        <v>19</v>
      </c>
      <c r="U193" s="191">
        <f>S193-T193+R193</f>
        <v/>
      </c>
      <c r="V193" s="192" t="n">
        <v>0</v>
      </c>
      <c r="W193" s="191">
        <f>U193+V193</f>
        <v/>
      </c>
      <c r="X193" s="36" t="n">
        <v>0</v>
      </c>
      <c r="Y193" s="5" t="n">
        <v>20</v>
      </c>
      <c r="Z193" s="191">
        <f>X193-Y193+W193</f>
        <v/>
      </c>
      <c r="AA193" s="192" t="n">
        <v>-5</v>
      </c>
      <c r="AB193" s="191">
        <f>Z193+AA193</f>
        <v/>
      </c>
      <c r="AC193" s="36" t="n">
        <v>30</v>
      </c>
      <c r="AD193" s="5" t="n">
        <v>17</v>
      </c>
      <c r="AE193" s="191">
        <f>AC193-AD193+AB193</f>
        <v/>
      </c>
      <c r="AF193" s="192" t="n">
        <v>0</v>
      </c>
      <c r="AG193" s="191">
        <f>AE193+AF193</f>
        <v/>
      </c>
      <c r="AH193" s="36" t="n">
        <v>30</v>
      </c>
      <c r="AI193" s="5" t="n">
        <v>37</v>
      </c>
      <c r="AJ193" s="191">
        <f>AH193-AI193+AG193</f>
        <v/>
      </c>
      <c r="AK193" s="192" t="n">
        <v>0</v>
      </c>
      <c r="AL193" s="191">
        <f>AJ193+AK193</f>
        <v/>
      </c>
      <c r="AM193" s="35" t="inlineStr">
        <is>
          <t>岐阜/三重</t>
        </is>
      </c>
      <c r="AN193" s="35" t="inlineStr">
        <is>
          <t>こもの</t>
        </is>
      </c>
      <c r="AO193" s="5" t="n">
        <v>200</v>
      </c>
      <c r="AP193" s="5" t="n">
        <v>0</v>
      </c>
      <c r="AQ193" s="35" t="inlineStr">
        <is>
          <t>○</t>
        </is>
      </c>
      <c r="AR193" s="35" t="n"/>
      <c r="AS193" s="122" t="n">
        <v>4571517100133</v>
      </c>
      <c r="AT193" s="35" t="n">
        <v>292</v>
      </c>
      <c r="AU193" s="35" t="inlineStr">
        <is>
          <t>㈱太洋社　アグリ事業部</t>
        </is>
      </c>
    </row>
    <row r="194">
      <c r="A194" s="14" t="inlineStr">
        <is>
          <t>1807-56</t>
        </is>
      </c>
      <c r="B194" s="5" t="inlineStr">
        <is>
          <t>有機生しいたけ(菌床)不揃200g袋(太洋社)</t>
        </is>
      </c>
      <c r="C194" s="36" t="n">
        <v>30</v>
      </c>
      <c r="D194" s="36" t="n">
        <v>0</v>
      </c>
      <c r="E194" s="5" t="n">
        <v>0</v>
      </c>
      <c r="F194" s="191">
        <f>D194-E194+C194</f>
        <v/>
      </c>
      <c r="G194" s="192" t="n">
        <v>0</v>
      </c>
      <c r="H194" s="191">
        <f>F194+G194</f>
        <v/>
      </c>
      <c r="I194" s="36" t="n">
        <v>0</v>
      </c>
      <c r="J194" s="5" t="n">
        <v>27</v>
      </c>
      <c r="K194" s="191">
        <f>I194-J194+H194</f>
        <v/>
      </c>
      <c r="L194" s="192" t="n">
        <v>0</v>
      </c>
      <c r="M194" s="191">
        <f>K194+L194</f>
        <v/>
      </c>
      <c r="N194" s="36" t="n">
        <v>40</v>
      </c>
      <c r="O194" s="5" t="n">
        <v>10</v>
      </c>
      <c r="P194" s="191">
        <f>N194-O194+M194</f>
        <v/>
      </c>
      <c r="Q194" s="192" t="n">
        <v>0</v>
      </c>
      <c r="R194" s="191">
        <f>P194+Q194</f>
        <v/>
      </c>
      <c r="S194" s="36" t="n">
        <v>20</v>
      </c>
      <c r="T194" s="5" t="n">
        <v>24</v>
      </c>
      <c r="U194" s="191">
        <f>S194-T194+R194</f>
        <v/>
      </c>
      <c r="V194" s="192" t="n">
        <v>0</v>
      </c>
      <c r="W194" s="191">
        <f>U194+V194</f>
        <v/>
      </c>
      <c r="X194" s="36" t="n">
        <v>0</v>
      </c>
      <c r="Y194" s="5" t="n">
        <v>12</v>
      </c>
      <c r="Z194" s="191">
        <f>X194-Y194+W194</f>
        <v/>
      </c>
      <c r="AA194" s="192" t="n">
        <v>0</v>
      </c>
      <c r="AB194" s="191">
        <f>Z194+AA194</f>
        <v/>
      </c>
      <c r="AC194" s="36" t="n">
        <v>20</v>
      </c>
      <c r="AD194" s="5" t="n">
        <v>17</v>
      </c>
      <c r="AE194" s="191">
        <f>AC194-AD194+AB194</f>
        <v/>
      </c>
      <c r="AF194" s="192" t="n">
        <v>0</v>
      </c>
      <c r="AG194" s="191">
        <f>AE194+AF194</f>
        <v/>
      </c>
      <c r="AH194" s="36" t="n">
        <v>40</v>
      </c>
      <c r="AI194" s="5" t="n">
        <v>29</v>
      </c>
      <c r="AJ194" s="191">
        <f>AH194-AI194+AG194</f>
        <v/>
      </c>
      <c r="AK194" s="192" t="n">
        <v>0</v>
      </c>
      <c r="AL194" s="191">
        <f>AJ194+AK194</f>
        <v/>
      </c>
      <c r="AM194" s="35" t="inlineStr">
        <is>
          <t>岐阜/三重</t>
        </is>
      </c>
      <c r="AN194" s="35" t="inlineStr">
        <is>
          <t>こもの</t>
        </is>
      </c>
      <c r="AO194" s="5" t="n">
        <v>290</v>
      </c>
      <c r="AP194" s="5" t="n">
        <v>0</v>
      </c>
      <c r="AQ194" s="35" t="inlineStr">
        <is>
          <t>○</t>
        </is>
      </c>
      <c r="AR194" s="35" t="n"/>
      <c r="AS194" s="122" t="n">
        <v>4571517100188</v>
      </c>
      <c r="AT194" s="35" t="n">
        <v>292</v>
      </c>
      <c r="AU194" s="35" t="inlineStr">
        <is>
          <t>㈱太洋社　アグリ事業部</t>
        </is>
      </c>
    </row>
    <row r="195">
      <c r="A195" s="14" t="inlineStr">
        <is>
          <t>1807-57</t>
        </is>
      </c>
      <c r="B195" s="5" t="inlineStr">
        <is>
          <t>有機生ｼｲﾀｹ(菌床)100gﾄﾚｰ×5(太洋社)東一</t>
        </is>
      </c>
      <c r="C195" s="36" t="n">
        <v>0</v>
      </c>
      <c r="D195" s="36" t="n">
        <v>0</v>
      </c>
      <c r="E195" s="5" t="n">
        <v>0</v>
      </c>
      <c r="F195" s="191">
        <f>D195-E195+C195</f>
        <v/>
      </c>
      <c r="G195" s="192" t="n">
        <v>0</v>
      </c>
      <c r="H195" s="191">
        <f>F195+G195</f>
        <v/>
      </c>
      <c r="I195" s="36" t="n">
        <v>1</v>
      </c>
      <c r="J195" s="5" t="n">
        <v>1</v>
      </c>
      <c r="K195" s="191">
        <f>I195-J195+H195</f>
        <v/>
      </c>
      <c r="L195" s="192" t="n">
        <v>0</v>
      </c>
      <c r="M195" s="191">
        <f>K195+L195</f>
        <v/>
      </c>
      <c r="N195" s="36" t="n">
        <v>0</v>
      </c>
      <c r="O195" s="5" t="n">
        <v>0</v>
      </c>
      <c r="P195" s="191">
        <f>N195-O195+M195</f>
        <v/>
      </c>
      <c r="Q195" s="192" t="n">
        <v>0</v>
      </c>
      <c r="R195" s="191">
        <f>P195+Q195</f>
        <v/>
      </c>
      <c r="S195" s="36" t="n">
        <v>0</v>
      </c>
      <c r="T195" s="5" t="n">
        <v>0</v>
      </c>
      <c r="U195" s="191">
        <f>S195-T195+R195</f>
        <v/>
      </c>
      <c r="V195" s="192" t="n">
        <v>0</v>
      </c>
      <c r="W195" s="191">
        <f>U195+V195</f>
        <v/>
      </c>
      <c r="X195" s="36" t="n">
        <v>1</v>
      </c>
      <c r="Y195" s="5" t="n">
        <v>1</v>
      </c>
      <c r="Z195" s="191">
        <f>X195-Y195+W195</f>
        <v/>
      </c>
      <c r="AA195" s="192" t="n">
        <v>0</v>
      </c>
      <c r="AB195" s="191">
        <f>Z195+AA195</f>
        <v/>
      </c>
      <c r="AC195" s="36" t="n">
        <v>0</v>
      </c>
      <c r="AD195" s="5" t="n">
        <v>0</v>
      </c>
      <c r="AE195" s="191">
        <f>AC195-AD195+AB195</f>
        <v/>
      </c>
      <c r="AF195" s="192" t="n">
        <v>0</v>
      </c>
      <c r="AG195" s="191">
        <f>AE195+AF195</f>
        <v/>
      </c>
      <c r="AH195" s="36" t="n">
        <v>0</v>
      </c>
      <c r="AI195" s="5" t="n">
        <v>0</v>
      </c>
      <c r="AJ195" s="191">
        <f>AH195-AI195+AG195</f>
        <v/>
      </c>
      <c r="AK195" s="192" t="n">
        <v>0</v>
      </c>
      <c r="AL195" s="191">
        <f>AJ195+AK195</f>
        <v/>
      </c>
      <c r="AM195" s="35" t="inlineStr">
        <is>
          <t>岐阜</t>
        </is>
      </c>
      <c r="AN195" s="35" t="inlineStr">
        <is>
          <t>こもの</t>
        </is>
      </c>
      <c r="AO195" s="163" t="n">
        <v>1000</v>
      </c>
      <c r="AP195" s="5" t="n">
        <v>0</v>
      </c>
      <c r="AQ195" s="35" t="n"/>
      <c r="AR195" s="35" t="inlineStr">
        <is>
          <t>○</t>
        </is>
      </c>
      <c r="AS195" s="122" t="n">
        <v>4571517100133</v>
      </c>
      <c r="AT195" s="35" t="n">
        <v>292</v>
      </c>
      <c r="AU195" s="35" t="inlineStr">
        <is>
          <t>㈱太洋社　アグリ事業部</t>
        </is>
      </c>
    </row>
    <row r="196">
      <c r="A196" s="14" t="inlineStr">
        <is>
          <t>1812</t>
        </is>
      </c>
      <c r="B196" s="5" t="inlineStr">
        <is>
          <t>えのき茸 １００ｇ(ﾐｽｽﾞ)</t>
        </is>
      </c>
      <c r="C196" s="36" t="n">
        <v>66</v>
      </c>
      <c r="D196" s="36" t="n">
        <v>120</v>
      </c>
      <c r="E196" s="5" t="n">
        <v>0</v>
      </c>
      <c r="F196" s="191">
        <f>D196-E196+C196</f>
        <v/>
      </c>
      <c r="G196" s="192" t="n">
        <v>0</v>
      </c>
      <c r="H196" s="191">
        <f>F196+G196</f>
        <v/>
      </c>
      <c r="I196" s="36" t="n">
        <v>0</v>
      </c>
      <c r="J196" s="5" t="n">
        <v>78</v>
      </c>
      <c r="K196" s="191">
        <f>I196-J196+H196</f>
        <v/>
      </c>
      <c r="L196" s="192" t="n">
        <v>0</v>
      </c>
      <c r="M196" s="191">
        <f>K196+L196</f>
        <v/>
      </c>
      <c r="N196" s="36" t="n">
        <v>60</v>
      </c>
      <c r="O196" s="5" t="n">
        <v>56</v>
      </c>
      <c r="P196" s="191">
        <f>N196-O196+M196</f>
        <v/>
      </c>
      <c r="Q196" s="192" t="n">
        <v>0</v>
      </c>
      <c r="R196" s="191">
        <f>P196+Q196</f>
        <v/>
      </c>
      <c r="S196" s="36" t="n">
        <v>60</v>
      </c>
      <c r="T196" s="5" t="n">
        <v>69</v>
      </c>
      <c r="U196" s="191">
        <f>S196-T196+R196</f>
        <v/>
      </c>
      <c r="V196" s="192" t="n">
        <v>0</v>
      </c>
      <c r="W196" s="191">
        <f>U196+V196</f>
        <v/>
      </c>
      <c r="X196" s="36" t="n">
        <v>60</v>
      </c>
      <c r="Y196" s="5" t="n">
        <v>50</v>
      </c>
      <c r="Z196" s="191">
        <f>X196-Y196+W196</f>
        <v/>
      </c>
      <c r="AA196" s="192" t="n">
        <v>0</v>
      </c>
      <c r="AB196" s="191">
        <f>Z196+AA196</f>
        <v/>
      </c>
      <c r="AC196" s="36" t="n">
        <v>0</v>
      </c>
      <c r="AD196" s="5" t="n">
        <v>67</v>
      </c>
      <c r="AE196" s="191">
        <f>AC196-AD196+AB196</f>
        <v/>
      </c>
      <c r="AF196" s="192" t="n">
        <v>0</v>
      </c>
      <c r="AG196" s="191">
        <f>AE196+AF196</f>
        <v/>
      </c>
      <c r="AH196" s="36" t="n">
        <v>60</v>
      </c>
      <c r="AI196" s="5" t="n">
        <v>84</v>
      </c>
      <c r="AJ196" s="191">
        <f>AH196-AI196+AG196</f>
        <v/>
      </c>
      <c r="AK196" s="192" t="n">
        <v>0</v>
      </c>
      <c r="AL196" s="191">
        <f>AJ196+AK196</f>
        <v/>
      </c>
      <c r="AM196" s="35" t="inlineStr">
        <is>
          <t>長野</t>
        </is>
      </c>
      <c r="AN196" s="35" t="inlineStr">
        <is>
          <t>こもの</t>
        </is>
      </c>
      <c r="AO196" s="5" t="n">
        <v>80</v>
      </c>
      <c r="AP196" s="5" t="n">
        <v>0</v>
      </c>
      <c r="AQ196" s="35" t="inlineStr">
        <is>
          <t>○</t>
        </is>
      </c>
      <c r="AR196" s="35" t="n"/>
      <c r="AS196" s="122" t="n"/>
      <c r="AT196" s="35" t="n">
        <v>138</v>
      </c>
      <c r="AU196" s="35" t="inlineStr">
        <is>
          <t>㈱ミスズライフ</t>
        </is>
      </c>
    </row>
    <row r="197">
      <c r="A197" s="14" t="inlineStr">
        <is>
          <t>1820</t>
        </is>
      </c>
      <c r="B197" s="5" t="inlineStr">
        <is>
          <t>一株なめこ １７０ｇ(ﾐｽｽﾞ)</t>
        </is>
      </c>
      <c r="C197" s="36" t="n">
        <v>11</v>
      </c>
      <c r="D197" s="36" t="n">
        <v>30</v>
      </c>
      <c r="E197" s="5" t="n">
        <v>0</v>
      </c>
      <c r="F197" s="191">
        <f>D197-E197+C197</f>
        <v/>
      </c>
      <c r="G197" s="192" t="n">
        <v>0</v>
      </c>
      <c r="H197" s="191">
        <f>F197+G197</f>
        <v/>
      </c>
      <c r="I197" s="36" t="n">
        <v>0</v>
      </c>
      <c r="J197" s="5" t="n">
        <v>5</v>
      </c>
      <c r="K197" s="191">
        <f>I197-J197+H197</f>
        <v/>
      </c>
      <c r="L197" s="192" t="n">
        <v>0</v>
      </c>
      <c r="M197" s="191">
        <f>K197+L197</f>
        <v/>
      </c>
      <c r="N197" s="36" t="n">
        <v>0</v>
      </c>
      <c r="O197" s="5" t="n">
        <v>4</v>
      </c>
      <c r="P197" s="191">
        <f>N197-O197+M197</f>
        <v/>
      </c>
      <c r="Q197" s="192" t="n">
        <v>0</v>
      </c>
      <c r="R197" s="191">
        <f>P197+Q197</f>
        <v/>
      </c>
      <c r="S197" s="36" t="n">
        <v>0</v>
      </c>
      <c r="T197" s="5" t="n">
        <v>7</v>
      </c>
      <c r="U197" s="191">
        <f>S197-T197+R197</f>
        <v/>
      </c>
      <c r="V197" s="192" t="n">
        <v>0</v>
      </c>
      <c r="W197" s="191">
        <f>U197+V197</f>
        <v/>
      </c>
      <c r="X197" s="36" t="n">
        <v>0</v>
      </c>
      <c r="Y197" s="5" t="n">
        <v>3</v>
      </c>
      <c r="Z197" s="191">
        <f>X197-Y197+W197</f>
        <v/>
      </c>
      <c r="AA197" s="192" t="n">
        <v>0</v>
      </c>
      <c r="AB197" s="191">
        <f>Z197+AA197</f>
        <v/>
      </c>
      <c r="AC197" s="36" t="n">
        <v>0</v>
      </c>
      <c r="AD197" s="5" t="n">
        <v>6</v>
      </c>
      <c r="AE197" s="191">
        <f>AC197-AD197+AB197</f>
        <v/>
      </c>
      <c r="AF197" s="192" t="n">
        <v>0</v>
      </c>
      <c r="AG197" s="191">
        <f>AE197+AF197</f>
        <v/>
      </c>
      <c r="AH197" s="36" t="n">
        <v>0</v>
      </c>
      <c r="AI197" s="5" t="n">
        <v>10</v>
      </c>
      <c r="AJ197" s="191">
        <f>AH197-AI197+AG197</f>
        <v/>
      </c>
      <c r="AK197" s="192" t="n">
        <v>0</v>
      </c>
      <c r="AL197" s="191">
        <f>AJ197+AK197</f>
        <v/>
      </c>
      <c r="AM197" s="35" t="inlineStr">
        <is>
          <t>長野</t>
        </is>
      </c>
      <c r="AN197" s="35" t="inlineStr">
        <is>
          <t>こもの</t>
        </is>
      </c>
      <c r="AO197" s="5" t="n">
        <v>140</v>
      </c>
      <c r="AP197" s="5" t="n">
        <v>0</v>
      </c>
      <c r="AQ197" s="35" t="inlineStr">
        <is>
          <t>○</t>
        </is>
      </c>
      <c r="AR197" s="35" t="n"/>
      <c r="AS197" s="122" t="n"/>
      <c r="AT197" s="35" t="n">
        <v>138</v>
      </c>
      <c r="AU197" s="35" t="inlineStr">
        <is>
          <t>㈱ミスズライフ</t>
        </is>
      </c>
    </row>
    <row r="198">
      <c r="A198" s="14" t="inlineStr">
        <is>
          <t>1820-5</t>
        </is>
      </c>
      <c r="B198" s="5" t="inlineStr">
        <is>
          <t>小粒なめこ 100ｇ(熊谷)</t>
        </is>
      </c>
      <c r="C198" s="36" t="n">
        <v>47</v>
      </c>
      <c r="D198" s="36" t="n">
        <v>0</v>
      </c>
      <c r="E198" s="5" t="n">
        <v>0</v>
      </c>
      <c r="F198" s="191">
        <f>D198-E198+C198</f>
        <v/>
      </c>
      <c r="G198" s="192" t="n">
        <v>0</v>
      </c>
      <c r="H198" s="191">
        <f>F198+G198</f>
        <v/>
      </c>
      <c r="I198" s="36" t="n">
        <v>0</v>
      </c>
      <c r="J198" s="5" t="n">
        <v>16</v>
      </c>
      <c r="K198" s="191">
        <f>I198-J198+H198</f>
        <v/>
      </c>
      <c r="L198" s="192" t="n">
        <v>0</v>
      </c>
      <c r="M198" s="191">
        <f>K198+L198</f>
        <v/>
      </c>
      <c r="N198" s="36" t="n">
        <v>0</v>
      </c>
      <c r="O198" s="5" t="n">
        <v>6</v>
      </c>
      <c r="P198" s="191">
        <f>N198-O198+M198</f>
        <v/>
      </c>
      <c r="Q198" s="192" t="n">
        <v>0</v>
      </c>
      <c r="R198" s="191">
        <f>P198+Q198</f>
        <v/>
      </c>
      <c r="S198" s="36" t="n">
        <v>0</v>
      </c>
      <c r="T198" s="5" t="n">
        <v>9</v>
      </c>
      <c r="U198" s="191">
        <f>S198-T198+R198</f>
        <v/>
      </c>
      <c r="V198" s="192" t="n">
        <v>0</v>
      </c>
      <c r="W198" s="191">
        <f>U198+V198</f>
        <v/>
      </c>
      <c r="X198" s="36" t="n">
        <v>0</v>
      </c>
      <c r="Y198" s="5" t="n">
        <v>6</v>
      </c>
      <c r="Z198" s="191">
        <f>X198-Y198+W198</f>
        <v/>
      </c>
      <c r="AA198" s="192" t="n">
        <v>0</v>
      </c>
      <c r="AB198" s="191">
        <f>Z198+AA198</f>
        <v/>
      </c>
      <c r="AC198" s="36" t="n">
        <v>80</v>
      </c>
      <c r="AD198" s="5" t="n">
        <v>9</v>
      </c>
      <c r="AE198" s="191">
        <f>AC198-AD198+AB198</f>
        <v/>
      </c>
      <c r="AF198" s="192" t="n">
        <v>0</v>
      </c>
      <c r="AG198" s="191">
        <f>AE198+AF198</f>
        <v/>
      </c>
      <c r="AH198" s="36" t="n">
        <v>0</v>
      </c>
      <c r="AI198" s="5" t="n">
        <v>22</v>
      </c>
      <c r="AJ198" s="191">
        <f>AH198-AI198+AG198</f>
        <v/>
      </c>
      <c r="AK198" s="192" t="n">
        <v>0</v>
      </c>
      <c r="AL198" s="191">
        <f>AJ198+AK198</f>
        <v/>
      </c>
      <c r="AM198" s="35" t="inlineStr">
        <is>
          <t>山形</t>
        </is>
      </c>
      <c r="AN198" s="35" t="inlineStr">
        <is>
          <t>こもの</t>
        </is>
      </c>
      <c r="AO198" s="5" t="n">
        <v>120</v>
      </c>
      <c r="AP198" s="5" t="n">
        <v>0</v>
      </c>
      <c r="AQ198" s="35" t="inlineStr">
        <is>
          <t>○</t>
        </is>
      </c>
      <c r="AR198" s="35" t="n"/>
      <c r="AS198" s="122" t="n"/>
      <c r="AT198" s="35" t="n"/>
      <c r="AU198" s="35" t="n"/>
    </row>
    <row r="199">
      <c r="A199" s="14" t="inlineStr">
        <is>
          <t>1821-2</t>
        </is>
      </c>
      <c r="B199" s="5" t="inlineStr">
        <is>
          <t>エリンギ 100g (ミスズ)</t>
        </is>
      </c>
      <c r="C199" s="36" t="n">
        <v>26</v>
      </c>
      <c r="D199" s="36" t="n">
        <v>20</v>
      </c>
      <c r="E199" s="5" t="n">
        <v>0</v>
      </c>
      <c r="F199" s="191">
        <f>D199-E199+C199</f>
        <v/>
      </c>
      <c r="G199" s="192" t="n">
        <v>0</v>
      </c>
      <c r="H199" s="191">
        <f>F199+G199</f>
        <v/>
      </c>
      <c r="I199" s="36" t="n">
        <v>0</v>
      </c>
      <c r="J199" s="5" t="n">
        <v>34</v>
      </c>
      <c r="K199" s="191">
        <f>I199-J199+H199</f>
        <v/>
      </c>
      <c r="L199" s="192" t="n">
        <v>0</v>
      </c>
      <c r="M199" s="191">
        <f>K199+L199</f>
        <v/>
      </c>
      <c r="N199" s="36" t="n">
        <v>20</v>
      </c>
      <c r="O199" s="5" t="n">
        <v>7</v>
      </c>
      <c r="P199" s="191">
        <f>N199-O199+M199</f>
        <v/>
      </c>
      <c r="Q199" s="192" t="n">
        <v>0</v>
      </c>
      <c r="R199" s="191">
        <f>P199+Q199</f>
        <v/>
      </c>
      <c r="S199" s="36" t="n">
        <v>0</v>
      </c>
      <c r="T199" s="5" t="n">
        <v>20</v>
      </c>
      <c r="U199" s="191">
        <f>S199-T199+R199</f>
        <v/>
      </c>
      <c r="V199" s="192" t="n">
        <v>0</v>
      </c>
      <c r="W199" s="191">
        <f>U199+V199</f>
        <v/>
      </c>
      <c r="X199" s="36" t="n">
        <v>60</v>
      </c>
      <c r="Y199" s="5" t="n">
        <v>10</v>
      </c>
      <c r="Z199" s="191">
        <f>X199-Y199+W199</f>
        <v/>
      </c>
      <c r="AA199" s="192" t="n">
        <v>0</v>
      </c>
      <c r="AB199" s="191">
        <f>Z199+AA199</f>
        <v/>
      </c>
      <c r="AC199" s="36" t="n">
        <v>0</v>
      </c>
      <c r="AD199" s="5" t="n">
        <v>24</v>
      </c>
      <c r="AE199" s="191">
        <f>AC199-AD199+AB199</f>
        <v/>
      </c>
      <c r="AF199" s="192" t="n">
        <v>0</v>
      </c>
      <c r="AG199" s="191">
        <f>AE199+AF199</f>
        <v/>
      </c>
      <c r="AH199" s="36" t="n">
        <v>20</v>
      </c>
      <c r="AI199" s="5" t="n">
        <v>20</v>
      </c>
      <c r="AJ199" s="191">
        <f>AH199-AI199+AG199</f>
        <v/>
      </c>
      <c r="AK199" s="192" t="n">
        <v>0</v>
      </c>
      <c r="AL199" s="191">
        <f>AJ199+AK199</f>
        <v/>
      </c>
      <c r="AM199" s="35" t="inlineStr">
        <is>
          <t>長野</t>
        </is>
      </c>
      <c r="AN199" s="35" t="inlineStr">
        <is>
          <t>こもの</t>
        </is>
      </c>
      <c r="AO199" s="5" t="n">
        <v>135</v>
      </c>
      <c r="AP199" s="5" t="n">
        <v>0</v>
      </c>
      <c r="AQ199" s="35" t="inlineStr">
        <is>
          <t>○</t>
        </is>
      </c>
      <c r="AR199" s="35" t="n"/>
      <c r="AS199" s="122" t="n"/>
      <c r="AT199" s="35" t="n">
        <v>138</v>
      </c>
      <c r="AU199" s="35" t="inlineStr">
        <is>
          <t>㈱ミスズライフ</t>
        </is>
      </c>
    </row>
    <row r="200">
      <c r="A200" s="14" t="inlineStr">
        <is>
          <t>1823-2</t>
        </is>
      </c>
      <c r="B200" s="5" t="inlineStr">
        <is>
          <t>有機おかひじき 70gﾊﾟｯｸ (寺島)</t>
        </is>
      </c>
      <c r="C200" s="36" t="n">
        <v>21</v>
      </c>
      <c r="D200" s="36" t="n">
        <v>50</v>
      </c>
      <c r="E200" s="5" t="n">
        <v>0</v>
      </c>
      <c r="F200" s="191">
        <f>D200-E200+C200</f>
        <v/>
      </c>
      <c r="G200" s="192" t="n">
        <v>0</v>
      </c>
      <c r="H200" s="191">
        <f>F200+G200</f>
        <v/>
      </c>
      <c r="I200" s="36" t="n">
        <v>0</v>
      </c>
      <c r="J200" s="5" t="n">
        <v>28</v>
      </c>
      <c r="K200" s="191">
        <f>I200-J200+H200</f>
        <v/>
      </c>
      <c r="L200" s="192" t="n">
        <v>0</v>
      </c>
      <c r="M200" s="191">
        <f>K200+L200</f>
        <v/>
      </c>
      <c r="N200" s="36" t="n">
        <v>0</v>
      </c>
      <c r="O200" s="5" t="n">
        <v>15</v>
      </c>
      <c r="P200" s="191">
        <f>N200-O200+M200</f>
        <v/>
      </c>
      <c r="Q200" s="192" t="n">
        <v>0</v>
      </c>
      <c r="R200" s="191">
        <f>P200+Q200</f>
        <v/>
      </c>
      <c r="S200" s="36" t="n">
        <v>60</v>
      </c>
      <c r="T200" s="5" t="n">
        <v>21</v>
      </c>
      <c r="U200" s="191">
        <f>S200-T200+R200</f>
        <v/>
      </c>
      <c r="V200" s="192" t="n">
        <v>0</v>
      </c>
      <c r="W200" s="191">
        <f>U200+V200</f>
        <v/>
      </c>
      <c r="X200" s="36" t="n">
        <v>0</v>
      </c>
      <c r="Y200" s="5" t="n">
        <v>17</v>
      </c>
      <c r="Z200" s="191">
        <f>X200-Y200+W200</f>
        <v/>
      </c>
      <c r="AA200" s="192" t="n">
        <v>-5</v>
      </c>
      <c r="AB200" s="191">
        <f>Z200+AA200</f>
        <v/>
      </c>
      <c r="AC200" s="36" t="n">
        <v>70</v>
      </c>
      <c r="AD200" s="5" t="n">
        <v>17</v>
      </c>
      <c r="AE200" s="191">
        <f>AC200-AD200+AB200</f>
        <v/>
      </c>
      <c r="AF200" s="192" t="n">
        <v>0</v>
      </c>
      <c r="AG200" s="191">
        <f>AE200+AF200</f>
        <v/>
      </c>
      <c r="AH200" s="36" t="n">
        <v>0</v>
      </c>
      <c r="AI200" s="5" t="n">
        <v>33</v>
      </c>
      <c r="AJ200" s="191">
        <f>AH200-AI200+AG200</f>
        <v/>
      </c>
      <c r="AK200" s="192" t="n">
        <v>-5</v>
      </c>
      <c r="AL200" s="191">
        <f>AJ200+AK200</f>
        <v/>
      </c>
      <c r="AM200" s="35" t="inlineStr">
        <is>
          <t>千葉</t>
        </is>
      </c>
      <c r="AN200" s="35" t="inlineStr">
        <is>
          <t>こもの</t>
        </is>
      </c>
      <c r="AO200" s="5" t="n">
        <v>190</v>
      </c>
      <c r="AP200" s="5" t="n">
        <v>0</v>
      </c>
      <c r="AQ200" s="35" t="n"/>
      <c r="AR200" s="35" t="n"/>
      <c r="AS200" s="122" t="n">
        <v>4944942000017</v>
      </c>
      <c r="AT200" s="35" t="n">
        <v>194</v>
      </c>
      <c r="AU200" s="35" t="inlineStr">
        <is>
          <t>㈱ｱｸﾞﾘｲﾉﾍﾞｰｼｮﾝｽﾞｶﾝﾊﾟﾆｰ（旧：旭愛農）</t>
        </is>
      </c>
    </row>
    <row r="201">
      <c r="A201" s="14" t="inlineStr">
        <is>
          <t>1823-7</t>
        </is>
      </c>
      <c r="B201" s="5" t="inlineStr">
        <is>
          <t>有機おかひじき 70gﾊﾟｯｸ×５(寺島)　東一</t>
        </is>
      </c>
      <c r="C201" s="36" t="n">
        <v>0</v>
      </c>
      <c r="D201" s="36" t="n">
        <v>0</v>
      </c>
      <c r="E201" s="5" t="n">
        <v>0</v>
      </c>
      <c r="F201" s="191">
        <f>D201-E201+C201</f>
        <v/>
      </c>
      <c r="G201" s="192" t="n">
        <v>0</v>
      </c>
      <c r="H201" s="191">
        <f>F201+G201</f>
        <v/>
      </c>
      <c r="I201" s="36" t="n">
        <v>0</v>
      </c>
      <c r="J201" s="5" t="n">
        <v>0</v>
      </c>
      <c r="K201" s="191">
        <f>I201-J201+H201</f>
        <v/>
      </c>
      <c r="L201" s="192" t="n">
        <v>0</v>
      </c>
      <c r="M201" s="191">
        <f>K201+L201</f>
        <v/>
      </c>
      <c r="N201" s="36" t="n">
        <v>0</v>
      </c>
      <c r="O201" s="5" t="n">
        <v>0</v>
      </c>
      <c r="P201" s="191">
        <f>N201-O201+M201</f>
        <v/>
      </c>
      <c r="Q201" s="192" t="n">
        <v>0</v>
      </c>
      <c r="R201" s="191">
        <f>P201+Q201</f>
        <v/>
      </c>
      <c r="S201" s="36" t="n">
        <v>0</v>
      </c>
      <c r="T201" s="5" t="n">
        <v>0</v>
      </c>
      <c r="U201" s="191">
        <f>S201-T201+R201</f>
        <v/>
      </c>
      <c r="V201" s="192" t="n">
        <v>0</v>
      </c>
      <c r="W201" s="191">
        <f>U201+V201</f>
        <v/>
      </c>
      <c r="X201" s="36" t="n">
        <v>1</v>
      </c>
      <c r="Y201" s="5" t="n">
        <v>1</v>
      </c>
      <c r="Z201" s="191">
        <f>X201-Y201+W201</f>
        <v/>
      </c>
      <c r="AA201" s="192" t="n">
        <v>0</v>
      </c>
      <c r="AB201" s="191">
        <f>Z201+AA201</f>
        <v/>
      </c>
      <c r="AC201" s="36" t="n">
        <v>0</v>
      </c>
      <c r="AD201" s="5" t="n">
        <v>0</v>
      </c>
      <c r="AE201" s="191">
        <f>AC201-AD201+AB201</f>
        <v/>
      </c>
      <c r="AF201" s="192" t="n">
        <v>0</v>
      </c>
      <c r="AG201" s="191">
        <f>AE201+AF201</f>
        <v/>
      </c>
      <c r="AH201" s="36" t="n">
        <v>1</v>
      </c>
      <c r="AI201" s="5" t="n">
        <v>1</v>
      </c>
      <c r="AJ201" s="191">
        <f>AH201-AI201+AG201</f>
        <v/>
      </c>
      <c r="AK201" s="192" t="n">
        <v>0</v>
      </c>
      <c r="AL201" s="191">
        <f>AJ201+AK201</f>
        <v/>
      </c>
      <c r="AM201" s="35" t="inlineStr">
        <is>
          <t>千葉</t>
        </is>
      </c>
      <c r="AN201" s="35" t="inlineStr">
        <is>
          <t>こもの</t>
        </is>
      </c>
      <c r="AO201" s="5" t="n">
        <v>950</v>
      </c>
      <c r="AP201" s="5" t="n">
        <v>0</v>
      </c>
      <c r="AQ201" s="35" t="n"/>
      <c r="AR201" s="35" t="inlineStr">
        <is>
          <t>○</t>
        </is>
      </c>
      <c r="AS201" s="122" t="n">
        <v>4944942000017</v>
      </c>
      <c r="AT201" s="35" t="n"/>
      <c r="AU201" s="35" t="n"/>
    </row>
    <row r="202">
      <c r="A202" s="14" t="inlineStr">
        <is>
          <t>1824-2</t>
        </is>
      </c>
      <c r="B202" s="5" t="inlineStr">
        <is>
          <t>有機パセリ 30g袋 (大地と自然)</t>
        </is>
      </c>
      <c r="C202" s="36" t="n">
        <v>48</v>
      </c>
      <c r="D202" s="36" t="n">
        <v>0</v>
      </c>
      <c r="E202" s="5" t="n">
        <v>0</v>
      </c>
      <c r="F202" s="191">
        <f>D202-E202+C202</f>
        <v/>
      </c>
      <c r="G202" s="192" t="n">
        <v>0</v>
      </c>
      <c r="H202" s="191">
        <f>F202+G202</f>
        <v/>
      </c>
      <c r="I202" s="36" t="n">
        <v>0</v>
      </c>
      <c r="J202" s="5" t="n">
        <v>22</v>
      </c>
      <c r="K202" s="191">
        <f>I202-J202+H202</f>
        <v/>
      </c>
      <c r="L202" s="192" t="n">
        <v>0</v>
      </c>
      <c r="M202" s="191">
        <f>K202+L202</f>
        <v/>
      </c>
      <c r="N202" s="36" t="n">
        <v>0</v>
      </c>
      <c r="O202" s="5" t="n">
        <v>11</v>
      </c>
      <c r="P202" s="191">
        <f>N202-O202+M202</f>
        <v/>
      </c>
      <c r="Q202" s="192" t="n">
        <v>0</v>
      </c>
      <c r="R202" s="191">
        <f>P202+Q202</f>
        <v/>
      </c>
      <c r="S202" s="36" t="n">
        <v>100</v>
      </c>
      <c r="T202" s="5" t="n">
        <v>22</v>
      </c>
      <c r="U202" s="191">
        <f>S202-T202+R202</f>
        <v/>
      </c>
      <c r="V202" s="192" t="n">
        <v>0</v>
      </c>
      <c r="W202" s="191">
        <f>U202+V202</f>
        <v/>
      </c>
      <c r="X202" s="36" t="n">
        <v>0</v>
      </c>
      <c r="Y202" s="5" t="n">
        <v>22</v>
      </c>
      <c r="Z202" s="191">
        <f>X202-Y202+W202</f>
        <v/>
      </c>
      <c r="AA202" s="192" t="n">
        <v>0</v>
      </c>
      <c r="AB202" s="191">
        <f>Z202+AA202</f>
        <v/>
      </c>
      <c r="AC202" s="36" t="n">
        <v>0</v>
      </c>
      <c r="AD202" s="5" t="n">
        <v>10</v>
      </c>
      <c r="AE202" s="191">
        <f>AC202-AD202+AB202</f>
        <v/>
      </c>
      <c r="AF202" s="192" t="n">
        <v>0</v>
      </c>
      <c r="AG202" s="191">
        <f>AE202+AF202</f>
        <v/>
      </c>
      <c r="AH202" s="36" t="n">
        <v>0</v>
      </c>
      <c r="AI202" s="5" t="n">
        <v>30</v>
      </c>
      <c r="AJ202" s="191">
        <f>AH202-AI202+AG202</f>
        <v/>
      </c>
      <c r="AK202" s="192" t="n">
        <v>0</v>
      </c>
      <c r="AL202" s="191">
        <f>AJ202+AK202</f>
        <v/>
      </c>
      <c r="AM202" s="35" t="inlineStr">
        <is>
          <t>高知</t>
        </is>
      </c>
      <c r="AN202" s="35" t="inlineStr">
        <is>
          <t>こもの</t>
        </is>
      </c>
      <c r="AO202" s="5" t="n">
        <v>130</v>
      </c>
      <c r="AP202" s="5" t="n">
        <v>0</v>
      </c>
      <c r="AQ202" s="35" t="inlineStr">
        <is>
          <t>○</t>
        </is>
      </c>
      <c r="AR202" s="35" t="n"/>
      <c r="AS202" s="122" t="n">
        <v>4571102110028</v>
      </c>
      <c r="AT202" s="35" t="n">
        <v>661</v>
      </c>
      <c r="AU202" s="35" t="inlineStr">
        <is>
          <t>㈱風水プロジェクト（ゆうき市場）</t>
        </is>
      </c>
    </row>
    <row r="203">
      <c r="A203" s="14" t="inlineStr">
        <is>
          <t>1835-4</t>
        </is>
      </c>
      <c r="B203" s="5" t="inlineStr">
        <is>
          <t>□小ねぎ 100ｇ×20入(伊藤昇)7割減・5割減</t>
        </is>
      </c>
      <c r="C203" s="36" t="n">
        <v>0</v>
      </c>
      <c r="D203" s="36" t="n">
        <v>4</v>
      </c>
      <c r="E203" s="5" t="n">
        <v>0</v>
      </c>
      <c r="F203" s="191">
        <f>D203-E203+C203</f>
        <v/>
      </c>
      <c r="G203" s="192" t="n">
        <v>0</v>
      </c>
      <c r="H203" s="191">
        <f>F203+G203</f>
        <v/>
      </c>
      <c r="I203" s="36" t="n">
        <v>0</v>
      </c>
      <c r="J203" s="5" t="n">
        <v>2</v>
      </c>
      <c r="K203" s="191">
        <f>I203-J203+H203</f>
        <v/>
      </c>
      <c r="L203" s="192" t="n">
        <v>0</v>
      </c>
      <c r="M203" s="191">
        <f>K203+L203</f>
        <v/>
      </c>
      <c r="N203" s="36" t="n">
        <v>0</v>
      </c>
      <c r="O203" s="5" t="n">
        <v>2</v>
      </c>
      <c r="P203" s="191">
        <f>N203-O203+M203</f>
        <v/>
      </c>
      <c r="Q203" s="192" t="n">
        <v>0</v>
      </c>
      <c r="R203" s="191">
        <f>P203+Q203</f>
        <v/>
      </c>
      <c r="S203" s="36" t="n">
        <v>3</v>
      </c>
      <c r="T203" s="5" t="n">
        <v>1</v>
      </c>
      <c r="U203" s="191">
        <f>S203-T203+R203</f>
        <v/>
      </c>
      <c r="V203" s="192" t="n">
        <v>0</v>
      </c>
      <c r="W203" s="191">
        <f>U203+V203</f>
        <v/>
      </c>
      <c r="X203" s="36" t="n">
        <v>0</v>
      </c>
      <c r="Y203" s="5" t="n">
        <v>2</v>
      </c>
      <c r="Z203" s="191">
        <f>X203-Y203+W203</f>
        <v/>
      </c>
      <c r="AA203" s="192" t="n">
        <v>0</v>
      </c>
      <c r="AB203" s="191">
        <f>Z203+AA203</f>
        <v/>
      </c>
      <c r="AC203" s="36" t="n">
        <v>5</v>
      </c>
      <c r="AD203" s="5" t="n">
        <v>2</v>
      </c>
      <c r="AE203" s="191">
        <f>AC203-AD203+AB203</f>
        <v/>
      </c>
      <c r="AF203" s="192" t="n">
        <v>0</v>
      </c>
      <c r="AG203" s="191">
        <f>AE203+AF203</f>
        <v/>
      </c>
      <c r="AH203" s="36" t="n">
        <v>0</v>
      </c>
      <c r="AI203" s="5" t="n">
        <v>3</v>
      </c>
      <c r="AJ203" s="191">
        <f>AH203-AI203+AG203</f>
        <v/>
      </c>
      <c r="AK203" s="192" t="n">
        <v>0</v>
      </c>
      <c r="AL203" s="191">
        <f>AJ203+AK203</f>
        <v/>
      </c>
      <c r="AM203" s="35" t="inlineStr">
        <is>
          <t>千葉</t>
        </is>
      </c>
      <c r="AN203" s="35" t="inlineStr">
        <is>
          <t>こもの</t>
        </is>
      </c>
      <c r="AO203" s="163" t="n">
        <v>2200</v>
      </c>
      <c r="AP203" s="5" t="n">
        <v>0</v>
      </c>
      <c r="AQ203" s="35" t="n"/>
      <c r="AR203" s="35" t="n"/>
      <c r="AS203" s="122" t="n"/>
      <c r="AT203" s="35" t="n"/>
      <c r="AU203" s="35" t="n"/>
    </row>
    <row r="204">
      <c r="A204" s="14" t="inlineStr">
        <is>
          <t>1838-12</t>
        </is>
      </c>
      <c r="B204" s="5" t="inlineStr">
        <is>
          <t>有機青ねぎ 100ｇ (大地と自然)</t>
        </is>
      </c>
      <c r="C204" s="36" t="n">
        <v>88</v>
      </c>
      <c r="D204" s="36" t="n">
        <v>0</v>
      </c>
      <c r="E204" s="5" t="n">
        <v>0</v>
      </c>
      <c r="F204" s="191">
        <f>D204-E204+C204</f>
        <v/>
      </c>
      <c r="G204" s="192" t="n">
        <v>0</v>
      </c>
      <c r="H204" s="191">
        <f>F204+G204</f>
        <v/>
      </c>
      <c r="I204" s="36" t="n">
        <v>0</v>
      </c>
      <c r="J204" s="5" t="n">
        <v>19</v>
      </c>
      <c r="K204" s="191">
        <f>I204-J204+H204</f>
        <v/>
      </c>
      <c r="L204" s="192" t="n">
        <v>0</v>
      </c>
      <c r="M204" s="191">
        <f>K204+L204</f>
        <v/>
      </c>
      <c r="N204" s="36" t="n">
        <v>0</v>
      </c>
      <c r="O204" s="5" t="n">
        <v>13</v>
      </c>
      <c r="P204" s="191">
        <f>N204-O204+M204</f>
        <v/>
      </c>
      <c r="Q204" s="192" t="n">
        <v>0</v>
      </c>
      <c r="R204" s="191">
        <f>P204+Q204</f>
        <v/>
      </c>
      <c r="S204" s="36" t="n">
        <v>100</v>
      </c>
      <c r="T204" s="5" t="n">
        <v>14</v>
      </c>
      <c r="U204" s="191">
        <f>S204-T204+R204</f>
        <v/>
      </c>
      <c r="V204" s="192" t="n">
        <v>0</v>
      </c>
      <c r="W204" s="191">
        <f>U204+V204</f>
        <v/>
      </c>
      <c r="X204" s="36" t="n">
        <v>0</v>
      </c>
      <c r="Y204" s="5" t="n">
        <v>11</v>
      </c>
      <c r="Z204" s="191">
        <f>X204-Y204+W204</f>
        <v/>
      </c>
      <c r="AA204" s="192" t="n">
        <v>0</v>
      </c>
      <c r="AB204" s="191">
        <f>Z204+AA204</f>
        <v/>
      </c>
      <c r="AC204" s="36" t="n">
        <v>0</v>
      </c>
      <c r="AD204" s="5" t="n">
        <v>9</v>
      </c>
      <c r="AE204" s="191">
        <f>AC204-AD204+AB204</f>
        <v/>
      </c>
      <c r="AF204" s="192" t="n">
        <v>0</v>
      </c>
      <c r="AG204" s="191">
        <f>AE204+AF204</f>
        <v/>
      </c>
      <c r="AH204" s="36" t="n">
        <v>0</v>
      </c>
      <c r="AI204" s="5" t="n">
        <v>26</v>
      </c>
      <c r="AJ204" s="191">
        <f>AH204-AI204+AG204</f>
        <v/>
      </c>
      <c r="AK204" s="192" t="n">
        <v>0</v>
      </c>
      <c r="AL204" s="191">
        <f>AJ204+AK204</f>
        <v/>
      </c>
      <c r="AM204" s="35" t="inlineStr">
        <is>
          <t>高知</t>
        </is>
      </c>
      <c r="AN204" s="35" t="inlineStr">
        <is>
          <t>こもの</t>
        </is>
      </c>
      <c r="AO204" s="5" t="n">
        <v>140</v>
      </c>
      <c r="AP204" s="5" t="n">
        <v>0</v>
      </c>
      <c r="AQ204" s="35" t="inlineStr">
        <is>
          <t>○</t>
        </is>
      </c>
      <c r="AR204" s="35" t="n"/>
      <c r="AS204" s="122" t="n">
        <v>4571102110011</v>
      </c>
      <c r="AT204" s="35" t="n"/>
      <c r="AU204" s="35" t="n"/>
    </row>
    <row r="205">
      <c r="A205" s="14" t="inlineStr">
        <is>
          <t>1840-14</t>
        </is>
      </c>
      <c r="B205" s="5" t="inlineStr">
        <is>
          <t>有機にら 100ｇ (北総)</t>
        </is>
      </c>
      <c r="C205" s="36" t="n">
        <v>35</v>
      </c>
      <c r="D205" s="36" t="n">
        <v>0</v>
      </c>
      <c r="E205" s="5" t="n">
        <v>0</v>
      </c>
      <c r="F205" s="191">
        <f>D205-E205+C205</f>
        <v/>
      </c>
      <c r="G205" s="192" t="n">
        <v>0</v>
      </c>
      <c r="H205" s="191">
        <f>F205+G205</f>
        <v/>
      </c>
      <c r="I205" s="36" t="n">
        <v>0</v>
      </c>
      <c r="J205" s="5" t="n">
        <v>35</v>
      </c>
      <c r="K205" s="191">
        <f>I205-J205+H205</f>
        <v/>
      </c>
      <c r="L205" s="192" t="n">
        <v>0</v>
      </c>
      <c r="M205" s="191">
        <f>K205+L205</f>
        <v/>
      </c>
      <c r="N205" s="36" t="n">
        <v>0</v>
      </c>
      <c r="O205" s="5" t="n">
        <v>12</v>
      </c>
      <c r="P205" s="191">
        <f>N205-O205+M205</f>
        <v/>
      </c>
      <c r="Q205" s="192" t="n">
        <v>0</v>
      </c>
      <c r="R205" s="191">
        <f>P205+Q205</f>
        <v/>
      </c>
      <c r="S205" s="36" t="n">
        <v>0</v>
      </c>
      <c r="T205" s="5" t="n">
        <v>31</v>
      </c>
      <c r="U205" s="191">
        <f>S205-T205+R205</f>
        <v/>
      </c>
      <c r="V205" s="192" t="n">
        <v>0</v>
      </c>
      <c r="W205" s="191">
        <f>U205+V205</f>
        <v/>
      </c>
      <c r="X205" s="36" t="n">
        <v>0</v>
      </c>
      <c r="Y205" s="5" t="n">
        <v>12</v>
      </c>
      <c r="Z205" s="191">
        <f>X205-Y205+W205</f>
        <v/>
      </c>
      <c r="AA205" s="192" t="n">
        <v>0</v>
      </c>
      <c r="AB205" s="191">
        <f>Z205+AA205</f>
        <v/>
      </c>
      <c r="AC205" s="36" t="n">
        <v>0</v>
      </c>
      <c r="AD205" s="5" t="n">
        <v>18</v>
      </c>
      <c r="AE205" s="191">
        <f>AC205-AD205+AB205</f>
        <v/>
      </c>
      <c r="AF205" s="192" t="n">
        <v>0</v>
      </c>
      <c r="AG205" s="191">
        <f>AE205+AF205</f>
        <v/>
      </c>
      <c r="AH205" s="36" t="n">
        <v>0</v>
      </c>
      <c r="AI205" s="5" t="n">
        <v>17</v>
      </c>
      <c r="AJ205" s="191">
        <f>AH205-AI205+AG205</f>
        <v/>
      </c>
      <c r="AK205" s="192" t="n">
        <v>0</v>
      </c>
      <c r="AL205" s="191">
        <f>AJ205+AK205</f>
        <v/>
      </c>
      <c r="AM205" s="35" t="inlineStr">
        <is>
          <t>千葉</t>
        </is>
      </c>
      <c r="AN205" s="35" t="inlineStr">
        <is>
          <t>こもの</t>
        </is>
      </c>
      <c r="AO205" s="5" t="n">
        <v>155</v>
      </c>
      <c r="AP205" s="5" t="n">
        <v>0</v>
      </c>
      <c r="AQ205" s="35" t="n"/>
      <c r="AR205" s="35" t="n"/>
      <c r="AS205" s="122" t="n">
        <v>4582270160678</v>
      </c>
      <c r="AT205" s="35" t="n"/>
      <c r="AU205" s="35" t="n"/>
    </row>
    <row r="206">
      <c r="A206" s="14" t="inlineStr">
        <is>
          <t>1840-4</t>
        </is>
      </c>
      <c r="B206" s="5" t="inlineStr">
        <is>
          <t>有機にら 100ｇ (大地と自然)</t>
        </is>
      </c>
      <c r="C206" s="36" t="n">
        <v>0</v>
      </c>
      <c r="D206" s="36" t="n">
        <v>0</v>
      </c>
      <c r="E206" s="5" t="n">
        <v>0</v>
      </c>
      <c r="F206" s="191">
        <f>D206-E206+C206</f>
        <v/>
      </c>
      <c r="G206" s="192" t="n">
        <v>0</v>
      </c>
      <c r="H206" s="191">
        <f>F206+G206</f>
        <v/>
      </c>
      <c r="I206" s="36" t="n">
        <v>120</v>
      </c>
      <c r="J206" s="5" t="n">
        <v>24</v>
      </c>
      <c r="K206" s="191">
        <f>I206-J206+H206</f>
        <v/>
      </c>
      <c r="L206" s="192" t="n">
        <v>0</v>
      </c>
      <c r="M206" s="191">
        <f>K206+L206</f>
        <v/>
      </c>
      <c r="N206" s="36" t="n">
        <v>0</v>
      </c>
      <c r="O206" s="5" t="n">
        <v>14</v>
      </c>
      <c r="P206" s="191">
        <f>N206-O206+M206</f>
        <v/>
      </c>
      <c r="Q206" s="192" t="n">
        <v>0</v>
      </c>
      <c r="R206" s="191">
        <f>P206+Q206</f>
        <v/>
      </c>
      <c r="S206" s="36" t="n">
        <v>0</v>
      </c>
      <c r="T206" s="5" t="n">
        <v>24</v>
      </c>
      <c r="U206" s="191">
        <f>S206-T206+R206</f>
        <v/>
      </c>
      <c r="V206" s="192" t="n">
        <v>0</v>
      </c>
      <c r="W206" s="191">
        <f>U206+V206</f>
        <v/>
      </c>
      <c r="X206" s="36" t="n">
        <v>120</v>
      </c>
      <c r="Y206" s="5" t="n">
        <v>24</v>
      </c>
      <c r="Z206" s="191">
        <f>X206-Y206+W206</f>
        <v/>
      </c>
      <c r="AA206" s="192" t="n">
        <v>0</v>
      </c>
      <c r="AB206" s="191">
        <f>Z206+AA206</f>
        <v/>
      </c>
      <c r="AC206" s="36" t="n">
        <v>0</v>
      </c>
      <c r="AD206" s="5" t="n">
        <v>14</v>
      </c>
      <c r="AE206" s="191">
        <f>AC206-AD206+AB206</f>
        <v/>
      </c>
      <c r="AF206" s="192" t="n">
        <v>0</v>
      </c>
      <c r="AG206" s="191">
        <f>AE206+AF206</f>
        <v/>
      </c>
      <c r="AH206" s="36" t="n">
        <v>120</v>
      </c>
      <c r="AI206" s="5" t="n">
        <v>52</v>
      </c>
      <c r="AJ206" s="191">
        <f>AH206-AI206+AG206</f>
        <v/>
      </c>
      <c r="AK206" s="192" t="n">
        <v>0</v>
      </c>
      <c r="AL206" s="191">
        <f>AJ206+AK206</f>
        <v/>
      </c>
      <c r="AM206" s="35" t="inlineStr">
        <is>
          <t>高知</t>
        </is>
      </c>
      <c r="AN206" s="35" t="inlineStr">
        <is>
          <t>こもの</t>
        </is>
      </c>
      <c r="AO206" s="5" t="n">
        <v>155</v>
      </c>
      <c r="AP206" s="5" t="n">
        <v>0</v>
      </c>
      <c r="AQ206" s="35" t="inlineStr">
        <is>
          <t>○</t>
        </is>
      </c>
      <c r="AR206" s="35" t="n"/>
      <c r="AS206" s="122" t="n">
        <v>4571102110103</v>
      </c>
      <c r="AT206" s="35" t="n">
        <v>661</v>
      </c>
      <c r="AU206" s="35" t="inlineStr">
        <is>
          <t>㈱風水プロジェクト（ゆうき市場）</t>
        </is>
      </c>
    </row>
    <row r="207">
      <c r="A207" s="14" t="inlineStr">
        <is>
          <t>1854-28</t>
        </is>
      </c>
      <c r="B207" s="5" t="inlineStr">
        <is>
          <t>有機にんにくの芽 100ｇ(シェアガーデン)</t>
        </is>
      </c>
      <c r="C207" s="36" t="n">
        <v>0</v>
      </c>
      <c r="D207" s="36" t="n">
        <v>0</v>
      </c>
      <c r="E207" s="5" t="n">
        <v>0</v>
      </c>
      <c r="F207" s="191">
        <f>D207-E207+C207</f>
        <v/>
      </c>
      <c r="G207" s="192" t="n">
        <v>0</v>
      </c>
      <c r="H207" s="191">
        <f>F207+G207</f>
        <v/>
      </c>
      <c r="I207" s="36" t="n">
        <v>0</v>
      </c>
      <c r="J207" s="5" t="n">
        <v>0</v>
      </c>
      <c r="K207" s="191">
        <f>I207-J207+H207</f>
        <v/>
      </c>
      <c r="L207" s="192" t="n">
        <v>0</v>
      </c>
      <c r="M207" s="191">
        <f>K207+L207</f>
        <v/>
      </c>
      <c r="N207" s="36" t="n">
        <v>0</v>
      </c>
      <c r="O207" s="5" t="n">
        <v>0</v>
      </c>
      <c r="P207" s="191">
        <f>N207-O207+M207</f>
        <v/>
      </c>
      <c r="Q207" s="192" t="n">
        <v>0</v>
      </c>
      <c r="R207" s="191">
        <f>P207+Q207</f>
        <v/>
      </c>
      <c r="S207" s="36" t="n">
        <v>0</v>
      </c>
      <c r="T207" s="5" t="n">
        <v>0</v>
      </c>
      <c r="U207" s="191">
        <f>S207-T207+R207</f>
        <v/>
      </c>
      <c r="V207" s="192" t="n">
        <v>0</v>
      </c>
      <c r="W207" s="191">
        <f>U207+V207</f>
        <v/>
      </c>
      <c r="X207" s="36" t="n">
        <v>0</v>
      </c>
      <c r="Y207" s="5" t="n">
        <v>0</v>
      </c>
      <c r="Z207" s="191">
        <f>X207-Y207+W207</f>
        <v/>
      </c>
      <c r="AA207" s="192" t="n">
        <v>0</v>
      </c>
      <c r="AB207" s="191">
        <f>Z207+AA207</f>
        <v/>
      </c>
      <c r="AC207" s="36" t="n">
        <v>0</v>
      </c>
      <c r="AD207" s="5" t="n">
        <v>0</v>
      </c>
      <c r="AE207" s="191">
        <f>AC207-AD207+AB207</f>
        <v/>
      </c>
      <c r="AF207" s="192" t="n">
        <v>0</v>
      </c>
      <c r="AG207" s="191">
        <f>AE207+AF207</f>
        <v/>
      </c>
      <c r="AH207" s="36" t="n">
        <v>0</v>
      </c>
      <c r="AI207" s="5" t="n">
        <v>0</v>
      </c>
      <c r="AJ207" s="191">
        <f>AH207-AI207+AG207</f>
        <v/>
      </c>
      <c r="AK207" s="192" t="n">
        <v>0</v>
      </c>
      <c r="AL207" s="191">
        <f>AJ207+AK207</f>
        <v/>
      </c>
      <c r="AM207" s="35" t="inlineStr">
        <is>
          <t>千葉</t>
        </is>
      </c>
      <c r="AN207" s="35" t="inlineStr">
        <is>
          <t>こもの</t>
        </is>
      </c>
      <c r="AO207" s="5" t="n">
        <v>180</v>
      </c>
      <c r="AP207" s="5" t="n">
        <v>0</v>
      </c>
      <c r="AQ207" s="35" t="n"/>
      <c r="AR207" s="35" t="n"/>
      <c r="AS207" s="122" t="n"/>
      <c r="AT207" s="35" t="n"/>
      <c r="AU207" s="35" t="n"/>
    </row>
    <row r="208">
      <c r="A208" s="14" t="inlineStr">
        <is>
          <t>1856-76</t>
        </is>
      </c>
      <c r="B208" s="5" t="inlineStr">
        <is>
          <t>有機黒（くろ）にんにく　80ｇ（ｼｪｱｶﾞｰﾃﾞﾝ)</t>
        </is>
      </c>
      <c r="C208" s="36" t="n">
        <v>33</v>
      </c>
      <c r="D208" s="36" t="n">
        <v>0</v>
      </c>
      <c r="E208" s="5" t="n">
        <v>0</v>
      </c>
      <c r="F208" s="191">
        <f>D208-E208+C208</f>
        <v/>
      </c>
      <c r="G208" s="192" t="n">
        <v>0</v>
      </c>
      <c r="H208" s="191">
        <f>F208+G208</f>
        <v/>
      </c>
      <c r="I208" s="36" t="n">
        <v>0</v>
      </c>
      <c r="J208" s="5" t="n">
        <v>0</v>
      </c>
      <c r="K208" s="191">
        <f>I208-J208+H208</f>
        <v/>
      </c>
      <c r="L208" s="192" t="n">
        <v>0</v>
      </c>
      <c r="M208" s="191">
        <f>K208+L208</f>
        <v/>
      </c>
      <c r="N208" s="36" t="n">
        <v>0</v>
      </c>
      <c r="O208" s="5" t="n">
        <v>0</v>
      </c>
      <c r="P208" s="191">
        <f>N208-O208+M208</f>
        <v/>
      </c>
      <c r="Q208" s="192" t="n">
        <v>0</v>
      </c>
      <c r="R208" s="191">
        <f>P208+Q208</f>
        <v/>
      </c>
      <c r="S208" s="36" t="n">
        <v>0</v>
      </c>
      <c r="T208" s="5" t="n">
        <v>0</v>
      </c>
      <c r="U208" s="191">
        <f>S208-T208+R208</f>
        <v/>
      </c>
      <c r="V208" s="192" t="n">
        <v>0</v>
      </c>
      <c r="W208" s="191">
        <f>U208+V208</f>
        <v/>
      </c>
      <c r="X208" s="36" t="n">
        <v>0</v>
      </c>
      <c r="Y208" s="5" t="n">
        <v>0</v>
      </c>
      <c r="Z208" s="191">
        <f>X208-Y208+W208</f>
        <v/>
      </c>
      <c r="AA208" s="192" t="n">
        <v>0</v>
      </c>
      <c r="AB208" s="191">
        <f>Z208+AA208</f>
        <v/>
      </c>
      <c r="AC208" s="36" t="n">
        <v>0</v>
      </c>
      <c r="AD208" s="5" t="n">
        <v>0</v>
      </c>
      <c r="AE208" s="191">
        <f>AC208-AD208+AB208</f>
        <v/>
      </c>
      <c r="AF208" s="192" t="n">
        <v>0</v>
      </c>
      <c r="AG208" s="191">
        <f>AE208+AF208</f>
        <v/>
      </c>
      <c r="AH208" s="36" t="n">
        <v>0</v>
      </c>
      <c r="AI208" s="5" t="n">
        <v>0</v>
      </c>
      <c r="AJ208" s="191">
        <f>AH208-AI208+AG208</f>
        <v/>
      </c>
      <c r="AK208" s="192" t="n">
        <v>0</v>
      </c>
      <c r="AL208" s="191">
        <f>AJ208+AK208</f>
        <v/>
      </c>
      <c r="AM208" s="35" t="inlineStr">
        <is>
          <t>千葉</t>
        </is>
      </c>
      <c r="AN208" s="35" t="inlineStr">
        <is>
          <t>こもの</t>
        </is>
      </c>
      <c r="AO208" s="5" t="n">
        <v>480</v>
      </c>
      <c r="AP208" s="5" t="n">
        <v>0</v>
      </c>
      <c r="AQ208" s="35" t="n"/>
      <c r="AR208" s="35" t="n"/>
      <c r="AS208" s="122" t="n"/>
      <c r="AT208" s="35" t="n">
        <v>705</v>
      </c>
      <c r="AU208" s="35" t="inlineStr">
        <is>
          <t>シェアガーデン八街農場</t>
        </is>
      </c>
    </row>
    <row r="209">
      <c r="A209" s="14" t="inlineStr">
        <is>
          <t>1856-85</t>
        </is>
      </c>
      <c r="B209" s="5" t="inlineStr">
        <is>
          <t>にんにく　1玉(せっせと畑)◇</t>
        </is>
      </c>
      <c r="C209" s="36" t="n">
        <v>0</v>
      </c>
      <c r="D209" s="36" t="n">
        <v>0</v>
      </c>
      <c r="E209" s="5" t="n">
        <v>0</v>
      </c>
      <c r="F209" s="191">
        <f>D209-E209+C209</f>
        <v/>
      </c>
      <c r="G209" s="192" t="n">
        <v>0</v>
      </c>
      <c r="H209" s="191">
        <f>F209+G209</f>
        <v/>
      </c>
      <c r="I209" s="36" t="n">
        <v>91</v>
      </c>
      <c r="J209" s="5" t="n">
        <v>72</v>
      </c>
      <c r="K209" s="191">
        <f>I209-J209+H209</f>
        <v/>
      </c>
      <c r="L209" s="192" t="n">
        <v>0</v>
      </c>
      <c r="M209" s="191">
        <f>K209+L209</f>
        <v/>
      </c>
      <c r="N209" s="36" t="n">
        <v>0</v>
      </c>
      <c r="O209" s="5" t="n">
        <v>10</v>
      </c>
      <c r="P209" s="191">
        <f>N209-O209+M209</f>
        <v/>
      </c>
      <c r="Q209" s="192" t="n">
        <v>0</v>
      </c>
      <c r="R209" s="191">
        <f>P209+Q209</f>
        <v/>
      </c>
      <c r="S209" s="36" t="n">
        <v>100</v>
      </c>
      <c r="T209" s="5" t="n">
        <v>53</v>
      </c>
      <c r="U209" s="191">
        <f>S209-T209+R209</f>
        <v/>
      </c>
      <c r="V209" s="192" t="n">
        <v>0</v>
      </c>
      <c r="W209" s="191">
        <f>U209+V209</f>
        <v/>
      </c>
      <c r="X209" s="36" t="n">
        <v>0</v>
      </c>
      <c r="Y209" s="5" t="n">
        <v>15</v>
      </c>
      <c r="Z209" s="191">
        <f>X209-Y209+W209</f>
        <v/>
      </c>
      <c r="AA209" s="192" t="n">
        <v>0</v>
      </c>
      <c r="AB209" s="191">
        <f>Z209+AA209</f>
        <v/>
      </c>
      <c r="AC209" s="36" t="n">
        <v>100</v>
      </c>
      <c r="AD209" s="5" t="n">
        <v>31</v>
      </c>
      <c r="AE209" s="191">
        <f>AC209-AD209+AB209</f>
        <v/>
      </c>
      <c r="AF209" s="192" t="n">
        <v>0</v>
      </c>
      <c r="AG209" s="191">
        <f>AE209+AF209</f>
        <v/>
      </c>
      <c r="AH209" s="36" t="n">
        <v>0</v>
      </c>
      <c r="AI209" s="5" t="n">
        <v>30</v>
      </c>
      <c r="AJ209" s="191">
        <f>AH209-AI209+AG209</f>
        <v/>
      </c>
      <c r="AK209" s="192" t="n">
        <v>0</v>
      </c>
      <c r="AL209" s="191">
        <f>AJ209+AK209</f>
        <v/>
      </c>
      <c r="AM209" s="35" t="inlineStr">
        <is>
          <t>埼玉</t>
        </is>
      </c>
      <c r="AN209" s="35" t="inlineStr">
        <is>
          <t>こもの</t>
        </is>
      </c>
      <c r="AO209" s="5" t="n">
        <v>200</v>
      </c>
      <c r="AP209" s="5" t="n">
        <v>0</v>
      </c>
      <c r="AQ209" s="35" t="n"/>
      <c r="AR209" s="35" t="n"/>
      <c r="AS209" s="122" t="n"/>
      <c r="AT209" s="35" t="n"/>
      <c r="AU209" s="35" t="n"/>
    </row>
    <row r="210">
      <c r="A210" s="14" t="inlineStr">
        <is>
          <t>1857-29</t>
        </is>
      </c>
      <c r="B210" s="5" t="inlineStr">
        <is>
          <t>有機しょうが　100g袋 (夢有民・産ﾊﾟ)</t>
        </is>
      </c>
      <c r="C210" s="36" t="n">
        <v>300</v>
      </c>
      <c r="D210" s="36" t="n">
        <v>0</v>
      </c>
      <c r="E210" s="5" t="n">
        <v>0</v>
      </c>
      <c r="F210" s="191">
        <f>D210-E210+C210</f>
        <v/>
      </c>
      <c r="G210" s="192" t="n">
        <v>0</v>
      </c>
      <c r="H210" s="191">
        <f>F210+G210</f>
        <v/>
      </c>
      <c r="I210" s="36" t="n">
        <v>200</v>
      </c>
      <c r="J210" s="5" t="n">
        <v>159</v>
      </c>
      <c r="K210" s="191">
        <f>I210-J210+H210</f>
        <v/>
      </c>
      <c r="L210" s="192" t="n">
        <v>0</v>
      </c>
      <c r="M210" s="191">
        <f>K210+L210</f>
        <v/>
      </c>
      <c r="N210" s="36" t="n">
        <v>200</v>
      </c>
      <c r="O210" s="5" t="n">
        <v>71</v>
      </c>
      <c r="P210" s="191">
        <f>N210-O210+M210</f>
        <v/>
      </c>
      <c r="Q210" s="192" t="n">
        <v>0</v>
      </c>
      <c r="R210" s="191">
        <f>P210+Q210</f>
        <v/>
      </c>
      <c r="S210" s="36" t="n">
        <v>0</v>
      </c>
      <c r="T210" s="5" t="n">
        <v>78</v>
      </c>
      <c r="U210" s="191">
        <f>S210-T210+R210</f>
        <v/>
      </c>
      <c r="V210" s="192" t="n">
        <v>0</v>
      </c>
      <c r="W210" s="191">
        <f>U210+V210</f>
        <v/>
      </c>
      <c r="X210" s="36" t="n">
        <v>0</v>
      </c>
      <c r="Y210" s="5" t="n">
        <v>92</v>
      </c>
      <c r="Z210" s="191">
        <f>X210-Y210+W210</f>
        <v/>
      </c>
      <c r="AA210" s="192" t="n">
        <v>-5</v>
      </c>
      <c r="AB210" s="191">
        <f>Z210+AA210</f>
        <v/>
      </c>
      <c r="AC210" s="36" t="n">
        <v>0</v>
      </c>
      <c r="AD210" s="5" t="n">
        <v>124</v>
      </c>
      <c r="AE210" s="191">
        <f>AC210-AD210+AB210</f>
        <v/>
      </c>
      <c r="AF210" s="192" t="n">
        <v>0</v>
      </c>
      <c r="AG210" s="191">
        <f>AE210+AF210</f>
        <v/>
      </c>
      <c r="AH210" s="36" t="n">
        <v>200</v>
      </c>
      <c r="AI210" s="5" t="n">
        <v>146</v>
      </c>
      <c r="AJ210" s="191">
        <f>AH210-AI210+AG210</f>
        <v/>
      </c>
      <c r="AK210" s="192" t="n">
        <v>0</v>
      </c>
      <c r="AL210" s="191">
        <f>AJ210+AK210</f>
        <v/>
      </c>
      <c r="AM210" s="35" t="inlineStr">
        <is>
          <t>長崎</t>
        </is>
      </c>
      <c r="AN210" s="35" t="inlineStr">
        <is>
          <t>こもの</t>
        </is>
      </c>
      <c r="AO210" s="5" t="n">
        <v>220</v>
      </c>
      <c r="AP210" s="5" t="n">
        <v>0</v>
      </c>
      <c r="AQ210" s="35" t="inlineStr">
        <is>
          <t>○</t>
        </is>
      </c>
      <c r="AR210" s="35" t="n"/>
      <c r="AS210" s="122" t="n">
        <v>4580450000000</v>
      </c>
      <c r="AT210" s="35" t="n">
        <v>172</v>
      </c>
      <c r="AU210" s="35" t="inlineStr">
        <is>
          <t>㈱長有研</t>
        </is>
      </c>
    </row>
    <row r="211">
      <c r="A211" s="14" t="inlineStr">
        <is>
          <t>1857-56</t>
        </is>
      </c>
      <c r="B211" s="5" t="inlineStr">
        <is>
          <t>有機しょうが100ｇ×５(夢有民)東一</t>
        </is>
      </c>
      <c r="C211" s="36" t="n">
        <v>0</v>
      </c>
      <c r="D211" s="36" t="n">
        <v>0</v>
      </c>
      <c r="E211" s="5" t="n">
        <v>0</v>
      </c>
      <c r="F211" s="191">
        <f>D211-E211+C211</f>
        <v/>
      </c>
      <c r="G211" s="192" t="n">
        <v>0</v>
      </c>
      <c r="H211" s="191">
        <f>F211+G211</f>
        <v/>
      </c>
      <c r="I211" s="36" t="n">
        <v>0</v>
      </c>
      <c r="J211" s="5" t="n">
        <v>0</v>
      </c>
      <c r="K211" s="191">
        <f>I211-J211+H211</f>
        <v/>
      </c>
      <c r="L211" s="192" t="n">
        <v>0</v>
      </c>
      <c r="M211" s="191">
        <f>K211+L211</f>
        <v/>
      </c>
      <c r="N211" s="36" t="n">
        <v>0</v>
      </c>
      <c r="O211" s="5" t="n">
        <v>0</v>
      </c>
      <c r="P211" s="191">
        <f>N211-O211+M211</f>
        <v/>
      </c>
      <c r="Q211" s="192" t="n">
        <v>0</v>
      </c>
      <c r="R211" s="191">
        <f>P211+Q211</f>
        <v/>
      </c>
      <c r="S211" s="36" t="n">
        <v>0</v>
      </c>
      <c r="T211" s="5" t="n">
        <v>0</v>
      </c>
      <c r="U211" s="191">
        <f>S211-T211+R211</f>
        <v/>
      </c>
      <c r="V211" s="192" t="n">
        <v>0</v>
      </c>
      <c r="W211" s="191">
        <f>U211+V211</f>
        <v/>
      </c>
      <c r="X211" s="36" t="n">
        <v>1</v>
      </c>
      <c r="Y211" s="5" t="n">
        <v>1</v>
      </c>
      <c r="Z211" s="191">
        <f>X211-Y211+W211</f>
        <v/>
      </c>
      <c r="AA211" s="192" t="n">
        <v>0</v>
      </c>
      <c r="AB211" s="191">
        <f>Z211+AA211</f>
        <v/>
      </c>
      <c r="AC211" s="36" t="n">
        <v>0</v>
      </c>
      <c r="AD211" s="5" t="n">
        <v>0</v>
      </c>
      <c r="AE211" s="191">
        <f>AC211-AD211+AB211</f>
        <v/>
      </c>
      <c r="AF211" s="192" t="n">
        <v>0</v>
      </c>
      <c r="AG211" s="191">
        <f>AE211+AF211</f>
        <v/>
      </c>
      <c r="AH211" s="36" t="n">
        <v>0</v>
      </c>
      <c r="AI211" s="5" t="n">
        <v>0</v>
      </c>
      <c r="AJ211" s="191">
        <f>AH211-AI211+AG211</f>
        <v/>
      </c>
      <c r="AK211" s="192" t="n">
        <v>0</v>
      </c>
      <c r="AL211" s="191">
        <f>AJ211+AK211</f>
        <v/>
      </c>
      <c r="AM211" s="35" t="inlineStr">
        <is>
          <t>長崎</t>
        </is>
      </c>
      <c r="AN211" s="35" t="inlineStr">
        <is>
          <t>こもの</t>
        </is>
      </c>
      <c r="AO211" s="163" t="n">
        <v>1150</v>
      </c>
      <c r="AP211" s="5" t="n">
        <v>0</v>
      </c>
      <c r="AQ211" s="35" t="n"/>
      <c r="AR211" s="35" t="inlineStr">
        <is>
          <t>○</t>
        </is>
      </c>
      <c r="AS211" s="122" t="n">
        <v>4580445528407</v>
      </c>
      <c r="AT211" s="35" t="n"/>
      <c r="AU211" s="35" t="n"/>
    </row>
    <row r="212">
      <c r="A212" s="14" t="inlineStr">
        <is>
          <t>1868-21</t>
        </is>
      </c>
      <c r="B212" s="5" t="inlineStr">
        <is>
          <t>有機生きくらげ(菌床) 50ｇ(太洋社)</t>
        </is>
      </c>
      <c r="C212" s="36" t="n">
        <v>54</v>
      </c>
      <c r="D212" s="36" t="n">
        <v>0</v>
      </c>
      <c r="E212" s="5" t="n">
        <v>0</v>
      </c>
      <c r="F212" s="191">
        <f>D212-E212+C212</f>
        <v/>
      </c>
      <c r="G212" s="192" t="n">
        <v>0</v>
      </c>
      <c r="H212" s="191">
        <f>F212+G212</f>
        <v/>
      </c>
      <c r="I212" s="36" t="n">
        <v>0</v>
      </c>
      <c r="J212" s="5" t="n">
        <v>23</v>
      </c>
      <c r="K212" s="191">
        <f>I212-J212+H212</f>
        <v/>
      </c>
      <c r="L212" s="192" t="n">
        <v>0</v>
      </c>
      <c r="M212" s="191">
        <f>K212+L212</f>
        <v/>
      </c>
      <c r="N212" s="36" t="n">
        <v>0</v>
      </c>
      <c r="O212" s="5" t="n">
        <v>18</v>
      </c>
      <c r="P212" s="191">
        <f>N212-O212+M212</f>
        <v/>
      </c>
      <c r="Q212" s="192" t="n">
        <v>0</v>
      </c>
      <c r="R212" s="191">
        <f>P212+Q212</f>
        <v/>
      </c>
      <c r="S212" s="36" t="n">
        <v>45</v>
      </c>
      <c r="T212" s="5" t="n">
        <v>17</v>
      </c>
      <c r="U212" s="191">
        <f>S212-T212+R212</f>
        <v/>
      </c>
      <c r="V212" s="192" t="n">
        <v>0</v>
      </c>
      <c r="W212" s="191">
        <f>U212+V212</f>
        <v/>
      </c>
      <c r="X212" s="36" t="n">
        <v>0</v>
      </c>
      <c r="Y212" s="5" t="n">
        <v>13</v>
      </c>
      <c r="Z212" s="191">
        <f>X212-Y212+W212</f>
        <v/>
      </c>
      <c r="AA212" s="192" t="n">
        <v>0</v>
      </c>
      <c r="AB212" s="191">
        <f>Z212+AA212</f>
        <v/>
      </c>
      <c r="AC212" s="36" t="n">
        <v>45</v>
      </c>
      <c r="AD212" s="5" t="n">
        <v>16</v>
      </c>
      <c r="AE212" s="191">
        <f>AC212-AD212+AB212</f>
        <v/>
      </c>
      <c r="AF212" s="192" t="n">
        <v>-5</v>
      </c>
      <c r="AG212" s="191">
        <f>AE212+AF212</f>
        <v/>
      </c>
      <c r="AH212" s="36" t="n">
        <v>0</v>
      </c>
      <c r="AI212" s="5" t="n">
        <v>25</v>
      </c>
      <c r="AJ212" s="191">
        <f>AH212-AI212+AG212</f>
        <v/>
      </c>
      <c r="AK212" s="192" t="n">
        <v>0</v>
      </c>
      <c r="AL212" s="191">
        <f>AJ212+AK212</f>
        <v/>
      </c>
      <c r="AM212" s="35" t="inlineStr">
        <is>
          <t>岐阜</t>
        </is>
      </c>
      <c r="AN212" s="35" t="inlineStr">
        <is>
          <t>こもの</t>
        </is>
      </c>
      <c r="AO212" s="5" t="n">
        <v>125</v>
      </c>
      <c r="AP212" s="5" t="n">
        <v>0</v>
      </c>
      <c r="AQ212" s="35" t="inlineStr">
        <is>
          <t>○</t>
        </is>
      </c>
      <c r="AR212" s="35" t="n"/>
      <c r="AS212" s="122" t="n">
        <v>4571517100218</v>
      </c>
      <c r="AT212" s="35" t="n"/>
      <c r="AU212" s="35" t="n"/>
    </row>
    <row r="213">
      <c r="A213" s="14" t="inlineStr">
        <is>
          <t>1868-22</t>
        </is>
      </c>
      <c r="B213" s="5" t="inlineStr">
        <is>
          <t>有機生きくらげ(菌床) 50ｇ×5(太洋社)東一</t>
        </is>
      </c>
      <c r="C213" s="36" t="n">
        <v>0</v>
      </c>
      <c r="D213" s="36" t="n">
        <v>0</v>
      </c>
      <c r="E213" s="5" t="n">
        <v>0</v>
      </c>
      <c r="F213" s="191">
        <f>D213-E213+C213</f>
        <v/>
      </c>
      <c r="G213" s="192" t="n">
        <v>0</v>
      </c>
      <c r="H213" s="191">
        <f>F213+G213</f>
        <v/>
      </c>
      <c r="I213" s="36" t="n">
        <v>0</v>
      </c>
      <c r="J213" s="5" t="n">
        <v>0</v>
      </c>
      <c r="K213" s="191">
        <f>I213-J213+H213</f>
        <v/>
      </c>
      <c r="L213" s="192" t="n">
        <v>0</v>
      </c>
      <c r="M213" s="191">
        <f>K213+L213</f>
        <v/>
      </c>
      <c r="N213" s="36" t="n">
        <v>0</v>
      </c>
      <c r="O213" s="5" t="n">
        <v>0</v>
      </c>
      <c r="P213" s="191">
        <f>N213-O213+M213</f>
        <v/>
      </c>
      <c r="Q213" s="192" t="n">
        <v>0</v>
      </c>
      <c r="R213" s="191">
        <f>P213+Q213</f>
        <v/>
      </c>
      <c r="S213" s="36" t="n">
        <v>0</v>
      </c>
      <c r="T213" s="5" t="n">
        <v>0</v>
      </c>
      <c r="U213" s="191">
        <f>S213-T213+R213</f>
        <v/>
      </c>
      <c r="V213" s="192" t="n">
        <v>0</v>
      </c>
      <c r="W213" s="191">
        <f>U213+V213</f>
        <v/>
      </c>
      <c r="X213" s="36" t="n">
        <v>0</v>
      </c>
      <c r="Y213" s="5" t="n">
        <v>0</v>
      </c>
      <c r="Z213" s="191">
        <f>X213-Y213+W213</f>
        <v/>
      </c>
      <c r="AA213" s="192" t="n">
        <v>0</v>
      </c>
      <c r="AB213" s="191">
        <f>Z213+AA213</f>
        <v/>
      </c>
      <c r="AC213" s="36" t="n">
        <v>1</v>
      </c>
      <c r="AD213" s="5" t="n">
        <v>1</v>
      </c>
      <c r="AE213" s="191">
        <f>AC213-AD213+AB213</f>
        <v/>
      </c>
      <c r="AF213" s="192" t="n">
        <v>0</v>
      </c>
      <c r="AG213" s="191">
        <f>AE213+AF213</f>
        <v/>
      </c>
      <c r="AH213" s="36" t="n">
        <v>0</v>
      </c>
      <c r="AI213" s="5" t="n">
        <v>0</v>
      </c>
      <c r="AJ213" s="191">
        <f>AH213-AI213+AG213</f>
        <v/>
      </c>
      <c r="AK213" s="192" t="n">
        <v>0</v>
      </c>
      <c r="AL213" s="191">
        <f>AJ213+AK213</f>
        <v/>
      </c>
      <c r="AM213" s="35" t="inlineStr">
        <is>
          <t>岐阜</t>
        </is>
      </c>
      <c r="AN213" s="35" t="inlineStr">
        <is>
          <t>こもの</t>
        </is>
      </c>
      <c r="AO213" s="5" t="n">
        <v>625</v>
      </c>
      <c r="AP213" s="5" t="n">
        <v>0</v>
      </c>
      <c r="AQ213" s="35" t="n"/>
      <c r="AR213" s="35" t="inlineStr">
        <is>
          <t>○</t>
        </is>
      </c>
      <c r="AS213" s="122" t="n">
        <v>4571517100218</v>
      </c>
      <c r="AT213" s="35" t="n"/>
      <c r="AU213" s="35" t="n"/>
    </row>
    <row r="214">
      <c r="A214" s="14" t="inlineStr">
        <is>
          <t>1869-1</t>
        </is>
      </c>
      <c r="B214" s="5" t="inlineStr">
        <is>
          <t>有機パクチー　30ｇ（わ～ふぁ）</t>
        </is>
      </c>
      <c r="C214" s="36" t="n">
        <v>8</v>
      </c>
      <c r="D214" s="36" t="n">
        <v>110</v>
      </c>
      <c r="E214" s="5" t="n">
        <v>0</v>
      </c>
      <c r="F214" s="191">
        <f>D214-E214+C214</f>
        <v/>
      </c>
      <c r="G214" s="192" t="n">
        <v>0</v>
      </c>
      <c r="H214" s="191">
        <f>F214+G214</f>
        <v/>
      </c>
      <c r="I214" s="36" t="n">
        <v>0</v>
      </c>
      <c r="J214" s="5" t="n">
        <v>60</v>
      </c>
      <c r="K214" s="191">
        <f>I214-J214+H214</f>
        <v/>
      </c>
      <c r="L214" s="192" t="n">
        <v>-5</v>
      </c>
      <c r="M214" s="191">
        <f>K214+L214</f>
        <v/>
      </c>
      <c r="N214" s="36" t="n">
        <v>0</v>
      </c>
      <c r="O214" s="5" t="n">
        <v>33</v>
      </c>
      <c r="P214" s="191">
        <f>N214-O214+M214</f>
        <v/>
      </c>
      <c r="Q214" s="192" t="n">
        <v>-10</v>
      </c>
      <c r="R214" s="191">
        <f>P214+Q214</f>
        <v/>
      </c>
      <c r="S214" s="36" t="n">
        <v>80</v>
      </c>
      <c r="T214" s="5" t="n">
        <v>47</v>
      </c>
      <c r="U214" s="191">
        <f>S214-T214+R214</f>
        <v/>
      </c>
      <c r="V214" s="192" t="n">
        <v>0</v>
      </c>
      <c r="W214" s="191">
        <f>U214+V214</f>
        <v/>
      </c>
      <c r="X214" s="36" t="n">
        <v>0</v>
      </c>
      <c r="Y214" s="5" t="n">
        <v>22</v>
      </c>
      <c r="Z214" s="191">
        <f>X214-Y214+W214</f>
        <v/>
      </c>
      <c r="AA214" s="192" t="n">
        <v>-10</v>
      </c>
      <c r="AB214" s="191">
        <f>Z214+AA214</f>
        <v/>
      </c>
      <c r="AC214" s="36" t="n">
        <v>120</v>
      </c>
      <c r="AD214" s="5" t="n">
        <v>44</v>
      </c>
      <c r="AE214" s="191">
        <f>AC214-AD214+AB214</f>
        <v/>
      </c>
      <c r="AF214" s="192" t="n">
        <v>-40</v>
      </c>
      <c r="AG214" s="191">
        <f>AE214+AF214</f>
        <v/>
      </c>
      <c r="AH214" s="36" t="n">
        <v>0</v>
      </c>
      <c r="AI214" s="5" t="n">
        <v>44</v>
      </c>
      <c r="AJ214" s="191">
        <f>AH214-AI214+AG214</f>
        <v/>
      </c>
      <c r="AK214" s="192" t="n">
        <v>0</v>
      </c>
      <c r="AL214" s="191">
        <f>AJ214+AK214</f>
        <v/>
      </c>
      <c r="AM214" s="35" t="inlineStr">
        <is>
          <t>千葉</t>
        </is>
      </c>
      <c r="AN214" s="35" t="inlineStr">
        <is>
          <t>こもの</t>
        </is>
      </c>
      <c r="AO214" s="5" t="n">
        <v>180</v>
      </c>
      <c r="AP214" s="5" t="n">
        <v>165</v>
      </c>
      <c r="AQ214" s="35" t="n"/>
      <c r="AR214" s="35" t="n"/>
      <c r="AS214" s="122" t="n">
        <v>4560109260904</v>
      </c>
      <c r="AT214" s="35" t="n">
        <v>231</v>
      </c>
      <c r="AU214" s="35" t="inlineStr">
        <is>
          <t>(有）わ～ふぁ道本</t>
        </is>
      </c>
    </row>
    <row r="215">
      <c r="A215" s="14" t="inlineStr">
        <is>
          <t>1869-9</t>
        </is>
      </c>
      <c r="B215" s="5" t="inlineStr">
        <is>
          <t>有機パクチー　30ｇ×５(わ～ふぁ)東一</t>
        </is>
      </c>
      <c r="C215" s="36" t="n">
        <v>0</v>
      </c>
      <c r="D215" s="36" t="n">
        <v>0</v>
      </c>
      <c r="E215" s="5" t="n">
        <v>0</v>
      </c>
      <c r="F215" s="191">
        <f>D215-E215+C215</f>
        <v/>
      </c>
      <c r="G215" s="192" t="n">
        <v>0</v>
      </c>
      <c r="H215" s="191">
        <f>F215+G215</f>
        <v/>
      </c>
      <c r="I215" s="36" t="n">
        <v>1</v>
      </c>
      <c r="J215" s="5" t="n">
        <v>1</v>
      </c>
      <c r="K215" s="191">
        <f>I215-J215+H215</f>
        <v/>
      </c>
      <c r="L215" s="192" t="n">
        <v>0</v>
      </c>
      <c r="M215" s="191">
        <f>K215+L215</f>
        <v/>
      </c>
      <c r="N215" s="36" t="n">
        <v>2</v>
      </c>
      <c r="O215" s="5" t="n">
        <v>2</v>
      </c>
      <c r="P215" s="191">
        <f>N215-O215+M215</f>
        <v/>
      </c>
      <c r="Q215" s="192" t="n">
        <v>0</v>
      </c>
      <c r="R215" s="191">
        <f>P215+Q215</f>
        <v/>
      </c>
      <c r="S215" s="36" t="n">
        <v>0</v>
      </c>
      <c r="T215" s="5" t="n">
        <v>0</v>
      </c>
      <c r="U215" s="191">
        <f>S215-T215+R215</f>
        <v/>
      </c>
      <c r="V215" s="192" t="n">
        <v>0</v>
      </c>
      <c r="W215" s="191">
        <f>U215+V215</f>
        <v/>
      </c>
      <c r="X215" s="36" t="n">
        <v>2</v>
      </c>
      <c r="Y215" s="5" t="n">
        <v>2</v>
      </c>
      <c r="Z215" s="191">
        <f>X215-Y215+W215</f>
        <v/>
      </c>
      <c r="AA215" s="192" t="n">
        <v>0</v>
      </c>
      <c r="AB215" s="191">
        <f>Z215+AA215</f>
        <v/>
      </c>
      <c r="AC215" s="36" t="n">
        <v>8</v>
      </c>
      <c r="AD215" s="5" t="n">
        <v>8</v>
      </c>
      <c r="AE215" s="191">
        <f>AC215-AD215+AB215</f>
        <v/>
      </c>
      <c r="AF215" s="192" t="n">
        <v>0</v>
      </c>
      <c r="AG215" s="191">
        <f>AE215+AF215</f>
        <v/>
      </c>
      <c r="AH215" s="36" t="n">
        <v>0</v>
      </c>
      <c r="AI215" s="5" t="n">
        <v>1</v>
      </c>
      <c r="AJ215" s="191">
        <f>AH215-AI215+AG215</f>
        <v/>
      </c>
      <c r="AK215" s="192" t="n">
        <v>0</v>
      </c>
      <c r="AL215" s="191">
        <f>AJ215+AK215</f>
        <v/>
      </c>
      <c r="AM215" s="35" t="inlineStr">
        <is>
          <t>千葉</t>
        </is>
      </c>
      <c r="AN215" s="35" t="inlineStr">
        <is>
          <t>こもの</t>
        </is>
      </c>
      <c r="AO215" s="5" t="n">
        <v>975</v>
      </c>
      <c r="AP215" s="5" t="n">
        <v>0</v>
      </c>
      <c r="AQ215" s="35" t="n"/>
      <c r="AR215" s="35" t="inlineStr">
        <is>
          <t>○</t>
        </is>
      </c>
      <c r="AS215" s="122" t="n">
        <v>4560109260904</v>
      </c>
      <c r="AT215" s="35" t="n">
        <v>231</v>
      </c>
      <c r="AU215" s="35" t="inlineStr">
        <is>
          <t>(有）わ～ふぁ道本</t>
        </is>
      </c>
    </row>
    <row r="216">
      <c r="A216" s="14" t="inlineStr">
        <is>
          <t>1875-15</t>
        </is>
      </c>
      <c r="B216" s="5" t="inlineStr">
        <is>
          <t>有機ラディッシュ　4～6玉袋(やさと)</t>
        </is>
      </c>
      <c r="C216" s="36" t="n">
        <v>27</v>
      </c>
      <c r="D216" s="36" t="n">
        <v>0</v>
      </c>
      <c r="E216" s="5" t="n">
        <v>0</v>
      </c>
      <c r="F216" s="191">
        <f>D216-E216+C216</f>
        <v/>
      </c>
      <c r="G216" s="192" t="n">
        <v>0</v>
      </c>
      <c r="H216" s="191">
        <f>F216+G216</f>
        <v/>
      </c>
      <c r="I216" s="36" t="n">
        <v>0</v>
      </c>
      <c r="J216" s="5" t="n">
        <v>12</v>
      </c>
      <c r="K216" s="191">
        <f>I216-J216+H216</f>
        <v/>
      </c>
      <c r="L216" s="192" t="n">
        <v>0</v>
      </c>
      <c r="M216" s="191">
        <f>K216+L216</f>
        <v/>
      </c>
      <c r="N216" s="36" t="n">
        <v>0</v>
      </c>
      <c r="O216" s="5" t="n">
        <v>2</v>
      </c>
      <c r="P216" s="191">
        <f>N216-O216+M216</f>
        <v/>
      </c>
      <c r="Q216" s="192" t="n">
        <v>0</v>
      </c>
      <c r="R216" s="191">
        <f>P216+Q216</f>
        <v/>
      </c>
      <c r="S216" s="36" t="n">
        <v>0</v>
      </c>
      <c r="T216" s="5" t="n">
        <v>2</v>
      </c>
      <c r="U216" s="191">
        <f>S216-T216+R216</f>
        <v/>
      </c>
      <c r="V216" s="192" t="n">
        <v>0</v>
      </c>
      <c r="W216" s="191">
        <f>U216+V216</f>
        <v/>
      </c>
      <c r="X216" s="36" t="n">
        <v>0</v>
      </c>
      <c r="Y216" s="5" t="n">
        <v>7</v>
      </c>
      <c r="Z216" s="191">
        <f>X216-Y216+W216</f>
        <v/>
      </c>
      <c r="AA216" s="192" t="n">
        <v>0</v>
      </c>
      <c r="AB216" s="191">
        <f>Z216+AA216</f>
        <v/>
      </c>
      <c r="AC216" s="36" t="n">
        <v>20</v>
      </c>
      <c r="AD216" s="5" t="n">
        <v>5</v>
      </c>
      <c r="AE216" s="191">
        <f>AC216-AD216+AB216</f>
        <v/>
      </c>
      <c r="AF216" s="192" t="n">
        <v>0</v>
      </c>
      <c r="AG216" s="191">
        <f>AE216+AF216</f>
        <v/>
      </c>
      <c r="AH216" s="36" t="n">
        <v>0</v>
      </c>
      <c r="AI216" s="5" t="n">
        <v>7</v>
      </c>
      <c r="AJ216" s="191">
        <f>AH216-AI216+AG216</f>
        <v/>
      </c>
      <c r="AK216" s="192" t="n">
        <v>0</v>
      </c>
      <c r="AL216" s="191">
        <f>AJ216+AK216</f>
        <v/>
      </c>
      <c r="AM216" s="35" t="inlineStr">
        <is>
          <t>茨城</t>
        </is>
      </c>
      <c r="AN216" s="35" t="inlineStr">
        <is>
          <t>こもの</t>
        </is>
      </c>
      <c r="AO216" s="5" t="n">
        <v>160</v>
      </c>
      <c r="AP216" s="5" t="n">
        <v>0</v>
      </c>
      <c r="AQ216" s="35" t="inlineStr">
        <is>
          <t>○</t>
        </is>
      </c>
      <c r="AR216" s="35" t="n"/>
      <c r="AS216" s="122" t="n"/>
      <c r="AT216" s="35" t="n"/>
      <c r="AU216" s="35" t="n"/>
    </row>
    <row r="217">
      <c r="A217" s="14" t="inlineStr">
        <is>
          <t>1878-10</t>
        </is>
      </c>
      <c r="B217" s="5" t="inlineStr">
        <is>
          <t>□有機緑豆もやし　200g×10 (ｻﾗﾀﾞｺｽﾓ)</t>
        </is>
      </c>
      <c r="C217" s="36" t="n">
        <v>0</v>
      </c>
      <c r="D217" s="36" t="n">
        <v>0</v>
      </c>
      <c r="E217" s="5" t="n">
        <v>0</v>
      </c>
      <c r="F217" s="191">
        <f>D217-E217+C217</f>
        <v/>
      </c>
      <c r="G217" s="192" t="n">
        <v>0</v>
      </c>
      <c r="H217" s="191">
        <f>F217+G217</f>
        <v/>
      </c>
      <c r="I217" s="36" t="n">
        <v>0</v>
      </c>
      <c r="J217" s="5" t="n">
        <v>0</v>
      </c>
      <c r="K217" s="191">
        <f>I217-J217+H217</f>
        <v/>
      </c>
      <c r="L217" s="192" t="n">
        <v>0</v>
      </c>
      <c r="M217" s="191">
        <f>K217+L217</f>
        <v/>
      </c>
      <c r="N217" s="36" t="n">
        <v>0</v>
      </c>
      <c r="O217" s="5" t="n">
        <v>1</v>
      </c>
      <c r="P217" s="191">
        <f>N217-O217+M217</f>
        <v/>
      </c>
      <c r="Q217" s="192" t="n">
        <v>0</v>
      </c>
      <c r="R217" s="191">
        <f>P217+Q217</f>
        <v/>
      </c>
      <c r="S217" s="36" t="n">
        <v>0</v>
      </c>
      <c r="T217" s="5" t="n">
        <v>0</v>
      </c>
      <c r="U217" s="191">
        <f>S217-T217+R217</f>
        <v/>
      </c>
      <c r="V217" s="192" t="n">
        <v>0</v>
      </c>
      <c r="W217" s="191">
        <f>U217+V217</f>
        <v/>
      </c>
      <c r="X217" s="36" t="n">
        <v>0</v>
      </c>
      <c r="Y217" s="5" t="n">
        <v>0</v>
      </c>
      <c r="Z217" s="191">
        <f>X217-Y217+W217</f>
        <v/>
      </c>
      <c r="AA217" s="192" t="n">
        <v>0</v>
      </c>
      <c r="AB217" s="191">
        <f>Z217+AA217</f>
        <v/>
      </c>
      <c r="AC217" s="36" t="n">
        <v>0</v>
      </c>
      <c r="AD217" s="5" t="n">
        <v>2</v>
      </c>
      <c r="AE217" s="191">
        <f>AC217-AD217+AB217</f>
        <v/>
      </c>
      <c r="AF217" s="192" t="n">
        <v>0</v>
      </c>
      <c r="AG217" s="191">
        <f>AE217+AF217</f>
        <v/>
      </c>
      <c r="AH217" s="36" t="n">
        <v>0</v>
      </c>
      <c r="AI217" s="5" t="n">
        <v>0</v>
      </c>
      <c r="AJ217" s="191">
        <f>AH217-AI217+AG217</f>
        <v/>
      </c>
      <c r="AK217" s="192" t="n">
        <v>0</v>
      </c>
      <c r="AL217" s="191">
        <f>AJ217+AK217</f>
        <v/>
      </c>
      <c r="AM217" s="35" t="inlineStr">
        <is>
          <t>長野</t>
        </is>
      </c>
      <c r="AN217" s="35" t="inlineStr">
        <is>
          <t>こもの</t>
        </is>
      </c>
      <c r="AO217" s="5" t="n">
        <v>500</v>
      </c>
      <c r="AP217" s="5" t="n">
        <v>0</v>
      </c>
      <c r="AQ217" s="35" t="inlineStr">
        <is>
          <t>○</t>
        </is>
      </c>
      <c r="AR217" s="35" t="n"/>
      <c r="AS217" s="122" t="n"/>
      <c r="AT217" s="35" t="n">
        <v>201</v>
      </c>
      <c r="AU217" s="35" t="inlineStr">
        <is>
          <t>㈱サラダコスモ</t>
        </is>
      </c>
    </row>
    <row r="218">
      <c r="A218" s="14" t="inlineStr">
        <is>
          <t>1878-15</t>
        </is>
      </c>
      <c r="B218" s="5" t="inlineStr">
        <is>
          <t>□有機緑豆根取りもやし 200g×10(ｻﾗﾀﾞｺｽﾓ)</t>
        </is>
      </c>
      <c r="C218" s="36" t="n">
        <v>0</v>
      </c>
      <c r="D218" s="36" t="n">
        <v>0</v>
      </c>
      <c r="E218" s="5" t="n">
        <v>0</v>
      </c>
      <c r="F218" s="191">
        <f>D218-E218+C218</f>
        <v/>
      </c>
      <c r="G218" s="192" t="n">
        <v>0</v>
      </c>
      <c r="H218" s="191">
        <f>F218+G218</f>
        <v/>
      </c>
      <c r="I218" s="36" t="n">
        <v>0</v>
      </c>
      <c r="J218" s="5" t="n">
        <v>0</v>
      </c>
      <c r="K218" s="191">
        <f>I218-J218+H218</f>
        <v/>
      </c>
      <c r="L218" s="192" t="n">
        <v>0</v>
      </c>
      <c r="M218" s="191">
        <f>K218+L218</f>
        <v/>
      </c>
      <c r="N218" s="36" t="n">
        <v>0</v>
      </c>
      <c r="O218" s="5" t="n">
        <v>0</v>
      </c>
      <c r="P218" s="191">
        <f>N218-O218+M218</f>
        <v/>
      </c>
      <c r="Q218" s="192" t="n">
        <v>0</v>
      </c>
      <c r="R218" s="191">
        <f>P218+Q218</f>
        <v/>
      </c>
      <c r="S218" s="36" t="n">
        <v>0</v>
      </c>
      <c r="T218" s="5" t="n">
        <v>0</v>
      </c>
      <c r="U218" s="191">
        <f>S218-T218+R218</f>
        <v/>
      </c>
      <c r="V218" s="192" t="n">
        <v>0</v>
      </c>
      <c r="W218" s="191">
        <f>U218+V218</f>
        <v/>
      </c>
      <c r="X218" s="36" t="n">
        <v>0</v>
      </c>
      <c r="Y218" s="5" t="n">
        <v>0</v>
      </c>
      <c r="Z218" s="191">
        <f>X218-Y218+W218</f>
        <v/>
      </c>
      <c r="AA218" s="192" t="n">
        <v>0</v>
      </c>
      <c r="AB218" s="191">
        <f>Z218+AA218</f>
        <v/>
      </c>
      <c r="AC218" s="36" t="n">
        <v>0</v>
      </c>
      <c r="AD218" s="5" t="n">
        <v>0</v>
      </c>
      <c r="AE218" s="191">
        <f>AC218-AD218+AB218</f>
        <v/>
      </c>
      <c r="AF218" s="192" t="n">
        <v>0</v>
      </c>
      <c r="AG218" s="191">
        <f>AE218+AF218</f>
        <v/>
      </c>
      <c r="AH218" s="36" t="n">
        <v>0</v>
      </c>
      <c r="AI218" s="5" t="n">
        <v>0</v>
      </c>
      <c r="AJ218" s="191">
        <f>AH218-AI218+AG218</f>
        <v/>
      </c>
      <c r="AK218" s="192" t="n">
        <v>0</v>
      </c>
      <c r="AL218" s="191">
        <f>AJ218+AK218</f>
        <v/>
      </c>
      <c r="AM218" s="35" t="n"/>
      <c r="AN218" s="35" t="n"/>
      <c r="AO218" s="5" t="n">
        <v>0</v>
      </c>
      <c r="AP218" s="5" t="n">
        <v>0</v>
      </c>
      <c r="AQ218" s="35" t="n"/>
      <c r="AR218" s="35" t="n"/>
      <c r="AS218" s="122" t="n"/>
      <c r="AT218" s="35" t="n"/>
      <c r="AU218" s="35" t="n"/>
    </row>
    <row r="219">
      <c r="A219" s="14" t="inlineStr">
        <is>
          <t>1878-17</t>
        </is>
      </c>
      <c r="B219" s="5" t="inlineStr">
        <is>
          <t>□有機かいわれ大根　１束×12 (ｻﾗﾀﾞｺｽﾓ)</t>
        </is>
      </c>
      <c r="C219" s="36" t="n">
        <v>0</v>
      </c>
      <c r="D219" s="36" t="n">
        <v>0</v>
      </c>
      <c r="E219" s="5" t="n">
        <v>0</v>
      </c>
      <c r="F219" s="191">
        <f>D219-E219+C219</f>
        <v/>
      </c>
      <c r="G219" s="192" t="n">
        <v>0</v>
      </c>
      <c r="H219" s="191">
        <f>F219+G219</f>
        <v/>
      </c>
      <c r="I219" s="36" t="n">
        <v>0</v>
      </c>
      <c r="J219" s="5" t="n">
        <v>0</v>
      </c>
      <c r="K219" s="191">
        <f>I219-J219+H219</f>
        <v/>
      </c>
      <c r="L219" s="192" t="n">
        <v>0</v>
      </c>
      <c r="M219" s="191">
        <f>K219+L219</f>
        <v/>
      </c>
      <c r="N219" s="36" t="n">
        <v>0</v>
      </c>
      <c r="O219" s="5" t="n">
        <v>0</v>
      </c>
      <c r="P219" s="191">
        <f>N219-O219+M219</f>
        <v/>
      </c>
      <c r="Q219" s="192" t="n">
        <v>0</v>
      </c>
      <c r="R219" s="191">
        <f>P219+Q219</f>
        <v/>
      </c>
      <c r="S219" s="36" t="n">
        <v>0</v>
      </c>
      <c r="T219" s="5" t="n">
        <v>0</v>
      </c>
      <c r="U219" s="191">
        <f>S219-T219+R219</f>
        <v/>
      </c>
      <c r="V219" s="192" t="n">
        <v>0</v>
      </c>
      <c r="W219" s="191">
        <f>U219+V219</f>
        <v/>
      </c>
      <c r="X219" s="36" t="n">
        <v>0</v>
      </c>
      <c r="Y219" s="5" t="n">
        <v>0</v>
      </c>
      <c r="Z219" s="191">
        <f>X219-Y219+W219</f>
        <v/>
      </c>
      <c r="AA219" s="192" t="n">
        <v>0</v>
      </c>
      <c r="AB219" s="191">
        <f>Z219+AA219</f>
        <v/>
      </c>
      <c r="AC219" s="36" t="n">
        <v>0</v>
      </c>
      <c r="AD219" s="5" t="n">
        <v>0</v>
      </c>
      <c r="AE219" s="191">
        <f>AC219-AD219+AB219</f>
        <v/>
      </c>
      <c r="AF219" s="192" t="n">
        <v>0</v>
      </c>
      <c r="AG219" s="191">
        <f>AE219+AF219</f>
        <v/>
      </c>
      <c r="AH219" s="36" t="n">
        <v>0</v>
      </c>
      <c r="AI219" s="5" t="n">
        <v>0</v>
      </c>
      <c r="AJ219" s="191">
        <f>AH219-AI219+AG219</f>
        <v/>
      </c>
      <c r="AK219" s="192" t="n">
        <v>0</v>
      </c>
      <c r="AL219" s="191">
        <f>AJ219+AK219</f>
        <v/>
      </c>
      <c r="AM219" s="35" t="n"/>
      <c r="AN219" s="35" t="n"/>
      <c r="AO219" s="5" t="n">
        <v>0</v>
      </c>
      <c r="AP219" s="5" t="n">
        <v>0</v>
      </c>
      <c r="AQ219" s="35" t="n"/>
      <c r="AR219" s="35" t="n"/>
      <c r="AS219" s="122" t="n"/>
      <c r="AT219" s="35" t="n"/>
      <c r="AU219" s="35" t="n"/>
    </row>
    <row r="220">
      <c r="A220" s="14" t="inlineStr">
        <is>
          <t>1878-18</t>
        </is>
      </c>
      <c r="B220" s="5" t="inlineStr">
        <is>
          <t>□有機ﾌﾞﾛｯｺﾘｰの新芽　１束×12 (ｻﾗﾀﾞｺｽﾓ)</t>
        </is>
      </c>
      <c r="C220" s="36" t="n">
        <v>0</v>
      </c>
      <c r="D220" s="36" t="n">
        <v>0</v>
      </c>
      <c r="E220" s="5" t="n">
        <v>0</v>
      </c>
      <c r="F220" s="191">
        <f>D220-E220+C220</f>
        <v/>
      </c>
      <c r="G220" s="192" t="n">
        <v>0</v>
      </c>
      <c r="H220" s="191">
        <f>F220+G220</f>
        <v/>
      </c>
      <c r="I220" s="36" t="n">
        <v>0</v>
      </c>
      <c r="J220" s="5" t="n">
        <v>0</v>
      </c>
      <c r="K220" s="191">
        <f>I220-J220+H220</f>
        <v/>
      </c>
      <c r="L220" s="192" t="n">
        <v>0</v>
      </c>
      <c r="M220" s="191">
        <f>K220+L220</f>
        <v/>
      </c>
      <c r="N220" s="36" t="n">
        <v>0</v>
      </c>
      <c r="O220" s="5" t="n">
        <v>1</v>
      </c>
      <c r="P220" s="191">
        <f>N220-O220+M220</f>
        <v/>
      </c>
      <c r="Q220" s="192" t="n">
        <v>0</v>
      </c>
      <c r="R220" s="191">
        <f>P220+Q220</f>
        <v/>
      </c>
      <c r="S220" s="36" t="n">
        <v>0</v>
      </c>
      <c r="T220" s="5" t="n">
        <v>0</v>
      </c>
      <c r="U220" s="191">
        <f>S220-T220+R220</f>
        <v/>
      </c>
      <c r="V220" s="192" t="n">
        <v>0</v>
      </c>
      <c r="W220" s="191">
        <f>U220+V220</f>
        <v/>
      </c>
      <c r="X220" s="36" t="n">
        <v>0</v>
      </c>
      <c r="Y220" s="5" t="n">
        <v>0</v>
      </c>
      <c r="Z220" s="191">
        <f>X220-Y220+W220</f>
        <v/>
      </c>
      <c r="AA220" s="192" t="n">
        <v>0</v>
      </c>
      <c r="AB220" s="191">
        <f>Z220+AA220</f>
        <v/>
      </c>
      <c r="AC220" s="36" t="n">
        <v>0</v>
      </c>
      <c r="AD220" s="5" t="n">
        <v>0</v>
      </c>
      <c r="AE220" s="191">
        <f>AC220-AD220+AB220</f>
        <v/>
      </c>
      <c r="AF220" s="192" t="n">
        <v>0</v>
      </c>
      <c r="AG220" s="191">
        <f>AE220+AF220</f>
        <v/>
      </c>
      <c r="AH220" s="36" t="n">
        <v>0</v>
      </c>
      <c r="AI220" s="5" t="n">
        <v>0</v>
      </c>
      <c r="AJ220" s="191">
        <f>AH220-AI220+AG220</f>
        <v/>
      </c>
      <c r="AK220" s="192" t="n">
        <v>0</v>
      </c>
      <c r="AL220" s="191">
        <f>AJ220+AK220</f>
        <v/>
      </c>
      <c r="AM220" s="35" t="inlineStr">
        <is>
          <t>岐阜</t>
        </is>
      </c>
      <c r="AN220" s="35" t="inlineStr">
        <is>
          <t>こもの</t>
        </is>
      </c>
      <c r="AO220" s="163" t="n">
        <v>1200</v>
      </c>
      <c r="AP220" s="5" t="n">
        <v>0</v>
      </c>
      <c r="AQ220" s="35" t="inlineStr">
        <is>
          <t>○</t>
        </is>
      </c>
      <c r="AR220" s="35" t="n"/>
      <c r="AS220" s="122" t="n"/>
      <c r="AT220" s="35" t="n">
        <v>201</v>
      </c>
      <c r="AU220" s="35" t="inlineStr">
        <is>
          <t>㈱サラダコスモ</t>
        </is>
      </c>
    </row>
    <row r="221">
      <c r="A221" s="14" t="inlineStr">
        <is>
          <t>1878-19</t>
        </is>
      </c>
      <c r="B221" s="5" t="inlineStr">
        <is>
          <t>□有機豆苗　２束×6 (ｻﾗﾀﾞｺｽﾓ)</t>
        </is>
      </c>
      <c r="C221" s="36" t="n">
        <v>0</v>
      </c>
      <c r="D221" s="36" t="n">
        <v>0</v>
      </c>
      <c r="E221" s="5" t="n">
        <v>0</v>
      </c>
      <c r="F221" s="191">
        <f>D221-E221+C221</f>
        <v/>
      </c>
      <c r="G221" s="192" t="n">
        <v>0</v>
      </c>
      <c r="H221" s="191">
        <f>F221+G221</f>
        <v/>
      </c>
      <c r="I221" s="36" t="n">
        <v>0</v>
      </c>
      <c r="J221" s="5" t="n">
        <v>0</v>
      </c>
      <c r="K221" s="191">
        <f>I221-J221+H221</f>
        <v/>
      </c>
      <c r="L221" s="192" t="n">
        <v>0</v>
      </c>
      <c r="M221" s="191">
        <f>K221+L221</f>
        <v/>
      </c>
      <c r="N221" s="36" t="n">
        <v>0</v>
      </c>
      <c r="O221" s="5" t="n">
        <v>0</v>
      </c>
      <c r="P221" s="191">
        <f>N221-O221+M221</f>
        <v/>
      </c>
      <c r="Q221" s="192" t="n">
        <v>0</v>
      </c>
      <c r="R221" s="191">
        <f>P221+Q221</f>
        <v/>
      </c>
      <c r="S221" s="36" t="n">
        <v>0</v>
      </c>
      <c r="T221" s="5" t="n">
        <v>0</v>
      </c>
      <c r="U221" s="191">
        <f>S221-T221+R221</f>
        <v/>
      </c>
      <c r="V221" s="192" t="n">
        <v>0</v>
      </c>
      <c r="W221" s="191">
        <f>U221+V221</f>
        <v/>
      </c>
      <c r="X221" s="36" t="n">
        <v>0</v>
      </c>
      <c r="Y221" s="5" t="n">
        <v>0</v>
      </c>
      <c r="Z221" s="191">
        <f>X221-Y221+W221</f>
        <v/>
      </c>
      <c r="AA221" s="192" t="n">
        <v>0</v>
      </c>
      <c r="AB221" s="191">
        <f>Z221+AA221</f>
        <v/>
      </c>
      <c r="AC221" s="36" t="n">
        <v>0</v>
      </c>
      <c r="AD221" s="5" t="n">
        <v>0</v>
      </c>
      <c r="AE221" s="191">
        <f>AC221-AD221+AB221</f>
        <v/>
      </c>
      <c r="AF221" s="192" t="n">
        <v>0</v>
      </c>
      <c r="AG221" s="191">
        <f>AE221+AF221</f>
        <v/>
      </c>
      <c r="AH221" s="36" t="n">
        <v>0</v>
      </c>
      <c r="AI221" s="5" t="n">
        <v>0</v>
      </c>
      <c r="AJ221" s="191">
        <f>AH221-AI221+AG221</f>
        <v/>
      </c>
      <c r="AK221" s="192" t="n">
        <v>0</v>
      </c>
      <c r="AL221" s="191">
        <f>AJ221+AK221</f>
        <v/>
      </c>
      <c r="AM221" s="35" t="n"/>
      <c r="AN221" s="35" t="n"/>
      <c r="AO221" s="5" t="n">
        <v>0</v>
      </c>
      <c r="AP221" s="5" t="n">
        <v>0</v>
      </c>
      <c r="AQ221" s="35" t="n"/>
      <c r="AR221" s="35" t="n"/>
      <c r="AS221" s="122" t="n"/>
      <c r="AT221" s="35" t="n"/>
      <c r="AU221" s="35" t="n"/>
    </row>
    <row r="222">
      <c r="A222" s="14" t="inlineStr">
        <is>
          <t>1878-20</t>
        </is>
      </c>
      <c r="B222" s="5" t="inlineStr">
        <is>
          <t>□有機赤ﾗﾃﾞｨｯｼｭの新芽 １束×9 (ｻﾗﾀﾞｺｽﾓ)</t>
        </is>
      </c>
      <c r="C222" s="36" t="n">
        <v>0</v>
      </c>
      <c r="D222" s="36" t="n">
        <v>0</v>
      </c>
      <c r="E222" s="5" t="n">
        <v>0</v>
      </c>
      <c r="F222" s="191">
        <f>D222-E222+C222</f>
        <v/>
      </c>
      <c r="G222" s="192" t="n">
        <v>0</v>
      </c>
      <c r="H222" s="191">
        <f>F222+G222</f>
        <v/>
      </c>
      <c r="I222" s="36" t="n">
        <v>0</v>
      </c>
      <c r="J222" s="5" t="n">
        <v>0</v>
      </c>
      <c r="K222" s="191">
        <f>I222-J222+H222</f>
        <v/>
      </c>
      <c r="L222" s="192" t="n">
        <v>0</v>
      </c>
      <c r="M222" s="191">
        <f>K222+L222</f>
        <v/>
      </c>
      <c r="N222" s="36" t="n">
        <v>0</v>
      </c>
      <c r="O222" s="5" t="n">
        <v>1</v>
      </c>
      <c r="P222" s="191">
        <f>N222-O222+M222</f>
        <v/>
      </c>
      <c r="Q222" s="192" t="n">
        <v>0</v>
      </c>
      <c r="R222" s="191">
        <f>P222+Q222</f>
        <v/>
      </c>
      <c r="S222" s="36" t="n">
        <v>0</v>
      </c>
      <c r="T222" s="5" t="n">
        <v>0</v>
      </c>
      <c r="U222" s="191">
        <f>S222-T222+R222</f>
        <v/>
      </c>
      <c r="V222" s="192" t="n">
        <v>0</v>
      </c>
      <c r="W222" s="191">
        <f>U222+V222</f>
        <v/>
      </c>
      <c r="X222" s="36" t="n">
        <v>0</v>
      </c>
      <c r="Y222" s="5" t="n">
        <v>0</v>
      </c>
      <c r="Z222" s="191">
        <f>X222-Y222+W222</f>
        <v/>
      </c>
      <c r="AA222" s="192" t="n">
        <v>0</v>
      </c>
      <c r="AB222" s="191">
        <f>Z222+AA222</f>
        <v/>
      </c>
      <c r="AC222" s="36" t="n">
        <v>0</v>
      </c>
      <c r="AD222" s="5" t="n">
        <v>0</v>
      </c>
      <c r="AE222" s="191">
        <f>AC222-AD222+AB222</f>
        <v/>
      </c>
      <c r="AF222" s="192" t="n">
        <v>0</v>
      </c>
      <c r="AG222" s="191">
        <f>AE222+AF222</f>
        <v/>
      </c>
      <c r="AH222" s="36" t="n">
        <v>0</v>
      </c>
      <c r="AI222" s="5" t="n">
        <v>0</v>
      </c>
      <c r="AJ222" s="191">
        <f>AH222-AI222+AG222</f>
        <v/>
      </c>
      <c r="AK222" s="192" t="n">
        <v>0</v>
      </c>
      <c r="AL222" s="191">
        <f>AJ222+AK222</f>
        <v/>
      </c>
      <c r="AM222" s="35" t="inlineStr">
        <is>
          <t>岐阜</t>
        </is>
      </c>
      <c r="AN222" s="35" t="inlineStr">
        <is>
          <t>こもの</t>
        </is>
      </c>
      <c r="AO222" s="5" t="n">
        <v>702</v>
      </c>
      <c r="AP222" s="5" t="n">
        <v>0</v>
      </c>
      <c r="AQ222" s="35" t="inlineStr">
        <is>
          <t>○</t>
        </is>
      </c>
      <c r="AR222" s="35" t="n"/>
      <c r="AS222" s="122" t="n"/>
      <c r="AT222" s="35" t="n">
        <v>201</v>
      </c>
      <c r="AU222" s="35" t="inlineStr">
        <is>
          <t>㈱サラダコスモ</t>
        </is>
      </c>
    </row>
    <row r="223">
      <c r="A223" s="14" t="inlineStr">
        <is>
          <t>1878-21</t>
        </is>
      </c>
      <c r="B223" s="5" t="inlineStr">
        <is>
          <t>□有機アルファルファ 60ｇ×6 (ｻﾗﾀﾞｺｽﾓ)</t>
        </is>
      </c>
      <c r="C223" s="36" t="n">
        <v>0</v>
      </c>
      <c r="D223" s="36" t="n">
        <v>0</v>
      </c>
      <c r="E223" s="5" t="n">
        <v>0</v>
      </c>
      <c r="F223" s="191">
        <f>D223-E223+C223</f>
        <v/>
      </c>
      <c r="G223" s="192" t="n">
        <v>0</v>
      </c>
      <c r="H223" s="191">
        <f>F223+G223</f>
        <v/>
      </c>
      <c r="I223" s="36" t="n">
        <v>0</v>
      </c>
      <c r="J223" s="5" t="n">
        <v>0</v>
      </c>
      <c r="K223" s="191">
        <f>I223-J223+H223</f>
        <v/>
      </c>
      <c r="L223" s="192" t="n">
        <v>0</v>
      </c>
      <c r="M223" s="191">
        <f>K223+L223</f>
        <v/>
      </c>
      <c r="N223" s="36" t="n">
        <v>0</v>
      </c>
      <c r="O223" s="5" t="n">
        <v>0</v>
      </c>
      <c r="P223" s="191">
        <f>N223-O223+M223</f>
        <v/>
      </c>
      <c r="Q223" s="192" t="n">
        <v>0</v>
      </c>
      <c r="R223" s="191">
        <f>P223+Q223</f>
        <v/>
      </c>
      <c r="S223" s="36" t="n">
        <v>0</v>
      </c>
      <c r="T223" s="5" t="n">
        <v>0</v>
      </c>
      <c r="U223" s="191">
        <f>S223-T223+R223</f>
        <v/>
      </c>
      <c r="V223" s="192" t="n">
        <v>0</v>
      </c>
      <c r="W223" s="191">
        <f>U223+V223</f>
        <v/>
      </c>
      <c r="X223" s="36" t="n">
        <v>0</v>
      </c>
      <c r="Y223" s="5" t="n">
        <v>0</v>
      </c>
      <c r="Z223" s="191">
        <f>X223-Y223+W223</f>
        <v/>
      </c>
      <c r="AA223" s="192" t="n">
        <v>0</v>
      </c>
      <c r="AB223" s="191">
        <f>Z223+AA223</f>
        <v/>
      </c>
      <c r="AC223" s="36" t="n">
        <v>0</v>
      </c>
      <c r="AD223" s="5" t="n">
        <v>1</v>
      </c>
      <c r="AE223" s="191">
        <f>AC223-AD223+AB223</f>
        <v/>
      </c>
      <c r="AF223" s="192" t="n">
        <v>0</v>
      </c>
      <c r="AG223" s="191">
        <f>AE223+AF223</f>
        <v/>
      </c>
      <c r="AH223" s="36" t="n">
        <v>0</v>
      </c>
      <c r="AI223" s="5" t="n">
        <v>0</v>
      </c>
      <c r="AJ223" s="191">
        <f>AH223-AI223+AG223</f>
        <v/>
      </c>
      <c r="AK223" s="192" t="n">
        <v>0</v>
      </c>
      <c r="AL223" s="191">
        <f>AJ223+AK223</f>
        <v/>
      </c>
      <c r="AM223" s="35" t="inlineStr">
        <is>
          <t>岐阜</t>
        </is>
      </c>
      <c r="AN223" s="35" t="inlineStr">
        <is>
          <t>こもの</t>
        </is>
      </c>
      <c r="AO223" s="5" t="n">
        <v>648</v>
      </c>
      <c r="AP223" s="5" t="n">
        <v>0</v>
      </c>
      <c r="AQ223" s="35" t="inlineStr">
        <is>
          <t>○</t>
        </is>
      </c>
      <c r="AR223" s="35" t="n"/>
      <c r="AS223" s="122" t="n"/>
      <c r="AT223" s="35" t="n">
        <v>201</v>
      </c>
      <c r="AU223" s="35" t="inlineStr">
        <is>
          <t>㈱サラダコスモ</t>
        </is>
      </c>
    </row>
    <row r="224">
      <c r="A224" s="14" t="inlineStr">
        <is>
          <t>1881-8</t>
        </is>
      </c>
      <c r="B224" s="5" t="inlineStr">
        <is>
          <t>有機たかのつめ(唐辛子) 8g袋 (吉水)</t>
        </is>
      </c>
      <c r="C224" s="36" t="n">
        <v>94</v>
      </c>
      <c r="D224" s="36" t="n">
        <v>0</v>
      </c>
      <c r="E224" s="5" t="n">
        <v>0</v>
      </c>
      <c r="F224" s="191">
        <f>D224-E224+C224</f>
        <v/>
      </c>
      <c r="G224" s="192" t="n">
        <v>0</v>
      </c>
      <c r="H224" s="191">
        <f>F224+G224</f>
        <v/>
      </c>
      <c r="I224" s="36" t="n">
        <v>0</v>
      </c>
      <c r="J224" s="5" t="n">
        <v>5</v>
      </c>
      <c r="K224" s="191">
        <f>I224-J224+H224</f>
        <v/>
      </c>
      <c r="L224" s="192" t="n">
        <v>-10</v>
      </c>
      <c r="M224" s="191">
        <f>K224+L224</f>
        <v/>
      </c>
      <c r="N224" s="36" t="n">
        <v>0</v>
      </c>
      <c r="O224" s="5" t="n">
        <v>0</v>
      </c>
      <c r="P224" s="191">
        <f>N224-O224+M224</f>
        <v/>
      </c>
      <c r="Q224" s="192" t="n">
        <v>0</v>
      </c>
      <c r="R224" s="191">
        <f>P224+Q224</f>
        <v/>
      </c>
      <c r="S224" s="36" t="n">
        <v>0</v>
      </c>
      <c r="T224" s="5" t="n">
        <v>0</v>
      </c>
      <c r="U224" s="191">
        <f>S224-T224+R224</f>
        <v/>
      </c>
      <c r="V224" s="192" t="n">
        <v>0</v>
      </c>
      <c r="W224" s="191">
        <f>U224+V224</f>
        <v/>
      </c>
      <c r="X224" s="36" t="n">
        <v>0</v>
      </c>
      <c r="Y224" s="5" t="n">
        <v>0</v>
      </c>
      <c r="Z224" s="191">
        <f>X224-Y224+W224</f>
        <v/>
      </c>
      <c r="AA224" s="192" t="n">
        <v>0</v>
      </c>
      <c r="AB224" s="191">
        <f>Z224+AA224</f>
        <v/>
      </c>
      <c r="AC224" s="36" t="n">
        <v>0</v>
      </c>
      <c r="AD224" s="5" t="n">
        <v>0</v>
      </c>
      <c r="AE224" s="191">
        <f>AC224-AD224+AB224</f>
        <v/>
      </c>
      <c r="AF224" s="192" t="n">
        <v>0</v>
      </c>
      <c r="AG224" s="191">
        <f>AE224+AF224</f>
        <v/>
      </c>
      <c r="AH224" s="36" t="n">
        <v>0</v>
      </c>
      <c r="AI224" s="5" t="n">
        <v>0</v>
      </c>
      <c r="AJ224" s="191">
        <f>AH224-AI224+AG224</f>
        <v/>
      </c>
      <c r="AK224" s="192" t="n">
        <v>0</v>
      </c>
      <c r="AL224" s="191">
        <f>AJ224+AK224</f>
        <v/>
      </c>
      <c r="AM224" s="35" t="inlineStr">
        <is>
          <t>熊本</t>
        </is>
      </c>
      <c r="AN224" s="35" t="inlineStr">
        <is>
          <t>こもの</t>
        </is>
      </c>
      <c r="AO224" s="5" t="n">
        <v>155</v>
      </c>
      <c r="AP224" s="5" t="n">
        <v>0</v>
      </c>
      <c r="AQ224" s="35" t="inlineStr">
        <is>
          <t>○</t>
        </is>
      </c>
      <c r="AR224" s="35" t="n"/>
      <c r="AS224" s="122" t="n">
        <v>45.8012</v>
      </c>
      <c r="AT224" s="35" t="n">
        <v>246</v>
      </c>
      <c r="AU224" s="35" t="inlineStr">
        <is>
          <t>（有）吉水農園</t>
        </is>
      </c>
    </row>
    <row r="225">
      <c r="A225" s="14" t="inlineStr">
        <is>
          <t>1881-9</t>
        </is>
      </c>
      <c r="B225" s="5" t="inlineStr">
        <is>
          <t>有機たかのつめ(唐辛子)8g袋×10(吉水)東一</t>
        </is>
      </c>
      <c r="C225" s="36" t="n">
        <v>0</v>
      </c>
      <c r="D225" s="36" t="n">
        <v>0</v>
      </c>
      <c r="E225" s="5" t="n">
        <v>0</v>
      </c>
      <c r="F225" s="191">
        <f>D225-E225+C225</f>
        <v/>
      </c>
      <c r="G225" s="192" t="n">
        <v>0</v>
      </c>
      <c r="H225" s="191">
        <f>F225+G225</f>
        <v/>
      </c>
      <c r="I225" s="36" t="n">
        <v>1</v>
      </c>
      <c r="J225" s="5" t="n">
        <v>1</v>
      </c>
      <c r="K225" s="191">
        <f>I225-J225+H225</f>
        <v/>
      </c>
      <c r="L225" s="192" t="n">
        <v>0</v>
      </c>
      <c r="M225" s="191">
        <f>K225+L225</f>
        <v/>
      </c>
      <c r="N225" s="36" t="n">
        <v>0</v>
      </c>
      <c r="O225" s="5" t="n">
        <v>0</v>
      </c>
      <c r="P225" s="191">
        <f>N225-O225+M225</f>
        <v/>
      </c>
      <c r="Q225" s="192" t="n">
        <v>0</v>
      </c>
      <c r="R225" s="191">
        <f>P225+Q225</f>
        <v/>
      </c>
      <c r="S225" s="36" t="n">
        <v>0</v>
      </c>
      <c r="T225" s="5" t="n">
        <v>0</v>
      </c>
      <c r="U225" s="191">
        <f>S225-T225+R225</f>
        <v/>
      </c>
      <c r="V225" s="192" t="n">
        <v>0</v>
      </c>
      <c r="W225" s="191">
        <f>U225+V225</f>
        <v/>
      </c>
      <c r="X225" s="36" t="n">
        <v>0</v>
      </c>
      <c r="Y225" s="5" t="n">
        <v>0</v>
      </c>
      <c r="Z225" s="191">
        <f>X225-Y225+W225</f>
        <v/>
      </c>
      <c r="AA225" s="192" t="n">
        <v>0</v>
      </c>
      <c r="AB225" s="191">
        <f>Z225+AA225</f>
        <v/>
      </c>
      <c r="AC225" s="36" t="n">
        <v>0</v>
      </c>
      <c r="AD225" s="5" t="n">
        <v>0</v>
      </c>
      <c r="AE225" s="191">
        <f>AC225-AD225+AB225</f>
        <v/>
      </c>
      <c r="AF225" s="192" t="n">
        <v>0</v>
      </c>
      <c r="AG225" s="191">
        <f>AE225+AF225</f>
        <v/>
      </c>
      <c r="AH225" s="36" t="n">
        <v>0</v>
      </c>
      <c r="AI225" s="5" t="n">
        <v>0</v>
      </c>
      <c r="AJ225" s="191">
        <f>AH225-AI225+AG225</f>
        <v/>
      </c>
      <c r="AK225" s="192" t="n">
        <v>0</v>
      </c>
      <c r="AL225" s="191">
        <f>AJ225+AK225</f>
        <v/>
      </c>
      <c r="AM225" s="35" t="inlineStr">
        <is>
          <t>熊本</t>
        </is>
      </c>
      <c r="AN225" s="35" t="inlineStr">
        <is>
          <t>こもの</t>
        </is>
      </c>
      <c r="AO225" s="163" t="n">
        <v>1650</v>
      </c>
      <c r="AP225" s="5" t="n">
        <v>0</v>
      </c>
      <c r="AQ225" s="35" t="n"/>
      <c r="AR225" s="35" t="inlineStr">
        <is>
          <t>○</t>
        </is>
      </c>
      <c r="AS225" s="122" t="n">
        <v>4580119523004</v>
      </c>
      <c r="AT225" s="35" t="n">
        <v>246</v>
      </c>
      <c r="AU225" s="35" t="inlineStr">
        <is>
          <t>（有）吉水農園</t>
        </is>
      </c>
    </row>
    <row r="226">
      <c r="A226" s="14" t="inlineStr">
        <is>
          <t>1882-10</t>
        </is>
      </c>
      <c r="B226" s="5" t="inlineStr">
        <is>
          <t>煎落花生 200g袋 (さんぶ)</t>
        </is>
      </c>
      <c r="C226" s="36" t="n">
        <v>15</v>
      </c>
      <c r="D226" s="36" t="n">
        <v>0</v>
      </c>
      <c r="E226" s="5" t="n">
        <v>0</v>
      </c>
      <c r="F226" s="191">
        <f>D226-E226+C226</f>
        <v/>
      </c>
      <c r="G226" s="192" t="n">
        <v>0</v>
      </c>
      <c r="H226" s="191">
        <f>F226+G226</f>
        <v/>
      </c>
      <c r="I226" s="36" t="n">
        <v>0</v>
      </c>
      <c r="J226" s="5" t="n">
        <v>0</v>
      </c>
      <c r="K226" s="191">
        <f>I226-J226+H226</f>
        <v/>
      </c>
      <c r="L226" s="192" t="n">
        <v>0</v>
      </c>
      <c r="M226" s="191">
        <f>K226+L226</f>
        <v/>
      </c>
      <c r="N226" s="36" t="n">
        <v>0</v>
      </c>
      <c r="O226" s="5" t="n">
        <v>0</v>
      </c>
      <c r="P226" s="191">
        <f>N226-O226+M226</f>
        <v/>
      </c>
      <c r="Q226" s="192" t="n">
        <v>0</v>
      </c>
      <c r="R226" s="191">
        <f>P226+Q226</f>
        <v/>
      </c>
      <c r="S226" s="36" t="n">
        <v>0</v>
      </c>
      <c r="T226" s="5" t="n">
        <v>0</v>
      </c>
      <c r="U226" s="191">
        <f>S226-T226+R226</f>
        <v/>
      </c>
      <c r="V226" s="192" t="n">
        <v>0</v>
      </c>
      <c r="W226" s="191">
        <f>U226+V226</f>
        <v/>
      </c>
      <c r="X226" s="36" t="n">
        <v>0</v>
      </c>
      <c r="Y226" s="5" t="n">
        <v>0</v>
      </c>
      <c r="Z226" s="191">
        <f>X226-Y226+W226</f>
        <v/>
      </c>
      <c r="AA226" s="192" t="n">
        <v>0</v>
      </c>
      <c r="AB226" s="191">
        <f>Z226+AA226</f>
        <v/>
      </c>
      <c r="AC226" s="36" t="n">
        <v>0</v>
      </c>
      <c r="AD226" s="5" t="n">
        <v>0</v>
      </c>
      <c r="AE226" s="191">
        <f>AC226-AD226+AB226</f>
        <v/>
      </c>
      <c r="AF226" s="192" t="n">
        <v>0</v>
      </c>
      <c r="AG226" s="191">
        <f>AE226+AF226</f>
        <v/>
      </c>
      <c r="AH226" s="36" t="n">
        <v>0</v>
      </c>
      <c r="AI226" s="5" t="n">
        <v>0</v>
      </c>
      <c r="AJ226" s="191">
        <f>AH226-AI226+AG226</f>
        <v/>
      </c>
      <c r="AK226" s="192" t="n">
        <v>0</v>
      </c>
      <c r="AL226" s="191">
        <f>AJ226+AK226</f>
        <v/>
      </c>
      <c r="AM226" s="35" t="inlineStr">
        <is>
          <t>千葉</t>
        </is>
      </c>
      <c r="AN226" s="35" t="inlineStr">
        <is>
          <t>こもの</t>
        </is>
      </c>
      <c r="AO226" s="5" t="n">
        <v>700</v>
      </c>
      <c r="AP226" s="5" t="n">
        <v>0</v>
      </c>
      <c r="AQ226" s="35" t="n"/>
      <c r="AR226" s="35" t="n"/>
      <c r="AS226" s="122" t="n">
        <v>4528947611012</v>
      </c>
      <c r="AT226" s="35" t="n">
        <v>188</v>
      </c>
      <c r="AU226" s="35" t="inlineStr">
        <is>
          <t>農事組合法人 さんぶ野菜ネットワーク</t>
        </is>
      </c>
    </row>
    <row r="227">
      <c r="A227" s="14" t="inlineStr">
        <is>
          <t>1883-15</t>
        </is>
      </c>
      <c r="B227" s="5" t="inlineStr">
        <is>
          <t>有機ｻﾗﾀﾞﾍﾞﾋﾞｰﾐｯｸｽ 40gﾊﾟｯｸ (わ～ふぁ)</t>
        </is>
      </c>
      <c r="C227" s="36" t="n">
        <v>12</v>
      </c>
      <c r="D227" s="36" t="n">
        <v>100</v>
      </c>
      <c r="E227" s="5" t="n">
        <v>0</v>
      </c>
      <c r="F227" s="191">
        <f>D227-E227+C227</f>
        <v/>
      </c>
      <c r="G227" s="192" t="n">
        <v>0</v>
      </c>
      <c r="H227" s="191">
        <f>F227+G227</f>
        <v/>
      </c>
      <c r="I227" s="36" t="n">
        <v>0</v>
      </c>
      <c r="J227" s="5" t="n">
        <v>62</v>
      </c>
      <c r="K227" s="191">
        <f>I227-J227+H227</f>
        <v/>
      </c>
      <c r="L227" s="192" t="n">
        <v>0</v>
      </c>
      <c r="M227" s="191">
        <f>K227+L227</f>
        <v/>
      </c>
      <c r="N227" s="36" t="n">
        <v>0</v>
      </c>
      <c r="O227" s="5" t="n">
        <v>31</v>
      </c>
      <c r="P227" s="191">
        <f>N227-O227+M227</f>
        <v/>
      </c>
      <c r="Q227" s="192" t="n">
        <v>-10</v>
      </c>
      <c r="R227" s="191">
        <f>P227+Q227</f>
        <v/>
      </c>
      <c r="S227" s="36" t="n">
        <v>100</v>
      </c>
      <c r="T227" s="5" t="n">
        <v>39</v>
      </c>
      <c r="U227" s="191">
        <f>S227-T227+R227</f>
        <v/>
      </c>
      <c r="V227" s="192" t="n">
        <v>0</v>
      </c>
      <c r="W227" s="191">
        <f>U227+V227</f>
        <v/>
      </c>
      <c r="X227" s="36" t="n">
        <v>0</v>
      </c>
      <c r="Y227" s="5" t="n">
        <v>57</v>
      </c>
      <c r="Z227" s="191">
        <f>X227-Y227+W227</f>
        <v/>
      </c>
      <c r="AA227" s="192" t="n">
        <v>0</v>
      </c>
      <c r="AB227" s="191">
        <f>Z227+AA227</f>
        <v/>
      </c>
      <c r="AC227" s="36" t="n">
        <v>70</v>
      </c>
      <c r="AD227" s="5" t="n">
        <v>23</v>
      </c>
      <c r="AE227" s="191">
        <f>AC227-AD227+AB227</f>
        <v/>
      </c>
      <c r="AF227" s="192" t="n">
        <v>-10</v>
      </c>
      <c r="AG227" s="191">
        <f>AE227+AF227</f>
        <v/>
      </c>
      <c r="AH227" s="36" t="n">
        <v>0</v>
      </c>
      <c r="AI227" s="5" t="n">
        <v>46</v>
      </c>
      <c r="AJ227" s="191">
        <f>AH227-AI227+AG227</f>
        <v/>
      </c>
      <c r="AK227" s="192" t="n">
        <v>0</v>
      </c>
      <c r="AL227" s="191">
        <f>AJ227+AK227</f>
        <v/>
      </c>
      <c r="AM227" s="35" t="inlineStr">
        <is>
          <t>千葉</t>
        </is>
      </c>
      <c r="AN227" s="35" t="inlineStr">
        <is>
          <t>こもの</t>
        </is>
      </c>
      <c r="AO227" s="5" t="n">
        <v>170</v>
      </c>
      <c r="AP227" s="5" t="n">
        <v>0</v>
      </c>
      <c r="AQ227" s="35" t="n"/>
      <c r="AR227" s="35" t="n"/>
      <c r="AS227" s="122" t="n">
        <v>4560109260102</v>
      </c>
      <c r="AT227" s="35" t="n">
        <v>231</v>
      </c>
      <c r="AU227" s="35" t="inlineStr">
        <is>
          <t>(有）わ～ふぁ道本</t>
        </is>
      </c>
    </row>
    <row r="228">
      <c r="A228" s="14" t="inlineStr">
        <is>
          <t>1883-17</t>
        </is>
      </c>
      <c r="B228" s="5" t="inlineStr">
        <is>
          <t>有機ｻﾗﾀﾞﾍﾞﾋﾞｰﾐｯｸｽ 40g×５(わ～ふぁ)東一</t>
        </is>
      </c>
      <c r="C228" s="36" t="n">
        <v>0</v>
      </c>
      <c r="D228" s="36" t="n">
        <v>0</v>
      </c>
      <c r="E228" s="5" t="n">
        <v>0</v>
      </c>
      <c r="F228" s="191">
        <f>D228-E228+C228</f>
        <v/>
      </c>
      <c r="G228" s="192" t="n">
        <v>0</v>
      </c>
      <c r="H228" s="191">
        <f>F228+G228</f>
        <v/>
      </c>
      <c r="I228" s="36" t="n">
        <v>0</v>
      </c>
      <c r="J228" s="5" t="n">
        <v>0</v>
      </c>
      <c r="K228" s="191">
        <f>I228-J228+H228</f>
        <v/>
      </c>
      <c r="L228" s="192" t="n">
        <v>0</v>
      </c>
      <c r="M228" s="191">
        <f>K228+L228</f>
        <v/>
      </c>
      <c r="N228" s="36" t="n">
        <v>2</v>
      </c>
      <c r="O228" s="5" t="n">
        <v>2</v>
      </c>
      <c r="P228" s="191">
        <f>N228-O228+M228</f>
        <v/>
      </c>
      <c r="Q228" s="192" t="n">
        <v>0</v>
      </c>
      <c r="R228" s="191">
        <f>P228+Q228</f>
        <v/>
      </c>
      <c r="S228" s="36" t="n">
        <v>0</v>
      </c>
      <c r="T228" s="5" t="n">
        <v>0</v>
      </c>
      <c r="U228" s="191">
        <f>S228-T228+R228</f>
        <v/>
      </c>
      <c r="V228" s="192" t="n">
        <v>0</v>
      </c>
      <c r="W228" s="191">
        <f>U228+V228</f>
        <v/>
      </c>
      <c r="X228" s="36" t="n">
        <v>0</v>
      </c>
      <c r="Y228" s="5" t="n">
        <v>0</v>
      </c>
      <c r="Z228" s="191">
        <f>X228-Y228+W228</f>
        <v/>
      </c>
      <c r="AA228" s="192" t="n">
        <v>0</v>
      </c>
      <c r="AB228" s="191">
        <f>Z228+AA228</f>
        <v/>
      </c>
      <c r="AC228" s="36" t="n">
        <v>2</v>
      </c>
      <c r="AD228" s="5" t="n">
        <v>2</v>
      </c>
      <c r="AE228" s="191">
        <f>AC228-AD228+AB228</f>
        <v/>
      </c>
      <c r="AF228" s="192" t="n">
        <v>0</v>
      </c>
      <c r="AG228" s="191">
        <f>AE228+AF228</f>
        <v/>
      </c>
      <c r="AH228" s="36" t="n">
        <v>0</v>
      </c>
      <c r="AI228" s="5" t="n">
        <v>0</v>
      </c>
      <c r="AJ228" s="191">
        <f>AH228-AI228+AG228</f>
        <v/>
      </c>
      <c r="AK228" s="192" t="n">
        <v>0</v>
      </c>
      <c r="AL228" s="191">
        <f>AJ228+AK228</f>
        <v/>
      </c>
      <c r="AM228" s="35" t="inlineStr">
        <is>
          <t>千葉</t>
        </is>
      </c>
      <c r="AN228" s="35" t="inlineStr">
        <is>
          <t>こもの</t>
        </is>
      </c>
      <c r="AO228" s="5" t="n">
        <v>950</v>
      </c>
      <c r="AP228" s="5" t="n">
        <v>0</v>
      </c>
      <c r="AQ228" s="35" t="n"/>
      <c r="AR228" s="35" t="inlineStr">
        <is>
          <t>○</t>
        </is>
      </c>
      <c r="AS228" s="122" t="n">
        <v>4560109260102</v>
      </c>
      <c r="AT228" s="35" t="n">
        <v>231</v>
      </c>
      <c r="AU228" s="35" t="inlineStr">
        <is>
          <t>(有）わ～ふぁ道本</t>
        </is>
      </c>
    </row>
    <row r="229">
      <c r="A229" s="14" t="inlineStr">
        <is>
          <t>1883-55</t>
        </is>
      </c>
      <c r="B229" s="5" t="inlineStr">
        <is>
          <t>有機ﾍﾞﾋﾞｰﾘｰﾌ 30gﾊﾟｯｸ (HATAKE)</t>
        </is>
      </c>
      <c r="C229" s="36" t="n">
        <v>9</v>
      </c>
      <c r="D229" s="36" t="n">
        <v>0</v>
      </c>
      <c r="E229" s="5" t="n">
        <v>0</v>
      </c>
      <c r="F229" s="191">
        <f>D229-E229+C229</f>
        <v/>
      </c>
      <c r="G229" s="192" t="n">
        <v>0</v>
      </c>
      <c r="H229" s="191">
        <f>F229+G229</f>
        <v/>
      </c>
      <c r="I229" s="36" t="n">
        <v>0</v>
      </c>
      <c r="J229" s="5" t="n">
        <v>2</v>
      </c>
      <c r="K229" s="191">
        <f>I229-J229+H229</f>
        <v/>
      </c>
      <c r="L229" s="192" t="n">
        <v>0</v>
      </c>
      <c r="M229" s="191">
        <f>K229+L229</f>
        <v/>
      </c>
      <c r="N229" s="36" t="n">
        <v>20</v>
      </c>
      <c r="O229" s="5" t="n">
        <v>3</v>
      </c>
      <c r="P229" s="191">
        <f>N229-O229+M229</f>
        <v/>
      </c>
      <c r="Q229" s="192" t="n">
        <v>-20</v>
      </c>
      <c r="R229" s="191">
        <f>P229+Q229</f>
        <v/>
      </c>
      <c r="S229" s="36" t="n">
        <v>10</v>
      </c>
      <c r="T229" s="5" t="n">
        <v>4</v>
      </c>
      <c r="U229" s="191">
        <f>S229-T229+R229</f>
        <v/>
      </c>
      <c r="V229" s="192" t="n">
        <v>0</v>
      </c>
      <c r="W229" s="191">
        <f>U229+V229</f>
        <v/>
      </c>
      <c r="X229" s="36" t="n">
        <v>0</v>
      </c>
      <c r="Y229" s="5" t="n">
        <v>3</v>
      </c>
      <c r="Z229" s="191">
        <f>X229-Y229+W229</f>
        <v/>
      </c>
      <c r="AA229" s="192" t="n">
        <v>0</v>
      </c>
      <c r="AB229" s="191">
        <f>Z229+AA229</f>
        <v/>
      </c>
      <c r="AC229" s="36" t="n">
        <v>90</v>
      </c>
      <c r="AD229" s="5" t="n">
        <v>5</v>
      </c>
      <c r="AE229" s="191">
        <f>AC229-AD229+AB229</f>
        <v/>
      </c>
      <c r="AF229" s="192" t="n">
        <v>-90</v>
      </c>
      <c r="AG229" s="191">
        <f>AE229+AF229</f>
        <v/>
      </c>
      <c r="AH229" s="36" t="n">
        <v>0</v>
      </c>
      <c r="AI229" s="5" t="n">
        <v>0</v>
      </c>
      <c r="AJ229" s="191">
        <f>AH229-AI229+AG229</f>
        <v/>
      </c>
      <c r="AK229" s="192" t="n">
        <v>0</v>
      </c>
      <c r="AL229" s="191">
        <f>AJ229+AK229</f>
        <v/>
      </c>
      <c r="AM229" s="35" t="inlineStr">
        <is>
          <t>茨城</t>
        </is>
      </c>
      <c r="AN229" s="35" t="inlineStr">
        <is>
          <t>こもの</t>
        </is>
      </c>
      <c r="AO229" s="5" t="n">
        <v>105</v>
      </c>
      <c r="AP229" s="5" t="n">
        <v>0</v>
      </c>
      <c r="AQ229" s="35" t="inlineStr">
        <is>
          <t>○</t>
        </is>
      </c>
      <c r="AR229" s="35" t="n"/>
      <c r="AS229" s="122" t="n">
        <v>4562100000000</v>
      </c>
      <c r="AT229" s="35" t="n"/>
      <c r="AU229" s="35" t="n"/>
    </row>
    <row r="230">
      <c r="A230" s="14" t="inlineStr">
        <is>
          <t>1883-56</t>
        </is>
      </c>
      <c r="B230" s="5" t="inlineStr">
        <is>
          <t>有機ベビーリーフ　大袋　500ｇ(HATAKE)</t>
        </is>
      </c>
      <c r="C230" s="36" t="n">
        <v>0</v>
      </c>
      <c r="D230" s="36" t="n">
        <v>4</v>
      </c>
      <c r="E230" s="5" t="n">
        <v>0</v>
      </c>
      <c r="F230" s="191">
        <f>D230-E230+C230</f>
        <v/>
      </c>
      <c r="G230" s="192" t="n">
        <v>0</v>
      </c>
      <c r="H230" s="191">
        <f>F230+G230</f>
        <v/>
      </c>
      <c r="I230" s="36" t="n">
        <v>0</v>
      </c>
      <c r="J230" s="5" t="n">
        <v>4</v>
      </c>
      <c r="K230" s="191">
        <f>I230-J230+H230</f>
        <v/>
      </c>
      <c r="L230" s="192" t="n">
        <v>0</v>
      </c>
      <c r="M230" s="191">
        <f>K230+L230</f>
        <v/>
      </c>
      <c r="N230" s="36" t="n">
        <v>1</v>
      </c>
      <c r="O230" s="5" t="n">
        <v>1</v>
      </c>
      <c r="P230" s="191">
        <f>N230-O230+M230</f>
        <v/>
      </c>
      <c r="Q230" s="192" t="n">
        <v>0</v>
      </c>
      <c r="R230" s="191">
        <f>P230+Q230</f>
        <v/>
      </c>
      <c r="S230" s="36" t="n">
        <v>4</v>
      </c>
      <c r="T230" s="5" t="n">
        <v>4</v>
      </c>
      <c r="U230" s="191">
        <f>S230-T230+R230</f>
        <v/>
      </c>
      <c r="V230" s="192" t="n">
        <v>0</v>
      </c>
      <c r="W230" s="191">
        <f>U230+V230</f>
        <v/>
      </c>
      <c r="X230" s="36" t="n">
        <v>0</v>
      </c>
      <c r="Y230" s="5" t="n">
        <v>0</v>
      </c>
      <c r="Z230" s="191">
        <f>X230-Y230+W230</f>
        <v/>
      </c>
      <c r="AA230" s="192" t="n">
        <v>0</v>
      </c>
      <c r="AB230" s="191">
        <f>Z230+AA230</f>
        <v/>
      </c>
      <c r="AC230" s="36" t="n">
        <v>0</v>
      </c>
      <c r="AD230" s="5" t="n">
        <v>0</v>
      </c>
      <c r="AE230" s="191">
        <f>AC230-AD230+AB230</f>
        <v/>
      </c>
      <c r="AF230" s="192" t="n">
        <v>0</v>
      </c>
      <c r="AG230" s="191">
        <f>AE230+AF230</f>
        <v/>
      </c>
      <c r="AH230" s="36" t="n">
        <v>0</v>
      </c>
      <c r="AI230" s="5" t="n">
        <v>0</v>
      </c>
      <c r="AJ230" s="191">
        <f>AH230-AI230+AG230</f>
        <v/>
      </c>
      <c r="AK230" s="192" t="n">
        <v>0</v>
      </c>
      <c r="AL230" s="191">
        <f>AJ230+AK230</f>
        <v/>
      </c>
      <c r="AM230" s="35" t="inlineStr">
        <is>
          <t>茨城</t>
        </is>
      </c>
      <c r="AN230" s="35" t="inlineStr">
        <is>
          <t>こもの</t>
        </is>
      </c>
      <c r="AO230" s="163" t="n">
        <v>1350</v>
      </c>
      <c r="AP230" s="5" t="n">
        <v>0</v>
      </c>
      <c r="AQ230" s="35" t="inlineStr">
        <is>
          <t>○</t>
        </is>
      </c>
      <c r="AR230" s="35" t="n"/>
      <c r="AS230" s="122" t="n"/>
      <c r="AT230" s="35" t="n"/>
      <c r="AU230" s="35" t="n"/>
    </row>
    <row r="231">
      <c r="A231" s="14" t="inlineStr">
        <is>
          <t>1883-58</t>
        </is>
      </c>
      <c r="B231" s="5" t="inlineStr">
        <is>
          <t>□有機ﾍﾞﾋﾞｰﾘｰﾌ 30gﾊﾟｯｸ×10入 (HATAKE)</t>
        </is>
      </c>
      <c r="C231" s="36" t="n">
        <v>0</v>
      </c>
      <c r="D231" s="36" t="n">
        <v>0</v>
      </c>
      <c r="E231" s="5" t="n">
        <v>0</v>
      </c>
      <c r="F231" s="191">
        <f>D231-E231+C231</f>
        <v/>
      </c>
      <c r="G231" s="192" t="n">
        <v>0</v>
      </c>
      <c r="H231" s="191">
        <f>F231+G231</f>
        <v/>
      </c>
      <c r="I231" s="36" t="n">
        <v>0</v>
      </c>
      <c r="J231" s="5" t="n">
        <v>0</v>
      </c>
      <c r="K231" s="191">
        <f>I231-J231+H231</f>
        <v/>
      </c>
      <c r="L231" s="192" t="n">
        <v>0</v>
      </c>
      <c r="M231" s="191">
        <f>K231+L231</f>
        <v/>
      </c>
      <c r="N231" s="36" t="n">
        <v>2</v>
      </c>
      <c r="O231" s="5" t="n">
        <v>2</v>
      </c>
      <c r="P231" s="191">
        <f>N231-O231+M231</f>
        <v/>
      </c>
      <c r="Q231" s="192" t="n">
        <v>0</v>
      </c>
      <c r="R231" s="191">
        <f>P231+Q231</f>
        <v/>
      </c>
      <c r="S231" s="36" t="n">
        <v>0</v>
      </c>
      <c r="T231" s="5" t="n">
        <v>0</v>
      </c>
      <c r="U231" s="191">
        <f>S231-T231+R231</f>
        <v/>
      </c>
      <c r="V231" s="192" t="n">
        <v>0</v>
      </c>
      <c r="W231" s="191">
        <f>U231+V231</f>
        <v/>
      </c>
      <c r="X231" s="36" t="n">
        <v>0</v>
      </c>
      <c r="Y231" s="5" t="n">
        <v>0</v>
      </c>
      <c r="Z231" s="191">
        <f>X231-Y231+W231</f>
        <v/>
      </c>
      <c r="AA231" s="192" t="n">
        <v>0</v>
      </c>
      <c r="AB231" s="191">
        <f>Z231+AA231</f>
        <v/>
      </c>
      <c r="AC231" s="36" t="n">
        <v>9</v>
      </c>
      <c r="AD231" s="5" t="n">
        <v>9</v>
      </c>
      <c r="AE231" s="191">
        <f>AC231-AD231+AB231</f>
        <v/>
      </c>
      <c r="AF231" s="192" t="n">
        <v>0</v>
      </c>
      <c r="AG231" s="191">
        <f>AE231+AF231</f>
        <v/>
      </c>
      <c r="AH231" s="36" t="n">
        <v>0</v>
      </c>
      <c r="AI231" s="5" t="n">
        <v>0</v>
      </c>
      <c r="AJ231" s="191">
        <f>AH231-AI231+AG231</f>
        <v/>
      </c>
      <c r="AK231" s="192" t="n">
        <v>0</v>
      </c>
      <c r="AL231" s="191">
        <f>AJ231+AK231</f>
        <v/>
      </c>
      <c r="AM231" s="35" t="inlineStr">
        <is>
          <t>茨城</t>
        </is>
      </c>
      <c r="AN231" s="35" t="inlineStr">
        <is>
          <t>こもの</t>
        </is>
      </c>
      <c r="AO231" s="163" t="n">
        <v>1050</v>
      </c>
      <c r="AP231" s="5" t="n">
        <v>0</v>
      </c>
      <c r="AQ231" s="35" t="n"/>
      <c r="AR231" s="35" t="n"/>
      <c r="AS231" s="122" t="n">
        <v>4560178479535</v>
      </c>
      <c r="AT231" s="35" t="n"/>
      <c r="AU231" s="35" t="n"/>
    </row>
    <row r="232">
      <c r="A232" s="14" t="inlineStr">
        <is>
          <t>1883-61</t>
        </is>
      </c>
      <c r="B232" s="5" t="inlineStr">
        <is>
          <t>有機ｻﾗﾀﾞﾍﾞﾋﾞｰﾐｯｸｽ 大袋250g(わ～ふぁ)</t>
        </is>
      </c>
      <c r="C232" s="36" t="n">
        <v>0</v>
      </c>
      <c r="D232" s="36" t="n">
        <v>30</v>
      </c>
      <c r="E232" s="5" t="n">
        <v>0</v>
      </c>
      <c r="F232" s="191">
        <f>D232-E232+C232</f>
        <v/>
      </c>
      <c r="G232" s="192" t="n">
        <v>0</v>
      </c>
      <c r="H232" s="191">
        <f>F232+G232</f>
        <v/>
      </c>
      <c r="I232" s="36" t="n">
        <v>0</v>
      </c>
      <c r="J232" s="5" t="n">
        <v>14</v>
      </c>
      <c r="K232" s="191">
        <f>I232-J232+H232</f>
        <v/>
      </c>
      <c r="L232" s="192" t="n">
        <v>0</v>
      </c>
      <c r="M232" s="191">
        <f>K232+L232</f>
        <v/>
      </c>
      <c r="N232" s="36" t="n">
        <v>0</v>
      </c>
      <c r="O232" s="5" t="n">
        <v>14</v>
      </c>
      <c r="P232" s="191">
        <f>N232-O232+M232</f>
        <v/>
      </c>
      <c r="Q232" s="192" t="n">
        <v>0</v>
      </c>
      <c r="R232" s="191">
        <f>P232+Q232</f>
        <v/>
      </c>
      <c r="S232" s="36" t="n">
        <v>20</v>
      </c>
      <c r="T232" s="5" t="n">
        <v>14</v>
      </c>
      <c r="U232" s="191">
        <f>S232-T232+R232</f>
        <v/>
      </c>
      <c r="V232" s="192" t="n">
        <v>0</v>
      </c>
      <c r="W232" s="191">
        <f>U232+V232</f>
        <v/>
      </c>
      <c r="X232" s="36" t="n">
        <v>0</v>
      </c>
      <c r="Y232" s="5" t="n">
        <v>8</v>
      </c>
      <c r="Z232" s="191">
        <f>X232-Y232+W232</f>
        <v/>
      </c>
      <c r="AA232" s="192" t="n">
        <v>0</v>
      </c>
      <c r="AB232" s="191">
        <f>Z232+AA232</f>
        <v/>
      </c>
      <c r="AC232" s="36" t="n">
        <v>40</v>
      </c>
      <c r="AD232" s="5" t="n">
        <v>8</v>
      </c>
      <c r="AE232" s="191">
        <f>AC232-AD232+AB232</f>
        <v/>
      </c>
      <c r="AF232" s="192" t="n">
        <v>0</v>
      </c>
      <c r="AG232" s="191">
        <f>AE232+AF232</f>
        <v/>
      </c>
      <c r="AH232" s="36" t="n">
        <v>0</v>
      </c>
      <c r="AI232" s="5" t="n">
        <v>28</v>
      </c>
      <c r="AJ232" s="191">
        <f>AH232-AI232+AG232</f>
        <v/>
      </c>
      <c r="AK232" s="192" t="n">
        <v>0</v>
      </c>
      <c r="AL232" s="191">
        <f>AJ232+AK232</f>
        <v/>
      </c>
      <c r="AM232" s="35" t="inlineStr">
        <is>
          <t>千葉</t>
        </is>
      </c>
      <c r="AN232" s="35" t="inlineStr">
        <is>
          <t>こもの</t>
        </is>
      </c>
      <c r="AO232" s="5" t="n">
        <v>900</v>
      </c>
      <c r="AP232" s="5" t="n">
        <v>0</v>
      </c>
      <c r="AQ232" s="35" t="n"/>
      <c r="AR232" s="35" t="n"/>
      <c r="AS232" s="122" t="n"/>
      <c r="AT232" s="35" t="n">
        <v>231</v>
      </c>
      <c r="AU232" s="35" t="inlineStr">
        <is>
          <t>(有）わ～ふぁ道本</t>
        </is>
      </c>
    </row>
    <row r="233">
      <c r="A233" s="14" t="inlineStr">
        <is>
          <t>1889-15</t>
        </is>
      </c>
      <c r="B233" s="5" t="inlineStr">
        <is>
          <t>有機大葉 １０枚ﾊﾟｯｸ (矢澤園芸)</t>
        </is>
      </c>
      <c r="C233" s="36" t="n">
        <v>30</v>
      </c>
      <c r="D233" s="36" t="n">
        <v>200</v>
      </c>
      <c r="E233" s="5" t="n">
        <v>0</v>
      </c>
      <c r="F233" s="191">
        <f>D233-E233+C233</f>
        <v/>
      </c>
      <c r="G233" s="192" t="n">
        <v>0</v>
      </c>
      <c r="H233" s="191">
        <f>F233+G233</f>
        <v/>
      </c>
      <c r="I233" s="36" t="n">
        <v>0</v>
      </c>
      <c r="J233" s="5" t="n">
        <v>132</v>
      </c>
      <c r="K233" s="191">
        <f>I233-J233+H233</f>
        <v/>
      </c>
      <c r="L233" s="192" t="n">
        <v>-5</v>
      </c>
      <c r="M233" s="191">
        <f>K233+L233</f>
        <v/>
      </c>
      <c r="N233" s="36" t="n">
        <v>0</v>
      </c>
      <c r="O233" s="5" t="n">
        <v>42</v>
      </c>
      <c r="P233" s="191">
        <f>N233-O233+M233</f>
        <v/>
      </c>
      <c r="Q233" s="192" t="n">
        <v>0</v>
      </c>
      <c r="R233" s="191">
        <f>P233+Q233</f>
        <v/>
      </c>
      <c r="S233" s="36" t="n">
        <v>200</v>
      </c>
      <c r="T233" s="5" t="n">
        <v>61</v>
      </c>
      <c r="U233" s="191">
        <f>S233-T233+R233</f>
        <v/>
      </c>
      <c r="V233" s="192" t="n">
        <v>0</v>
      </c>
      <c r="W233" s="191">
        <f>U233+V233</f>
        <v/>
      </c>
      <c r="X233" s="36" t="n">
        <v>0</v>
      </c>
      <c r="Y233" s="5" t="n">
        <v>74</v>
      </c>
      <c r="Z233" s="191">
        <f>X233-Y233+W233</f>
        <v/>
      </c>
      <c r="AA233" s="192" t="n">
        <v>0</v>
      </c>
      <c r="AB233" s="191">
        <f>Z233+AA233</f>
        <v/>
      </c>
      <c r="AC233" s="36" t="n">
        <v>200</v>
      </c>
      <c r="AD233" s="5" t="n">
        <v>52</v>
      </c>
      <c r="AE233" s="191">
        <f>AC233-AD233+AB233</f>
        <v/>
      </c>
      <c r="AF233" s="192" t="n">
        <v>-5</v>
      </c>
      <c r="AG233" s="191">
        <f>AE233+AF233</f>
        <v/>
      </c>
      <c r="AH233" s="36" t="n">
        <v>0</v>
      </c>
      <c r="AI233" s="5" t="n">
        <v>133</v>
      </c>
      <c r="AJ233" s="191">
        <f>AH233-AI233+AG233</f>
        <v/>
      </c>
      <c r="AK233" s="192" t="n">
        <v>0</v>
      </c>
      <c r="AL233" s="191">
        <f>AJ233+AK233</f>
        <v/>
      </c>
      <c r="AM233" s="35" t="inlineStr">
        <is>
          <t>茨城</t>
        </is>
      </c>
      <c r="AN233" s="35" t="inlineStr">
        <is>
          <t>こもの</t>
        </is>
      </c>
      <c r="AO233" s="5" t="n">
        <v>105</v>
      </c>
      <c r="AP233" s="5" t="n">
        <v>0</v>
      </c>
      <c r="AQ233" s="35" t="n"/>
      <c r="AR233" s="35" t="n"/>
      <c r="AS233" s="122" t="n">
        <v>4562214790079</v>
      </c>
      <c r="AT233" s="35" t="n"/>
      <c r="AU233" s="35" t="n"/>
    </row>
    <row r="234">
      <c r="A234" s="14" t="inlineStr">
        <is>
          <t>1889-16</t>
        </is>
      </c>
      <c r="B234" s="5" t="inlineStr">
        <is>
          <t>有機大葉 １ﾊﾟｯｸ×10入(矢澤園芸)東一</t>
        </is>
      </c>
      <c r="C234" s="36" t="n">
        <v>0</v>
      </c>
      <c r="D234" s="36" t="n">
        <v>0</v>
      </c>
      <c r="E234" s="5" t="n">
        <v>0</v>
      </c>
      <c r="F234" s="191">
        <f>D234-E234+C234</f>
        <v/>
      </c>
      <c r="G234" s="192" t="n">
        <v>0</v>
      </c>
      <c r="H234" s="191">
        <f>F234+G234</f>
        <v/>
      </c>
      <c r="I234" s="36" t="n">
        <v>1</v>
      </c>
      <c r="J234" s="5" t="n">
        <v>1</v>
      </c>
      <c r="K234" s="191">
        <f>I234-J234+H234</f>
        <v/>
      </c>
      <c r="L234" s="192" t="n">
        <v>0</v>
      </c>
      <c r="M234" s="191">
        <f>K234+L234</f>
        <v/>
      </c>
      <c r="N234" s="36" t="n">
        <v>0</v>
      </c>
      <c r="O234" s="5" t="n">
        <v>0</v>
      </c>
      <c r="P234" s="191">
        <f>N234-O234+M234</f>
        <v/>
      </c>
      <c r="Q234" s="192" t="n">
        <v>0</v>
      </c>
      <c r="R234" s="191">
        <f>P234+Q234</f>
        <v/>
      </c>
      <c r="S234" s="36" t="n">
        <v>0</v>
      </c>
      <c r="T234" s="5" t="n">
        <v>0</v>
      </c>
      <c r="U234" s="191">
        <f>S234-T234+R234</f>
        <v/>
      </c>
      <c r="V234" s="192" t="n">
        <v>0</v>
      </c>
      <c r="W234" s="191">
        <f>U234+V234</f>
        <v/>
      </c>
      <c r="X234" s="36" t="n">
        <v>0</v>
      </c>
      <c r="Y234" s="5" t="n">
        <v>0</v>
      </c>
      <c r="Z234" s="191">
        <f>X234-Y234+W234</f>
        <v/>
      </c>
      <c r="AA234" s="192" t="n">
        <v>0</v>
      </c>
      <c r="AB234" s="191">
        <f>Z234+AA234</f>
        <v/>
      </c>
      <c r="AC234" s="36" t="n">
        <v>1</v>
      </c>
      <c r="AD234" s="5" t="n">
        <v>1</v>
      </c>
      <c r="AE234" s="191">
        <f>AC234-AD234+AB234</f>
        <v/>
      </c>
      <c r="AF234" s="192" t="n">
        <v>0</v>
      </c>
      <c r="AG234" s="191">
        <f>AE234+AF234</f>
        <v/>
      </c>
      <c r="AH234" s="36" t="n">
        <v>0</v>
      </c>
      <c r="AI234" s="5" t="n">
        <v>0</v>
      </c>
      <c r="AJ234" s="191">
        <f>AH234-AI234+AG234</f>
        <v/>
      </c>
      <c r="AK234" s="192" t="n">
        <v>0</v>
      </c>
      <c r="AL234" s="191">
        <f>AJ234+AK234</f>
        <v/>
      </c>
      <c r="AM234" s="35" t="inlineStr">
        <is>
          <t>茨城</t>
        </is>
      </c>
      <c r="AN234" s="35" t="inlineStr">
        <is>
          <t>こもの</t>
        </is>
      </c>
      <c r="AO234" s="163" t="n">
        <v>1100</v>
      </c>
      <c r="AP234" s="5" t="n">
        <v>0</v>
      </c>
      <c r="AQ234" s="35" t="n"/>
      <c r="AR234" s="35" t="inlineStr">
        <is>
          <t>○</t>
        </is>
      </c>
      <c r="AS234" s="122" t="n">
        <v>4562214790079</v>
      </c>
      <c r="AT234" s="35" t="n">
        <v>194</v>
      </c>
      <c r="AU234" s="35" t="inlineStr">
        <is>
          <t>㈱ｱｸﾞﾘｲﾉﾍﾞｰｼｮﾝｽﾞｶﾝﾊﾟﾆｰ（旧：旭愛農）</t>
        </is>
      </c>
    </row>
    <row r="235">
      <c r="A235" s="14" t="inlineStr">
        <is>
          <t>1898-12</t>
        </is>
      </c>
      <c r="B235" s="5" t="inlineStr">
        <is>
          <t>有機ブラウンﾏｯｼｭﾙｰﾑ 150ｇﾍﾞﾋﾞｰﾍﾞﾗ(舟形)</t>
        </is>
      </c>
      <c r="C235" s="36" t="n">
        <v>0</v>
      </c>
      <c r="D235" s="36" t="n">
        <v>0</v>
      </c>
      <c r="E235" s="5" t="n">
        <v>0</v>
      </c>
      <c r="F235" s="191">
        <f>D235-E235+C235</f>
        <v/>
      </c>
      <c r="G235" s="192" t="n">
        <v>0</v>
      </c>
      <c r="H235" s="191">
        <f>F235+G235</f>
        <v/>
      </c>
      <c r="I235" s="36" t="n">
        <v>0</v>
      </c>
      <c r="J235" s="5" t="n">
        <v>0</v>
      </c>
      <c r="K235" s="191">
        <f>I235-J235+H235</f>
        <v/>
      </c>
      <c r="L235" s="192" t="n">
        <v>0</v>
      </c>
      <c r="M235" s="191">
        <f>K235+L235</f>
        <v/>
      </c>
      <c r="N235" s="36" t="n">
        <v>0</v>
      </c>
      <c r="O235" s="5" t="n">
        <v>0</v>
      </c>
      <c r="P235" s="191">
        <f>N235-O235+M235</f>
        <v/>
      </c>
      <c r="Q235" s="192" t="n">
        <v>0</v>
      </c>
      <c r="R235" s="191">
        <f>P235+Q235</f>
        <v/>
      </c>
      <c r="S235" s="36" t="n">
        <v>8</v>
      </c>
      <c r="T235" s="5" t="n">
        <v>0</v>
      </c>
      <c r="U235" s="191">
        <f>S235-T235+R235</f>
        <v/>
      </c>
      <c r="V235" s="192" t="n">
        <v>0</v>
      </c>
      <c r="W235" s="191">
        <f>U235+V235</f>
        <v/>
      </c>
      <c r="X235" s="36" t="n">
        <v>0</v>
      </c>
      <c r="Y235" s="5" t="n">
        <v>0</v>
      </c>
      <c r="Z235" s="191">
        <f>X235-Y235+W235</f>
        <v/>
      </c>
      <c r="AA235" s="192" t="n">
        <v>0</v>
      </c>
      <c r="AB235" s="191">
        <f>Z235+AA235</f>
        <v/>
      </c>
      <c r="AC235" s="36" t="n">
        <v>0</v>
      </c>
      <c r="AD235" s="5" t="n">
        <v>0</v>
      </c>
      <c r="AE235" s="191">
        <f>AC235-AD235+AB235</f>
        <v/>
      </c>
      <c r="AF235" s="192" t="n">
        <v>0</v>
      </c>
      <c r="AG235" s="191">
        <f>AE235+AF235</f>
        <v/>
      </c>
      <c r="AH235" s="36" t="n">
        <v>0</v>
      </c>
      <c r="AI235" s="5" t="n">
        <v>0</v>
      </c>
      <c r="AJ235" s="191">
        <f>AH235-AI235+AG235</f>
        <v/>
      </c>
      <c r="AK235" s="192" t="n">
        <v>0</v>
      </c>
      <c r="AL235" s="191">
        <f>AJ235+AK235</f>
        <v/>
      </c>
      <c r="AM235" s="35" t="inlineStr">
        <is>
          <t>山形</t>
        </is>
      </c>
      <c r="AN235" s="35" t="inlineStr">
        <is>
          <t>こもの</t>
        </is>
      </c>
      <c r="AO235" s="5" t="n">
        <v>400</v>
      </c>
      <c r="AP235" s="5" t="n">
        <v>0</v>
      </c>
      <c r="AQ235" s="35" t="inlineStr">
        <is>
          <t>○</t>
        </is>
      </c>
      <c r="AR235" s="35" t="n"/>
      <c r="AS235" s="122" t="n">
        <v>4571158991336</v>
      </c>
      <c r="AT235" s="35" t="n"/>
      <c r="AU235" s="35" t="n"/>
    </row>
    <row r="236">
      <c r="A236" s="14" t="inlineStr">
        <is>
          <t>1898-3</t>
        </is>
      </c>
      <c r="B236" s="5" t="inlineStr">
        <is>
          <t>有機ホワイトマッシュルーム 70g(舟形)</t>
        </is>
      </c>
      <c r="C236" s="36" t="n">
        <v>50</v>
      </c>
      <c r="D236" s="36" t="n">
        <v>48</v>
      </c>
      <c r="E236" s="5" t="n">
        <v>0</v>
      </c>
      <c r="F236" s="191">
        <f>D236-E236+C236</f>
        <v/>
      </c>
      <c r="G236" s="192" t="n">
        <v>0</v>
      </c>
      <c r="H236" s="191">
        <f>F236+G236</f>
        <v/>
      </c>
      <c r="I236" s="36" t="n">
        <v>0</v>
      </c>
      <c r="J236" s="5" t="n">
        <v>27</v>
      </c>
      <c r="K236" s="191">
        <f>I236-J236+H236</f>
        <v/>
      </c>
      <c r="L236" s="192" t="n">
        <v>0</v>
      </c>
      <c r="M236" s="191">
        <f>K236+L236</f>
        <v/>
      </c>
      <c r="N236" s="36" t="n">
        <v>0</v>
      </c>
      <c r="O236" s="5" t="n">
        <v>21</v>
      </c>
      <c r="P236" s="191">
        <f>N236-O236+M236</f>
        <v/>
      </c>
      <c r="Q236" s="192" t="n">
        <v>0</v>
      </c>
      <c r="R236" s="191">
        <f>P236+Q236</f>
        <v/>
      </c>
      <c r="S236" s="36" t="n">
        <v>0</v>
      </c>
      <c r="T236" s="5" t="n">
        <v>14</v>
      </c>
      <c r="U236" s="191">
        <f>S236-T236+R236</f>
        <v/>
      </c>
      <c r="V236" s="192" t="n">
        <v>0</v>
      </c>
      <c r="W236" s="191">
        <f>U236+V236</f>
        <v/>
      </c>
      <c r="X236" s="36" t="n">
        <v>0</v>
      </c>
      <c r="Y236" s="5" t="n">
        <v>15</v>
      </c>
      <c r="Z236" s="191">
        <f>X236-Y236+W236</f>
        <v/>
      </c>
      <c r="AA236" s="192" t="n">
        <v>0</v>
      </c>
      <c r="AB236" s="191">
        <f>Z236+AA236</f>
        <v/>
      </c>
      <c r="AC236" s="36" t="n">
        <v>48</v>
      </c>
      <c r="AD236" s="5" t="n">
        <v>24</v>
      </c>
      <c r="AE236" s="191">
        <f>AC236-AD236+AB236</f>
        <v/>
      </c>
      <c r="AF236" s="192" t="n">
        <v>0</v>
      </c>
      <c r="AG236" s="191">
        <f>AE236+AF236</f>
        <v/>
      </c>
      <c r="AH236" s="36" t="n">
        <v>48</v>
      </c>
      <c r="AI236" s="5" t="n">
        <v>27</v>
      </c>
      <c r="AJ236" s="191">
        <f>AH236-AI236+AG236</f>
        <v/>
      </c>
      <c r="AK236" s="192" t="n">
        <v>0</v>
      </c>
      <c r="AL236" s="191">
        <f>AJ236+AK236</f>
        <v/>
      </c>
      <c r="AM236" s="35" t="inlineStr">
        <is>
          <t>山形</t>
        </is>
      </c>
      <c r="AN236" s="35" t="inlineStr">
        <is>
          <t>こもの</t>
        </is>
      </c>
      <c r="AO236" s="5" t="n">
        <v>135</v>
      </c>
      <c r="AP236" s="5" t="n">
        <v>0</v>
      </c>
      <c r="AQ236" s="35" t="inlineStr">
        <is>
          <t>○</t>
        </is>
      </c>
      <c r="AR236" s="35" t="n"/>
      <c r="AS236" s="122" t="n">
        <v>4571158991329</v>
      </c>
      <c r="AT236" s="35" t="n"/>
      <c r="AU236" s="35" t="n"/>
    </row>
    <row r="237">
      <c r="A237" s="14" t="inlineStr">
        <is>
          <t>1898-5</t>
        </is>
      </c>
      <c r="B237" s="5" t="inlineStr">
        <is>
          <t>有機ブラウンマッシュルーム 70g(舟形)</t>
        </is>
      </c>
      <c r="C237" s="36" t="n">
        <v>48</v>
      </c>
      <c r="D237" s="36" t="n">
        <v>48</v>
      </c>
      <c r="E237" s="5" t="n">
        <v>0</v>
      </c>
      <c r="F237" s="191">
        <f>D237-E237+C237</f>
        <v/>
      </c>
      <c r="G237" s="192" t="n">
        <v>0</v>
      </c>
      <c r="H237" s="191">
        <f>F237+G237</f>
        <v/>
      </c>
      <c r="I237" s="36" t="n">
        <v>0</v>
      </c>
      <c r="J237" s="5" t="n">
        <v>51</v>
      </c>
      <c r="K237" s="191">
        <f>I237-J237+H237</f>
        <v/>
      </c>
      <c r="L237" s="192" t="n">
        <v>0</v>
      </c>
      <c r="M237" s="191">
        <f>K237+L237</f>
        <v/>
      </c>
      <c r="N237" s="36" t="n">
        <v>0</v>
      </c>
      <c r="O237" s="5" t="n">
        <v>27</v>
      </c>
      <c r="P237" s="191">
        <f>N237-O237+M237</f>
        <v/>
      </c>
      <c r="Q237" s="192" t="n">
        <v>0</v>
      </c>
      <c r="R237" s="191">
        <f>P237+Q237</f>
        <v/>
      </c>
      <c r="S237" s="36" t="n">
        <v>252</v>
      </c>
      <c r="T237" s="5" t="n">
        <v>44</v>
      </c>
      <c r="U237" s="191">
        <f>S237-T237+R237</f>
        <v/>
      </c>
      <c r="V237" s="192" t="n">
        <v>-192</v>
      </c>
      <c r="W237" s="191">
        <f>U237+V237</f>
        <v/>
      </c>
      <c r="X237" s="36" t="n">
        <v>0</v>
      </c>
      <c r="Y237" s="5" t="n">
        <v>15</v>
      </c>
      <c r="Z237" s="191">
        <f>X237-Y237+W237</f>
        <v/>
      </c>
      <c r="AA237" s="192" t="n">
        <v>0</v>
      </c>
      <c r="AB237" s="191">
        <f>Z237+AA237</f>
        <v/>
      </c>
      <c r="AC237" s="36" t="n">
        <v>96</v>
      </c>
      <c r="AD237" s="5" t="n">
        <v>34</v>
      </c>
      <c r="AE237" s="191">
        <f>AC237-AD237+AB237</f>
        <v/>
      </c>
      <c r="AF237" s="192" t="n">
        <v>0</v>
      </c>
      <c r="AG237" s="191">
        <f>AE237+AF237</f>
        <v/>
      </c>
      <c r="AH237" s="36" t="n">
        <v>48</v>
      </c>
      <c r="AI237" s="5" t="n">
        <v>48</v>
      </c>
      <c r="AJ237" s="191">
        <f>AH237-AI237+AG237</f>
        <v/>
      </c>
      <c r="AK237" s="192" t="n">
        <v>0</v>
      </c>
      <c r="AL237" s="191">
        <f>AJ237+AK237</f>
        <v/>
      </c>
      <c r="AM237" s="35" t="inlineStr">
        <is>
          <t>山形</t>
        </is>
      </c>
      <c r="AN237" s="35" t="inlineStr">
        <is>
          <t>こもの</t>
        </is>
      </c>
      <c r="AO237" s="5" t="n">
        <v>135</v>
      </c>
      <c r="AP237" s="5" t="n">
        <v>0</v>
      </c>
      <c r="AQ237" s="35" t="inlineStr">
        <is>
          <t>○</t>
        </is>
      </c>
      <c r="AR237" s="35" t="n"/>
      <c r="AS237" s="122" t="n">
        <v>4571158991336</v>
      </c>
      <c r="AT237" s="35" t="n"/>
      <c r="AU237" s="35" t="n"/>
    </row>
    <row r="238">
      <c r="A238" s="14" t="inlineStr">
        <is>
          <t>1898-8</t>
        </is>
      </c>
      <c r="B238" s="5" t="inlineStr">
        <is>
          <t>□有機ﾌﾞﾗｳﾝﾏｯｼｭﾙｰﾑ 70g×12入段ﾎﾞｰﾙ(舟形)</t>
        </is>
      </c>
      <c r="C238" s="36" t="n">
        <v>0</v>
      </c>
      <c r="D238" s="36" t="n">
        <v>0</v>
      </c>
      <c r="E238" s="5" t="n">
        <v>0</v>
      </c>
      <c r="F238" s="191">
        <f>D238-E238+C238</f>
        <v/>
      </c>
      <c r="G238" s="192" t="n">
        <v>0</v>
      </c>
      <c r="H238" s="191">
        <f>F238+G238</f>
        <v/>
      </c>
      <c r="I238" s="36" t="n">
        <v>0</v>
      </c>
      <c r="J238" s="5" t="n">
        <v>0</v>
      </c>
      <c r="K238" s="191">
        <f>I238-J238+H238</f>
        <v/>
      </c>
      <c r="L238" s="192" t="n">
        <v>0</v>
      </c>
      <c r="M238" s="191">
        <f>K238+L238</f>
        <v/>
      </c>
      <c r="N238" s="36" t="n">
        <v>0</v>
      </c>
      <c r="O238" s="5" t="n">
        <v>0</v>
      </c>
      <c r="P238" s="191">
        <f>N238-O238+M238</f>
        <v/>
      </c>
      <c r="Q238" s="192" t="n">
        <v>0</v>
      </c>
      <c r="R238" s="191">
        <f>P238+Q238</f>
        <v/>
      </c>
      <c r="S238" s="36" t="n">
        <v>16</v>
      </c>
      <c r="T238" s="5" t="n">
        <v>16</v>
      </c>
      <c r="U238" s="191">
        <f>S238-T238+R238</f>
        <v/>
      </c>
      <c r="V238" s="192" t="n">
        <v>0</v>
      </c>
      <c r="W238" s="191">
        <f>U238+V238</f>
        <v/>
      </c>
      <c r="X238" s="36" t="n">
        <v>0</v>
      </c>
      <c r="Y238" s="5" t="n">
        <v>0</v>
      </c>
      <c r="Z238" s="191">
        <f>X238-Y238+W238</f>
        <v/>
      </c>
      <c r="AA238" s="192" t="n">
        <v>0</v>
      </c>
      <c r="AB238" s="191">
        <f>Z238+AA238</f>
        <v/>
      </c>
      <c r="AC238" s="36" t="n">
        <v>0</v>
      </c>
      <c r="AD238" s="5" t="n">
        <v>0</v>
      </c>
      <c r="AE238" s="191">
        <f>AC238-AD238+AB238</f>
        <v/>
      </c>
      <c r="AF238" s="192" t="n">
        <v>0</v>
      </c>
      <c r="AG238" s="191">
        <f>AE238+AF238</f>
        <v/>
      </c>
      <c r="AH238" s="36" t="n">
        <v>0</v>
      </c>
      <c r="AI238" s="5" t="n">
        <v>0</v>
      </c>
      <c r="AJ238" s="191">
        <f>AH238-AI238+AG238</f>
        <v/>
      </c>
      <c r="AK238" s="192" t="n">
        <v>0</v>
      </c>
      <c r="AL238" s="191">
        <f>AJ238+AK238</f>
        <v/>
      </c>
      <c r="AM238" s="35" t="inlineStr">
        <is>
          <t>山形</t>
        </is>
      </c>
      <c r="AN238" s="35" t="inlineStr">
        <is>
          <t>こもの</t>
        </is>
      </c>
      <c r="AO238" s="163" t="n">
        <v>1620</v>
      </c>
      <c r="AP238" s="5" t="n">
        <v>0</v>
      </c>
      <c r="AQ238" s="35" t="n"/>
      <c r="AR238" s="35" t="n"/>
      <c r="AS238" s="122" t="n"/>
      <c r="AT238" s="35" t="n"/>
      <c r="AU238" s="35" t="n"/>
    </row>
    <row r="239">
      <c r="A239" s="14" t="inlineStr">
        <is>
          <t>2206</t>
        </is>
      </c>
      <c r="B239" s="5" t="inlineStr">
        <is>
          <t>■浅間とり牧場の自然卵　１０ｋｇ　Ｌ</t>
        </is>
      </c>
      <c r="C239" s="36" t="n">
        <v>0</v>
      </c>
      <c r="D239" s="36" t="n">
        <v>0</v>
      </c>
      <c r="E239" s="5" t="n">
        <v>0</v>
      </c>
      <c r="F239" s="191">
        <f>D239-E239+C239</f>
        <v/>
      </c>
      <c r="G239" s="192" t="n">
        <v>0</v>
      </c>
      <c r="H239" s="191">
        <f>F239+G239</f>
        <v/>
      </c>
      <c r="I239" s="36" t="n">
        <v>4</v>
      </c>
      <c r="J239" s="5" t="n">
        <v>4</v>
      </c>
      <c r="K239" s="191">
        <f>I239-J239+H239</f>
        <v/>
      </c>
      <c r="L239" s="192" t="n">
        <v>0</v>
      </c>
      <c r="M239" s="191">
        <f>K239+L239</f>
        <v/>
      </c>
      <c r="N239" s="36" t="n">
        <v>0</v>
      </c>
      <c r="O239" s="5" t="n">
        <v>0</v>
      </c>
      <c r="P239" s="191">
        <f>N239-O239+M239</f>
        <v/>
      </c>
      <c r="Q239" s="192" t="n">
        <v>0</v>
      </c>
      <c r="R239" s="191">
        <f>P239+Q239</f>
        <v/>
      </c>
      <c r="S239" s="36" t="n">
        <v>6</v>
      </c>
      <c r="T239" s="5" t="n">
        <v>6</v>
      </c>
      <c r="U239" s="191">
        <f>S239-T239+R239</f>
        <v/>
      </c>
      <c r="V239" s="192" t="n">
        <v>0</v>
      </c>
      <c r="W239" s="191">
        <f>U239+V239</f>
        <v/>
      </c>
      <c r="X239" s="36" t="n">
        <v>0</v>
      </c>
      <c r="Y239" s="5" t="n">
        <v>0</v>
      </c>
      <c r="Z239" s="191">
        <f>X239-Y239+W239</f>
        <v/>
      </c>
      <c r="AA239" s="192" t="n">
        <v>0</v>
      </c>
      <c r="AB239" s="191">
        <f>Z239+AA239</f>
        <v/>
      </c>
      <c r="AC239" s="36" t="n">
        <v>5</v>
      </c>
      <c r="AD239" s="5" t="n">
        <v>2</v>
      </c>
      <c r="AE239" s="191">
        <f>AC239-AD239+AB239</f>
        <v/>
      </c>
      <c r="AF239" s="192" t="n">
        <v>0</v>
      </c>
      <c r="AG239" s="191">
        <f>AE239+AF239</f>
        <v/>
      </c>
      <c r="AH239" s="36" t="n">
        <v>0</v>
      </c>
      <c r="AI239" s="5" t="n">
        <v>3</v>
      </c>
      <c r="AJ239" s="191">
        <f>AH239-AI239+AG239</f>
        <v/>
      </c>
      <c r="AK239" s="192" t="n">
        <v>0</v>
      </c>
      <c r="AL239" s="191">
        <f>AJ239+AK239</f>
        <v/>
      </c>
      <c r="AM239" s="35" t="inlineStr">
        <is>
          <t>群馬</t>
        </is>
      </c>
      <c r="AN239" s="35" t="inlineStr">
        <is>
          <t>箱</t>
        </is>
      </c>
      <c r="AO239" s="163" t="n">
        <v>7100</v>
      </c>
      <c r="AP239" s="5" t="n">
        <v>0</v>
      </c>
      <c r="AQ239" s="35" t="inlineStr">
        <is>
          <t>○</t>
        </is>
      </c>
      <c r="AR239" s="35" t="n"/>
      <c r="AS239" s="122" t="n"/>
      <c r="AT239" s="35" t="n">
        <v>103</v>
      </c>
      <c r="AU239" s="35" t="inlineStr">
        <is>
          <t>㈱矢野育雛場</t>
        </is>
      </c>
    </row>
    <row r="240">
      <c r="A240" s="14" t="inlineStr">
        <is>
          <t>2209-15</t>
        </is>
      </c>
      <c r="B240" s="5" t="inlineStr">
        <is>
          <t>平飼い 10個入ﾊﾟｯｸ（会田）</t>
        </is>
      </c>
      <c r="C240" s="36" t="n">
        <v>0</v>
      </c>
      <c r="D240" s="36" t="n">
        <v>0</v>
      </c>
      <c r="E240" s="5" t="n">
        <v>0</v>
      </c>
      <c r="F240" s="191">
        <f>D240-E240+C240</f>
        <v/>
      </c>
      <c r="G240" s="192" t="n">
        <v>0</v>
      </c>
      <c r="H240" s="191">
        <f>F240+G240</f>
        <v/>
      </c>
      <c r="I240" s="36" t="n">
        <v>0</v>
      </c>
      <c r="J240" s="5" t="n">
        <v>0</v>
      </c>
      <c r="K240" s="191">
        <f>I240-J240+H240</f>
        <v/>
      </c>
      <c r="L240" s="192" t="n">
        <v>0</v>
      </c>
      <c r="M240" s="191">
        <f>K240+L240</f>
        <v/>
      </c>
      <c r="N240" s="36" t="n">
        <v>0</v>
      </c>
      <c r="O240" s="5" t="n">
        <v>0</v>
      </c>
      <c r="P240" s="191">
        <f>N240-O240+M240</f>
        <v/>
      </c>
      <c r="Q240" s="192" t="n">
        <v>0</v>
      </c>
      <c r="R240" s="191">
        <f>P240+Q240</f>
        <v/>
      </c>
      <c r="S240" s="36" t="n">
        <v>0</v>
      </c>
      <c r="T240" s="5" t="n">
        <v>0</v>
      </c>
      <c r="U240" s="191">
        <f>S240-T240+R240</f>
        <v/>
      </c>
      <c r="V240" s="192" t="n">
        <v>0</v>
      </c>
      <c r="W240" s="191">
        <f>U240+V240</f>
        <v/>
      </c>
      <c r="X240" s="36" t="n">
        <v>0</v>
      </c>
      <c r="Y240" s="5" t="n">
        <v>0</v>
      </c>
      <c r="Z240" s="191">
        <f>X240-Y240+W240</f>
        <v/>
      </c>
      <c r="AA240" s="192" t="n">
        <v>0</v>
      </c>
      <c r="AB240" s="191">
        <f>Z240+AA240</f>
        <v/>
      </c>
      <c r="AC240" s="36" t="n">
        <v>24</v>
      </c>
      <c r="AD240" s="5" t="n">
        <v>24</v>
      </c>
      <c r="AE240" s="191">
        <f>AC240-AD240+AB240</f>
        <v/>
      </c>
      <c r="AF240" s="192" t="n">
        <v>0</v>
      </c>
      <c r="AG240" s="191">
        <f>AE240+AF240</f>
        <v/>
      </c>
      <c r="AH240" s="36" t="n">
        <v>0</v>
      </c>
      <c r="AI240" s="5" t="n">
        <v>0</v>
      </c>
      <c r="AJ240" s="191">
        <f>AH240-AI240+AG240</f>
        <v/>
      </c>
      <c r="AK240" s="192" t="n">
        <v>0</v>
      </c>
      <c r="AL240" s="191">
        <f>AJ240+AK240</f>
        <v/>
      </c>
      <c r="AM240" s="35" t="inlineStr">
        <is>
          <t>長野</t>
        </is>
      </c>
      <c r="AN240" s="35" t="inlineStr">
        <is>
          <t>こもの</t>
        </is>
      </c>
      <c r="AO240" s="5" t="n">
        <v>406</v>
      </c>
      <c r="AP240" s="5" t="n">
        <v>0</v>
      </c>
      <c r="AQ240" s="35" t="inlineStr">
        <is>
          <t>○</t>
        </is>
      </c>
      <c r="AR240" s="35" t="n"/>
      <c r="AS240" s="122" t="n"/>
      <c r="AT240" s="35" t="n">
        <v>282</v>
      </c>
      <c r="AU240" s="35" t="inlineStr">
        <is>
          <t>(農)会田共同養鶏組合</t>
        </is>
      </c>
    </row>
    <row r="241">
      <c r="A241" s="14" t="inlineStr">
        <is>
          <t>2209-16</t>
        </is>
      </c>
      <c r="B241" s="5" t="inlineStr">
        <is>
          <t>米たまご 10個入ﾊﾟｯｸ（会田）</t>
        </is>
      </c>
      <c r="C241" s="36" t="n">
        <v>0</v>
      </c>
      <c r="D241" s="36" t="n">
        <v>0</v>
      </c>
      <c r="E241" s="5" t="n">
        <v>0</v>
      </c>
      <c r="F241" s="191">
        <f>D241-E241+C241</f>
        <v/>
      </c>
      <c r="G241" s="192" t="n">
        <v>0</v>
      </c>
      <c r="H241" s="191">
        <f>F241+G241</f>
        <v/>
      </c>
      <c r="I241" s="36" t="n">
        <v>0</v>
      </c>
      <c r="J241" s="5" t="n">
        <v>0</v>
      </c>
      <c r="K241" s="191">
        <f>I241-J241+H241</f>
        <v/>
      </c>
      <c r="L241" s="192" t="n">
        <v>0</v>
      </c>
      <c r="M241" s="191">
        <f>K241+L241</f>
        <v/>
      </c>
      <c r="N241" s="36" t="n">
        <v>0</v>
      </c>
      <c r="O241" s="5" t="n">
        <v>0</v>
      </c>
      <c r="P241" s="191">
        <f>N241-O241+M241</f>
        <v/>
      </c>
      <c r="Q241" s="192" t="n">
        <v>0</v>
      </c>
      <c r="R241" s="191">
        <f>P241+Q241</f>
        <v/>
      </c>
      <c r="S241" s="36" t="n">
        <v>0</v>
      </c>
      <c r="T241" s="5" t="n">
        <v>0</v>
      </c>
      <c r="U241" s="191">
        <f>S241-T241+R241</f>
        <v/>
      </c>
      <c r="V241" s="192" t="n">
        <v>0</v>
      </c>
      <c r="W241" s="191">
        <f>U241+V241</f>
        <v/>
      </c>
      <c r="X241" s="36" t="n">
        <v>0</v>
      </c>
      <c r="Y241" s="5" t="n">
        <v>0</v>
      </c>
      <c r="Z241" s="191">
        <f>X241-Y241+W241</f>
        <v/>
      </c>
      <c r="AA241" s="192" t="n">
        <v>0</v>
      </c>
      <c r="AB241" s="191">
        <f>Z241+AA241</f>
        <v/>
      </c>
      <c r="AC241" s="36" t="n">
        <v>24</v>
      </c>
      <c r="AD241" s="5" t="n">
        <v>24</v>
      </c>
      <c r="AE241" s="191">
        <f>AC241-AD241+AB241</f>
        <v/>
      </c>
      <c r="AF241" s="192" t="n">
        <v>0</v>
      </c>
      <c r="AG241" s="191">
        <f>AE241+AF241</f>
        <v/>
      </c>
      <c r="AH241" s="36" t="n">
        <v>0</v>
      </c>
      <c r="AI241" s="5" t="n">
        <v>0</v>
      </c>
      <c r="AJ241" s="191">
        <f>AH241-AI241+AG241</f>
        <v/>
      </c>
      <c r="AK241" s="192" t="n">
        <v>0</v>
      </c>
      <c r="AL241" s="191">
        <f>AJ241+AK241</f>
        <v/>
      </c>
      <c r="AM241" s="35" t="inlineStr">
        <is>
          <t>長野</t>
        </is>
      </c>
      <c r="AN241" s="35" t="inlineStr">
        <is>
          <t>こもの</t>
        </is>
      </c>
      <c r="AO241" s="5" t="n">
        <v>336</v>
      </c>
      <c r="AP241" s="5" t="n">
        <v>0</v>
      </c>
      <c r="AQ241" s="35" t="inlineStr">
        <is>
          <t>○</t>
        </is>
      </c>
      <c r="AR241" s="35" t="n"/>
      <c r="AS241" s="122" t="n"/>
      <c r="AT241" s="35" t="n">
        <v>282</v>
      </c>
      <c r="AU241" s="35" t="inlineStr">
        <is>
          <t>(農)会田共同養鶏組合</t>
        </is>
      </c>
    </row>
    <row r="242">
      <c r="A242" s="14" t="inlineStr">
        <is>
          <t>2209-17</t>
        </is>
      </c>
      <c r="B242" s="5" t="inlineStr">
        <is>
          <t>平飼い Ｓ10個入ﾊﾟｯｸ（会田）</t>
        </is>
      </c>
      <c r="C242" s="36" t="n">
        <v>0</v>
      </c>
      <c r="D242" s="36" t="n">
        <v>0</v>
      </c>
      <c r="E242" s="5" t="n">
        <v>0</v>
      </c>
      <c r="F242" s="191">
        <f>D242-E242+C242</f>
        <v/>
      </c>
      <c r="G242" s="192" t="n">
        <v>0</v>
      </c>
      <c r="H242" s="191">
        <f>F242+G242</f>
        <v/>
      </c>
      <c r="I242" s="36" t="n">
        <v>0</v>
      </c>
      <c r="J242" s="5" t="n">
        <v>0</v>
      </c>
      <c r="K242" s="191">
        <f>I242-J242+H242</f>
        <v/>
      </c>
      <c r="L242" s="192" t="n">
        <v>0</v>
      </c>
      <c r="M242" s="191">
        <f>K242+L242</f>
        <v/>
      </c>
      <c r="N242" s="36" t="n">
        <v>25</v>
      </c>
      <c r="O242" s="5" t="n">
        <v>25</v>
      </c>
      <c r="P242" s="191">
        <f>N242-O242+M242</f>
        <v/>
      </c>
      <c r="Q242" s="192" t="n">
        <v>0</v>
      </c>
      <c r="R242" s="191">
        <f>P242+Q242</f>
        <v/>
      </c>
      <c r="S242" s="36" t="n">
        <v>0</v>
      </c>
      <c r="T242" s="5" t="n">
        <v>0</v>
      </c>
      <c r="U242" s="191">
        <f>S242-T242+R242</f>
        <v/>
      </c>
      <c r="V242" s="192" t="n">
        <v>0</v>
      </c>
      <c r="W242" s="191">
        <f>U242+V242</f>
        <v/>
      </c>
      <c r="X242" s="36" t="n">
        <v>0</v>
      </c>
      <c r="Y242" s="5" t="n">
        <v>0</v>
      </c>
      <c r="Z242" s="191">
        <f>X242-Y242+W242</f>
        <v/>
      </c>
      <c r="AA242" s="192" t="n">
        <v>0</v>
      </c>
      <c r="AB242" s="191">
        <f>Z242+AA242</f>
        <v/>
      </c>
      <c r="AC242" s="36" t="n">
        <v>50</v>
      </c>
      <c r="AD242" s="5" t="n">
        <v>50</v>
      </c>
      <c r="AE242" s="191">
        <f>AC242-AD242+AB242</f>
        <v/>
      </c>
      <c r="AF242" s="192" t="n">
        <v>0</v>
      </c>
      <c r="AG242" s="191">
        <f>AE242+AF242</f>
        <v/>
      </c>
      <c r="AH242" s="36" t="n">
        <v>0</v>
      </c>
      <c r="AI242" s="5" t="n">
        <v>0</v>
      </c>
      <c r="AJ242" s="191">
        <f>AH242-AI242+AG242</f>
        <v/>
      </c>
      <c r="AK242" s="192" t="n">
        <v>0</v>
      </c>
      <c r="AL242" s="191">
        <f>AJ242+AK242</f>
        <v/>
      </c>
      <c r="AM242" s="35" t="inlineStr">
        <is>
          <t>長野</t>
        </is>
      </c>
      <c r="AN242" s="35" t="inlineStr">
        <is>
          <t>こもの</t>
        </is>
      </c>
      <c r="AO242" s="5" t="n">
        <v>240</v>
      </c>
      <c r="AP242" s="5" t="n">
        <v>0</v>
      </c>
      <c r="AQ242" s="35" t="inlineStr">
        <is>
          <t>○</t>
        </is>
      </c>
      <c r="AR242" s="35" t="n"/>
      <c r="AS242" s="122" t="n"/>
      <c r="AT242" s="35" t="n">
        <v>282</v>
      </c>
      <c r="AU242" s="35" t="inlineStr">
        <is>
          <t>(農)会田共同養鶏組合</t>
        </is>
      </c>
    </row>
    <row r="243">
      <c r="A243" s="14" t="inlineStr">
        <is>
          <t>2209-22</t>
        </is>
      </c>
      <c r="B243" s="5" t="inlineStr">
        <is>
          <t>■平飼いたまご10個ﾓｳﾙﾄﾞﾊﾟｯｸ×24（会田）</t>
        </is>
      </c>
      <c r="C243" s="36" t="n">
        <v>0</v>
      </c>
      <c r="D243" s="36" t="n">
        <v>0</v>
      </c>
      <c r="E243" s="5" t="n">
        <v>0</v>
      </c>
      <c r="F243" s="191">
        <f>D243-E243+C243</f>
        <v/>
      </c>
      <c r="G243" s="192" t="n">
        <v>0</v>
      </c>
      <c r="H243" s="191">
        <f>F243+G243</f>
        <v/>
      </c>
      <c r="I243" s="36" t="n">
        <v>0</v>
      </c>
      <c r="J243" s="5" t="n">
        <v>0</v>
      </c>
      <c r="K243" s="191">
        <f>I243-J243+H243</f>
        <v/>
      </c>
      <c r="L243" s="192" t="n">
        <v>0</v>
      </c>
      <c r="M243" s="191">
        <f>K243+L243</f>
        <v/>
      </c>
      <c r="N243" s="36" t="n">
        <v>0</v>
      </c>
      <c r="O243" s="5" t="n">
        <v>0</v>
      </c>
      <c r="P243" s="191">
        <f>N243-O243+M243</f>
        <v/>
      </c>
      <c r="Q243" s="192" t="n">
        <v>0</v>
      </c>
      <c r="R243" s="191">
        <f>P243+Q243</f>
        <v/>
      </c>
      <c r="S243" s="36" t="n">
        <v>0</v>
      </c>
      <c r="T243" s="5" t="n">
        <v>0</v>
      </c>
      <c r="U243" s="191">
        <f>S243-T243+R243</f>
        <v/>
      </c>
      <c r="V243" s="192" t="n">
        <v>0</v>
      </c>
      <c r="W243" s="191">
        <f>U243+V243</f>
        <v/>
      </c>
      <c r="X243" s="36" t="n">
        <v>0</v>
      </c>
      <c r="Y243" s="5" t="n">
        <v>0</v>
      </c>
      <c r="Z243" s="191">
        <f>X243-Y243+W243</f>
        <v/>
      </c>
      <c r="AA243" s="192" t="n">
        <v>0</v>
      </c>
      <c r="AB243" s="191">
        <f>Z243+AA243</f>
        <v/>
      </c>
      <c r="AC243" s="36" t="n">
        <v>0</v>
      </c>
      <c r="AD243" s="5" t="n">
        <v>0</v>
      </c>
      <c r="AE243" s="191">
        <f>AC243-AD243+AB243</f>
        <v/>
      </c>
      <c r="AF243" s="192" t="n">
        <v>0</v>
      </c>
      <c r="AG243" s="191">
        <f>AE243+AF243</f>
        <v/>
      </c>
      <c r="AH243" s="36" t="n">
        <v>0</v>
      </c>
      <c r="AI243" s="5" t="n">
        <v>0</v>
      </c>
      <c r="AJ243" s="191">
        <f>AH243-AI243+AG243</f>
        <v/>
      </c>
      <c r="AK243" s="192" t="n">
        <v>0</v>
      </c>
      <c r="AL243" s="191">
        <f>AJ243+AK243</f>
        <v/>
      </c>
      <c r="AM243" s="35" t="n"/>
      <c r="AN243" s="35" t="n"/>
      <c r="AO243" s="5" t="n">
        <v>0</v>
      </c>
      <c r="AP243" s="5" t="n">
        <v>0</v>
      </c>
      <c r="AQ243" s="35" t="n"/>
      <c r="AR243" s="35" t="n"/>
      <c r="AS243" s="122" t="n"/>
      <c r="AT243" s="35" t="n"/>
      <c r="AU243" s="35" t="n"/>
    </row>
    <row r="244">
      <c r="A244" s="14" t="inlineStr">
        <is>
          <t>2210-1</t>
        </is>
      </c>
      <c r="B244" s="5" t="inlineStr">
        <is>
          <t>■卵「もみじ」Ｌ 10㎏(大松)</t>
        </is>
      </c>
      <c r="C244" s="36" t="n">
        <v>0</v>
      </c>
      <c r="D244" s="36" t="n">
        <v>1</v>
      </c>
      <c r="E244" s="5" t="n">
        <v>0</v>
      </c>
      <c r="F244" s="191">
        <f>D244-E244+C244</f>
        <v/>
      </c>
      <c r="G244" s="192" t="n">
        <v>0</v>
      </c>
      <c r="H244" s="191">
        <f>F244+G244</f>
        <v/>
      </c>
      <c r="I244" s="36" t="n">
        <v>0</v>
      </c>
      <c r="J244" s="5" t="n">
        <v>1</v>
      </c>
      <c r="K244" s="191">
        <f>I244-J244+H244</f>
        <v/>
      </c>
      <c r="L244" s="192" t="n">
        <v>0</v>
      </c>
      <c r="M244" s="191">
        <f>K244+L244</f>
        <v/>
      </c>
      <c r="N244" s="36" t="n">
        <v>0</v>
      </c>
      <c r="O244" s="5" t="n">
        <v>0</v>
      </c>
      <c r="P244" s="191">
        <f>N244-O244+M244</f>
        <v/>
      </c>
      <c r="Q244" s="192" t="n">
        <v>0</v>
      </c>
      <c r="R244" s="191">
        <f>P244+Q244</f>
        <v/>
      </c>
      <c r="S244" s="36" t="n">
        <v>0</v>
      </c>
      <c r="T244" s="5" t="n">
        <v>0</v>
      </c>
      <c r="U244" s="191">
        <f>S244-T244+R244</f>
        <v/>
      </c>
      <c r="V244" s="192" t="n">
        <v>0</v>
      </c>
      <c r="W244" s="191">
        <f>U244+V244</f>
        <v/>
      </c>
      <c r="X244" s="36" t="n">
        <v>0</v>
      </c>
      <c r="Y244" s="5" t="n">
        <v>0</v>
      </c>
      <c r="Z244" s="191">
        <f>X244-Y244+W244</f>
        <v/>
      </c>
      <c r="AA244" s="192" t="n">
        <v>0</v>
      </c>
      <c r="AB244" s="191">
        <f>Z244+AA244</f>
        <v/>
      </c>
      <c r="AC244" s="36" t="n">
        <v>0</v>
      </c>
      <c r="AD244" s="5" t="n">
        <v>0</v>
      </c>
      <c r="AE244" s="191">
        <f>AC244-AD244+AB244</f>
        <v/>
      </c>
      <c r="AF244" s="192" t="n">
        <v>0</v>
      </c>
      <c r="AG244" s="191">
        <f>AE244+AF244</f>
        <v/>
      </c>
      <c r="AH244" s="36" t="n">
        <v>0</v>
      </c>
      <c r="AI244" s="5" t="n">
        <v>0</v>
      </c>
      <c r="AJ244" s="191">
        <f>AH244-AI244+AG244</f>
        <v/>
      </c>
      <c r="AK244" s="192" t="n">
        <v>0</v>
      </c>
      <c r="AL244" s="191">
        <f>AJ244+AK244</f>
        <v/>
      </c>
      <c r="AM244" s="35" t="inlineStr">
        <is>
          <t>千葉</t>
        </is>
      </c>
      <c r="AN244" s="35" t="inlineStr">
        <is>
          <t>箱</t>
        </is>
      </c>
      <c r="AO244" s="163" t="n">
        <v>7100</v>
      </c>
      <c r="AP244" s="5" t="n">
        <v>0</v>
      </c>
      <c r="AQ244" s="35" t="n"/>
      <c r="AR244" s="35" t="n"/>
      <c r="AS244" s="122" t="n"/>
      <c r="AT244" s="35" t="n">
        <v>103</v>
      </c>
      <c r="AU244" s="35" t="inlineStr">
        <is>
          <t>㈱矢野育雛場</t>
        </is>
      </c>
    </row>
    <row r="245">
      <c r="A245" s="14" t="inlineStr">
        <is>
          <t>2210-2</t>
        </is>
      </c>
      <c r="B245" s="5" t="inlineStr">
        <is>
          <t>■卵「もみじ」Ｍ 10㎏(大松)</t>
        </is>
      </c>
      <c r="C245" s="36" t="n">
        <v>0</v>
      </c>
      <c r="D245" s="36" t="n">
        <v>2</v>
      </c>
      <c r="E245" s="5" t="n">
        <v>0</v>
      </c>
      <c r="F245" s="191">
        <f>D245-E245+C245</f>
        <v/>
      </c>
      <c r="G245" s="192" t="n">
        <v>0</v>
      </c>
      <c r="H245" s="191">
        <f>F245+G245</f>
        <v/>
      </c>
      <c r="I245" s="36" t="n">
        <v>0</v>
      </c>
      <c r="J245" s="5" t="n">
        <v>2</v>
      </c>
      <c r="K245" s="191">
        <f>I245-J245+H245</f>
        <v/>
      </c>
      <c r="L245" s="192" t="n">
        <v>0</v>
      </c>
      <c r="M245" s="191">
        <f>K245+L245</f>
        <v/>
      </c>
      <c r="N245" s="36" t="n">
        <v>0</v>
      </c>
      <c r="O245" s="5" t="n">
        <v>0</v>
      </c>
      <c r="P245" s="191">
        <f>N245-O245+M245</f>
        <v/>
      </c>
      <c r="Q245" s="192" t="n">
        <v>0</v>
      </c>
      <c r="R245" s="191">
        <f>P245+Q245</f>
        <v/>
      </c>
      <c r="S245" s="36" t="n">
        <v>0</v>
      </c>
      <c r="T245" s="5" t="n">
        <v>0</v>
      </c>
      <c r="U245" s="191">
        <f>S245-T245+R245</f>
        <v/>
      </c>
      <c r="V245" s="192" t="n">
        <v>0</v>
      </c>
      <c r="W245" s="191">
        <f>U245+V245</f>
        <v/>
      </c>
      <c r="X245" s="36" t="n">
        <v>0</v>
      </c>
      <c r="Y245" s="5" t="n">
        <v>0</v>
      </c>
      <c r="Z245" s="191">
        <f>X245-Y245+W245</f>
        <v/>
      </c>
      <c r="AA245" s="192" t="n">
        <v>0</v>
      </c>
      <c r="AB245" s="191">
        <f>Z245+AA245</f>
        <v/>
      </c>
      <c r="AC245" s="36" t="n">
        <v>1</v>
      </c>
      <c r="AD245" s="5" t="n">
        <v>1</v>
      </c>
      <c r="AE245" s="191">
        <f>AC245-AD245+AB245</f>
        <v/>
      </c>
      <c r="AF245" s="192" t="n">
        <v>0</v>
      </c>
      <c r="AG245" s="191">
        <f>AE245+AF245</f>
        <v/>
      </c>
      <c r="AH245" s="36" t="n">
        <v>0</v>
      </c>
      <c r="AI245" s="5" t="n">
        <v>0</v>
      </c>
      <c r="AJ245" s="191">
        <f>AH245-AI245+AG245</f>
        <v/>
      </c>
      <c r="AK245" s="192" t="n">
        <v>0</v>
      </c>
      <c r="AL245" s="191">
        <f>AJ245+AK245</f>
        <v/>
      </c>
      <c r="AM245" s="35" t="inlineStr">
        <is>
          <t>千葉</t>
        </is>
      </c>
      <c r="AN245" s="35" t="inlineStr">
        <is>
          <t>箱</t>
        </is>
      </c>
      <c r="AO245" s="163" t="n">
        <v>7100</v>
      </c>
      <c r="AP245" s="5" t="n">
        <v>0</v>
      </c>
      <c r="AQ245" s="35" t="n"/>
      <c r="AR245" s="35" t="n"/>
      <c r="AS245" s="122" t="n"/>
      <c r="AT245" s="35" t="n">
        <v>103</v>
      </c>
      <c r="AU245" s="35" t="inlineStr">
        <is>
          <t>㈱矢野育雛場</t>
        </is>
      </c>
    </row>
    <row r="246">
      <c r="A246" s="14" t="inlineStr">
        <is>
          <t>2212-1</t>
        </is>
      </c>
      <c r="B246" s="5" t="inlineStr">
        <is>
          <t>■卵ﾊﾟｯｸ10個用OSK １包(200枚)</t>
        </is>
      </c>
      <c r="C246" s="36" t="n">
        <v>6</v>
      </c>
      <c r="D246" s="36" t="n">
        <v>0</v>
      </c>
      <c r="E246" s="5" t="n">
        <v>0</v>
      </c>
      <c r="F246" s="191">
        <f>D246-E246+C246</f>
        <v/>
      </c>
      <c r="G246" s="192" t="n">
        <v>0</v>
      </c>
      <c r="H246" s="191">
        <f>F246+G246</f>
        <v/>
      </c>
      <c r="I246" s="36" t="n">
        <v>0</v>
      </c>
      <c r="J246" s="5" t="n">
        <v>0</v>
      </c>
      <c r="K246" s="191">
        <f>I246-J246+H246</f>
        <v/>
      </c>
      <c r="L246" s="192" t="n">
        <v>0</v>
      </c>
      <c r="M246" s="191">
        <f>K246+L246</f>
        <v/>
      </c>
      <c r="N246" s="36" t="n">
        <v>0</v>
      </c>
      <c r="O246" s="5" t="n">
        <v>0</v>
      </c>
      <c r="P246" s="191">
        <f>N246-O246+M246</f>
        <v/>
      </c>
      <c r="Q246" s="192" t="n">
        <v>0</v>
      </c>
      <c r="R246" s="191">
        <f>P246+Q246</f>
        <v/>
      </c>
      <c r="S246" s="36" t="n">
        <v>0</v>
      </c>
      <c r="T246" s="5" t="n">
        <v>0</v>
      </c>
      <c r="U246" s="191">
        <f>S246-T246+R246</f>
        <v/>
      </c>
      <c r="V246" s="192" t="n">
        <v>0</v>
      </c>
      <c r="W246" s="191">
        <f>U246+V246</f>
        <v/>
      </c>
      <c r="X246" s="36" t="n">
        <v>0</v>
      </c>
      <c r="Y246" s="5" t="n">
        <v>0</v>
      </c>
      <c r="Z246" s="191">
        <f>X246-Y246+W246</f>
        <v/>
      </c>
      <c r="AA246" s="192" t="n">
        <v>0</v>
      </c>
      <c r="AB246" s="191">
        <f>Z246+AA246</f>
        <v/>
      </c>
      <c r="AC246" s="36" t="n">
        <v>0</v>
      </c>
      <c r="AD246" s="5" t="n">
        <v>0</v>
      </c>
      <c r="AE246" s="191">
        <f>AC246-AD246+AB246</f>
        <v/>
      </c>
      <c r="AF246" s="192" t="n">
        <v>0</v>
      </c>
      <c r="AG246" s="191">
        <f>AE246+AF246</f>
        <v/>
      </c>
      <c r="AH246" s="36" t="n">
        <v>0</v>
      </c>
      <c r="AI246" s="5" t="n">
        <v>0</v>
      </c>
      <c r="AJ246" s="191">
        <f>AH246-AI246+AG246</f>
        <v/>
      </c>
      <c r="AK246" s="192" t="n">
        <v>0</v>
      </c>
      <c r="AL246" s="191">
        <f>AJ246+AK246</f>
        <v/>
      </c>
      <c r="AM246" s="35" t="n"/>
      <c r="AN246" s="35" t="inlineStr">
        <is>
          <t>箱</t>
        </is>
      </c>
      <c r="AO246" s="163" t="n">
        <v>5600</v>
      </c>
      <c r="AP246" s="5" t="n">
        <v>0</v>
      </c>
      <c r="AQ246" s="35" t="inlineStr">
        <is>
          <t>○</t>
        </is>
      </c>
      <c r="AR246" s="35" t="n"/>
      <c r="AS246" s="122" t="n"/>
      <c r="AT246" s="35" t="n"/>
      <c r="AU246" s="35" t="n"/>
    </row>
    <row r="247">
      <c r="A247" s="14" t="inlineStr">
        <is>
          <t>2216-1</t>
        </is>
      </c>
      <c r="B247" s="5" t="inlineStr">
        <is>
          <t>■卵ﾊﾟｯｸ６個用 1包　2ﾊﾟｯｸ1組×200(400ｐ)</t>
        </is>
      </c>
      <c r="C247" s="36" t="n">
        <v>0</v>
      </c>
      <c r="D247" s="36" t="n">
        <v>0</v>
      </c>
      <c r="E247" s="5" t="n">
        <v>0</v>
      </c>
      <c r="F247" s="191">
        <f>D247-E247+C247</f>
        <v/>
      </c>
      <c r="G247" s="192" t="n">
        <v>0</v>
      </c>
      <c r="H247" s="191">
        <f>F247+G247</f>
        <v/>
      </c>
      <c r="I247" s="36" t="n">
        <v>0</v>
      </c>
      <c r="J247" s="5" t="n">
        <v>0</v>
      </c>
      <c r="K247" s="191">
        <f>I247-J247+H247</f>
        <v/>
      </c>
      <c r="L247" s="192" t="n">
        <v>0</v>
      </c>
      <c r="M247" s="191">
        <f>K247+L247</f>
        <v/>
      </c>
      <c r="N247" s="36" t="n">
        <v>0</v>
      </c>
      <c r="O247" s="5" t="n">
        <v>0</v>
      </c>
      <c r="P247" s="191">
        <f>N247-O247+M247</f>
        <v/>
      </c>
      <c r="Q247" s="192" t="n">
        <v>0</v>
      </c>
      <c r="R247" s="191">
        <f>P247+Q247</f>
        <v/>
      </c>
      <c r="S247" s="36" t="n">
        <v>0</v>
      </c>
      <c r="T247" s="5" t="n">
        <v>0</v>
      </c>
      <c r="U247" s="191">
        <f>S247-T247+R247</f>
        <v/>
      </c>
      <c r="V247" s="192" t="n">
        <v>0</v>
      </c>
      <c r="W247" s="191">
        <f>U247+V247</f>
        <v/>
      </c>
      <c r="X247" s="36" t="n">
        <v>0</v>
      </c>
      <c r="Y247" s="5" t="n">
        <v>0</v>
      </c>
      <c r="Z247" s="191">
        <f>X247-Y247+W247</f>
        <v/>
      </c>
      <c r="AA247" s="192" t="n">
        <v>0</v>
      </c>
      <c r="AB247" s="191">
        <f>Z247+AA247</f>
        <v/>
      </c>
      <c r="AC247" s="36" t="n">
        <v>0</v>
      </c>
      <c r="AD247" s="5" t="n">
        <v>0</v>
      </c>
      <c r="AE247" s="191">
        <f>AC247-AD247+AB247</f>
        <v/>
      </c>
      <c r="AF247" s="192" t="n">
        <v>0</v>
      </c>
      <c r="AG247" s="191">
        <f>AE247+AF247</f>
        <v/>
      </c>
      <c r="AH247" s="36" t="n">
        <v>0</v>
      </c>
      <c r="AI247" s="5" t="n">
        <v>0</v>
      </c>
      <c r="AJ247" s="191">
        <f>AH247-AI247+AG247</f>
        <v/>
      </c>
      <c r="AK247" s="192" t="n">
        <v>0</v>
      </c>
      <c r="AL247" s="191">
        <f>AJ247+AK247</f>
        <v/>
      </c>
      <c r="AM247" s="35" t="n"/>
      <c r="AN247" s="35" t="inlineStr">
        <is>
          <t>箱</t>
        </is>
      </c>
      <c r="AO247" s="163" t="n">
        <v>6600</v>
      </c>
      <c r="AP247" s="5" t="n">
        <v>0</v>
      </c>
      <c r="AQ247" s="35" t="inlineStr">
        <is>
          <t>○</t>
        </is>
      </c>
      <c r="AR247" s="35" t="n"/>
      <c r="AS247" s="122" t="n"/>
      <c r="AT247" s="35" t="n"/>
      <c r="AU247" s="35" t="n"/>
    </row>
    <row r="248">
      <c r="A248" s="14" t="inlineStr">
        <is>
          <t>2392-15</t>
        </is>
      </c>
      <c r="B248" s="5" t="inlineStr">
        <is>
          <t>ひきわりカップ　30ｇ×２ｐ</t>
        </is>
      </c>
      <c r="C248" s="36" t="n">
        <v>0</v>
      </c>
      <c r="D248" s="36" t="n">
        <v>0</v>
      </c>
      <c r="E248" s="5" t="n">
        <v>0</v>
      </c>
      <c r="F248" s="191">
        <f>D248-E248+C248</f>
        <v/>
      </c>
      <c r="G248" s="192" t="n">
        <v>0</v>
      </c>
      <c r="H248" s="191">
        <f>F248+G248</f>
        <v/>
      </c>
      <c r="I248" s="36" t="n">
        <v>6</v>
      </c>
      <c r="J248" s="5" t="n">
        <v>6</v>
      </c>
      <c r="K248" s="191">
        <f>I248-J248+H248</f>
        <v/>
      </c>
      <c r="L248" s="192" t="n">
        <v>0</v>
      </c>
      <c r="M248" s="191">
        <f>K248+L248</f>
        <v/>
      </c>
      <c r="N248" s="36" t="n">
        <v>0</v>
      </c>
      <c r="O248" s="5" t="n">
        <v>0</v>
      </c>
      <c r="P248" s="191">
        <f>N248-O248+M248</f>
        <v/>
      </c>
      <c r="Q248" s="192" t="n">
        <v>0</v>
      </c>
      <c r="R248" s="191">
        <f>P248+Q248</f>
        <v/>
      </c>
      <c r="S248" s="36" t="n">
        <v>0</v>
      </c>
      <c r="T248" s="5" t="n">
        <v>0</v>
      </c>
      <c r="U248" s="191">
        <f>S248-T248+R248</f>
        <v/>
      </c>
      <c r="V248" s="192" t="n">
        <v>0</v>
      </c>
      <c r="W248" s="191">
        <f>U248+V248</f>
        <v/>
      </c>
      <c r="X248" s="36" t="n">
        <v>0</v>
      </c>
      <c r="Y248" s="5" t="n">
        <v>0</v>
      </c>
      <c r="Z248" s="191">
        <f>X248-Y248+W248</f>
        <v/>
      </c>
      <c r="AA248" s="192" t="n">
        <v>0</v>
      </c>
      <c r="AB248" s="191">
        <f>Z248+AA248</f>
        <v/>
      </c>
      <c r="AC248" s="36" t="n">
        <v>0</v>
      </c>
      <c r="AD248" s="5" t="n">
        <v>0</v>
      </c>
      <c r="AE248" s="191">
        <f>AC248-AD248+AB248</f>
        <v/>
      </c>
      <c r="AF248" s="192" t="n">
        <v>0</v>
      </c>
      <c r="AG248" s="191">
        <f>AE248+AF248</f>
        <v/>
      </c>
      <c r="AH248" s="36" t="n">
        <v>0</v>
      </c>
      <c r="AI248" s="5" t="n">
        <v>0</v>
      </c>
      <c r="AJ248" s="191">
        <f>AH248-AI248+AG248</f>
        <v/>
      </c>
      <c r="AK248" s="192" t="n">
        <v>0</v>
      </c>
      <c r="AL248" s="191">
        <f>AJ248+AK248</f>
        <v/>
      </c>
      <c r="AM248" s="35" t="n"/>
      <c r="AN248" s="35" t="n"/>
      <c r="AO248" s="5" t="n">
        <v>162</v>
      </c>
      <c r="AP248" s="5" t="n">
        <v>0</v>
      </c>
      <c r="AQ248" s="35" t="n"/>
      <c r="AR248" s="35" t="n"/>
      <c r="AS248" s="122" t="n"/>
      <c r="AT248" s="35" t="n">
        <v>213</v>
      </c>
      <c r="AU248" s="35" t="inlineStr">
        <is>
          <t>㈱登喜和食品</t>
        </is>
      </c>
    </row>
    <row r="249">
      <c r="A249" s="14" t="inlineStr">
        <is>
          <t>2392-20</t>
        </is>
      </c>
      <c r="B249" s="5" t="inlineStr">
        <is>
          <t>十勝の息吹　小粒　40ｇ×２ｐ</t>
        </is>
      </c>
      <c r="C249" s="36" t="n">
        <v>0</v>
      </c>
      <c r="D249" s="36" t="n">
        <v>0</v>
      </c>
      <c r="E249" s="5" t="n">
        <v>0</v>
      </c>
      <c r="F249" s="191">
        <f>D249-E249+C249</f>
        <v/>
      </c>
      <c r="G249" s="192" t="n">
        <v>0</v>
      </c>
      <c r="H249" s="191">
        <f>F249+G249</f>
        <v/>
      </c>
      <c r="I249" s="36" t="n">
        <v>18</v>
      </c>
      <c r="J249" s="5" t="n">
        <v>18</v>
      </c>
      <c r="K249" s="191">
        <f>I249-J249+H249</f>
        <v/>
      </c>
      <c r="L249" s="192" t="n">
        <v>0</v>
      </c>
      <c r="M249" s="191">
        <f>K249+L249</f>
        <v/>
      </c>
      <c r="N249" s="36" t="n">
        <v>0</v>
      </c>
      <c r="O249" s="5" t="n">
        <v>0</v>
      </c>
      <c r="P249" s="191">
        <f>N249-O249+M249</f>
        <v/>
      </c>
      <c r="Q249" s="192" t="n">
        <v>0</v>
      </c>
      <c r="R249" s="191">
        <f>P249+Q249</f>
        <v/>
      </c>
      <c r="S249" s="36" t="n">
        <v>0</v>
      </c>
      <c r="T249" s="5" t="n">
        <v>0</v>
      </c>
      <c r="U249" s="191">
        <f>S249-T249+R249</f>
        <v/>
      </c>
      <c r="V249" s="192" t="n">
        <v>0</v>
      </c>
      <c r="W249" s="191">
        <f>U249+V249</f>
        <v/>
      </c>
      <c r="X249" s="36" t="n">
        <v>0</v>
      </c>
      <c r="Y249" s="5" t="n">
        <v>0</v>
      </c>
      <c r="Z249" s="191">
        <f>X249-Y249+W249</f>
        <v/>
      </c>
      <c r="AA249" s="192" t="n">
        <v>0</v>
      </c>
      <c r="AB249" s="191">
        <f>Z249+AA249</f>
        <v/>
      </c>
      <c r="AC249" s="36" t="n">
        <v>0</v>
      </c>
      <c r="AD249" s="5" t="n">
        <v>0</v>
      </c>
      <c r="AE249" s="191">
        <f>AC249-AD249+AB249</f>
        <v/>
      </c>
      <c r="AF249" s="192" t="n">
        <v>0</v>
      </c>
      <c r="AG249" s="191">
        <f>AE249+AF249</f>
        <v/>
      </c>
      <c r="AH249" s="36" t="n">
        <v>0</v>
      </c>
      <c r="AI249" s="5" t="n">
        <v>0</v>
      </c>
      <c r="AJ249" s="191">
        <f>AH249-AI249+AG249</f>
        <v/>
      </c>
      <c r="AK249" s="192" t="n">
        <v>0</v>
      </c>
      <c r="AL249" s="191">
        <f>AJ249+AK249</f>
        <v/>
      </c>
      <c r="AM249" s="35" t="n"/>
      <c r="AN249" s="35" t="n"/>
      <c r="AO249" s="5" t="n">
        <v>138</v>
      </c>
      <c r="AP249" s="5" t="n">
        <v>0</v>
      </c>
      <c r="AQ249" s="35" t="n"/>
      <c r="AR249" s="35" t="n"/>
      <c r="AS249" s="122" t="n"/>
      <c r="AT249" s="35" t="n">
        <v>213</v>
      </c>
      <c r="AU249" s="35" t="inlineStr">
        <is>
          <t>㈱登喜和食品</t>
        </is>
      </c>
    </row>
    <row r="250">
      <c r="A250" s="14" t="inlineStr">
        <is>
          <t>2392-21</t>
        </is>
      </c>
      <c r="B250" s="5" t="inlineStr">
        <is>
          <t>十勝の息吹　大粒　40ｇ×２ｐ</t>
        </is>
      </c>
      <c r="C250" s="36" t="n">
        <v>0</v>
      </c>
      <c r="D250" s="36" t="n">
        <v>0</v>
      </c>
      <c r="E250" s="5" t="n">
        <v>0</v>
      </c>
      <c r="F250" s="191">
        <f>D250-E250+C250</f>
        <v/>
      </c>
      <c r="G250" s="192" t="n">
        <v>0</v>
      </c>
      <c r="H250" s="191">
        <f>F250+G250</f>
        <v/>
      </c>
      <c r="I250" s="36" t="n">
        <v>4</v>
      </c>
      <c r="J250" s="5" t="n">
        <v>4</v>
      </c>
      <c r="K250" s="191">
        <f>I250-J250+H250</f>
        <v/>
      </c>
      <c r="L250" s="192" t="n">
        <v>0</v>
      </c>
      <c r="M250" s="191">
        <f>K250+L250</f>
        <v/>
      </c>
      <c r="N250" s="36" t="n">
        <v>0</v>
      </c>
      <c r="O250" s="5" t="n">
        <v>0</v>
      </c>
      <c r="P250" s="191">
        <f>N250-O250+M250</f>
        <v/>
      </c>
      <c r="Q250" s="192" t="n">
        <v>0</v>
      </c>
      <c r="R250" s="191">
        <f>P250+Q250</f>
        <v/>
      </c>
      <c r="S250" s="36" t="n">
        <v>0</v>
      </c>
      <c r="T250" s="5" t="n">
        <v>0</v>
      </c>
      <c r="U250" s="191">
        <f>S250-T250+R250</f>
        <v/>
      </c>
      <c r="V250" s="192" t="n">
        <v>0</v>
      </c>
      <c r="W250" s="191">
        <f>U250+V250</f>
        <v/>
      </c>
      <c r="X250" s="36" t="n">
        <v>0</v>
      </c>
      <c r="Y250" s="5" t="n">
        <v>0</v>
      </c>
      <c r="Z250" s="191">
        <f>X250-Y250+W250</f>
        <v/>
      </c>
      <c r="AA250" s="192" t="n">
        <v>0</v>
      </c>
      <c r="AB250" s="191">
        <f>Z250+AA250</f>
        <v/>
      </c>
      <c r="AC250" s="36" t="n">
        <v>0</v>
      </c>
      <c r="AD250" s="5" t="n">
        <v>0</v>
      </c>
      <c r="AE250" s="191">
        <f>AC250-AD250+AB250</f>
        <v/>
      </c>
      <c r="AF250" s="192" t="n">
        <v>0</v>
      </c>
      <c r="AG250" s="191">
        <f>AE250+AF250</f>
        <v/>
      </c>
      <c r="AH250" s="36" t="n">
        <v>0</v>
      </c>
      <c r="AI250" s="5" t="n">
        <v>0</v>
      </c>
      <c r="AJ250" s="191">
        <f>AH250-AI250+AG250</f>
        <v/>
      </c>
      <c r="AK250" s="192" t="n">
        <v>0</v>
      </c>
      <c r="AL250" s="191">
        <f>AJ250+AK250</f>
        <v/>
      </c>
      <c r="AM250" s="35" t="n"/>
      <c r="AN250" s="35" t="n"/>
      <c r="AO250" s="5" t="n">
        <v>146</v>
      </c>
      <c r="AP250" s="5" t="n">
        <v>0</v>
      </c>
      <c r="AQ250" s="35" t="n"/>
      <c r="AR250" s="35" t="n"/>
      <c r="AS250" s="122" t="n"/>
      <c r="AT250" s="35" t="n">
        <v>213</v>
      </c>
      <c r="AU250" s="35" t="inlineStr">
        <is>
          <t>㈱登喜和食品</t>
        </is>
      </c>
    </row>
    <row r="251">
      <c r="A251" s="14" t="inlineStr">
        <is>
          <t>2392-22</t>
        </is>
      </c>
      <c r="B251" s="5" t="inlineStr">
        <is>
          <t>十勝の息吹　ひきわり　40ｇ×２ｐ</t>
        </is>
      </c>
      <c r="C251" s="36" t="n">
        <v>0</v>
      </c>
      <c r="D251" s="36" t="n">
        <v>0</v>
      </c>
      <c r="E251" s="5" t="n">
        <v>0</v>
      </c>
      <c r="F251" s="191">
        <f>D251-E251+C251</f>
        <v/>
      </c>
      <c r="G251" s="192" t="n">
        <v>0</v>
      </c>
      <c r="H251" s="191">
        <f>F251+G251</f>
        <v/>
      </c>
      <c r="I251" s="36" t="n">
        <v>8</v>
      </c>
      <c r="J251" s="5" t="n">
        <v>8</v>
      </c>
      <c r="K251" s="191">
        <f>I251-J251+H251</f>
        <v/>
      </c>
      <c r="L251" s="192" t="n">
        <v>0</v>
      </c>
      <c r="M251" s="191">
        <f>K251+L251</f>
        <v/>
      </c>
      <c r="N251" s="36" t="n">
        <v>0</v>
      </c>
      <c r="O251" s="5" t="n">
        <v>0</v>
      </c>
      <c r="P251" s="191">
        <f>N251-O251+M251</f>
        <v/>
      </c>
      <c r="Q251" s="192" t="n">
        <v>0</v>
      </c>
      <c r="R251" s="191">
        <f>P251+Q251</f>
        <v/>
      </c>
      <c r="S251" s="36" t="n">
        <v>0</v>
      </c>
      <c r="T251" s="5" t="n">
        <v>0</v>
      </c>
      <c r="U251" s="191">
        <f>S251-T251+R251</f>
        <v/>
      </c>
      <c r="V251" s="192" t="n">
        <v>0</v>
      </c>
      <c r="W251" s="191">
        <f>U251+V251</f>
        <v/>
      </c>
      <c r="X251" s="36" t="n">
        <v>0</v>
      </c>
      <c r="Y251" s="5" t="n">
        <v>0</v>
      </c>
      <c r="Z251" s="191">
        <f>X251-Y251+W251</f>
        <v/>
      </c>
      <c r="AA251" s="192" t="n">
        <v>0</v>
      </c>
      <c r="AB251" s="191">
        <f>Z251+AA251</f>
        <v/>
      </c>
      <c r="AC251" s="36" t="n">
        <v>0</v>
      </c>
      <c r="AD251" s="5" t="n">
        <v>0</v>
      </c>
      <c r="AE251" s="191">
        <f>AC251-AD251+AB251</f>
        <v/>
      </c>
      <c r="AF251" s="192" t="n">
        <v>0</v>
      </c>
      <c r="AG251" s="191">
        <f>AE251+AF251</f>
        <v/>
      </c>
      <c r="AH251" s="36" t="n">
        <v>0</v>
      </c>
      <c r="AI251" s="5" t="n">
        <v>0</v>
      </c>
      <c r="AJ251" s="191">
        <f>AH251-AI251+AG251</f>
        <v/>
      </c>
      <c r="AK251" s="192" t="n">
        <v>0</v>
      </c>
      <c r="AL251" s="191">
        <f>AJ251+AK251</f>
        <v/>
      </c>
      <c r="AM251" s="35" t="n"/>
      <c r="AN251" s="35" t="n"/>
      <c r="AO251" s="5" t="n">
        <v>149</v>
      </c>
      <c r="AP251" s="5" t="n">
        <v>0</v>
      </c>
      <c r="AQ251" s="35" t="n"/>
      <c r="AR251" s="35" t="n"/>
      <c r="AS251" s="122" t="n"/>
      <c r="AT251" s="35" t="n">
        <v>213</v>
      </c>
      <c r="AU251" s="35" t="inlineStr">
        <is>
          <t>㈱登喜和食品</t>
        </is>
      </c>
    </row>
    <row r="252">
      <c r="A252" s="14" t="inlineStr">
        <is>
          <t>2392-29</t>
        </is>
      </c>
      <c r="B252" s="5" t="inlineStr">
        <is>
          <t>有機納豆　日本の農　40ｇ×2</t>
        </is>
      </c>
      <c r="C252" s="36" t="n">
        <v>0</v>
      </c>
      <c r="D252" s="36" t="n">
        <v>0</v>
      </c>
      <c r="E252" s="5" t="n">
        <v>0</v>
      </c>
      <c r="F252" s="191">
        <f>D252-E252+C252</f>
        <v/>
      </c>
      <c r="G252" s="192" t="n">
        <v>0</v>
      </c>
      <c r="H252" s="191">
        <f>F252+G252</f>
        <v/>
      </c>
      <c r="I252" s="36" t="n">
        <v>4</v>
      </c>
      <c r="J252" s="5" t="n">
        <v>4</v>
      </c>
      <c r="K252" s="191">
        <f>I252-J252+H252</f>
        <v/>
      </c>
      <c r="L252" s="192" t="n">
        <v>0</v>
      </c>
      <c r="M252" s="191">
        <f>K252+L252</f>
        <v/>
      </c>
      <c r="N252" s="36" t="n">
        <v>0</v>
      </c>
      <c r="O252" s="5" t="n">
        <v>0</v>
      </c>
      <c r="P252" s="191">
        <f>N252-O252+M252</f>
        <v/>
      </c>
      <c r="Q252" s="192" t="n">
        <v>0</v>
      </c>
      <c r="R252" s="191">
        <f>P252+Q252</f>
        <v/>
      </c>
      <c r="S252" s="36" t="n">
        <v>0</v>
      </c>
      <c r="T252" s="5" t="n">
        <v>0</v>
      </c>
      <c r="U252" s="191">
        <f>S252-T252+R252</f>
        <v/>
      </c>
      <c r="V252" s="192" t="n">
        <v>0</v>
      </c>
      <c r="W252" s="191">
        <f>U252+V252</f>
        <v/>
      </c>
      <c r="X252" s="36" t="n">
        <v>0</v>
      </c>
      <c r="Y252" s="5" t="n">
        <v>0</v>
      </c>
      <c r="Z252" s="191">
        <f>X252-Y252+W252</f>
        <v/>
      </c>
      <c r="AA252" s="192" t="n">
        <v>0</v>
      </c>
      <c r="AB252" s="191">
        <f>Z252+AA252</f>
        <v/>
      </c>
      <c r="AC252" s="36" t="n">
        <v>0</v>
      </c>
      <c r="AD252" s="5" t="n">
        <v>0</v>
      </c>
      <c r="AE252" s="191">
        <f>AC252-AD252+AB252</f>
        <v/>
      </c>
      <c r="AF252" s="192" t="n">
        <v>0</v>
      </c>
      <c r="AG252" s="191">
        <f>AE252+AF252</f>
        <v/>
      </c>
      <c r="AH252" s="36" t="n">
        <v>0</v>
      </c>
      <c r="AI252" s="5" t="n">
        <v>0</v>
      </c>
      <c r="AJ252" s="191">
        <f>AH252-AI252+AG252</f>
        <v/>
      </c>
      <c r="AK252" s="192" t="n">
        <v>0</v>
      </c>
      <c r="AL252" s="191">
        <f>AJ252+AK252</f>
        <v/>
      </c>
      <c r="AM252" s="35" t="n"/>
      <c r="AN252" s="35" t="n"/>
      <c r="AO252" s="5" t="n">
        <v>162</v>
      </c>
      <c r="AP252" s="5" t="n">
        <v>0</v>
      </c>
      <c r="AQ252" s="35" t="n"/>
      <c r="AR252" s="35" t="n"/>
      <c r="AS252" s="122" t="n"/>
      <c r="AT252" s="35" t="n">
        <v>213</v>
      </c>
      <c r="AU252" s="35" t="inlineStr">
        <is>
          <t>㈱登喜和食品</t>
        </is>
      </c>
    </row>
    <row r="253">
      <c r="A253" s="14" t="inlineStr">
        <is>
          <t>2392-31</t>
        </is>
      </c>
      <c r="B253" s="5" t="inlineStr">
        <is>
          <t>有機ひきわりカップ２　みのり　20ｇ×2</t>
        </is>
      </c>
      <c r="C253" s="36" t="n">
        <v>0</v>
      </c>
      <c r="D253" s="36" t="n">
        <v>0</v>
      </c>
      <c r="E253" s="5" t="n">
        <v>0</v>
      </c>
      <c r="F253" s="191">
        <f>D253-E253+C253</f>
        <v/>
      </c>
      <c r="G253" s="192" t="n">
        <v>0</v>
      </c>
      <c r="H253" s="191">
        <f>F253+G253</f>
        <v/>
      </c>
      <c r="I253" s="36" t="n">
        <v>2</v>
      </c>
      <c r="J253" s="5" t="n">
        <v>2</v>
      </c>
      <c r="K253" s="191">
        <f>I253-J253+H253</f>
        <v/>
      </c>
      <c r="L253" s="192" t="n">
        <v>0</v>
      </c>
      <c r="M253" s="191">
        <f>K253+L253</f>
        <v/>
      </c>
      <c r="N253" s="36" t="n">
        <v>0</v>
      </c>
      <c r="O253" s="5" t="n">
        <v>0</v>
      </c>
      <c r="P253" s="191">
        <f>N253-O253+M253</f>
        <v/>
      </c>
      <c r="Q253" s="192" t="n">
        <v>0</v>
      </c>
      <c r="R253" s="191">
        <f>P253+Q253</f>
        <v/>
      </c>
      <c r="S253" s="36" t="n">
        <v>0</v>
      </c>
      <c r="T253" s="5" t="n">
        <v>0</v>
      </c>
      <c r="U253" s="191">
        <f>S253-T253+R253</f>
        <v/>
      </c>
      <c r="V253" s="192" t="n">
        <v>0</v>
      </c>
      <c r="W253" s="191">
        <f>U253+V253</f>
        <v/>
      </c>
      <c r="X253" s="36" t="n">
        <v>0</v>
      </c>
      <c r="Y253" s="5" t="n">
        <v>0</v>
      </c>
      <c r="Z253" s="191">
        <f>X253-Y253+W253</f>
        <v/>
      </c>
      <c r="AA253" s="192" t="n">
        <v>0</v>
      </c>
      <c r="AB253" s="191">
        <f>Z253+AA253</f>
        <v/>
      </c>
      <c r="AC253" s="36" t="n">
        <v>0</v>
      </c>
      <c r="AD253" s="5" t="n">
        <v>0</v>
      </c>
      <c r="AE253" s="191">
        <f>AC253-AD253+AB253</f>
        <v/>
      </c>
      <c r="AF253" s="192" t="n">
        <v>0</v>
      </c>
      <c r="AG253" s="191">
        <f>AE253+AF253</f>
        <v/>
      </c>
      <c r="AH253" s="36" t="n">
        <v>0</v>
      </c>
      <c r="AI253" s="5" t="n">
        <v>0</v>
      </c>
      <c r="AJ253" s="191">
        <f>AH253-AI253+AG253</f>
        <v/>
      </c>
      <c r="AK253" s="192" t="n">
        <v>0</v>
      </c>
      <c r="AL253" s="191">
        <f>AJ253+AK253</f>
        <v/>
      </c>
      <c r="AM253" s="35" t="n"/>
      <c r="AN253" s="35" t="n"/>
      <c r="AO253" s="5" t="n">
        <v>167</v>
      </c>
      <c r="AP253" s="5" t="n">
        <v>0</v>
      </c>
      <c r="AQ253" s="35" t="n"/>
      <c r="AR253" s="35" t="n"/>
      <c r="AS253" s="122" t="n"/>
      <c r="AT253" s="35" t="n">
        <v>213</v>
      </c>
      <c r="AU253" s="35" t="inlineStr">
        <is>
          <t>㈱登喜和食品</t>
        </is>
      </c>
    </row>
    <row r="254">
      <c r="A254" s="14" t="inlineStr">
        <is>
          <t>2392-32</t>
        </is>
      </c>
      <c r="B254" s="5" t="inlineStr">
        <is>
          <t>丸大豆てんぺ(Sﾊﾟｯｸ１個組)　100ｇ</t>
        </is>
      </c>
      <c r="C254" s="36" t="n">
        <v>0</v>
      </c>
      <c r="D254" s="36" t="n">
        <v>0</v>
      </c>
      <c r="E254" s="5" t="n">
        <v>0</v>
      </c>
      <c r="F254" s="191">
        <f>D254-E254+C254</f>
        <v/>
      </c>
      <c r="G254" s="192" t="n">
        <v>0</v>
      </c>
      <c r="H254" s="191">
        <f>F254+G254</f>
        <v/>
      </c>
      <c r="I254" s="36" t="n">
        <v>0</v>
      </c>
      <c r="J254" s="5" t="n">
        <v>0</v>
      </c>
      <c r="K254" s="191">
        <f>I254-J254+H254</f>
        <v/>
      </c>
      <c r="L254" s="192" t="n">
        <v>0</v>
      </c>
      <c r="M254" s="191">
        <f>K254+L254</f>
        <v/>
      </c>
      <c r="N254" s="36" t="n">
        <v>0</v>
      </c>
      <c r="O254" s="5" t="n">
        <v>0</v>
      </c>
      <c r="P254" s="191">
        <f>N254-O254+M254</f>
        <v/>
      </c>
      <c r="Q254" s="192" t="n">
        <v>0</v>
      </c>
      <c r="R254" s="191">
        <f>P254+Q254</f>
        <v/>
      </c>
      <c r="S254" s="36" t="n">
        <v>0</v>
      </c>
      <c r="T254" s="5" t="n">
        <v>0</v>
      </c>
      <c r="U254" s="191">
        <f>S254-T254+R254</f>
        <v/>
      </c>
      <c r="V254" s="192" t="n">
        <v>0</v>
      </c>
      <c r="W254" s="191">
        <f>U254+V254</f>
        <v/>
      </c>
      <c r="X254" s="36" t="n">
        <v>0</v>
      </c>
      <c r="Y254" s="5" t="n">
        <v>0</v>
      </c>
      <c r="Z254" s="191">
        <f>X254-Y254+W254</f>
        <v/>
      </c>
      <c r="AA254" s="192" t="n">
        <v>0</v>
      </c>
      <c r="AB254" s="191">
        <f>Z254+AA254</f>
        <v/>
      </c>
      <c r="AC254" s="36" t="n">
        <v>0</v>
      </c>
      <c r="AD254" s="5" t="n">
        <v>0</v>
      </c>
      <c r="AE254" s="191">
        <f>AC254-AD254+AB254</f>
        <v/>
      </c>
      <c r="AF254" s="192" t="n">
        <v>0</v>
      </c>
      <c r="AG254" s="191">
        <f>AE254+AF254</f>
        <v/>
      </c>
      <c r="AH254" s="36" t="n">
        <v>0</v>
      </c>
      <c r="AI254" s="5" t="n">
        <v>0</v>
      </c>
      <c r="AJ254" s="191">
        <f>AH254-AI254+AG254</f>
        <v/>
      </c>
      <c r="AK254" s="192" t="n">
        <v>0</v>
      </c>
      <c r="AL254" s="191">
        <f>AJ254+AK254</f>
        <v/>
      </c>
      <c r="AM254" s="35" t="n"/>
      <c r="AN254" s="35" t="n"/>
      <c r="AO254" s="5" t="n">
        <v>262</v>
      </c>
      <c r="AP254" s="5" t="n">
        <v>0</v>
      </c>
      <c r="AQ254" s="35" t="n"/>
      <c r="AR254" s="35" t="n"/>
      <c r="AS254" s="122" t="n"/>
      <c r="AT254" s="35" t="n">
        <v>213</v>
      </c>
      <c r="AU254" s="35" t="inlineStr">
        <is>
          <t>㈱登喜和食品</t>
        </is>
      </c>
    </row>
    <row r="255">
      <c r="A255" s="14" t="inlineStr">
        <is>
          <t>4002</t>
        </is>
      </c>
      <c r="B255" s="5" t="inlineStr">
        <is>
          <t>配達料　1500円(税抜）</t>
        </is>
      </c>
      <c r="C255" s="36" t="n">
        <v>0</v>
      </c>
      <c r="D255" s="36" t="n">
        <v>0</v>
      </c>
      <c r="E255" s="5" t="n">
        <v>0</v>
      </c>
      <c r="F255" s="191">
        <f>D255-E255+C255</f>
        <v/>
      </c>
      <c r="G255" s="192" t="n">
        <v>0</v>
      </c>
      <c r="H255" s="191">
        <f>F255+G255</f>
        <v/>
      </c>
      <c r="I255" s="36" t="n">
        <v>0</v>
      </c>
      <c r="J255" s="5" t="n">
        <v>0</v>
      </c>
      <c r="K255" s="191">
        <f>I255-J255+H255</f>
        <v/>
      </c>
      <c r="L255" s="192" t="n">
        <v>0</v>
      </c>
      <c r="M255" s="191">
        <f>K255+L255</f>
        <v/>
      </c>
      <c r="N255" s="36" t="n">
        <v>0</v>
      </c>
      <c r="O255" s="5" t="n">
        <v>0</v>
      </c>
      <c r="P255" s="191">
        <f>N255-O255+M255</f>
        <v/>
      </c>
      <c r="Q255" s="192" t="n">
        <v>0</v>
      </c>
      <c r="R255" s="191">
        <f>P255+Q255</f>
        <v/>
      </c>
      <c r="S255" s="36" t="n">
        <v>2</v>
      </c>
      <c r="T255" s="5" t="n">
        <v>1</v>
      </c>
      <c r="U255" s="191">
        <f>S255-T255+R255</f>
        <v/>
      </c>
      <c r="V255" s="192" t="n">
        <v>0</v>
      </c>
      <c r="W255" s="191">
        <f>U255+V255</f>
        <v/>
      </c>
      <c r="X255" s="36" t="n">
        <v>0</v>
      </c>
      <c r="Y255" s="5" t="n">
        <v>0</v>
      </c>
      <c r="Z255" s="191">
        <f>X255-Y255+W255</f>
        <v/>
      </c>
      <c r="AA255" s="192" t="n">
        <v>0</v>
      </c>
      <c r="AB255" s="191">
        <f>Z255+AA255</f>
        <v/>
      </c>
      <c r="AC255" s="36" t="n">
        <v>0</v>
      </c>
      <c r="AD255" s="5" t="n">
        <v>0</v>
      </c>
      <c r="AE255" s="191">
        <f>AC255-AD255+AB255</f>
        <v/>
      </c>
      <c r="AF255" s="192" t="n">
        <v>0</v>
      </c>
      <c r="AG255" s="191">
        <f>AE255+AF255</f>
        <v/>
      </c>
      <c r="AH255" s="36" t="n">
        <v>0</v>
      </c>
      <c r="AI255" s="5" t="n">
        <v>0</v>
      </c>
      <c r="AJ255" s="191">
        <f>AH255-AI255+AG255</f>
        <v/>
      </c>
      <c r="AK255" s="192" t="n">
        <v>0</v>
      </c>
      <c r="AL255" s="191">
        <f>AJ255+AK255</f>
        <v/>
      </c>
      <c r="AM255" s="35" t="n"/>
      <c r="AN255" s="35" t="n"/>
      <c r="AO255" s="163" t="n">
        <v>1500</v>
      </c>
      <c r="AP255" s="163" t="n">
        <v>1500</v>
      </c>
      <c r="AQ255" s="35" t="n"/>
      <c r="AR255" s="35" t="n"/>
      <c r="AS255" s="122" t="n"/>
      <c r="AT255" s="35" t="n"/>
      <c r="AU255" s="35" t="n"/>
    </row>
    <row r="256">
      <c r="A256" s="14" t="inlineStr">
        <is>
          <t>4003</t>
        </is>
      </c>
      <c r="B256" s="5" t="inlineStr">
        <is>
          <t>配達料　2000円(税抜）</t>
        </is>
      </c>
      <c r="C256" s="36" t="n">
        <v>0</v>
      </c>
      <c r="D256" s="36" t="n">
        <v>0</v>
      </c>
      <c r="E256" s="5" t="n">
        <v>0</v>
      </c>
      <c r="F256" s="191">
        <f>D256-E256+C256</f>
        <v/>
      </c>
      <c r="G256" s="192" t="n">
        <v>0</v>
      </c>
      <c r="H256" s="191">
        <f>F256+G256</f>
        <v/>
      </c>
      <c r="I256" s="36" t="n">
        <v>0</v>
      </c>
      <c r="J256" s="5" t="n">
        <v>0</v>
      </c>
      <c r="K256" s="191">
        <f>I256-J256+H256</f>
        <v/>
      </c>
      <c r="L256" s="192" t="n">
        <v>0</v>
      </c>
      <c r="M256" s="191">
        <f>K256+L256</f>
        <v/>
      </c>
      <c r="N256" s="36" t="n">
        <v>0</v>
      </c>
      <c r="O256" s="5" t="n">
        <v>0</v>
      </c>
      <c r="P256" s="191">
        <f>N256-O256+M256</f>
        <v/>
      </c>
      <c r="Q256" s="192" t="n">
        <v>0</v>
      </c>
      <c r="R256" s="191">
        <f>P256+Q256</f>
        <v/>
      </c>
      <c r="S256" s="36" t="n">
        <v>1</v>
      </c>
      <c r="T256" s="5" t="n">
        <v>1</v>
      </c>
      <c r="U256" s="191">
        <f>S256-T256+R256</f>
        <v/>
      </c>
      <c r="V256" s="192" t="n">
        <v>0</v>
      </c>
      <c r="W256" s="191">
        <f>U256+V256</f>
        <v/>
      </c>
      <c r="X256" s="36" t="n">
        <v>0</v>
      </c>
      <c r="Y256" s="5" t="n">
        <v>0</v>
      </c>
      <c r="Z256" s="191">
        <f>X256-Y256+W256</f>
        <v/>
      </c>
      <c r="AA256" s="192" t="n">
        <v>0</v>
      </c>
      <c r="AB256" s="191">
        <f>Z256+AA256</f>
        <v/>
      </c>
      <c r="AC256" s="36" t="n">
        <v>1</v>
      </c>
      <c r="AD256" s="5" t="n">
        <v>1</v>
      </c>
      <c r="AE256" s="191">
        <f>AC256-AD256+AB256</f>
        <v/>
      </c>
      <c r="AF256" s="192" t="n">
        <v>0</v>
      </c>
      <c r="AG256" s="191">
        <f>AE256+AF256</f>
        <v/>
      </c>
      <c r="AH256" s="36" t="n">
        <v>0</v>
      </c>
      <c r="AI256" s="5" t="n">
        <v>0</v>
      </c>
      <c r="AJ256" s="191">
        <f>AH256-AI256+AG256</f>
        <v/>
      </c>
      <c r="AK256" s="192" t="n">
        <v>0</v>
      </c>
      <c r="AL256" s="191">
        <f>AJ256+AK256</f>
        <v/>
      </c>
      <c r="AM256" s="35" t="n"/>
      <c r="AN256" s="35" t="n"/>
      <c r="AO256" s="163" t="n">
        <v>2000</v>
      </c>
      <c r="AP256" s="163" t="n">
        <v>2000</v>
      </c>
      <c r="AQ256" s="35" t="n"/>
      <c r="AR256" s="35" t="n"/>
      <c r="AS256" s="122" t="n"/>
      <c r="AT256" s="35" t="n"/>
      <c r="AU256" s="35" t="n"/>
    </row>
    <row r="257">
      <c r="A257" s="14" t="inlineStr">
        <is>
          <t>4011</t>
        </is>
      </c>
      <c r="B257" s="5" t="inlineStr">
        <is>
          <t>運賃(税抜)</t>
        </is>
      </c>
      <c r="C257" s="36" t="n">
        <v>0</v>
      </c>
      <c r="D257" s="36" t="n">
        <v>0</v>
      </c>
      <c r="E257" s="5" t="n">
        <v>0</v>
      </c>
      <c r="F257" s="191">
        <f>D257-E257+C257</f>
        <v/>
      </c>
      <c r="G257" s="192" t="n">
        <v>0</v>
      </c>
      <c r="H257" s="191">
        <f>F257+G257</f>
        <v/>
      </c>
      <c r="I257" s="36" t="n">
        <v>7</v>
      </c>
      <c r="J257" s="5" t="n">
        <v>7</v>
      </c>
      <c r="K257" s="191">
        <f>I257-J257+H257</f>
        <v/>
      </c>
      <c r="L257" s="192" t="n">
        <v>0</v>
      </c>
      <c r="M257" s="191">
        <f>K257+L257</f>
        <v/>
      </c>
      <c r="N257" s="36" t="n">
        <v>0</v>
      </c>
      <c r="O257" s="5" t="n">
        <v>0</v>
      </c>
      <c r="P257" s="191">
        <f>N257-O257+M257</f>
        <v/>
      </c>
      <c r="Q257" s="192" t="n">
        <v>0</v>
      </c>
      <c r="R257" s="191">
        <f>P257+Q257</f>
        <v/>
      </c>
      <c r="S257" s="36" t="n">
        <v>2</v>
      </c>
      <c r="T257" s="5" t="n">
        <v>2</v>
      </c>
      <c r="U257" s="191">
        <f>S257-T257+R257</f>
        <v/>
      </c>
      <c r="V257" s="192" t="n">
        <v>0</v>
      </c>
      <c r="W257" s="191">
        <f>U257+V257</f>
        <v/>
      </c>
      <c r="X257" s="36" t="n">
        <v>4</v>
      </c>
      <c r="Y257" s="5" t="n">
        <v>4</v>
      </c>
      <c r="Z257" s="191">
        <f>X257-Y257+W257</f>
        <v/>
      </c>
      <c r="AA257" s="192" t="n">
        <v>0</v>
      </c>
      <c r="AB257" s="191">
        <f>Z257+AA257</f>
        <v/>
      </c>
      <c r="AC257" s="36" t="n">
        <v>2</v>
      </c>
      <c r="AD257" s="5" t="n">
        <v>2</v>
      </c>
      <c r="AE257" s="191">
        <f>AC257-AD257+AB257</f>
        <v/>
      </c>
      <c r="AF257" s="192" t="n">
        <v>0</v>
      </c>
      <c r="AG257" s="191">
        <f>AE257+AF257</f>
        <v/>
      </c>
      <c r="AH257" s="36" t="n">
        <v>0</v>
      </c>
      <c r="AI257" s="5" t="n">
        <v>0</v>
      </c>
      <c r="AJ257" s="191">
        <f>AH257-AI257+AG257</f>
        <v/>
      </c>
      <c r="AK257" s="192" t="n">
        <v>0</v>
      </c>
      <c r="AL257" s="191">
        <f>AJ257+AK257</f>
        <v/>
      </c>
      <c r="AM257" s="35" t="n"/>
      <c r="AN257" s="35" t="n"/>
      <c r="AO257" s="5" t="n">
        <v>0</v>
      </c>
      <c r="AP257" s="5" t="n">
        <v>0</v>
      </c>
      <c r="AQ257" s="35" t="n"/>
      <c r="AR257" s="35" t="n"/>
      <c r="AS257" s="122" t="n"/>
      <c r="AT257" s="35" t="n"/>
      <c r="AU257" s="35" t="n"/>
    </row>
    <row r="258">
      <c r="A258" s="14" t="inlineStr">
        <is>
          <t>5130-33</t>
        </is>
      </c>
      <c r="B258" s="5" t="inlineStr">
        <is>
          <t>木綿豆腐　１丁（名水会）</t>
        </is>
      </c>
      <c r="C258" s="36" t="n">
        <v>0</v>
      </c>
      <c r="D258" s="36" t="n">
        <v>0</v>
      </c>
      <c r="E258" s="5" t="n">
        <v>0</v>
      </c>
      <c r="F258" s="191">
        <f>D258-E258+C258</f>
        <v/>
      </c>
      <c r="G258" s="192" t="n">
        <v>0</v>
      </c>
      <c r="H258" s="191">
        <f>F258+G258</f>
        <v/>
      </c>
      <c r="I258" s="36" t="n">
        <v>0</v>
      </c>
      <c r="J258" s="5" t="n">
        <v>0</v>
      </c>
      <c r="K258" s="191">
        <f>I258-J258+H258</f>
        <v/>
      </c>
      <c r="L258" s="192" t="n">
        <v>0</v>
      </c>
      <c r="M258" s="191">
        <f>K258+L258</f>
        <v/>
      </c>
      <c r="N258" s="36" t="n">
        <v>0</v>
      </c>
      <c r="O258" s="5" t="n">
        <v>0</v>
      </c>
      <c r="P258" s="191">
        <f>N258-O258+M258</f>
        <v/>
      </c>
      <c r="Q258" s="192" t="n">
        <v>0</v>
      </c>
      <c r="R258" s="191">
        <f>P258+Q258</f>
        <v/>
      </c>
      <c r="S258" s="36" t="n">
        <v>0</v>
      </c>
      <c r="T258" s="5" t="n">
        <v>0</v>
      </c>
      <c r="U258" s="191">
        <f>S258-T258+R258</f>
        <v/>
      </c>
      <c r="V258" s="192" t="n">
        <v>0</v>
      </c>
      <c r="W258" s="191">
        <f>U258+V258</f>
        <v/>
      </c>
      <c r="X258" s="36" t="n">
        <v>10</v>
      </c>
      <c r="Y258" s="5" t="n">
        <v>10</v>
      </c>
      <c r="Z258" s="191">
        <f>X258-Y258+W258</f>
        <v/>
      </c>
      <c r="AA258" s="192" t="n">
        <v>0</v>
      </c>
      <c r="AB258" s="191">
        <f>Z258+AA258</f>
        <v/>
      </c>
      <c r="AC258" s="36" t="n">
        <v>0</v>
      </c>
      <c r="AD258" s="5" t="n">
        <v>0</v>
      </c>
      <c r="AE258" s="191">
        <f>AC258-AD258+AB258</f>
        <v/>
      </c>
      <c r="AF258" s="192" t="n">
        <v>0</v>
      </c>
      <c r="AG258" s="191">
        <f>AE258+AF258</f>
        <v/>
      </c>
      <c r="AH258" s="36" t="n">
        <v>15</v>
      </c>
      <c r="AI258" s="5" t="n">
        <v>15</v>
      </c>
      <c r="AJ258" s="191">
        <f>AH258-AI258+AG258</f>
        <v/>
      </c>
      <c r="AK258" s="192" t="n">
        <v>0</v>
      </c>
      <c r="AL258" s="191">
        <f>AJ258+AK258</f>
        <v/>
      </c>
      <c r="AM258" s="35" t="inlineStr">
        <is>
          <t>山梨</t>
        </is>
      </c>
      <c r="AN258" s="35" t="inlineStr">
        <is>
          <t>こもの</t>
        </is>
      </c>
      <c r="AO258" s="5" t="n">
        <v>180</v>
      </c>
      <c r="AP258" s="5" t="n">
        <v>0</v>
      </c>
      <c r="AQ258" s="35" t="n"/>
      <c r="AR258" s="35" t="n"/>
      <c r="AS258" s="122" t="n"/>
      <c r="AT258" s="35" t="n">
        <v>230</v>
      </c>
      <c r="AU258" s="35" t="inlineStr">
        <is>
          <t>（社）八ヶ岳名水会</t>
        </is>
      </c>
    </row>
    <row r="259">
      <c r="A259" s="14" t="inlineStr">
        <is>
          <t>5130-34</t>
        </is>
      </c>
      <c r="B259" s="5" t="inlineStr">
        <is>
          <t>くみだし豆腐　１丁（名水会）</t>
        </is>
      </c>
      <c r="C259" s="36" t="n">
        <v>0</v>
      </c>
      <c r="D259" s="36" t="n">
        <v>0</v>
      </c>
      <c r="E259" s="5" t="n">
        <v>0</v>
      </c>
      <c r="F259" s="191">
        <f>D259-E259+C259</f>
        <v/>
      </c>
      <c r="G259" s="192" t="n">
        <v>0</v>
      </c>
      <c r="H259" s="191">
        <f>F259+G259</f>
        <v/>
      </c>
      <c r="I259" s="36" t="n">
        <v>0</v>
      </c>
      <c r="J259" s="5" t="n">
        <v>0</v>
      </c>
      <c r="K259" s="191">
        <f>I259-J259+H259</f>
        <v/>
      </c>
      <c r="L259" s="192" t="n">
        <v>0</v>
      </c>
      <c r="M259" s="191">
        <f>K259+L259</f>
        <v/>
      </c>
      <c r="N259" s="36" t="n">
        <v>0</v>
      </c>
      <c r="O259" s="5" t="n">
        <v>0</v>
      </c>
      <c r="P259" s="191">
        <f>N259-O259+M259</f>
        <v/>
      </c>
      <c r="Q259" s="192" t="n">
        <v>0</v>
      </c>
      <c r="R259" s="191">
        <f>P259+Q259</f>
        <v/>
      </c>
      <c r="S259" s="36" t="n">
        <v>0</v>
      </c>
      <c r="T259" s="5" t="n">
        <v>0</v>
      </c>
      <c r="U259" s="191">
        <f>S259-T259+R259</f>
        <v/>
      </c>
      <c r="V259" s="192" t="n">
        <v>0</v>
      </c>
      <c r="W259" s="191">
        <f>U259+V259</f>
        <v/>
      </c>
      <c r="X259" s="36" t="n">
        <v>10</v>
      </c>
      <c r="Y259" s="5" t="n">
        <v>10</v>
      </c>
      <c r="Z259" s="191">
        <f>X259-Y259+W259</f>
        <v/>
      </c>
      <c r="AA259" s="192" t="n">
        <v>0</v>
      </c>
      <c r="AB259" s="191">
        <f>Z259+AA259</f>
        <v/>
      </c>
      <c r="AC259" s="36" t="n">
        <v>0</v>
      </c>
      <c r="AD259" s="5" t="n">
        <v>0</v>
      </c>
      <c r="AE259" s="191">
        <f>AC259-AD259+AB259</f>
        <v/>
      </c>
      <c r="AF259" s="192" t="n">
        <v>0</v>
      </c>
      <c r="AG259" s="191">
        <f>AE259+AF259</f>
        <v/>
      </c>
      <c r="AH259" s="36" t="n">
        <v>15</v>
      </c>
      <c r="AI259" s="5" t="n">
        <v>15</v>
      </c>
      <c r="AJ259" s="191">
        <f>AH259-AI259+AG259</f>
        <v/>
      </c>
      <c r="AK259" s="192" t="n">
        <v>0</v>
      </c>
      <c r="AL259" s="191">
        <f>AJ259+AK259</f>
        <v/>
      </c>
      <c r="AM259" s="35" t="inlineStr">
        <is>
          <t>山梨</t>
        </is>
      </c>
      <c r="AN259" s="35" t="inlineStr">
        <is>
          <t>こもの</t>
        </is>
      </c>
      <c r="AO259" s="5" t="n">
        <v>180</v>
      </c>
      <c r="AP259" s="5" t="n">
        <v>0</v>
      </c>
      <c r="AQ259" s="35" t="n"/>
      <c r="AR259" s="35" t="n"/>
      <c r="AS259" s="122" t="n"/>
      <c r="AT259" s="35" t="n">
        <v>230</v>
      </c>
      <c r="AU259" s="35" t="inlineStr">
        <is>
          <t>（社）八ヶ岳名水会</t>
        </is>
      </c>
    </row>
    <row r="260">
      <c r="A260" s="14" t="inlineStr">
        <is>
          <t>5301-7</t>
        </is>
      </c>
      <c r="B260" s="5" t="inlineStr">
        <is>
          <t>もみしそ 300g(ﾊﾟﾝﾄﾞﾗ)</t>
        </is>
      </c>
      <c r="C260" s="36" t="n">
        <v>24</v>
      </c>
      <c r="D260" s="36" t="n">
        <v>0</v>
      </c>
      <c r="E260" s="5" t="n">
        <v>0</v>
      </c>
      <c r="F260" s="191">
        <f>D260-E260+C260</f>
        <v/>
      </c>
      <c r="G260" s="192" t="n">
        <v>0</v>
      </c>
      <c r="H260" s="191">
        <f>F260+G260</f>
        <v/>
      </c>
      <c r="I260" s="36" t="n">
        <v>0</v>
      </c>
      <c r="J260" s="5" t="n">
        <v>14</v>
      </c>
      <c r="K260" s="191">
        <f>I260-J260+H260</f>
        <v/>
      </c>
      <c r="L260" s="192" t="n">
        <v>0</v>
      </c>
      <c r="M260" s="191">
        <f>K260+L260</f>
        <v/>
      </c>
      <c r="N260" s="36" t="n">
        <v>0</v>
      </c>
      <c r="O260" s="5" t="n">
        <v>0</v>
      </c>
      <c r="P260" s="191">
        <f>N260-O260+M260</f>
        <v/>
      </c>
      <c r="Q260" s="192" t="n">
        <v>0</v>
      </c>
      <c r="R260" s="191">
        <f>P260+Q260</f>
        <v/>
      </c>
      <c r="S260" s="36" t="n">
        <v>0</v>
      </c>
      <c r="T260" s="5" t="n">
        <v>0</v>
      </c>
      <c r="U260" s="191">
        <f>S260-T260+R260</f>
        <v/>
      </c>
      <c r="V260" s="192" t="n">
        <v>0</v>
      </c>
      <c r="W260" s="191">
        <f>U260+V260</f>
        <v/>
      </c>
      <c r="X260" s="36" t="n">
        <v>0</v>
      </c>
      <c r="Y260" s="5" t="n">
        <v>0</v>
      </c>
      <c r="Z260" s="191">
        <f>X260-Y260+W260</f>
        <v/>
      </c>
      <c r="AA260" s="192" t="n">
        <v>0</v>
      </c>
      <c r="AB260" s="191">
        <f>Z260+AA260</f>
        <v/>
      </c>
      <c r="AC260" s="36" t="n">
        <v>0</v>
      </c>
      <c r="AD260" s="5" t="n">
        <v>8</v>
      </c>
      <c r="AE260" s="191">
        <f>AC260-AD260+AB260</f>
        <v/>
      </c>
      <c r="AF260" s="192" t="n">
        <v>0</v>
      </c>
      <c r="AG260" s="191">
        <f>AE260+AF260</f>
        <v/>
      </c>
      <c r="AH260" s="36" t="n">
        <v>0</v>
      </c>
      <c r="AI260" s="5" t="n">
        <v>0</v>
      </c>
      <c r="AJ260" s="191">
        <f>AH260-AI260+AG260</f>
        <v/>
      </c>
      <c r="AK260" s="192" t="n">
        <v>0</v>
      </c>
      <c r="AL260" s="191">
        <f>AJ260+AK260</f>
        <v/>
      </c>
      <c r="AM260" s="35" t="n"/>
      <c r="AN260" s="35" t="inlineStr">
        <is>
          <t>こもの</t>
        </is>
      </c>
      <c r="AO260" s="5" t="n">
        <v>410</v>
      </c>
      <c r="AP260" s="5" t="n">
        <v>0</v>
      </c>
      <c r="AQ260" s="35" t="inlineStr">
        <is>
          <t>○</t>
        </is>
      </c>
      <c r="AR260" s="35" t="n"/>
      <c r="AS260" s="122" t="n"/>
      <c r="AT260" s="35" t="n">
        <v>183</v>
      </c>
      <c r="AU260" s="35" t="inlineStr">
        <is>
          <t>㈱パンドラファーム</t>
        </is>
      </c>
    </row>
    <row r="261">
      <c r="A261" s="14" t="inlineStr">
        <is>
          <t>54</t>
        </is>
      </c>
      <c r="B261" s="5" t="inlineStr">
        <is>
          <t>■かぼちゃ　10ｋｇ</t>
        </is>
      </c>
      <c r="C261" s="36" t="n">
        <v>28</v>
      </c>
      <c r="D261" s="36" t="n">
        <v>0</v>
      </c>
      <c r="E261" s="5" t="n">
        <v>0</v>
      </c>
      <c r="F261" s="191">
        <f>D261-E261+C261</f>
        <v/>
      </c>
      <c r="G261" s="192" t="n">
        <v>0</v>
      </c>
      <c r="H261" s="191">
        <f>F261+G261</f>
        <v/>
      </c>
      <c r="I261" s="36" t="n">
        <v>0</v>
      </c>
      <c r="J261" s="5" t="n">
        <v>0</v>
      </c>
      <c r="K261" s="191">
        <f>I261-J261+H261</f>
        <v/>
      </c>
      <c r="L261" s="192" t="n">
        <v>0</v>
      </c>
      <c r="M261" s="191">
        <f>K261+L261</f>
        <v/>
      </c>
      <c r="N261" s="36" t="n">
        <v>0</v>
      </c>
      <c r="O261" s="5" t="n">
        <v>0</v>
      </c>
      <c r="P261" s="191">
        <f>N261-O261+M261</f>
        <v/>
      </c>
      <c r="Q261" s="192" t="n">
        <v>0</v>
      </c>
      <c r="R261" s="191">
        <f>P261+Q261</f>
        <v/>
      </c>
      <c r="S261" s="36" t="n">
        <v>0</v>
      </c>
      <c r="T261" s="5" t="n">
        <v>0</v>
      </c>
      <c r="U261" s="191">
        <f>S261-T261+R261</f>
        <v/>
      </c>
      <c r="V261" s="192" t="n">
        <v>0</v>
      </c>
      <c r="W261" s="191">
        <f>U261+V261</f>
        <v/>
      </c>
      <c r="X261" s="36" t="n">
        <v>0</v>
      </c>
      <c r="Y261" s="5" t="n">
        <v>0</v>
      </c>
      <c r="Z261" s="191">
        <f>X261-Y261+W261</f>
        <v/>
      </c>
      <c r="AA261" s="192" t="n">
        <v>0</v>
      </c>
      <c r="AB261" s="191">
        <f>Z261+AA261</f>
        <v/>
      </c>
      <c r="AC261" s="36" t="n">
        <v>0</v>
      </c>
      <c r="AD261" s="5" t="n">
        <v>0</v>
      </c>
      <c r="AE261" s="191">
        <f>AC261-AD261+AB261</f>
        <v/>
      </c>
      <c r="AF261" s="192" t="n">
        <v>0</v>
      </c>
      <c r="AG261" s="191">
        <f>AE261+AF261</f>
        <v/>
      </c>
      <c r="AH261" s="36" t="n">
        <v>0</v>
      </c>
      <c r="AI261" s="5" t="n">
        <v>0</v>
      </c>
      <c r="AJ261" s="191">
        <f>AH261-AI261+AG261</f>
        <v/>
      </c>
      <c r="AK261" s="192" t="n">
        <v>0</v>
      </c>
      <c r="AL261" s="191">
        <f>AJ261+AK261</f>
        <v/>
      </c>
      <c r="AM261" s="35" t="inlineStr">
        <is>
          <t>鹿児島</t>
        </is>
      </c>
      <c r="AN261" s="35" t="inlineStr">
        <is>
          <t>箱</t>
        </is>
      </c>
      <c r="AO261" s="5" t="n">
        <v>0</v>
      </c>
      <c r="AP261" s="5" t="n">
        <v>0</v>
      </c>
      <c r="AQ261" s="35" t="inlineStr">
        <is>
          <t>○</t>
        </is>
      </c>
      <c r="AR261" s="35" t="n"/>
      <c r="AS261" s="122" t="n"/>
      <c r="AT261" s="35" t="n"/>
      <c r="AU261" s="35" t="n"/>
    </row>
    <row r="262">
      <c r="A262" s="14" t="inlineStr">
        <is>
          <t>6206-1</t>
        </is>
      </c>
      <c r="B262" s="5" t="inlineStr">
        <is>
          <t>米粉カステラ　１斤（1本）</t>
        </is>
      </c>
      <c r="C262" s="36" t="n">
        <v>0</v>
      </c>
      <c r="D262" s="36" t="n">
        <v>0</v>
      </c>
      <c r="E262" s="5" t="n">
        <v>0</v>
      </c>
      <c r="F262" s="191">
        <f>D262-E262+C262</f>
        <v/>
      </c>
      <c r="G262" s="192" t="n">
        <v>0</v>
      </c>
      <c r="H262" s="191">
        <f>F262+G262</f>
        <v/>
      </c>
      <c r="I262" s="36" t="n">
        <v>0</v>
      </c>
      <c r="J262" s="5" t="n">
        <v>0</v>
      </c>
      <c r="K262" s="191">
        <f>I262-J262+H262</f>
        <v/>
      </c>
      <c r="L262" s="192" t="n">
        <v>0</v>
      </c>
      <c r="M262" s="191">
        <f>K262+L262</f>
        <v/>
      </c>
      <c r="N262" s="36" t="n">
        <v>0</v>
      </c>
      <c r="O262" s="5" t="n">
        <v>0</v>
      </c>
      <c r="P262" s="191">
        <f>N262-O262+M262</f>
        <v/>
      </c>
      <c r="Q262" s="192" t="n">
        <v>0</v>
      </c>
      <c r="R262" s="191">
        <f>P262+Q262</f>
        <v/>
      </c>
      <c r="S262" s="36" t="n">
        <v>0</v>
      </c>
      <c r="T262" s="5" t="n">
        <v>0</v>
      </c>
      <c r="U262" s="191">
        <f>S262-T262+R262</f>
        <v/>
      </c>
      <c r="V262" s="192" t="n">
        <v>0</v>
      </c>
      <c r="W262" s="191">
        <f>U262+V262</f>
        <v/>
      </c>
      <c r="X262" s="36" t="n">
        <v>0</v>
      </c>
      <c r="Y262" s="5" t="n">
        <v>0</v>
      </c>
      <c r="Z262" s="191">
        <f>X262-Y262+W262</f>
        <v/>
      </c>
      <c r="AA262" s="192" t="n">
        <v>0</v>
      </c>
      <c r="AB262" s="191">
        <f>Z262+AA262</f>
        <v/>
      </c>
      <c r="AC262" s="36" t="n">
        <v>0</v>
      </c>
      <c r="AD262" s="5" t="n">
        <v>2</v>
      </c>
      <c r="AE262" s="191">
        <f>AC262-AD262+AB262</f>
        <v/>
      </c>
      <c r="AF262" s="192" t="n">
        <v>0</v>
      </c>
      <c r="AG262" s="191">
        <f>AE262+AF262</f>
        <v/>
      </c>
      <c r="AH262" s="36" t="n">
        <v>0</v>
      </c>
      <c r="AI262" s="5" t="n">
        <v>0</v>
      </c>
      <c r="AJ262" s="191">
        <f>AH262-AI262+AG262</f>
        <v/>
      </c>
      <c r="AK262" s="192" t="n">
        <v>0</v>
      </c>
      <c r="AL262" s="191">
        <f>AJ262+AK262</f>
        <v/>
      </c>
      <c r="AM262" s="35" t="n"/>
      <c r="AN262" s="35" t="inlineStr">
        <is>
          <t>こもの</t>
        </is>
      </c>
      <c r="AO262" s="163" t="n">
        <v>1440</v>
      </c>
      <c r="AP262" s="5" t="n">
        <v>0</v>
      </c>
      <c r="AQ262" s="35" t="n"/>
      <c r="AR262" s="35" t="n"/>
      <c r="AS262" s="122" t="n"/>
      <c r="AT262" s="35" t="n"/>
      <c r="AU262" s="35" t="n"/>
    </row>
    <row r="263">
      <c r="A263" s="14" t="inlineStr">
        <is>
          <t>6206-2</t>
        </is>
      </c>
      <c r="B263" s="5" t="inlineStr">
        <is>
          <t>米粉カステラ　１切</t>
        </is>
      </c>
      <c r="C263" s="36" t="n">
        <v>0</v>
      </c>
      <c r="D263" s="36" t="n">
        <v>0</v>
      </c>
      <c r="E263" s="5" t="n">
        <v>0</v>
      </c>
      <c r="F263" s="191">
        <f>D263-E263+C263</f>
        <v/>
      </c>
      <c r="G263" s="192" t="n">
        <v>0</v>
      </c>
      <c r="H263" s="191">
        <f>F263+G263</f>
        <v/>
      </c>
      <c r="I263" s="36" t="n">
        <v>0</v>
      </c>
      <c r="J263" s="5" t="n">
        <v>0</v>
      </c>
      <c r="K263" s="191">
        <f>I263-J263+H263</f>
        <v/>
      </c>
      <c r="L263" s="192" t="n">
        <v>0</v>
      </c>
      <c r="M263" s="191">
        <f>K263+L263</f>
        <v/>
      </c>
      <c r="N263" s="36" t="n">
        <v>0</v>
      </c>
      <c r="O263" s="5" t="n">
        <v>0</v>
      </c>
      <c r="P263" s="191">
        <f>N263-O263+M263</f>
        <v/>
      </c>
      <c r="Q263" s="192" t="n">
        <v>0</v>
      </c>
      <c r="R263" s="191">
        <f>P263+Q263</f>
        <v/>
      </c>
      <c r="S263" s="36" t="n">
        <v>0</v>
      </c>
      <c r="T263" s="5" t="n">
        <v>0</v>
      </c>
      <c r="U263" s="191">
        <f>S263-T263+R263</f>
        <v/>
      </c>
      <c r="V263" s="192" t="n">
        <v>0</v>
      </c>
      <c r="W263" s="191">
        <f>U263+V263</f>
        <v/>
      </c>
      <c r="X263" s="36" t="n">
        <v>0</v>
      </c>
      <c r="Y263" s="5" t="n">
        <v>0</v>
      </c>
      <c r="Z263" s="191">
        <f>X263-Y263+W263</f>
        <v/>
      </c>
      <c r="AA263" s="192" t="n">
        <v>0</v>
      </c>
      <c r="AB263" s="191">
        <f>Z263+AA263</f>
        <v/>
      </c>
      <c r="AC263" s="36" t="n">
        <v>0</v>
      </c>
      <c r="AD263" s="5" t="n">
        <v>150</v>
      </c>
      <c r="AE263" s="191">
        <f>AC263-AD263+AB263</f>
        <v/>
      </c>
      <c r="AF263" s="192" t="n">
        <v>0</v>
      </c>
      <c r="AG263" s="191">
        <f>AE263+AF263</f>
        <v/>
      </c>
      <c r="AH263" s="36" t="n">
        <v>0</v>
      </c>
      <c r="AI263" s="5" t="n">
        <v>0</v>
      </c>
      <c r="AJ263" s="191">
        <f>AH263-AI263+AG263</f>
        <v/>
      </c>
      <c r="AK263" s="192" t="n">
        <v>0</v>
      </c>
      <c r="AL263" s="191">
        <f>AJ263+AK263</f>
        <v/>
      </c>
      <c r="AM263" s="35" t="n"/>
      <c r="AN263" s="35" t="inlineStr">
        <is>
          <t>こもの</t>
        </is>
      </c>
      <c r="AO263" s="5" t="n">
        <v>140</v>
      </c>
      <c r="AP263" s="5" t="n">
        <v>0</v>
      </c>
      <c r="AQ263" s="35" t="n"/>
      <c r="AR263" s="35" t="n"/>
      <c r="AS263" s="122" t="n"/>
      <c r="AT263" s="35" t="n"/>
      <c r="AU263" s="35" t="n"/>
    </row>
  </sheetData>
  <sheetProtection selectLockedCells="0" selectUnlockedCells="0" sheet="1" objects="1" insertRows="1" insertHyperlinks="1" autoFilter="1" scenarios="1" formatColumns="1" deleteColumns="1" insertColumns="1" pivotTables="1" deleteRows="1" formatCells="1" formatRows="1" sort="1"/>
  <printOptions gridLines="1"/>
  <pageMargins left="0" right="0" top="0" bottom="0" header="0.5118110236220472" footer="0.5118110236220472"/>
  <pageSetup orientation="landscape" paperSize="12" scale="23"/>
  <legacyDrawing r:id="anysvml"/>
</worksheet>
</file>

<file path=xl/worksheets/sheet2.xml><?xml version="1.0" encoding="utf-8"?>
<worksheet xmlns:r="http://schemas.openxmlformats.org/officeDocument/2006/relationships" xmlns="http://schemas.openxmlformats.org/spreadsheetml/2006/main">
  <sheetPr codeName="Sheet2">
    <outlinePr summaryBelow="1" summaryRight="1"/>
    <pageSetUpPr/>
  </sheetPr>
  <dimension ref="A1:I23"/>
  <sheetViews>
    <sheetView workbookViewId="0">
      <selection activeCell="H21" sqref="F3:H21"/>
    </sheetView>
  </sheetViews>
  <sheetFormatPr baseColWidth="8" defaultRowHeight="13.5"/>
  <cols>
    <col width="16.375" bestFit="1" customWidth="1" min="1" max="1"/>
    <col width="15" bestFit="1" customWidth="1" min="2" max="2"/>
    <col width="9.125" bestFit="1" customWidth="1" min="3" max="3"/>
    <col width="11.75" bestFit="1" customWidth="1" min="4" max="4"/>
    <col width="14.125" bestFit="1" customWidth="1" min="5" max="5"/>
    <col width="12.75" bestFit="1" customWidth="1" min="6" max="6"/>
    <col width="35.75" bestFit="1" customWidth="1" min="7" max="7"/>
    <col width="9.125" bestFit="1" customWidth="1" min="8" max="8"/>
    <col width="11.625" bestFit="1" customWidth="1" min="9" max="9"/>
  </cols>
  <sheetData>
    <row r="1">
      <c r="A1" s="165" t="inlineStr">
        <is>
          <t>合計 / 数量 の詳細 - 得意先名: 諸口、配送: 、得意先コード: 901</t>
        </is>
      </c>
    </row>
    <row r="3">
      <c r="A3" t="inlineStr">
        <is>
          <t>得意先EDPNo</t>
        </is>
      </c>
      <c r="B3" t="inlineStr">
        <is>
          <t>得意先コード</t>
        </is>
      </c>
      <c r="C3" t="inlineStr">
        <is>
          <t>配送</t>
        </is>
      </c>
      <c r="D3" t="inlineStr">
        <is>
          <t>得意先名</t>
        </is>
      </c>
      <c r="E3" t="inlineStr">
        <is>
          <t>商品EDPNo</t>
        </is>
      </c>
      <c r="F3" t="inlineStr">
        <is>
          <t>商品コード</t>
        </is>
      </c>
      <c r="G3" t="inlineStr">
        <is>
          <t>商品名</t>
        </is>
      </c>
      <c r="H3" t="inlineStr">
        <is>
          <t>数量</t>
        </is>
      </c>
      <c r="I3" t="inlineStr">
        <is>
          <t>箱/こ/不</t>
        </is>
      </c>
    </row>
    <row r="4">
      <c r="A4" t="n">
        <v>210</v>
      </c>
      <c r="B4" t="inlineStr">
        <is>
          <t>901</t>
        </is>
      </c>
      <c r="C4" t="inlineStr"/>
      <c r="D4" t="inlineStr">
        <is>
          <t>諸口</t>
        </is>
      </c>
      <c r="E4" t="n">
        <v>12119</v>
      </c>
      <c r="F4" t="inlineStr">
        <is>
          <t>1404-24</t>
        </is>
      </c>
      <c r="G4" t="inlineStr">
        <is>
          <t>ほうれん草 150g(八ヶ岳ｸﾞﾘｰﾝ井出)不不</t>
        </is>
      </c>
      <c r="H4" t="n">
        <v>15</v>
      </c>
      <c r="I4" t="inlineStr">
        <is>
          <t>こもの</t>
        </is>
      </c>
    </row>
    <row r="5">
      <c r="A5" t="n">
        <v>210</v>
      </c>
      <c r="B5" t="inlineStr">
        <is>
          <t>901</t>
        </is>
      </c>
      <c r="C5" t="inlineStr"/>
      <c r="D5" t="inlineStr">
        <is>
          <t>諸口</t>
        </is>
      </c>
      <c r="E5" t="n">
        <v>15579</v>
      </c>
      <c r="F5" t="inlineStr">
        <is>
          <t>1638-110</t>
        </is>
      </c>
      <c r="G5" t="inlineStr">
        <is>
          <t>有機なす１袋 (浦部)</t>
        </is>
      </c>
      <c r="H5" t="n">
        <v>15</v>
      </c>
      <c r="I5" t="inlineStr">
        <is>
          <t>こもの</t>
        </is>
      </c>
    </row>
    <row r="6">
      <c r="A6" t="n">
        <v>210</v>
      </c>
      <c r="B6" t="inlineStr">
        <is>
          <t>901</t>
        </is>
      </c>
      <c r="C6" t="inlineStr"/>
      <c r="D6" t="inlineStr">
        <is>
          <t>諸口</t>
        </is>
      </c>
      <c r="E6" t="n">
        <v>15668</v>
      </c>
      <c r="F6" t="inlineStr">
        <is>
          <t>1502-148</t>
        </is>
      </c>
      <c r="G6" t="inlineStr">
        <is>
          <t>キャベツ　1個袋(キテレツ)不不</t>
        </is>
      </c>
      <c r="H6" t="n">
        <v>10</v>
      </c>
      <c r="I6" t="inlineStr">
        <is>
          <t>こもの</t>
        </is>
      </c>
    </row>
    <row r="7">
      <c r="A7" t="n">
        <v>210</v>
      </c>
      <c r="B7" t="inlineStr">
        <is>
          <t>901</t>
        </is>
      </c>
      <c r="C7" t="inlineStr"/>
      <c r="D7" t="inlineStr">
        <is>
          <t>諸口</t>
        </is>
      </c>
      <c r="E7" t="n">
        <v>8503</v>
      </c>
      <c r="F7" t="inlineStr">
        <is>
          <t>1619-68</t>
        </is>
      </c>
      <c r="G7" t="inlineStr">
        <is>
          <t>きゅうり　２本袋（沃土会）</t>
        </is>
      </c>
      <c r="H7" t="n">
        <v>10</v>
      </c>
      <c r="I7" t="inlineStr">
        <is>
          <t>こもの</t>
        </is>
      </c>
    </row>
    <row r="8">
      <c r="A8" t="n">
        <v>210</v>
      </c>
      <c r="B8" t="inlineStr">
        <is>
          <t>901</t>
        </is>
      </c>
      <c r="C8" t="inlineStr"/>
      <c r="D8" t="inlineStr">
        <is>
          <t>諸口</t>
        </is>
      </c>
      <c r="E8" t="n">
        <v>15576</v>
      </c>
      <c r="F8" t="inlineStr">
        <is>
          <t>1707-127</t>
        </is>
      </c>
      <c r="G8" t="inlineStr">
        <is>
          <t>ズッキーニ １本袋（沃土会)不不</t>
        </is>
      </c>
      <c r="H8" t="n">
        <v>10</v>
      </c>
      <c r="I8" t="inlineStr">
        <is>
          <t>こもの</t>
        </is>
      </c>
    </row>
    <row r="9">
      <c r="A9" t="n">
        <v>210</v>
      </c>
      <c r="B9" t="inlineStr">
        <is>
          <t>901</t>
        </is>
      </c>
      <c r="C9" t="inlineStr"/>
      <c r="D9" t="inlineStr">
        <is>
          <t>諸口</t>
        </is>
      </c>
      <c r="E9" t="n">
        <v>1760</v>
      </c>
      <c r="F9" t="inlineStr">
        <is>
          <t>1614-3</t>
        </is>
      </c>
      <c r="G9" t="inlineStr">
        <is>
          <t>ミニトマト　150ｇ（沃土会）</t>
        </is>
      </c>
      <c r="H9" t="n">
        <v>10</v>
      </c>
      <c r="I9" t="inlineStr">
        <is>
          <t>こもの</t>
        </is>
      </c>
    </row>
    <row r="10">
      <c r="A10" t="n">
        <v>210</v>
      </c>
      <c r="B10" t="inlineStr">
        <is>
          <t>901</t>
        </is>
      </c>
      <c r="C10" t="inlineStr"/>
      <c r="D10" t="inlineStr">
        <is>
          <t>諸口</t>
        </is>
      </c>
      <c r="E10" t="n">
        <v>5462</v>
      </c>
      <c r="F10" t="inlineStr">
        <is>
          <t>1720-22</t>
        </is>
      </c>
      <c r="G10" t="inlineStr">
        <is>
          <t>枝豆　200g袋（さんぶ）</t>
        </is>
      </c>
      <c r="H10" t="n">
        <v>10</v>
      </c>
      <c r="I10" t="inlineStr">
        <is>
          <t>こもの</t>
        </is>
      </c>
    </row>
    <row r="11">
      <c r="A11" t="n">
        <v>210</v>
      </c>
      <c r="B11" t="inlineStr">
        <is>
          <t>901</t>
        </is>
      </c>
      <c r="C11" t="inlineStr"/>
      <c r="D11" t="inlineStr">
        <is>
          <t>諸口</t>
        </is>
      </c>
      <c r="E11" t="n">
        <v>15642</v>
      </c>
      <c r="F11" t="inlineStr">
        <is>
          <t>1647-50</t>
        </is>
      </c>
      <c r="G11" t="inlineStr">
        <is>
          <t>中玉トマト 250g (沃土会)</t>
        </is>
      </c>
      <c r="H11" t="n">
        <v>10</v>
      </c>
      <c r="I11" t="inlineStr">
        <is>
          <t>こもの</t>
        </is>
      </c>
    </row>
    <row r="12">
      <c r="A12" t="n">
        <v>210</v>
      </c>
      <c r="B12" t="inlineStr">
        <is>
          <t>901</t>
        </is>
      </c>
      <c r="C12" t="inlineStr"/>
      <c r="D12" t="inlineStr">
        <is>
          <t>諸口</t>
        </is>
      </c>
      <c r="E12" t="n">
        <v>14841</v>
      </c>
      <c r="F12" t="inlineStr">
        <is>
          <t>1564-100</t>
        </is>
      </c>
      <c r="G12" t="inlineStr">
        <is>
          <t>長ねぎ　ﾑｷ ２本袋(ﾊｲﾊｰﾊﾞｰ)◇</t>
        </is>
      </c>
      <c r="H12" t="n">
        <v>10</v>
      </c>
      <c r="I12" t="inlineStr">
        <is>
          <t>こもの</t>
        </is>
      </c>
    </row>
    <row r="13">
      <c r="A13" t="n">
        <v>210</v>
      </c>
      <c r="B13" t="inlineStr">
        <is>
          <t>901</t>
        </is>
      </c>
      <c r="C13" t="inlineStr"/>
      <c r="D13" t="inlineStr">
        <is>
          <t>諸口</t>
        </is>
      </c>
      <c r="E13" t="n">
        <v>12746</v>
      </c>
      <c r="F13" t="inlineStr">
        <is>
          <t>1241-519</t>
        </is>
      </c>
      <c r="G13" t="inlineStr">
        <is>
          <t>有機人参 洗い 400ｇ(キテレツ・産ﾊﾟ)</t>
        </is>
      </c>
      <c r="H13" t="n">
        <v>10</v>
      </c>
      <c r="I13" t="inlineStr">
        <is>
          <t>こもの</t>
        </is>
      </c>
    </row>
    <row r="14">
      <c r="A14" t="n">
        <v>210</v>
      </c>
      <c r="B14" t="inlineStr">
        <is>
          <t>901</t>
        </is>
      </c>
      <c r="C14" t="inlineStr"/>
      <c r="D14" t="inlineStr">
        <is>
          <t>諸口</t>
        </is>
      </c>
      <c r="E14" t="n">
        <v>15664</v>
      </c>
      <c r="F14" t="inlineStr">
        <is>
          <t>1521-17</t>
        </is>
      </c>
      <c r="G14" t="inlineStr">
        <is>
          <t>グリーンボール　１個袋(せっせと畑)◇</t>
        </is>
      </c>
      <c r="H14" t="n">
        <v>8</v>
      </c>
      <c r="I14" t="inlineStr">
        <is>
          <t>こもの</t>
        </is>
      </c>
    </row>
    <row r="15">
      <c r="A15" t="n">
        <v>210</v>
      </c>
      <c r="B15" t="inlineStr">
        <is>
          <t>901</t>
        </is>
      </c>
      <c r="C15" t="inlineStr"/>
      <c r="D15" t="inlineStr">
        <is>
          <t>諸口</t>
        </is>
      </c>
      <c r="E15" t="n">
        <v>14890</v>
      </c>
      <c r="F15" t="inlineStr">
        <is>
          <t>1419-35</t>
        </is>
      </c>
      <c r="G15" t="inlineStr">
        <is>
          <t>有機ケール　80ｇ(まるた)</t>
        </is>
      </c>
      <c r="H15" t="n">
        <v>8</v>
      </c>
      <c r="I15" t="inlineStr">
        <is>
          <t>こもの</t>
        </is>
      </c>
    </row>
    <row r="16">
      <c r="A16" t="n">
        <v>210</v>
      </c>
      <c r="B16" t="inlineStr">
        <is>
          <t>901</t>
        </is>
      </c>
      <c r="C16" t="inlineStr"/>
      <c r="D16" t="inlineStr">
        <is>
          <t>諸口</t>
        </is>
      </c>
      <c r="E16" t="n">
        <v>8585</v>
      </c>
      <c r="F16" t="inlineStr">
        <is>
          <t>1584-39</t>
        </is>
      </c>
      <c r="G16" t="inlineStr">
        <is>
          <t>有機ロメインﾚﾀｽ ﾗｯﾌﾟ 1個(ﾌｧｰﾏｰｽﾞ)◇</t>
        </is>
      </c>
      <c r="H16" t="n">
        <v>7</v>
      </c>
      <c r="I16" t="inlineStr">
        <is>
          <t>こもの</t>
        </is>
      </c>
    </row>
    <row r="17">
      <c r="A17" t="n">
        <v>210</v>
      </c>
      <c r="B17" t="inlineStr">
        <is>
          <t>901</t>
        </is>
      </c>
      <c r="C17" t="inlineStr"/>
      <c r="D17" t="inlineStr">
        <is>
          <t>諸口</t>
        </is>
      </c>
      <c r="E17" t="n">
        <v>15637</v>
      </c>
      <c r="F17" t="inlineStr">
        <is>
          <t>1266-272</t>
        </is>
      </c>
      <c r="G17" t="inlineStr">
        <is>
          <t>有機ミニ大根　洗い　1本袋(キテレツ)</t>
        </is>
      </c>
      <c r="H17" t="n">
        <v>6</v>
      </c>
      <c r="I17" t="inlineStr">
        <is>
          <t>こもの</t>
        </is>
      </c>
    </row>
    <row r="18">
      <c r="A18" t="n">
        <v>210</v>
      </c>
      <c r="B18" t="inlineStr">
        <is>
          <t>901</t>
        </is>
      </c>
      <c r="C18" t="inlineStr"/>
      <c r="D18" t="inlineStr">
        <is>
          <t>諸口</t>
        </is>
      </c>
      <c r="E18" t="n">
        <v>10498</v>
      </c>
      <c r="F18" t="inlineStr">
        <is>
          <t>1661-15</t>
        </is>
      </c>
      <c r="G18" t="inlineStr">
        <is>
          <t>パプリカ　１個袋200ｇ(高生連)</t>
        </is>
      </c>
      <c r="H18" t="n">
        <v>5</v>
      </c>
      <c r="I18" t="inlineStr">
        <is>
          <t>こもの</t>
        </is>
      </c>
    </row>
    <row r="19">
      <c r="A19" t="n">
        <v>210</v>
      </c>
      <c r="B19" t="inlineStr">
        <is>
          <t>901</t>
        </is>
      </c>
      <c r="C19" t="inlineStr"/>
      <c r="D19" t="inlineStr">
        <is>
          <t>諸口</t>
        </is>
      </c>
      <c r="E19" t="n">
        <v>12248</v>
      </c>
      <c r="F19" t="inlineStr">
        <is>
          <t>1277-130</t>
        </is>
      </c>
      <c r="G19" t="inlineStr">
        <is>
          <t>有機かぶ白　２～３玉袋（飯田）</t>
        </is>
      </c>
      <c r="H19" t="n">
        <v>5</v>
      </c>
      <c r="I19" t="inlineStr">
        <is>
          <t>こもの</t>
        </is>
      </c>
    </row>
    <row r="20">
      <c r="A20" t="n">
        <v>210</v>
      </c>
      <c r="B20" t="inlineStr">
        <is>
          <t>901</t>
        </is>
      </c>
      <c r="C20" t="inlineStr"/>
      <c r="D20" t="inlineStr">
        <is>
          <t>諸口</t>
        </is>
      </c>
      <c r="E20" t="n">
        <v>14856</v>
      </c>
      <c r="F20" t="inlineStr">
        <is>
          <t>1516-104</t>
        </is>
      </c>
      <c r="G20" t="inlineStr">
        <is>
          <t>有機サニーﾚﾀｽ　1個袋　(富岡・産ﾊﾟ)</t>
        </is>
      </c>
      <c r="H20" t="n">
        <v>5</v>
      </c>
      <c r="I20" t="inlineStr">
        <is>
          <t>こもの</t>
        </is>
      </c>
    </row>
    <row r="21">
      <c r="A21" t="n">
        <v>210</v>
      </c>
      <c r="B21" t="inlineStr">
        <is>
          <t>901</t>
        </is>
      </c>
      <c r="C21" t="inlineStr"/>
      <c r="D21" t="inlineStr">
        <is>
          <t>諸口</t>
        </is>
      </c>
      <c r="E21" t="n">
        <v>8656</v>
      </c>
      <c r="F21" t="inlineStr">
        <is>
          <t>1533-160</t>
        </is>
      </c>
      <c r="G21" t="inlineStr">
        <is>
          <t>有機レタス ラップ 1個(富岡・産ﾊﾟ)</t>
        </is>
      </c>
      <c r="H21" t="n">
        <v>5</v>
      </c>
      <c r="I21" t="inlineStr">
        <is>
          <t>こもの</t>
        </is>
      </c>
    </row>
    <row r="22">
      <c r="A22" t="n">
        <v>210</v>
      </c>
      <c r="B22" t="inlineStr">
        <is>
          <t>901</t>
        </is>
      </c>
      <c r="C22" t="inlineStr"/>
      <c r="D22" t="inlineStr">
        <is>
          <t>諸口</t>
        </is>
      </c>
      <c r="E22" t="n">
        <v>15651</v>
      </c>
      <c r="F22" t="inlineStr">
        <is>
          <t>1684-94</t>
        </is>
      </c>
      <c r="G22" t="inlineStr">
        <is>
          <t>スイートコーン　１本袋(高生連)</t>
        </is>
      </c>
      <c r="H22" t="n">
        <v>0</v>
      </c>
      <c r="I22" t="inlineStr">
        <is>
          <t>こもの</t>
        </is>
      </c>
    </row>
    <row r="23">
      <c r="A23" t="n">
        <v>210</v>
      </c>
      <c r="B23" t="inlineStr">
        <is>
          <t>901</t>
        </is>
      </c>
      <c r="C23" t="inlineStr"/>
      <c r="D23" t="inlineStr">
        <is>
          <t>諸口</t>
        </is>
      </c>
      <c r="E23" t="n">
        <v>15620</v>
      </c>
      <c r="F23" t="inlineStr">
        <is>
          <t>1638-112</t>
        </is>
      </c>
      <c r="G23" t="inlineStr">
        <is>
          <t>なす　400ｇ(石毛)菌2虫1(=9割減)・不</t>
        </is>
      </c>
      <c r="H23" t="n">
        <v>0</v>
      </c>
      <c r="I23" t="inlineStr">
        <is>
          <t>こもの</t>
        </is>
      </c>
    </row>
  </sheetData>
  <pageMargins left="0.7" right="0.7" top="0.75" bottom="0.75" header="0.3" footer="0.3"/>
  <pageSetup orientation="portrait" paperSize="9"/>
  <tableParts count="1">
    <tablePart r:id="rId1"/>
  </tableParts>
</worksheet>
</file>

<file path=xl/worksheets/sheet3.xml><?xml version="1.0" encoding="utf-8"?>
<worksheet xmlns:r="http://schemas.openxmlformats.org/officeDocument/2006/relationships" xmlns="http://schemas.openxmlformats.org/spreadsheetml/2006/main">
  <sheetPr codeName="Sheet3">
    <outlinePr summaryBelow="1" summaryRight="1"/>
    <pageSetUpPr fitToPage="1"/>
  </sheetPr>
  <dimension ref="A1:J49"/>
  <sheetViews>
    <sheetView workbookViewId="0">
      <selection activeCell="L5" sqref="L5"/>
    </sheetView>
  </sheetViews>
  <sheetFormatPr baseColWidth="8" defaultRowHeight="13.5"/>
  <cols>
    <col width="16.375" bestFit="1" customWidth="1" min="1" max="1"/>
    <col width="15" bestFit="1" customWidth="1" min="2" max="2"/>
    <col width="9.125" bestFit="1" customWidth="1" min="3" max="3"/>
    <col width="11.75" bestFit="1" customWidth="1" min="4" max="4"/>
    <col width="12.75" bestFit="1" customWidth="1" min="5" max="5"/>
    <col width="38.5" bestFit="1" customWidth="1" min="6" max="6"/>
    <col width="6.125" customWidth="1" min="7" max="7"/>
    <col width="8.375" customWidth="1" min="8" max="8"/>
    <col width="6" customWidth="1" min="10" max="10"/>
  </cols>
  <sheetData>
    <row r="1">
      <c r="A1" s="165" t="inlineStr">
        <is>
          <t>合計 / 数量 の詳細 - 得意先名: 直売秋葉原、配送: その他、得意先コード: 902-14</t>
        </is>
      </c>
    </row>
    <row r="2">
      <c r="F2" t="inlineStr">
        <is>
          <t>店着日0609</t>
        </is>
      </c>
    </row>
    <row r="3" customFormat="1" s="62">
      <c r="A3" s="62" t="inlineStr">
        <is>
          <t>得意先EDPNo</t>
        </is>
      </c>
      <c r="B3" s="62" t="inlineStr">
        <is>
          <t>得意先コード</t>
        </is>
      </c>
      <c r="C3" s="62" t="inlineStr">
        <is>
          <t>配送</t>
        </is>
      </c>
      <c r="D3" s="103" t="inlineStr">
        <is>
          <t>得意先名</t>
        </is>
      </c>
      <c r="E3" s="103" t="inlineStr">
        <is>
          <t>商品コード</t>
        </is>
      </c>
      <c r="F3" s="103" t="inlineStr">
        <is>
          <t>商品名</t>
        </is>
      </c>
      <c r="G3" s="103" t="inlineStr">
        <is>
          <t>数量</t>
        </is>
      </c>
      <c r="H3" s="103" t="inlineStr">
        <is>
          <t>本体価格</t>
        </is>
      </c>
      <c r="I3" s="62" t="inlineStr">
        <is>
          <t>置き場</t>
        </is>
      </c>
      <c r="J3" s="62" t="inlineStr">
        <is>
          <t>シール</t>
        </is>
      </c>
    </row>
    <row r="4">
      <c r="A4" t="n">
        <v>2556</v>
      </c>
      <c r="B4" t="inlineStr">
        <is>
          <t>902-14</t>
        </is>
      </c>
      <c r="C4" t="inlineStr">
        <is>
          <t>その他</t>
        </is>
      </c>
      <c r="D4" s="169" t="inlineStr">
        <is>
          <t>直売秋葉原</t>
        </is>
      </c>
      <c r="E4" s="168" t="inlineStr">
        <is>
          <t>1170-29</t>
        </is>
      </c>
      <c r="F4" s="170" t="inlineStr">
        <is>
          <t>■エクアドルバナナ 600g袋×16入　非有機</t>
        </is>
      </c>
      <c r="G4" s="168" t="n">
        <v>1</v>
      </c>
      <c r="H4" s="168" t="inlineStr">
        <is>
          <t>不要</t>
        </is>
      </c>
      <c r="I4" s="173" t="n">
        <v>0</v>
      </c>
      <c r="J4" s="170" t="inlineStr">
        <is>
          <t>不要</t>
        </is>
      </c>
    </row>
    <row r="5">
      <c r="A5" t="n">
        <v>2556</v>
      </c>
      <c r="B5" t="inlineStr">
        <is>
          <t>902-14</t>
        </is>
      </c>
      <c r="C5" t="inlineStr">
        <is>
          <t>その他</t>
        </is>
      </c>
      <c r="D5" s="169" t="inlineStr">
        <is>
          <t>直売秋葉原</t>
        </is>
      </c>
      <c r="E5" s="168" t="inlineStr">
        <is>
          <t>1148-151</t>
        </is>
      </c>
      <c r="F5" s="168" t="inlineStr">
        <is>
          <t>■有機ｷｳｲﾌﾙｰﾂグリーン 30玉箱(ゼスプリ)</t>
        </is>
      </c>
      <c r="G5" s="168" t="n">
        <v>1</v>
      </c>
      <c r="H5" s="168" t="inlineStr">
        <is>
          <t>不要</t>
        </is>
      </c>
      <c r="I5" s="103" t="n">
        <v>0</v>
      </c>
      <c r="J5" s="168" t="inlineStr">
        <is>
          <t>不要</t>
        </is>
      </c>
    </row>
    <row r="6">
      <c r="A6" t="n">
        <v>2556</v>
      </c>
      <c r="B6" t="inlineStr">
        <is>
          <t>902-14</t>
        </is>
      </c>
      <c r="C6" t="inlineStr">
        <is>
          <t>その他</t>
        </is>
      </c>
      <c r="D6" s="169" t="inlineStr">
        <is>
          <t>直売秋葉原</t>
        </is>
      </c>
      <c r="E6" s="168" t="inlineStr">
        <is>
          <t>1148-150</t>
        </is>
      </c>
      <c r="F6" s="168" t="inlineStr">
        <is>
          <t>■有機ｻﾝｺﾞｰﾙﾄﾞｷｳｲﾌﾙｰﾂ48玉箱(ゼスプリ)</t>
        </is>
      </c>
      <c r="G6" s="168" t="n">
        <v>1</v>
      </c>
      <c r="H6" s="168" t="inlineStr">
        <is>
          <t>不要</t>
        </is>
      </c>
      <c r="I6" s="103" t="n">
        <v>0</v>
      </c>
      <c r="J6" s="168" t="inlineStr">
        <is>
          <t>不要</t>
        </is>
      </c>
    </row>
    <row r="7">
      <c r="A7" t="n">
        <v>2556</v>
      </c>
      <c r="B7" t="inlineStr">
        <is>
          <t>902-14</t>
        </is>
      </c>
      <c r="C7" t="inlineStr">
        <is>
          <t>その他</t>
        </is>
      </c>
      <c r="D7" s="169" t="inlineStr">
        <is>
          <t>直売秋葉原</t>
        </is>
      </c>
      <c r="E7" s="168" t="inlineStr">
        <is>
          <t>1470-55</t>
        </is>
      </c>
      <c r="F7" s="168" t="inlineStr">
        <is>
          <t>有機水菜 200g袋 (わ～ふぁ・産ﾊﾟ)</t>
        </is>
      </c>
      <c r="G7" s="168" t="n">
        <v>3</v>
      </c>
      <c r="H7" s="168" t="n">
        <v>298</v>
      </c>
      <c r="I7" s="103" t="n">
        <v>0</v>
      </c>
      <c r="J7" s="168" t="inlineStr">
        <is>
          <t>不要</t>
        </is>
      </c>
    </row>
    <row r="8">
      <c r="A8" t="n">
        <v>2556</v>
      </c>
      <c r="B8" t="inlineStr">
        <is>
          <t>902-14</t>
        </is>
      </c>
      <c r="C8" t="inlineStr">
        <is>
          <t>その他</t>
        </is>
      </c>
      <c r="D8" s="169" t="inlineStr">
        <is>
          <t>直売秋葉原</t>
        </is>
      </c>
      <c r="E8" s="168" t="inlineStr">
        <is>
          <t>1807-55</t>
        </is>
      </c>
      <c r="F8" s="168" t="inlineStr">
        <is>
          <t>有機生しいたけ(菌床)100gﾄﾚｰ(太洋社)</t>
        </is>
      </c>
      <c r="G8" s="168" t="n">
        <v>4</v>
      </c>
      <c r="H8" s="168" t="n">
        <v>268</v>
      </c>
      <c r="I8" s="103" t="n">
        <v>0</v>
      </c>
      <c r="J8" s="168" t="inlineStr">
        <is>
          <t>不要</t>
        </is>
      </c>
    </row>
    <row r="9">
      <c r="A9" t="n">
        <v>2556</v>
      </c>
      <c r="B9" t="inlineStr">
        <is>
          <t>902-14</t>
        </is>
      </c>
      <c r="C9" t="inlineStr">
        <is>
          <t>その他</t>
        </is>
      </c>
      <c r="D9" s="169" t="inlineStr">
        <is>
          <t>直売秋葉原</t>
        </is>
      </c>
      <c r="E9" s="168" t="inlineStr">
        <is>
          <t>1869-1</t>
        </is>
      </c>
      <c r="F9" s="168" t="inlineStr">
        <is>
          <t>有機パクチー　30ｇ（わ～ふぁ）</t>
        </is>
      </c>
      <c r="G9" s="168" t="n">
        <v>2</v>
      </c>
      <c r="H9" s="168" t="n">
        <v>258</v>
      </c>
      <c r="I9" s="103" t="n">
        <v>0</v>
      </c>
      <c r="J9" s="168" t="inlineStr">
        <is>
          <t>不要</t>
        </is>
      </c>
    </row>
    <row r="10">
      <c r="A10" t="n">
        <v>2556</v>
      </c>
      <c r="B10" t="inlineStr">
        <is>
          <t>902-14</t>
        </is>
      </c>
      <c r="C10" t="inlineStr">
        <is>
          <t>その他</t>
        </is>
      </c>
      <c r="D10" s="169" t="inlineStr">
        <is>
          <t>直売秋葉原</t>
        </is>
      </c>
      <c r="E10" s="168" t="inlineStr">
        <is>
          <t>1407-14</t>
        </is>
      </c>
      <c r="F10" s="168" t="inlineStr">
        <is>
          <t>有機ルッコラ 50g袋 (わ～ふぁ)</t>
        </is>
      </c>
      <c r="G10" s="168" t="n">
        <v>2</v>
      </c>
      <c r="H10" s="168" t="n">
        <v>258</v>
      </c>
      <c r="I10" s="103" t="n">
        <v>0</v>
      </c>
      <c r="J10" s="168" t="inlineStr">
        <is>
          <t>不要</t>
        </is>
      </c>
    </row>
    <row r="11">
      <c r="A11" t="n">
        <v>2556</v>
      </c>
      <c r="B11" t="inlineStr">
        <is>
          <t>902-14</t>
        </is>
      </c>
      <c r="C11" t="inlineStr">
        <is>
          <t>その他</t>
        </is>
      </c>
      <c r="D11" s="169" t="inlineStr">
        <is>
          <t>直売秋葉原</t>
        </is>
      </c>
      <c r="E11" s="168" t="inlineStr">
        <is>
          <t>1840-14</t>
        </is>
      </c>
      <c r="F11" s="168" t="inlineStr">
        <is>
          <t>有機にら 100ｇ (北総)</t>
        </is>
      </c>
      <c r="G11" s="168" t="n">
        <v>3</v>
      </c>
      <c r="H11" s="168" t="n">
        <v>228</v>
      </c>
      <c r="I11" s="103" t="n">
        <v>0</v>
      </c>
      <c r="J11" s="168" t="inlineStr">
        <is>
          <t>不要</t>
        </is>
      </c>
    </row>
    <row r="12">
      <c r="A12" t="n">
        <v>2556</v>
      </c>
      <c r="B12" t="inlineStr">
        <is>
          <t>902-14</t>
        </is>
      </c>
      <c r="C12" t="inlineStr">
        <is>
          <t>その他</t>
        </is>
      </c>
      <c r="D12" s="169" t="inlineStr">
        <is>
          <t>直売秋葉原</t>
        </is>
      </c>
      <c r="E12" s="168" t="inlineStr">
        <is>
          <t>1409-160</t>
        </is>
      </c>
      <c r="F12" s="168" t="inlineStr">
        <is>
          <t>有機小松菜　200g(北総)</t>
        </is>
      </c>
      <c r="G12" s="168" t="n">
        <v>3</v>
      </c>
      <c r="H12" s="168" t="n">
        <v>228</v>
      </c>
      <c r="I12" s="103" t="n">
        <v>0</v>
      </c>
      <c r="J12" s="168" t="inlineStr">
        <is>
          <t>不要</t>
        </is>
      </c>
    </row>
    <row r="13">
      <c r="A13" t="n">
        <v>2556</v>
      </c>
      <c r="B13" t="inlineStr">
        <is>
          <t>902-14</t>
        </is>
      </c>
      <c r="C13" t="inlineStr">
        <is>
          <t>その他</t>
        </is>
      </c>
      <c r="D13" s="169" t="inlineStr">
        <is>
          <t>直売秋葉原</t>
        </is>
      </c>
      <c r="E13" s="168" t="inlineStr">
        <is>
          <t>1838-12</t>
        </is>
      </c>
      <c r="F13" s="168" t="inlineStr">
        <is>
          <t>有機青ねぎ 100ｇ (大地と自然)</t>
        </is>
      </c>
      <c r="G13" s="168" t="n">
        <v>3</v>
      </c>
      <c r="H13" s="168" t="n">
        <v>180</v>
      </c>
      <c r="I13" s="103" t="n">
        <v>0</v>
      </c>
      <c r="J13" s="168" t="inlineStr">
        <is>
          <t>不要</t>
        </is>
      </c>
    </row>
    <row r="14">
      <c r="A14" t="n">
        <v>2556</v>
      </c>
      <c r="B14" t="inlineStr">
        <is>
          <t>902-14</t>
        </is>
      </c>
      <c r="C14" t="inlineStr">
        <is>
          <t>その他</t>
        </is>
      </c>
      <c r="D14" s="169" t="inlineStr">
        <is>
          <t>直売秋葉原</t>
        </is>
      </c>
      <c r="E14" s="168" t="inlineStr">
        <is>
          <t>1889-15</t>
        </is>
      </c>
      <c r="F14" s="168" t="inlineStr">
        <is>
          <t>有機大葉 １０枚ﾊﾟｯｸ (矢澤園芸)</t>
        </is>
      </c>
      <c r="G14" s="168" t="n">
        <v>3</v>
      </c>
      <c r="H14" s="168" t="n">
        <v>158</v>
      </c>
      <c r="I14" s="103" t="n">
        <v>0</v>
      </c>
      <c r="J14" s="168" t="inlineStr">
        <is>
          <t>不要</t>
        </is>
      </c>
    </row>
    <row r="15" customFormat="1" s="178">
      <c r="D15" s="179" t="n"/>
      <c r="E15" s="179" t="n"/>
      <c r="F15" s="179" t="n"/>
      <c r="G15" s="179" t="n"/>
      <c r="H15" s="179" t="n"/>
      <c r="I15" s="180" t="n"/>
      <c r="J15" s="179" t="n"/>
    </row>
    <row r="16" ht="27" customHeight="1">
      <c r="A16" t="n">
        <v>2556</v>
      </c>
      <c r="B16" t="inlineStr">
        <is>
          <t>902-14</t>
        </is>
      </c>
      <c r="C16" t="inlineStr">
        <is>
          <t>その他</t>
        </is>
      </c>
      <c r="D16" s="169" t="inlineStr">
        <is>
          <t>直売秋葉原</t>
        </is>
      </c>
      <c r="E16" s="168" t="inlineStr">
        <is>
          <t>1072-4</t>
        </is>
      </c>
      <c r="F16" s="172" t="inlineStr">
        <is>
          <t>■りんご「ふじ」10ｋｇ（津軽）の半分　※2玉ずつボードンガッチャン</t>
        </is>
      </c>
      <c r="G16" s="181" t="n">
        <v>2</v>
      </c>
      <c r="H16" s="168" t="inlineStr">
        <is>
          <t>2玉　680</t>
        </is>
      </c>
      <c r="I16" s="103" t="n">
        <v>0</v>
      </c>
      <c r="J16" s="168" t="inlineStr">
        <is>
          <t>〇</t>
        </is>
      </c>
    </row>
    <row r="17" ht="40.5" customHeight="1">
      <c r="A17" t="n">
        <v>2556</v>
      </c>
      <c r="B17" t="inlineStr">
        <is>
          <t>902-14</t>
        </is>
      </c>
      <c r="C17" t="inlineStr">
        <is>
          <t>その他</t>
        </is>
      </c>
      <c r="D17" s="169" t="inlineStr">
        <is>
          <t>直売秋葉原</t>
        </is>
      </c>
      <c r="E17" s="168" t="inlineStr">
        <is>
          <t>1063-6</t>
        </is>
      </c>
      <c r="F17" s="172" t="inlineStr">
        <is>
          <t>□りんご「シナノゴールド」　５ｋｇ箱(片桐）
※2玉ずつボードンガッチャン　20玉→23玉→18玉　を優先使用</t>
        </is>
      </c>
      <c r="G17" s="168" t="n">
        <v>1</v>
      </c>
      <c r="H17" s="168" t="inlineStr">
        <is>
          <t>2玉　580</t>
        </is>
      </c>
      <c r="I17" s="103" t="n">
        <v>0</v>
      </c>
      <c r="J17" s="168" t="inlineStr">
        <is>
          <t>〇</t>
        </is>
      </c>
    </row>
    <row r="18" ht="40.5" customHeight="1">
      <c r="A18" t="n">
        <v>2556</v>
      </c>
      <c r="B18" t="inlineStr">
        <is>
          <t>902-14</t>
        </is>
      </c>
      <c r="C18" t="inlineStr">
        <is>
          <t>その他</t>
        </is>
      </c>
      <c r="D18" s="169" t="inlineStr">
        <is>
          <t>直売秋葉原</t>
        </is>
      </c>
      <c r="E18" s="168" t="inlineStr">
        <is>
          <t>1117-12</t>
        </is>
      </c>
      <c r="F18" s="177" t="inlineStr">
        <is>
          <t>タカミレッドメロン　4kg箱(長有研）
※とれないように一周セロテで値付けシール貼る</t>
        </is>
      </c>
      <c r="G18" s="168" t="n">
        <v>1</v>
      </c>
      <c r="H18" s="168" t="inlineStr">
        <is>
          <t>1玉　1080</t>
        </is>
      </c>
      <c r="I18" s="103" t="n">
        <v>0</v>
      </c>
      <c r="J18" s="168" t="inlineStr">
        <is>
          <t>〇</t>
        </is>
      </c>
    </row>
    <row r="19">
      <c r="A19" t="n">
        <v>2556</v>
      </c>
      <c r="B19" t="inlineStr">
        <is>
          <t>902-14</t>
        </is>
      </c>
      <c r="C19" t="inlineStr">
        <is>
          <t>その他</t>
        </is>
      </c>
      <c r="D19" s="169" t="inlineStr">
        <is>
          <t>直売秋葉原</t>
        </is>
      </c>
      <c r="E19" s="168" t="inlineStr">
        <is>
          <t>1720-22</t>
        </is>
      </c>
      <c r="F19" s="168" t="inlineStr">
        <is>
          <t>枝豆　200g袋（さんぶ）</t>
        </is>
      </c>
      <c r="G19" s="168" t="n">
        <v>0</v>
      </c>
      <c r="H19" s="168" t="n">
        <v>498</v>
      </c>
      <c r="I19" s="103" t="n">
        <v>0</v>
      </c>
      <c r="J19" s="168" t="inlineStr">
        <is>
          <t>〇</t>
        </is>
      </c>
    </row>
    <row r="20">
      <c r="A20" t="n">
        <v>2556</v>
      </c>
      <c r="B20" t="inlineStr">
        <is>
          <t>902-14</t>
        </is>
      </c>
      <c r="C20" t="inlineStr">
        <is>
          <t>その他</t>
        </is>
      </c>
      <c r="D20" s="169" t="inlineStr">
        <is>
          <t>直売秋葉原</t>
        </is>
      </c>
      <c r="E20" s="168" t="inlineStr">
        <is>
          <t>1316-313</t>
        </is>
      </c>
      <c r="F20" s="168" t="inlineStr">
        <is>
          <t>ｻﾂﾏ芋「シルクスイート」700g(齊藤光正)◇</t>
        </is>
      </c>
      <c r="G20" s="168" t="n">
        <v>2</v>
      </c>
      <c r="H20" s="168" t="n">
        <v>450</v>
      </c>
      <c r="I20" s="176" t="inlineStr">
        <is>
          <t>店頭コンテナ</t>
        </is>
      </c>
      <c r="J20" s="168" t="inlineStr">
        <is>
          <t>〇</t>
        </is>
      </c>
    </row>
    <row r="21">
      <c r="A21" t="n">
        <v>2556</v>
      </c>
      <c r="B21" t="inlineStr">
        <is>
          <t>902-14</t>
        </is>
      </c>
      <c r="C21" t="inlineStr">
        <is>
          <t>その他</t>
        </is>
      </c>
      <c r="D21" s="169" t="inlineStr">
        <is>
          <t>直売秋葉原</t>
        </is>
      </c>
      <c r="E21" s="168" t="inlineStr">
        <is>
          <t>1601-82</t>
        </is>
      </c>
      <c r="F21" s="168" t="inlineStr">
        <is>
          <t>トマト ｽﾀﾝﾄﾞﾊﾞｯｸﾞ約500g(沃土会)◇</t>
        </is>
      </c>
      <c r="G21" s="168" t="n">
        <v>10</v>
      </c>
      <c r="H21" s="168" t="n">
        <v>428</v>
      </c>
      <c r="I21" s="175" t="inlineStr">
        <is>
          <t>店頭ざる</t>
        </is>
      </c>
      <c r="J21" s="168" t="inlineStr">
        <is>
          <t>〇</t>
        </is>
      </c>
    </row>
    <row r="22">
      <c r="A22" t="n">
        <v>2556</v>
      </c>
      <c r="B22" t="inlineStr">
        <is>
          <t>902-14</t>
        </is>
      </c>
      <c r="C22" t="inlineStr">
        <is>
          <t>その他</t>
        </is>
      </c>
      <c r="D22" s="169" t="inlineStr">
        <is>
          <t>直売秋葉原</t>
        </is>
      </c>
      <c r="E22" s="168" t="inlineStr">
        <is>
          <t>1661-15</t>
        </is>
      </c>
      <c r="F22" s="168" t="inlineStr">
        <is>
          <t>パプリカ　１個袋200ｇ(高生連)</t>
        </is>
      </c>
      <c r="G22" s="168" t="n">
        <v>3</v>
      </c>
      <c r="H22" s="168" t="n">
        <v>380</v>
      </c>
      <c r="I22" s="175" t="inlineStr">
        <is>
          <t>店頭ざる</t>
        </is>
      </c>
      <c r="J22" s="168" t="inlineStr">
        <is>
          <t>〇</t>
        </is>
      </c>
    </row>
    <row r="23">
      <c r="A23" t="n">
        <v>2556</v>
      </c>
      <c r="B23" t="inlineStr">
        <is>
          <t>902-14</t>
        </is>
      </c>
      <c r="C23" t="inlineStr">
        <is>
          <t>その他</t>
        </is>
      </c>
      <c r="D23" s="169" t="inlineStr">
        <is>
          <t>直売秋葉原</t>
        </is>
      </c>
      <c r="E23" s="168" t="inlineStr">
        <is>
          <t>1050-26</t>
        </is>
      </c>
      <c r="F23" s="168" t="inlineStr">
        <is>
          <t>河内晩柑　600ｇ（大矢野有機）◇</t>
        </is>
      </c>
      <c r="G23" s="168" t="n">
        <v>10</v>
      </c>
      <c r="H23" s="168" t="n">
        <v>380</v>
      </c>
      <c r="I23" s="103" t="n">
        <v>0</v>
      </c>
      <c r="J23" s="168" t="inlineStr">
        <is>
          <t>〇</t>
        </is>
      </c>
    </row>
    <row r="24">
      <c r="A24" t="n">
        <v>2556</v>
      </c>
      <c r="B24" t="inlineStr">
        <is>
          <t>902-14</t>
        </is>
      </c>
      <c r="C24" t="inlineStr">
        <is>
          <t>その他</t>
        </is>
      </c>
      <c r="D24" s="169" t="inlineStr">
        <is>
          <t>直売秋葉原</t>
        </is>
      </c>
      <c r="E24" s="168" t="inlineStr">
        <is>
          <t>1016-25</t>
        </is>
      </c>
      <c r="F24" s="168" t="inlineStr">
        <is>
          <t>有機あまなつ　600ｇ (早藤)◇</t>
        </is>
      </c>
      <c r="G24" s="168" t="n">
        <v>10</v>
      </c>
      <c r="H24" s="168" t="n">
        <v>360</v>
      </c>
      <c r="I24" s="103" t="n">
        <v>0</v>
      </c>
      <c r="J24" s="168" t="inlineStr">
        <is>
          <t>〇</t>
        </is>
      </c>
    </row>
    <row r="25">
      <c r="A25" t="n">
        <v>2556</v>
      </c>
      <c r="B25" t="inlineStr">
        <is>
          <t>902-14</t>
        </is>
      </c>
      <c r="C25" t="inlineStr">
        <is>
          <t>その他</t>
        </is>
      </c>
      <c r="D25" s="169" t="inlineStr">
        <is>
          <t>直売秋葉原</t>
        </is>
      </c>
      <c r="E25" s="168" t="inlineStr">
        <is>
          <t>1647-50</t>
        </is>
      </c>
      <c r="F25" s="168" t="inlineStr">
        <is>
          <t>中玉トマト 250g (沃土会)</t>
        </is>
      </c>
      <c r="G25" s="168" t="n">
        <v>6</v>
      </c>
      <c r="H25" s="168" t="n">
        <v>358</v>
      </c>
      <c r="I25" s="175" t="inlineStr">
        <is>
          <t>店頭ざる</t>
        </is>
      </c>
      <c r="J25" s="168" t="inlineStr">
        <is>
          <t>〇</t>
        </is>
      </c>
    </row>
    <row r="26">
      <c r="A26" t="n">
        <v>2556</v>
      </c>
      <c r="B26" t="inlineStr">
        <is>
          <t>902-14</t>
        </is>
      </c>
      <c r="C26" t="inlineStr">
        <is>
          <t>その他</t>
        </is>
      </c>
      <c r="D26" s="169" t="inlineStr">
        <is>
          <t>直売秋葉原</t>
        </is>
      </c>
      <c r="E26" s="181" t="inlineStr">
        <is>
          <t>1502-148</t>
        </is>
      </c>
      <c r="F26" s="181" t="inlineStr">
        <is>
          <t>キャベツ　1個袋(キテレツ)不不</t>
        </is>
      </c>
      <c r="G26" s="168" t="n">
        <v>5</v>
      </c>
      <c r="H26" s="168" t="n">
        <v>298</v>
      </c>
      <c r="I26" s="103" t="n">
        <v>0</v>
      </c>
      <c r="J26" s="168" t="inlineStr">
        <is>
          <t>〇</t>
        </is>
      </c>
    </row>
    <row r="27">
      <c r="A27" t="n">
        <v>2556</v>
      </c>
      <c r="B27" t="inlineStr">
        <is>
          <t>902-14</t>
        </is>
      </c>
      <c r="C27" t="inlineStr">
        <is>
          <t>その他</t>
        </is>
      </c>
      <c r="D27" s="169" t="inlineStr">
        <is>
          <t>直売秋葉原</t>
        </is>
      </c>
      <c r="E27" s="168" t="inlineStr">
        <is>
          <t>1232-114</t>
        </is>
      </c>
      <c r="F27" s="168" t="inlineStr">
        <is>
          <t>じゃが芋｢ﾆｼﾕﾀｶ｣ 500g(長有研)◇不不</t>
        </is>
      </c>
      <c r="G27" s="168" t="n">
        <v>5</v>
      </c>
      <c r="H27" s="168" t="n">
        <v>298</v>
      </c>
      <c r="I27" s="176" t="inlineStr">
        <is>
          <t>店頭コンテナ</t>
        </is>
      </c>
      <c r="J27" s="168" t="inlineStr">
        <is>
          <t>〇</t>
        </is>
      </c>
    </row>
    <row r="28">
      <c r="A28" t="n">
        <v>2556</v>
      </c>
      <c r="B28" t="inlineStr">
        <is>
          <t>902-14</t>
        </is>
      </c>
      <c r="C28" t="inlineStr">
        <is>
          <t>その他</t>
        </is>
      </c>
      <c r="D28" s="169" t="inlineStr">
        <is>
          <t>直売秋葉原</t>
        </is>
      </c>
      <c r="E28" s="168" t="inlineStr">
        <is>
          <t>1543-134</t>
        </is>
      </c>
      <c r="F28" s="168" t="inlineStr">
        <is>
          <t>ブロッコリー1個袋(那須・益子美好)6割・不</t>
        </is>
      </c>
      <c r="G28" s="168" t="n">
        <v>6</v>
      </c>
      <c r="H28" s="168" t="n">
        <v>298</v>
      </c>
      <c r="I28" s="103" t="n">
        <v>0</v>
      </c>
      <c r="J28" s="168" t="inlineStr">
        <is>
          <t>〇</t>
        </is>
      </c>
    </row>
    <row r="29">
      <c r="A29" t="n">
        <v>2556</v>
      </c>
      <c r="B29" t="inlineStr">
        <is>
          <t>902-14</t>
        </is>
      </c>
      <c r="C29" t="inlineStr">
        <is>
          <t>その他</t>
        </is>
      </c>
      <c r="D29" s="169" t="inlineStr">
        <is>
          <t>直売秋葉原</t>
        </is>
      </c>
      <c r="E29" s="168" t="inlineStr">
        <is>
          <t>1614-3</t>
        </is>
      </c>
      <c r="F29" s="168" t="inlineStr">
        <is>
          <t>ミニトマト　150ｇ（沃土会）</t>
        </is>
      </c>
      <c r="G29" s="168" t="n">
        <v>10</v>
      </c>
      <c r="H29" s="168" t="n">
        <v>298</v>
      </c>
      <c r="I29" s="175" t="inlineStr">
        <is>
          <t>店頭ざる</t>
        </is>
      </c>
      <c r="J29" s="168" t="inlineStr">
        <is>
          <t>〇</t>
        </is>
      </c>
    </row>
    <row r="30">
      <c r="A30" t="n">
        <v>2556</v>
      </c>
      <c r="B30" t="inlineStr">
        <is>
          <t>902-14</t>
        </is>
      </c>
      <c r="C30" t="inlineStr">
        <is>
          <t>その他</t>
        </is>
      </c>
      <c r="D30" s="169" t="inlineStr">
        <is>
          <t>直売秋葉原</t>
        </is>
      </c>
      <c r="E30" s="168" t="inlineStr">
        <is>
          <t>1857-29</t>
        </is>
      </c>
      <c r="F30" s="168" t="inlineStr">
        <is>
          <t>有機しょうが　100g袋 (夢有民・産ﾊﾟ)</t>
        </is>
      </c>
      <c r="G30" s="168" t="n">
        <v>2</v>
      </c>
      <c r="H30" s="168" t="n">
        <v>298</v>
      </c>
      <c r="I30" s="103" t="n">
        <v>0</v>
      </c>
      <c r="J30" s="168" t="inlineStr">
        <is>
          <t>〇</t>
        </is>
      </c>
    </row>
    <row r="31">
      <c r="A31" t="n">
        <v>2556</v>
      </c>
      <c r="B31" t="inlineStr">
        <is>
          <t>902-14</t>
        </is>
      </c>
      <c r="C31" t="inlineStr">
        <is>
          <t>その他</t>
        </is>
      </c>
      <c r="D31" s="169" t="inlineStr">
        <is>
          <t>直売秋葉原</t>
        </is>
      </c>
      <c r="E31" s="181" t="inlineStr">
        <is>
          <t>1241-197</t>
        </is>
      </c>
      <c r="F31" s="181" t="inlineStr">
        <is>
          <t>有機人参 洗い　400g(加瀬)◇</t>
        </is>
      </c>
      <c r="G31" s="168" t="n">
        <v>7</v>
      </c>
      <c r="H31" s="168" t="n">
        <v>298</v>
      </c>
      <c r="I31" s="103" t="n">
        <v>0</v>
      </c>
      <c r="J31" s="168" t="inlineStr">
        <is>
          <t>〇</t>
        </is>
      </c>
    </row>
    <row r="32">
      <c r="A32" t="n">
        <v>2556</v>
      </c>
      <c r="B32" t="inlineStr">
        <is>
          <t>902-14</t>
        </is>
      </c>
      <c r="C32" t="inlineStr">
        <is>
          <t>その他</t>
        </is>
      </c>
      <c r="D32" s="169" t="inlineStr">
        <is>
          <t>直売秋葉原</t>
        </is>
      </c>
      <c r="E32" s="168" t="inlineStr">
        <is>
          <t>1638-112</t>
        </is>
      </c>
      <c r="F32" s="168" t="inlineStr">
        <is>
          <t>なす　400ｇ(石毛)菌2虫1(=9割減)・不</t>
        </is>
      </c>
      <c r="G32" s="168" t="n">
        <v>10</v>
      </c>
      <c r="H32" s="168" t="n">
        <v>280</v>
      </c>
      <c r="I32" s="176" t="inlineStr">
        <is>
          <t>店頭コンテナ</t>
        </is>
      </c>
      <c r="J32" s="168" t="inlineStr">
        <is>
          <t>〇</t>
        </is>
      </c>
    </row>
    <row r="33">
      <c r="A33" t="n">
        <v>2556</v>
      </c>
      <c r="B33" t="inlineStr">
        <is>
          <t>902-14</t>
        </is>
      </c>
      <c r="C33" t="inlineStr">
        <is>
          <t>その他</t>
        </is>
      </c>
      <c r="D33" s="169" t="inlineStr">
        <is>
          <t>直売秋葉原</t>
        </is>
      </c>
      <c r="E33" s="168" t="inlineStr">
        <is>
          <t>1216-362</t>
        </is>
      </c>
      <c r="F33" s="168" t="inlineStr">
        <is>
          <t>じゃが芋「ﾒｰｸｲﾝ」500g(長有研)◇</t>
        </is>
      </c>
      <c r="G33" s="168" t="n">
        <v>5</v>
      </c>
      <c r="H33" s="168" t="n">
        <v>258</v>
      </c>
      <c r="I33" s="176" t="inlineStr">
        <is>
          <t>店頭コンテナ</t>
        </is>
      </c>
      <c r="J33" s="168" t="inlineStr">
        <is>
          <t>〇</t>
        </is>
      </c>
    </row>
    <row r="34">
      <c r="A34" t="n">
        <v>2556</v>
      </c>
      <c r="B34" t="inlineStr">
        <is>
          <t>902-14</t>
        </is>
      </c>
      <c r="C34" t="inlineStr">
        <is>
          <t>その他</t>
        </is>
      </c>
      <c r="D34" s="169" t="inlineStr">
        <is>
          <t>直売秋葉原</t>
        </is>
      </c>
      <c r="E34" s="168" t="inlineStr">
        <is>
          <t>1856-85</t>
        </is>
      </c>
      <c r="F34" s="168" t="inlineStr">
        <is>
          <t>にんにく　1玉(せっせと畑)◇</t>
        </is>
      </c>
      <c r="G34" s="168" t="n">
        <v>3</v>
      </c>
      <c r="H34" s="168" t="n">
        <v>258</v>
      </c>
      <c r="I34" s="103" t="n">
        <v>0</v>
      </c>
      <c r="J34" s="168" t="inlineStr">
        <is>
          <t>〇</t>
        </is>
      </c>
    </row>
    <row r="35">
      <c r="A35" t="n">
        <v>2556</v>
      </c>
      <c r="B35" t="inlineStr">
        <is>
          <t>902-14</t>
        </is>
      </c>
      <c r="C35" t="inlineStr">
        <is>
          <t>その他</t>
        </is>
      </c>
      <c r="D35" s="169" t="inlineStr">
        <is>
          <t>直売秋葉原</t>
        </is>
      </c>
      <c r="E35" s="168" t="inlineStr">
        <is>
          <t>1564-100</t>
        </is>
      </c>
      <c r="F35" s="168" t="inlineStr">
        <is>
          <t>長ねぎ　ﾑｷ ２本袋(ﾊｲﾊｰﾊﾞｰ)◇</t>
        </is>
      </c>
      <c r="G35" s="168" t="n">
        <v>5</v>
      </c>
      <c r="H35" s="168" t="n">
        <v>258</v>
      </c>
      <c r="I35" s="103" t="n">
        <v>0</v>
      </c>
      <c r="J35" s="168" t="inlineStr">
        <is>
          <t>〇</t>
        </is>
      </c>
    </row>
    <row r="36">
      <c r="A36" t="n">
        <v>2556</v>
      </c>
      <c r="B36" t="inlineStr">
        <is>
          <t>902-14</t>
        </is>
      </c>
      <c r="C36" t="inlineStr">
        <is>
          <t>その他</t>
        </is>
      </c>
      <c r="D36" s="169" t="inlineStr">
        <is>
          <t>直売秋葉原</t>
        </is>
      </c>
      <c r="E36" s="168" t="inlineStr">
        <is>
          <t>1226-200</t>
        </is>
      </c>
      <c r="F36" s="168" t="inlineStr">
        <is>
          <t>有機玉ねぎ　500ｇ(長有研)◇</t>
        </is>
      </c>
      <c r="G36" s="168" t="n">
        <v>5</v>
      </c>
      <c r="H36" s="168" t="n">
        <v>258</v>
      </c>
      <c r="I36" s="176" t="inlineStr">
        <is>
          <t>店頭コンテナ</t>
        </is>
      </c>
      <c r="J36" s="168" t="inlineStr">
        <is>
          <t>〇</t>
        </is>
      </c>
    </row>
    <row r="37">
      <c r="A37" t="n">
        <v>2556</v>
      </c>
      <c r="B37" t="inlineStr">
        <is>
          <t>902-14</t>
        </is>
      </c>
      <c r="C37" t="inlineStr">
        <is>
          <t>その他</t>
        </is>
      </c>
      <c r="D37" s="169" t="inlineStr">
        <is>
          <t>直売秋葉原</t>
        </is>
      </c>
      <c r="E37" s="168" t="inlineStr">
        <is>
          <t>1593-113</t>
        </is>
      </c>
      <c r="F37" s="168" t="inlineStr">
        <is>
          <t>ミニ白菜　1個袋(せっせと畑)◇不不</t>
        </is>
      </c>
      <c r="G37" s="168" t="n">
        <v>3</v>
      </c>
      <c r="H37" s="168" t="n">
        <v>248</v>
      </c>
      <c r="I37" s="103" t="n">
        <v>0</v>
      </c>
      <c r="J37" s="168" t="inlineStr">
        <is>
          <t>〇</t>
        </is>
      </c>
    </row>
    <row r="38">
      <c r="A38" t="n">
        <v>2556</v>
      </c>
      <c r="B38" t="inlineStr">
        <is>
          <t>902-14</t>
        </is>
      </c>
      <c r="C38" t="inlineStr">
        <is>
          <t>その他</t>
        </is>
      </c>
      <c r="D38" s="169" t="inlineStr">
        <is>
          <t>直売秋葉原</t>
        </is>
      </c>
      <c r="E38" s="168" t="inlineStr">
        <is>
          <t>1509-108</t>
        </is>
      </c>
      <c r="F38" s="168" t="inlineStr">
        <is>
          <t>有機グリーンボール　1玉(ﾌｧｰﾏｰｽﾞ)◇</t>
        </is>
      </c>
      <c r="G38" s="168" t="n">
        <v>3</v>
      </c>
      <c r="H38" s="168" t="n">
        <v>248</v>
      </c>
      <c r="I38" s="103" t="n">
        <v>0</v>
      </c>
      <c r="J38" s="168" t="inlineStr">
        <is>
          <t>〇</t>
        </is>
      </c>
    </row>
    <row r="39">
      <c r="A39" t="n">
        <v>2556</v>
      </c>
      <c r="B39" t="inlineStr">
        <is>
          <t>902-14</t>
        </is>
      </c>
      <c r="C39" t="inlineStr">
        <is>
          <t>その他</t>
        </is>
      </c>
      <c r="D39" s="169" t="inlineStr">
        <is>
          <t>直売秋葉原</t>
        </is>
      </c>
      <c r="E39" s="168" t="inlineStr">
        <is>
          <t>1654-75</t>
        </is>
      </c>
      <c r="F39" s="168" t="inlineStr">
        <is>
          <t>有機ピーマン　150g（SOHﾌｧｰﾑ）◇</t>
        </is>
      </c>
      <c r="G39" s="168" t="n">
        <v>10</v>
      </c>
      <c r="H39" s="168" t="n">
        <v>248</v>
      </c>
      <c r="I39" s="175" t="inlineStr">
        <is>
          <t>店頭ざる</t>
        </is>
      </c>
      <c r="J39" s="168" t="inlineStr">
        <is>
          <t>〇</t>
        </is>
      </c>
    </row>
    <row r="40">
      <c r="A40" t="n">
        <v>2556</v>
      </c>
      <c r="B40" t="inlineStr">
        <is>
          <t>902-14</t>
        </is>
      </c>
      <c r="C40" t="inlineStr">
        <is>
          <t>その他</t>
        </is>
      </c>
      <c r="D40" s="169" t="inlineStr">
        <is>
          <t>直売秋葉原</t>
        </is>
      </c>
      <c r="E40" s="168" t="inlineStr">
        <is>
          <t>1533-150</t>
        </is>
      </c>
      <c r="F40" s="168" t="inlineStr">
        <is>
          <t>有機 玉レタス ﾗｯﾌﾟ 1個(ﾌｧｰﾏｰｽﾞ)◇</t>
        </is>
      </c>
      <c r="G40" s="168" t="n">
        <v>8</v>
      </c>
      <c r="H40" s="168" t="n">
        <v>228</v>
      </c>
      <c r="I40" s="176" t="inlineStr">
        <is>
          <t>店頭コンテナ</t>
        </is>
      </c>
      <c r="J40" s="168" t="inlineStr">
        <is>
          <t>〇</t>
        </is>
      </c>
    </row>
    <row r="41">
      <c r="A41" t="n">
        <v>2556</v>
      </c>
      <c r="B41" t="inlineStr">
        <is>
          <t>902-14</t>
        </is>
      </c>
      <c r="C41" t="inlineStr">
        <is>
          <t>その他</t>
        </is>
      </c>
      <c r="D41" s="169" t="inlineStr">
        <is>
          <t>直売秋葉原</t>
        </is>
      </c>
      <c r="E41" s="168" t="inlineStr">
        <is>
          <t>1358-50</t>
        </is>
      </c>
      <c r="F41" s="168" t="inlineStr">
        <is>
          <t>有機 赤玉ねぎ 混 400g(雲仙)◇</t>
        </is>
      </c>
      <c r="G41" s="168" t="n">
        <v>3</v>
      </c>
      <c r="H41" s="168" t="n">
        <v>228</v>
      </c>
      <c r="I41" s="176" t="inlineStr">
        <is>
          <t>店頭コンテナ</t>
        </is>
      </c>
      <c r="J41" s="168" t="inlineStr">
        <is>
          <t>〇</t>
        </is>
      </c>
    </row>
    <row r="42">
      <c r="A42" t="n">
        <v>2556</v>
      </c>
      <c r="B42" t="inlineStr">
        <is>
          <t>902-14</t>
        </is>
      </c>
      <c r="C42" t="inlineStr">
        <is>
          <t>その他</t>
        </is>
      </c>
      <c r="D42" s="169" t="inlineStr">
        <is>
          <t>直売秋葉原</t>
        </is>
      </c>
      <c r="E42" s="168" t="inlineStr">
        <is>
          <t>1261-239</t>
        </is>
      </c>
      <c r="F42" s="168" t="inlineStr">
        <is>
          <t>有機短大根（葉切り洗い）1本袋(加瀬)</t>
        </is>
      </c>
      <c r="G42" s="168" t="n">
        <v>3</v>
      </c>
      <c r="H42" s="168" t="n">
        <v>228</v>
      </c>
      <c r="I42" s="103" t="n">
        <v>0</v>
      </c>
      <c r="J42" s="168" t="inlineStr">
        <is>
          <t>〇</t>
        </is>
      </c>
    </row>
    <row r="43">
      <c r="A43" t="n">
        <v>2556</v>
      </c>
      <c r="B43" t="inlineStr">
        <is>
          <t>902-14</t>
        </is>
      </c>
      <c r="C43" t="inlineStr">
        <is>
          <t>その他</t>
        </is>
      </c>
      <c r="D43" s="169" t="inlineStr">
        <is>
          <t>直売秋葉原</t>
        </is>
      </c>
      <c r="E43" s="168" t="inlineStr">
        <is>
          <t>1419-15</t>
        </is>
      </c>
      <c r="F43" s="168" t="inlineStr">
        <is>
          <t>有機ケール　緑 80ｇ(富岡)</t>
        </is>
      </c>
      <c r="G43" s="168" t="n">
        <v>10</v>
      </c>
      <c r="H43" s="168" t="n">
        <v>198</v>
      </c>
      <c r="I43" s="176" t="inlineStr">
        <is>
          <t>店頭コンテナ</t>
        </is>
      </c>
      <c r="J43" s="168" t="inlineStr">
        <is>
          <t>〇</t>
        </is>
      </c>
    </row>
    <row r="44">
      <c r="A44" t="n">
        <v>2556</v>
      </c>
      <c r="B44" t="inlineStr">
        <is>
          <t>902-14</t>
        </is>
      </c>
      <c r="C44" t="inlineStr">
        <is>
          <t>その他</t>
        </is>
      </c>
      <c r="D44" s="169" t="inlineStr">
        <is>
          <t>直売秋葉原</t>
        </is>
      </c>
      <c r="E44" s="168" t="inlineStr">
        <is>
          <t>1516-38</t>
        </is>
      </c>
      <c r="F44" s="168" t="inlineStr">
        <is>
          <t>有機サニーﾚﾀｽ　ﾗｯﾌﾟ 1個(ﾌｧｰﾏｰｽﾞ)◇</t>
        </is>
      </c>
      <c r="G44" s="168" t="n">
        <v>8</v>
      </c>
      <c r="H44" s="168" t="n">
        <v>198</v>
      </c>
      <c r="I44" s="176" t="inlineStr">
        <is>
          <t>店頭コンテナ</t>
        </is>
      </c>
      <c r="J44" s="168" t="inlineStr">
        <is>
          <t>〇</t>
        </is>
      </c>
    </row>
    <row r="45">
      <c r="A45" t="n">
        <v>2556</v>
      </c>
      <c r="B45" t="inlineStr">
        <is>
          <t>902-14</t>
        </is>
      </c>
      <c r="C45" t="inlineStr">
        <is>
          <t>その他</t>
        </is>
      </c>
      <c r="D45" s="169" t="inlineStr">
        <is>
          <t>直売秋葉原</t>
        </is>
      </c>
      <c r="E45" s="168" t="inlineStr">
        <is>
          <t>1707-103</t>
        </is>
      </c>
      <c r="F45" s="168" t="inlineStr">
        <is>
          <t>有機ズッキーニ緑 １本袋(キテレツ)◇</t>
        </is>
      </c>
      <c r="G45" s="168" t="n">
        <v>10</v>
      </c>
      <c r="H45" s="168" t="n">
        <v>198</v>
      </c>
      <c r="I45" s="175" t="inlineStr">
        <is>
          <t>店頭ざる</t>
        </is>
      </c>
      <c r="J45" s="168" t="inlineStr">
        <is>
          <t>〇</t>
        </is>
      </c>
    </row>
    <row r="46">
      <c r="A46" t="n">
        <v>2556</v>
      </c>
      <c r="B46" t="inlineStr">
        <is>
          <t>902-14</t>
        </is>
      </c>
      <c r="C46" t="inlineStr">
        <is>
          <t>その他</t>
        </is>
      </c>
      <c r="D46" s="169" t="inlineStr">
        <is>
          <t>直売秋葉原</t>
        </is>
      </c>
      <c r="E46" s="168" t="inlineStr">
        <is>
          <t>1584-39</t>
        </is>
      </c>
      <c r="F46" s="168" t="inlineStr">
        <is>
          <t>有機ロメインﾚﾀｽ ﾗｯﾌﾟ 1個(ﾌｧｰﾏｰｽﾞ)◇</t>
        </is>
      </c>
      <c r="G46" s="168" t="n">
        <v>3</v>
      </c>
      <c r="H46" s="168" t="n">
        <v>198</v>
      </c>
      <c r="I46" s="176" t="inlineStr">
        <is>
          <t>店頭コンテナ</t>
        </is>
      </c>
      <c r="J46" s="168" t="inlineStr">
        <is>
          <t>〇</t>
        </is>
      </c>
    </row>
    <row r="47">
      <c r="A47" t="n">
        <v>2556</v>
      </c>
      <c r="B47" t="inlineStr">
        <is>
          <t>902-14</t>
        </is>
      </c>
      <c r="C47" t="inlineStr">
        <is>
          <t>その他</t>
        </is>
      </c>
      <c r="D47" s="169" t="inlineStr">
        <is>
          <t>直売秋葉原</t>
        </is>
      </c>
      <c r="E47" s="181" t="inlineStr">
        <is>
          <t>1404-24</t>
        </is>
      </c>
      <c r="F47" s="182" t="inlineStr">
        <is>
          <t>ほうれん草 150g(八ヶ岳ｸﾞﾘｰﾝ井出)不不</t>
        </is>
      </c>
      <c r="G47" s="168" t="n">
        <v>7</v>
      </c>
      <c r="H47" s="168" t="n">
        <v>180</v>
      </c>
      <c r="I47" s="103" t="n">
        <v>0</v>
      </c>
      <c r="J47" s="168" t="inlineStr">
        <is>
          <t>〇</t>
        </is>
      </c>
    </row>
    <row r="48">
      <c r="A48" t="n">
        <v>2556</v>
      </c>
      <c r="B48" t="inlineStr">
        <is>
          <t>902-14</t>
        </is>
      </c>
      <c r="C48" t="inlineStr">
        <is>
          <t>その他</t>
        </is>
      </c>
      <c r="D48" s="169" t="inlineStr">
        <is>
          <t>直売秋葉原</t>
        </is>
      </c>
      <c r="E48" s="168" t="inlineStr">
        <is>
          <t>1621-65</t>
        </is>
      </c>
      <c r="F48" s="168" t="inlineStr">
        <is>
          <t>きゅうり　２本袋(石毛)◇</t>
        </is>
      </c>
      <c r="G48" s="168" t="n">
        <v>15</v>
      </c>
      <c r="H48" s="168" t="n">
        <v>158</v>
      </c>
      <c r="I48" s="175" t="inlineStr">
        <is>
          <t>店頭ざる</t>
        </is>
      </c>
      <c r="J48" s="168" t="inlineStr">
        <is>
          <t>〇</t>
        </is>
      </c>
    </row>
    <row r="49">
      <c r="A49" t="n">
        <v>2556</v>
      </c>
      <c r="B49" t="inlineStr">
        <is>
          <t>902-14</t>
        </is>
      </c>
      <c r="C49" t="inlineStr">
        <is>
          <t>その他</t>
        </is>
      </c>
      <c r="D49" s="169" t="inlineStr">
        <is>
          <t>直売秋葉原</t>
        </is>
      </c>
      <c r="E49" s="168" t="inlineStr">
        <is>
          <t>1049-99</t>
        </is>
      </c>
      <c r="F49" s="168" t="inlineStr">
        <is>
          <t>有機レモン １個袋(中川栄)◇</t>
        </is>
      </c>
      <c r="G49" s="168" t="n">
        <v>4</v>
      </c>
      <c r="H49" s="168" t="n">
        <v>148</v>
      </c>
      <c r="I49" s="174" t="n">
        <v>0</v>
      </c>
      <c r="J49" s="171" t="inlineStr">
        <is>
          <t>〇</t>
        </is>
      </c>
    </row>
  </sheetData>
  <pageMargins left="0.7086614173228347" right="0.7086614173228347" top="0.7480314960629921" bottom="0.7480314960629921" header="0.3149606299212598" footer="0.3149606299212598"/>
  <pageSetup orientation="portrait" paperSize="9" scale="96"/>
  <tableParts count="1">
    <tablePart r:id="rId1"/>
  </tableParts>
</worksheet>
</file>

<file path=xl/worksheets/sheet4.xml><?xml version="1.0" encoding="utf-8"?>
<worksheet xmlns:r="http://schemas.openxmlformats.org/officeDocument/2006/relationships" xmlns="http://schemas.openxmlformats.org/spreadsheetml/2006/main">
  <sheetPr codeName="ShtOrderSum">
    <tabColor rgb="FFFF0000"/>
    <outlinePr summaryBelow="1" summaryRight="1"/>
    <pageSetUpPr fitToPage="1"/>
  </sheetPr>
  <dimension ref="A1:CF516"/>
  <sheetViews>
    <sheetView zoomScaleNormal="100" workbookViewId="0">
      <pane xSplit="3" ySplit="8" topLeftCell="BZ169" activePane="bottomRight" state="frozen"/>
      <selection pane="topRight" activeCell="D1" sqref="D1"/>
      <selection pane="bottomLeft" activeCell="A9" sqref="A9"/>
      <selection pane="bottomRight" activeCell="CE178" sqref="CE178"/>
    </sheetView>
  </sheetViews>
  <sheetFormatPr baseColWidth="8" defaultColWidth="8.625" defaultRowHeight="24"/>
  <cols>
    <col width="10.625" customWidth="1" style="43" min="1" max="1"/>
    <col width="30.625" customWidth="1" style="43" min="2" max="2"/>
    <col width="7.625" customWidth="1" style="22" min="3" max="3"/>
    <col width="8.625" customWidth="1" style="40" min="4" max="4"/>
    <col width="8.625" customWidth="1" style="22" min="5" max="268"/>
    <col width="8.625" customWidth="1" style="22" min="269" max="16384"/>
  </cols>
  <sheetData>
    <row r="1" ht="13.5" customFormat="1" customHeight="1" s="21">
      <c r="A1" s="41" t="n"/>
      <c r="B1" s="41" t="n"/>
      <c r="D1" s="39" t="n"/>
      <c r="W1" s="21" t="inlineStr">
        <is>
          <t>　　</t>
        </is>
      </c>
      <c r="X1" s="21" t="inlineStr">
        <is>
          <t>.</t>
        </is>
      </c>
      <c r="AO1" s="21" t="inlineStr">
        <is>
          <t>.</t>
        </is>
      </c>
    </row>
    <row r="2" ht="13.5" customFormat="1" customHeight="1" s="21">
      <c r="A2" s="42" t="inlineStr">
        <is>
          <t>集計日：</t>
        </is>
      </c>
      <c r="B2" s="44" t="n">
        <v>45817</v>
      </c>
      <c r="D2" s="39" t="n"/>
    </row>
    <row r="3" ht="13.5" customFormat="1" customHeight="1" s="21">
      <c r="A3" s="42" t="n"/>
      <c r="B3" s="45" t="n"/>
      <c r="D3" s="39" t="n"/>
    </row>
    <row r="4" ht="13.5" customFormat="1" customHeight="1" s="21">
      <c r="A4" s="41" t="n"/>
      <c r="B4" s="41" t="n"/>
      <c r="D4" s="39" t="n"/>
    </row>
    <row r="5" ht="13.5" customHeight="1">
      <c r="A5" s="142" t="inlineStr">
        <is>
          <t>合計 / 数量</t>
        </is>
      </c>
      <c r="B5" s="146" t="n"/>
      <c r="C5" s="135" t="n"/>
      <c r="D5" s="134" t="inlineStr">
        <is>
          <t>得意先コード</t>
        </is>
      </c>
      <c r="E5" s="136" t="inlineStr">
        <is>
          <t>配送</t>
        </is>
      </c>
      <c r="F5" s="136" t="inlineStr">
        <is>
          <t>得意先名</t>
        </is>
      </c>
      <c r="G5" s="135" t="n"/>
      <c r="H5" s="135" t="n"/>
      <c r="I5" s="135" t="n"/>
      <c r="J5" s="135" t="n"/>
      <c r="K5" s="135" t="n"/>
      <c r="L5" s="135" t="n"/>
      <c r="M5" s="135" t="n"/>
      <c r="N5" s="135" t="n"/>
      <c r="O5" s="135" t="n"/>
      <c r="P5" s="135" t="n"/>
      <c r="Q5" s="135" t="n"/>
      <c r="R5" s="135" t="n"/>
      <c r="S5" s="135" t="n"/>
      <c r="T5" s="135" t="n"/>
      <c r="U5" s="135" t="n"/>
      <c r="V5" s="135" t="n"/>
      <c r="W5" s="135" t="n"/>
      <c r="X5" s="135" t="n"/>
      <c r="Y5" s="135" t="n"/>
      <c r="Z5" s="135" t="n"/>
      <c r="AA5" s="135" t="n"/>
      <c r="AB5" s="135" t="n"/>
      <c r="AC5" s="135" t="n"/>
      <c r="AD5" s="135" t="n"/>
      <c r="AE5" s="135" t="n"/>
      <c r="AF5" s="135" t="n"/>
      <c r="AG5" s="135" t="n"/>
      <c r="AH5" s="135" t="n"/>
      <c r="AI5" s="135" t="n"/>
      <c r="AJ5" s="135" t="n"/>
      <c r="AK5" s="135" t="n"/>
      <c r="AL5" s="135" t="n"/>
      <c r="AM5" s="135" t="n"/>
      <c r="AN5" s="135" t="n"/>
      <c r="AO5" s="135" t="n"/>
      <c r="AP5" s="135" t="n"/>
      <c r="AQ5" s="135" t="n"/>
      <c r="AR5" s="135" t="n"/>
      <c r="AS5" s="135" t="n"/>
      <c r="AT5" s="135" t="n"/>
      <c r="AU5" s="135" t="n"/>
      <c r="AV5" s="135" t="n"/>
      <c r="AW5" s="135" t="n"/>
      <c r="AX5" s="135" t="n"/>
      <c r="AY5" s="135" t="n"/>
      <c r="AZ5" s="135" t="n"/>
      <c r="BA5" s="135" t="n"/>
      <c r="BB5" s="135" t="n"/>
      <c r="BC5" s="135" t="n"/>
      <c r="BD5" s="135" t="n"/>
      <c r="BE5" s="135" t="n"/>
      <c r="BF5" s="135" t="n"/>
      <c r="BG5" s="135" t="n"/>
      <c r="BH5" s="135" t="n"/>
      <c r="BI5" s="135" t="n"/>
      <c r="BJ5" s="135" t="n"/>
      <c r="BK5" s="135" t="n"/>
      <c r="BL5" s="135" t="n"/>
      <c r="BM5" s="135" t="n"/>
      <c r="BN5" s="135" t="n"/>
      <c r="BO5" s="135" t="n"/>
      <c r="BP5" s="135" t="n"/>
      <c r="BQ5" s="135" t="n"/>
      <c r="BR5" s="135" t="n"/>
      <c r="BS5" s="135" t="n"/>
      <c r="BT5" s="135" t="n"/>
      <c r="BU5" s="135" t="n"/>
      <c r="BV5" s="135" t="n"/>
      <c r="BW5" s="135" t="n"/>
      <c r="BX5" s="135" t="n"/>
      <c r="BY5" s="135" t="n"/>
      <c r="BZ5" s="135" t="n"/>
      <c r="CA5" s="135" t="n"/>
      <c r="CB5" s="135" t="n"/>
      <c r="CC5" s="135" t="n"/>
      <c r="CD5" s="135" t="n"/>
      <c r="CE5" s="135" t="n"/>
      <c r="CF5" s="137" t="n"/>
    </row>
    <row r="6" ht="13.5" customHeight="1">
      <c r="A6" s="143" t="n"/>
      <c r="B6" s="46" t="n"/>
      <c r="C6" s="129" t="n"/>
      <c r="D6" s="138" t="inlineStr">
        <is>
          <t>244</t>
        </is>
      </c>
      <c r="E6" s="138" t="inlineStr">
        <is>
          <t>250</t>
        </is>
      </c>
      <c r="F6" s="138" t="inlineStr">
        <is>
          <t>251</t>
        </is>
      </c>
      <c r="G6" s="138" t="inlineStr">
        <is>
          <t>254-2</t>
        </is>
      </c>
      <c r="H6" s="138" t="inlineStr">
        <is>
          <t>254-3</t>
        </is>
      </c>
      <c r="I6" s="138" t="inlineStr">
        <is>
          <t>254-4</t>
        </is>
      </c>
      <c r="J6" s="138" t="inlineStr">
        <is>
          <t>258</t>
        </is>
      </c>
      <c r="K6" s="138" t="inlineStr">
        <is>
          <t>303</t>
        </is>
      </c>
      <c r="L6" s="138" t="inlineStr">
        <is>
          <t>303-1</t>
        </is>
      </c>
      <c r="M6" s="138" t="inlineStr">
        <is>
          <t>303-10</t>
        </is>
      </c>
      <c r="N6" s="138" t="inlineStr">
        <is>
          <t>303-11</t>
        </is>
      </c>
      <c r="O6" s="138" t="inlineStr">
        <is>
          <t>303-12</t>
        </is>
      </c>
      <c r="P6" s="138" t="inlineStr">
        <is>
          <t>303-13</t>
        </is>
      </c>
      <c r="Q6" s="138" t="inlineStr">
        <is>
          <t>303-14</t>
        </is>
      </c>
      <c r="R6" s="138" t="inlineStr">
        <is>
          <t>303-15</t>
        </is>
      </c>
      <c r="S6" s="138" t="inlineStr">
        <is>
          <t>303-17</t>
        </is>
      </c>
      <c r="T6" s="138" t="inlineStr">
        <is>
          <t>303-18</t>
        </is>
      </c>
      <c r="U6" s="138" t="inlineStr">
        <is>
          <t>303-19</t>
        </is>
      </c>
      <c r="V6" s="138" t="inlineStr">
        <is>
          <t>303-2</t>
        </is>
      </c>
      <c r="W6" s="138" t="inlineStr">
        <is>
          <t>303-20</t>
        </is>
      </c>
      <c r="X6" s="138" t="inlineStr">
        <is>
          <t>303-21</t>
        </is>
      </c>
      <c r="Y6" s="138" t="inlineStr">
        <is>
          <t>303-22</t>
        </is>
      </c>
      <c r="Z6" s="138" t="inlineStr">
        <is>
          <t>303-23</t>
        </is>
      </c>
      <c r="AA6" s="138" t="inlineStr">
        <is>
          <t>303-24</t>
        </is>
      </c>
      <c r="AB6" s="138" t="inlineStr">
        <is>
          <t>303-25</t>
        </is>
      </c>
      <c r="AC6" s="138" t="inlineStr">
        <is>
          <t>303-3</t>
        </is>
      </c>
      <c r="AD6" s="138" t="inlineStr">
        <is>
          <t>303-4</t>
        </is>
      </c>
      <c r="AE6" s="138" t="inlineStr">
        <is>
          <t>303-5</t>
        </is>
      </c>
      <c r="AF6" s="138" t="inlineStr">
        <is>
          <t>303-6</t>
        </is>
      </c>
      <c r="AG6" s="138" t="inlineStr">
        <is>
          <t>303-7</t>
        </is>
      </c>
      <c r="AH6" s="138" t="inlineStr">
        <is>
          <t>303-9</t>
        </is>
      </c>
      <c r="AI6" s="138" t="inlineStr">
        <is>
          <t>305</t>
        </is>
      </c>
      <c r="AJ6" s="138" t="inlineStr">
        <is>
          <t>318</t>
        </is>
      </c>
      <c r="AK6" s="138" t="inlineStr">
        <is>
          <t>328</t>
        </is>
      </c>
      <c r="AL6" s="138" t="inlineStr">
        <is>
          <t>334</t>
        </is>
      </c>
      <c r="AM6" s="138" t="inlineStr">
        <is>
          <t>335</t>
        </is>
      </c>
      <c r="AN6" s="138" t="inlineStr">
        <is>
          <t>337</t>
        </is>
      </c>
      <c r="AO6" s="138" t="inlineStr">
        <is>
          <t>342</t>
        </is>
      </c>
      <c r="AP6" s="138" t="inlineStr">
        <is>
          <t>346</t>
        </is>
      </c>
      <c r="AQ6" s="138" t="inlineStr">
        <is>
          <t>347</t>
        </is>
      </c>
      <c r="AR6" s="138" t="inlineStr">
        <is>
          <t>348</t>
        </is>
      </c>
      <c r="AS6" s="138" t="inlineStr">
        <is>
          <t>349</t>
        </is>
      </c>
      <c r="AT6" s="138" t="inlineStr">
        <is>
          <t>356</t>
        </is>
      </c>
      <c r="AU6" s="138" t="inlineStr">
        <is>
          <t>358</t>
        </is>
      </c>
      <c r="AV6" s="138" t="inlineStr">
        <is>
          <t>360</t>
        </is>
      </c>
      <c r="AW6" s="138" t="inlineStr">
        <is>
          <t>361</t>
        </is>
      </c>
      <c r="AX6" s="138" t="inlineStr">
        <is>
          <t>365</t>
        </is>
      </c>
      <c r="AY6" s="138" t="inlineStr">
        <is>
          <t>366</t>
        </is>
      </c>
      <c r="AZ6" s="138" t="inlineStr">
        <is>
          <t>396</t>
        </is>
      </c>
      <c r="BA6" s="138" t="inlineStr">
        <is>
          <t>417</t>
        </is>
      </c>
      <c r="BB6" s="138" t="inlineStr">
        <is>
          <t>451</t>
        </is>
      </c>
      <c r="BC6" s="138" t="inlineStr">
        <is>
          <t>491-1</t>
        </is>
      </c>
      <c r="BD6" s="138" t="inlineStr">
        <is>
          <t>547</t>
        </is>
      </c>
      <c r="BE6" s="138" t="inlineStr">
        <is>
          <t>570</t>
        </is>
      </c>
      <c r="BF6" s="138" t="inlineStr">
        <is>
          <t>574</t>
        </is>
      </c>
      <c r="BG6" s="138" t="inlineStr">
        <is>
          <t>576</t>
        </is>
      </c>
      <c r="BH6" s="138" t="inlineStr">
        <is>
          <t>604-01</t>
        </is>
      </c>
      <c r="BI6" s="138" t="inlineStr">
        <is>
          <t>604-02</t>
        </is>
      </c>
      <c r="BJ6" s="138" t="inlineStr">
        <is>
          <t>604-04</t>
        </is>
      </c>
      <c r="BK6" s="138" t="inlineStr">
        <is>
          <t>604-06</t>
        </is>
      </c>
      <c r="BL6" s="138" t="inlineStr">
        <is>
          <t>604-08</t>
        </is>
      </c>
      <c r="BM6" s="138" t="inlineStr">
        <is>
          <t>604-09</t>
        </is>
      </c>
      <c r="BN6" s="138" t="inlineStr">
        <is>
          <t>604-10</t>
        </is>
      </c>
      <c r="BO6" s="138" t="inlineStr">
        <is>
          <t>604-11</t>
        </is>
      </c>
      <c r="BP6" s="138" t="inlineStr">
        <is>
          <t>604-12</t>
        </is>
      </c>
      <c r="BQ6" s="138" t="inlineStr">
        <is>
          <t>604-21</t>
        </is>
      </c>
      <c r="BR6" s="138" t="inlineStr">
        <is>
          <t>604-22</t>
        </is>
      </c>
      <c r="BS6" s="138" t="inlineStr">
        <is>
          <t>604-23</t>
        </is>
      </c>
      <c r="BT6" s="138" t="inlineStr">
        <is>
          <t>604-24</t>
        </is>
      </c>
      <c r="BU6" s="138" t="inlineStr">
        <is>
          <t>604-26</t>
        </is>
      </c>
      <c r="BV6" s="138" t="inlineStr">
        <is>
          <t>612</t>
        </is>
      </c>
      <c r="BW6" s="138" t="inlineStr">
        <is>
          <t>612-1</t>
        </is>
      </c>
      <c r="BX6" s="138" t="inlineStr">
        <is>
          <t>612-2</t>
        </is>
      </c>
      <c r="BY6" s="138" t="inlineStr">
        <is>
          <t>684</t>
        </is>
      </c>
      <c r="BZ6" s="138" t="inlineStr">
        <is>
          <t>696-4</t>
        </is>
      </c>
      <c r="CA6" s="138" t="inlineStr">
        <is>
          <t>901</t>
        </is>
      </c>
      <c r="CB6" s="138" t="inlineStr">
        <is>
          <t>901-2</t>
        </is>
      </c>
      <c r="CC6" s="138" t="inlineStr">
        <is>
          <t>902</t>
        </is>
      </c>
      <c r="CD6" s="138" t="inlineStr">
        <is>
          <t>902-12</t>
        </is>
      </c>
      <c r="CE6" s="138" t="inlineStr">
        <is>
          <t>902-14</t>
        </is>
      </c>
      <c r="CF6" s="139" t="inlineStr">
        <is>
          <t>総計</t>
        </is>
      </c>
    </row>
    <row r="7" ht="13.5" customHeight="1">
      <c r="A7" s="143" t="n"/>
      <c r="B7" s="46" t="n"/>
      <c r="C7" s="129" t="n"/>
      <c r="D7" s="138" t="inlineStr">
        <is>
          <t>ﾗﾐ(ｻﾈｯﾄ行)</t>
        </is>
      </c>
      <c r="E7" s="138" t="inlineStr">
        <is>
          <t>ﾗﾐ</t>
        </is>
      </c>
      <c r="F7" s="138" t="inlineStr">
        <is>
          <t>ﾗﾐ(ｻﾈｯﾄ行)</t>
        </is>
      </c>
      <c r="G7" s="138" t="inlineStr">
        <is>
          <t>ﾗﾐ(ｻﾈｯﾄ行)</t>
        </is>
      </c>
      <c r="H7" s="138" t="inlineStr">
        <is>
          <t>ﾗﾐ(ｻﾈｯﾄ行)</t>
        </is>
      </c>
      <c r="I7" s="138" t="inlineStr">
        <is>
          <t>ﾗﾐ(ｻﾈｯﾄ行)</t>
        </is>
      </c>
      <c r="J7" s="138" t="inlineStr">
        <is>
          <t>ﾗﾐ(ｻﾈｯﾄ行)</t>
        </is>
      </c>
      <c r="K7" s="138" t="inlineStr">
        <is>
          <t>ﾗﾐ(こだ)</t>
        </is>
      </c>
      <c r="L7" s="138" t="inlineStr">
        <is>
          <t>ﾗﾐ(こだ)</t>
        </is>
      </c>
      <c r="M7" s="138" t="inlineStr">
        <is>
          <t>ﾗﾐ(こだ)</t>
        </is>
      </c>
      <c r="N7" s="138" t="inlineStr">
        <is>
          <t>ﾗﾐ(こだ)</t>
        </is>
      </c>
      <c r="O7" s="138" t="inlineStr">
        <is>
          <t>ﾗﾐ(こだ)</t>
        </is>
      </c>
      <c r="P7" s="138" t="inlineStr">
        <is>
          <t>ﾗﾐ(こだ)</t>
        </is>
      </c>
      <c r="Q7" s="138" t="inlineStr">
        <is>
          <t>ﾗﾐ(こだ)</t>
        </is>
      </c>
      <c r="R7" s="138" t="inlineStr">
        <is>
          <t>ﾗﾐ(こだ)</t>
        </is>
      </c>
      <c r="S7" s="138" t="inlineStr">
        <is>
          <t>ﾗﾐ(こだ)</t>
        </is>
      </c>
      <c r="T7" s="138" t="inlineStr">
        <is>
          <t>ﾗﾐ(こだ)</t>
        </is>
      </c>
      <c r="U7" s="138" t="inlineStr">
        <is>
          <t>ﾗﾐ(こだ)</t>
        </is>
      </c>
      <c r="V7" s="138" t="inlineStr">
        <is>
          <t>ﾗﾐ(こだ)</t>
        </is>
      </c>
      <c r="W7" s="138" t="inlineStr">
        <is>
          <t>ﾗﾐ(こだ)</t>
        </is>
      </c>
      <c r="X7" s="138" t="inlineStr">
        <is>
          <t>ﾗﾐ(こだ)</t>
        </is>
      </c>
      <c r="Y7" s="138" t="inlineStr">
        <is>
          <t>ﾗﾐ(こだ)</t>
        </is>
      </c>
      <c r="Z7" s="138" t="inlineStr">
        <is>
          <t>ﾗﾐ(こだ)</t>
        </is>
      </c>
      <c r="AA7" s="138" t="inlineStr">
        <is>
          <t>ﾗﾐ(こだ)</t>
        </is>
      </c>
      <c r="AB7" s="138" t="inlineStr">
        <is>
          <t>ﾗﾐ(こだ)</t>
        </is>
      </c>
      <c r="AC7" s="138" t="inlineStr">
        <is>
          <t>ﾗﾐ(こだ)</t>
        </is>
      </c>
      <c r="AD7" s="138" t="inlineStr">
        <is>
          <t>ﾗﾐ(こだ)</t>
        </is>
      </c>
      <c r="AE7" s="138" t="inlineStr">
        <is>
          <t>ﾗﾐ(こだ)</t>
        </is>
      </c>
      <c r="AF7" s="138" t="inlineStr">
        <is>
          <t>ﾗﾐ(こだ)</t>
        </is>
      </c>
      <c r="AG7" s="138" t="inlineStr">
        <is>
          <t>ﾗﾐ(こだ)</t>
        </is>
      </c>
      <c r="AH7" s="138" t="inlineStr">
        <is>
          <t>ﾗﾐ(こだ)</t>
        </is>
      </c>
      <c r="AI7" s="138" t="inlineStr">
        <is>
          <t>ﾗﾐ(こだ)</t>
        </is>
      </c>
      <c r="AJ7" s="138" t="inlineStr">
        <is>
          <t>ﾗﾐ(こだ)</t>
        </is>
      </c>
      <c r="AK7" s="138" t="inlineStr">
        <is>
          <t>ﾗﾐ(こだ)</t>
        </is>
      </c>
      <c r="AL7" s="138" t="inlineStr">
        <is>
          <t>ﾗﾐ(こだ)</t>
        </is>
      </c>
      <c r="AM7" s="138" t="inlineStr">
        <is>
          <t>ﾗﾐ(こだ)</t>
        </is>
      </c>
      <c r="AN7" s="138" t="inlineStr">
        <is>
          <t>ﾗﾐ(こだ)</t>
        </is>
      </c>
      <c r="AO7" s="138" t="inlineStr">
        <is>
          <t>ﾗﾐ(ｻﾈｯﾄ行)</t>
        </is>
      </c>
      <c r="AP7" s="138" t="inlineStr">
        <is>
          <t>ﾗﾐ(こだ)</t>
        </is>
      </c>
      <c r="AQ7" s="138" t="inlineStr">
        <is>
          <t>ﾗﾐ(こだ)</t>
        </is>
      </c>
      <c r="AR7" s="138" t="inlineStr">
        <is>
          <t>ﾗﾐ(こだ)</t>
        </is>
      </c>
      <c r="AS7" s="138" t="inlineStr">
        <is>
          <t>ﾗﾐ(こだ)</t>
        </is>
      </c>
      <c r="AT7" s="138" t="inlineStr">
        <is>
          <t>ﾗﾐ(こだ)</t>
        </is>
      </c>
      <c r="AU7" s="138" t="inlineStr">
        <is>
          <t>ﾗﾐ(こだ)</t>
        </is>
      </c>
      <c r="AV7" s="138" t="inlineStr">
        <is>
          <t>ﾗﾐ(こだ)</t>
        </is>
      </c>
      <c r="AW7" s="138" t="inlineStr">
        <is>
          <t>ﾗﾐ(こだ)</t>
        </is>
      </c>
      <c r="AX7" s="138" t="inlineStr">
        <is>
          <t>ﾗﾐ(こだ)</t>
        </is>
      </c>
      <c r="AY7" s="138" t="inlineStr">
        <is>
          <t>ﾗﾐ(こだ)</t>
        </is>
      </c>
      <c r="AZ7" s="138" t="inlineStr">
        <is>
          <t>ﾗﾐ(ｻﾈｯﾄ行)</t>
        </is>
      </c>
      <c r="BA7" s="138" t="inlineStr">
        <is>
          <t>ﾗﾐ(こだ)</t>
        </is>
      </c>
      <c r="BB7" s="138" t="inlineStr">
        <is>
          <t>ﾗﾐ(こだ)</t>
        </is>
      </c>
      <c r="BC7" s="138" t="inlineStr">
        <is>
          <t>社内便1</t>
        </is>
      </c>
      <c r="BD7" s="138" t="inlineStr">
        <is>
          <t>ﾗﾐ(こだ)</t>
        </is>
      </c>
      <c r="BE7" s="138" t="inlineStr">
        <is>
          <t>ﾗﾐ(こだ)</t>
        </is>
      </c>
      <c r="BF7" s="138" t="inlineStr">
        <is>
          <t>ﾗﾐ(こだ)</t>
        </is>
      </c>
      <c r="BG7" s="138" t="inlineStr">
        <is>
          <t>ﾗﾐ(こだ)</t>
        </is>
      </c>
      <c r="BH7" s="138" t="inlineStr">
        <is>
          <t>社内便3</t>
        </is>
      </c>
      <c r="BI7" s="138" t="inlineStr">
        <is>
          <t>ﾗﾐ</t>
        </is>
      </c>
      <c r="BJ7" s="138" t="inlineStr">
        <is>
          <t>社内便1</t>
        </is>
      </c>
      <c r="BK7" s="138" t="inlineStr">
        <is>
          <t>社内便3</t>
        </is>
      </c>
      <c r="BL7" s="138" t="inlineStr">
        <is>
          <t>社内便1</t>
        </is>
      </c>
      <c r="BM7" s="138" t="inlineStr">
        <is>
          <t>社内便3</t>
        </is>
      </c>
      <c r="BN7" s="138" t="inlineStr">
        <is>
          <t>ﾗﾐ</t>
        </is>
      </c>
      <c r="BO7" s="138" t="inlineStr">
        <is>
          <t>社内便1</t>
        </is>
      </c>
      <c r="BP7" s="138" t="inlineStr">
        <is>
          <t>社内便1</t>
        </is>
      </c>
      <c r="BQ7" s="138" t="inlineStr">
        <is>
          <t>社内便1</t>
        </is>
      </c>
      <c r="BR7" s="138" t="inlineStr">
        <is>
          <t>社内便3</t>
        </is>
      </c>
      <c r="BS7" s="138" t="inlineStr">
        <is>
          <t>社内便3</t>
        </is>
      </c>
      <c r="BT7" s="138" t="inlineStr">
        <is>
          <t>ﾗﾐ</t>
        </is>
      </c>
      <c r="BU7" s="138" t="inlineStr">
        <is>
          <t>社内便1</t>
        </is>
      </c>
      <c r="BV7" s="138" t="inlineStr">
        <is>
          <t>ﾗﾐ(ｻﾈｯﾄ行)</t>
        </is>
      </c>
      <c r="BW7" s="138" t="inlineStr">
        <is>
          <t>ﾗﾐ(ｻﾈｯﾄ行)</t>
        </is>
      </c>
      <c r="BX7" s="138" t="inlineStr">
        <is>
          <t>ﾗﾐ(ｻﾈｯﾄ行)</t>
        </is>
      </c>
      <c r="BY7" s="138" t="inlineStr">
        <is>
          <t>ﾗﾐ(こだ)</t>
        </is>
      </c>
      <c r="BZ7" s="138" t="inlineStr">
        <is>
          <t>桜花便</t>
        </is>
      </c>
      <c r="CA7" s="138" t="inlineStr"/>
      <c r="CB7" s="138" t="inlineStr">
        <is>
          <t>社内便3</t>
        </is>
      </c>
      <c r="CC7" s="138" t="inlineStr">
        <is>
          <t>その他</t>
        </is>
      </c>
      <c r="CD7" s="138" t="inlineStr">
        <is>
          <t>社内便2</t>
        </is>
      </c>
      <c r="CE7" s="138" t="inlineStr">
        <is>
          <t>その他</t>
        </is>
      </c>
      <c r="CF7" s="140" t="n"/>
    </row>
    <row r="8" ht="13.5" customHeight="1">
      <c r="A8" s="134" t="inlineStr">
        <is>
          <t>商品コード</t>
        </is>
      </c>
      <c r="B8" s="134" t="inlineStr">
        <is>
          <t>商品名</t>
        </is>
      </c>
      <c r="C8" s="134" t="inlineStr">
        <is>
          <t>箱/こ/不</t>
        </is>
      </c>
      <c r="D8" s="138" t="inlineStr">
        <is>
          <t>ペペ</t>
        </is>
      </c>
      <c r="E8" s="138" t="inlineStr">
        <is>
          <t>あしたば</t>
        </is>
      </c>
      <c r="F8" s="138" t="inlineStr">
        <is>
          <t>ﾅﾓ商会</t>
        </is>
      </c>
      <c r="G8" s="138" t="inlineStr">
        <is>
          <t>松戸</t>
        </is>
      </c>
      <c r="H8" s="138" t="inlineStr">
        <is>
          <t>ひばりが丘</t>
        </is>
      </c>
      <c r="I8" s="138" t="inlineStr">
        <is>
          <t>ｱﾝﾄﾞ大泉</t>
        </is>
      </c>
      <c r="J8" s="138" t="inlineStr">
        <is>
          <t>えころじあ</t>
        </is>
      </c>
      <c r="K8" s="138" t="inlineStr">
        <is>
          <t>こだISP</t>
        </is>
      </c>
      <c r="L8" s="138" t="inlineStr">
        <is>
          <t>こだ丸広川越</t>
        </is>
      </c>
      <c r="M8" s="138" t="inlineStr">
        <is>
          <t>こだ市川</t>
        </is>
      </c>
      <c r="N8" s="138" t="inlineStr">
        <is>
          <t>こだ中村橋</t>
        </is>
      </c>
      <c r="O8" s="138" t="inlineStr">
        <is>
          <t>こだ溝口</t>
        </is>
      </c>
      <c r="P8" s="138" t="inlineStr">
        <is>
          <t>こだ大船</t>
        </is>
      </c>
      <c r="Q8" s="138" t="inlineStr">
        <is>
          <t>こだ金町</t>
        </is>
      </c>
      <c r="R8" s="138" t="inlineStr">
        <is>
          <t>こだ八王子</t>
        </is>
      </c>
      <c r="S8" s="138" t="inlineStr">
        <is>
          <t>こだ船橋</t>
        </is>
      </c>
      <c r="T8" s="138" t="inlineStr">
        <is>
          <t>こだ吉祥寺</t>
        </is>
      </c>
      <c r="U8" s="138" t="inlineStr">
        <is>
          <t>こだｾﾝﾀｰ北</t>
        </is>
      </c>
      <c r="V8" s="138" t="inlineStr">
        <is>
          <t>こだおおたか</t>
        </is>
      </c>
      <c r="W8" s="138" t="inlineStr">
        <is>
          <t>こだ自由が丘</t>
        </is>
      </c>
      <c r="X8" s="138" t="inlineStr">
        <is>
          <t>こだ上野</t>
        </is>
      </c>
      <c r="Y8" s="138" t="inlineStr">
        <is>
          <t>こだ新百合</t>
        </is>
      </c>
      <c r="Z8" s="138" t="inlineStr">
        <is>
          <t>こだ中野</t>
        </is>
      </c>
      <c r="AA8" s="138" t="inlineStr">
        <is>
          <t>こだ平塚</t>
        </is>
      </c>
      <c r="AB8" s="138" t="inlineStr">
        <is>
          <t>こだ川口</t>
        </is>
      </c>
      <c r="AC8" s="138" t="inlineStr">
        <is>
          <t>こだ海老名</t>
        </is>
      </c>
      <c r="AD8" s="138" t="inlineStr">
        <is>
          <t>こだ戸塚</t>
        </is>
      </c>
      <c r="AE8" s="138" t="inlineStr">
        <is>
          <t>こだｴﾐｵ所沢</t>
        </is>
      </c>
      <c r="AF8" s="138" t="inlineStr">
        <is>
          <t>こだ辻堂</t>
        </is>
      </c>
      <c r="AG8" s="138" t="inlineStr">
        <is>
          <t>こだ三軒茶屋</t>
        </is>
      </c>
      <c r="AH8" s="138" t="inlineStr">
        <is>
          <t>こだ国分寺</t>
        </is>
      </c>
      <c r="AI8" s="138" t="inlineStr">
        <is>
          <t>こだ田無</t>
        </is>
      </c>
      <c r="AJ8" s="138" t="inlineStr">
        <is>
          <t>こだ新宿</t>
        </is>
      </c>
      <c r="AK8" s="138" t="inlineStr">
        <is>
          <t>こだ横浜</t>
        </is>
      </c>
      <c r="AL8" s="138" t="inlineStr">
        <is>
          <t>こだ港南台</t>
        </is>
      </c>
      <c r="AM8" s="138" t="inlineStr">
        <is>
          <t>こだ藤沢</t>
        </is>
      </c>
      <c r="AN8" s="138" t="inlineStr">
        <is>
          <t>こだ東戸塚</t>
        </is>
      </c>
      <c r="AO8" s="138" t="inlineStr">
        <is>
          <t>ﾎﾞﾝ永山</t>
        </is>
      </c>
      <c r="AP8" s="138" t="inlineStr">
        <is>
          <t>こだ大宮</t>
        </is>
      </c>
      <c r="AQ8" s="138" t="inlineStr">
        <is>
          <t>こだ新横</t>
        </is>
      </c>
      <c r="AR8" s="138" t="inlineStr">
        <is>
          <t>こだ狛江</t>
        </is>
      </c>
      <c r="AS8" s="138" t="inlineStr">
        <is>
          <t>こだ本厚</t>
        </is>
      </c>
      <c r="AT8" s="138" t="inlineStr">
        <is>
          <t>こだ調布</t>
        </is>
      </c>
      <c r="AU8" s="138" t="inlineStr">
        <is>
          <t>こだ橋本</t>
        </is>
      </c>
      <c r="AV8" s="138" t="inlineStr">
        <is>
          <t>こだ所沢</t>
        </is>
      </c>
      <c r="AW8" s="138" t="inlineStr">
        <is>
          <t>こだ千葉</t>
        </is>
      </c>
      <c r="AX8" s="138" t="inlineStr">
        <is>
          <t>こだ川崎</t>
        </is>
      </c>
      <c r="AY8" s="138" t="inlineStr">
        <is>
          <t>こだ浦和</t>
        </is>
      </c>
      <c r="AZ8" s="138" t="inlineStr">
        <is>
          <t>ﾎﾞﾝ横浜</t>
        </is>
      </c>
      <c r="BA8" s="138" t="inlineStr">
        <is>
          <t>こだ昭島</t>
        </is>
      </c>
      <c r="BB8" s="138" t="inlineStr">
        <is>
          <t>こだ草加</t>
        </is>
      </c>
      <c r="BC8" s="138" t="inlineStr">
        <is>
          <t>東一</t>
        </is>
      </c>
      <c r="BD8" s="138" t="inlineStr">
        <is>
          <t>こだ錦糸町</t>
        </is>
      </c>
      <c r="BE8" s="138" t="inlineStr">
        <is>
          <t>こだ大野</t>
        </is>
      </c>
      <c r="BF8" s="138" t="inlineStr">
        <is>
          <t>こだ三鷹</t>
        </is>
      </c>
      <c r="BG8" s="138" t="inlineStr">
        <is>
          <t>こだ永福町</t>
        </is>
      </c>
      <c r="BH8" s="138" t="inlineStr">
        <is>
          <t>福・本店</t>
        </is>
      </c>
      <c r="BI8" s="138" t="inlineStr">
        <is>
          <t>六本木</t>
        </is>
      </c>
      <c r="BJ8" s="138" t="inlineStr">
        <is>
          <t>虎ノ門</t>
        </is>
      </c>
      <c r="BK8" s="138" t="inlineStr">
        <is>
          <t>ﾌｧﾝﾀｽ</t>
        </is>
      </c>
      <c r="BL8" s="138" t="inlineStr">
        <is>
          <t>虎ノ門惣菜</t>
        </is>
      </c>
      <c r="BM8" s="138" t="inlineStr">
        <is>
          <t>福・本店惣菜</t>
        </is>
      </c>
      <c r="BN8" s="138" t="inlineStr">
        <is>
          <t>六本木惣菜</t>
        </is>
      </c>
      <c r="BO8" s="138" t="inlineStr">
        <is>
          <t>アキバ惣菜</t>
        </is>
      </c>
      <c r="BP8" s="138" t="inlineStr">
        <is>
          <t>虎ノ門(ｎｏｙａ)</t>
        </is>
      </c>
      <c r="BQ8" s="138" t="inlineStr">
        <is>
          <t>虎ノ門ＷＡＴ</t>
        </is>
      </c>
      <c r="BR8" s="138" t="inlineStr">
        <is>
          <t>四季菜</t>
        </is>
      </c>
      <c r="BS8" s="138" t="inlineStr">
        <is>
          <t>福・本店(日配)</t>
        </is>
      </c>
      <c r="BT8" s="138" t="inlineStr">
        <is>
          <t>六本木(日配)</t>
        </is>
      </c>
      <c r="BU8" s="138" t="inlineStr">
        <is>
          <t>虎ノ門(日配)</t>
        </is>
      </c>
      <c r="BV8" s="138" t="inlineStr">
        <is>
          <t>ﾌｰﾄﾞ学芸大</t>
        </is>
      </c>
      <c r="BW8" s="138" t="inlineStr">
        <is>
          <t>ﾌｰﾄﾞ湘南</t>
        </is>
      </c>
      <c r="BX8" s="138" t="inlineStr">
        <is>
          <t>代官山</t>
        </is>
      </c>
      <c r="BY8" s="138" t="inlineStr">
        <is>
          <t>こだｵﾀﾞｻｶﾞ</t>
        </is>
      </c>
      <c r="BZ8" s="138" t="inlineStr">
        <is>
          <t>長岡</t>
        </is>
      </c>
      <c r="CA8" s="138" t="inlineStr">
        <is>
          <t>諸口</t>
        </is>
      </c>
      <c r="CB8" s="138" t="inlineStr">
        <is>
          <t>福・本店(加工)</t>
        </is>
      </c>
      <c r="CC8" s="138" t="inlineStr">
        <is>
          <t>直売所</t>
        </is>
      </c>
      <c r="CD8" s="138" t="inlineStr">
        <is>
          <t>おちかわ屋</t>
        </is>
      </c>
      <c r="CE8" s="138" t="inlineStr">
        <is>
          <t>直売秋葉原</t>
        </is>
      </c>
      <c r="CF8" s="140" t="n"/>
    </row>
    <row r="9" ht="13.5" customHeight="1">
      <c r="A9" s="144" t="inlineStr">
        <is>
          <t>1016-25</t>
        </is>
      </c>
      <c r="B9" s="144" t="inlineStr">
        <is>
          <t>有機あまなつ　600ｇ (早藤)◇</t>
        </is>
      </c>
      <c r="C9" s="138" t="inlineStr">
        <is>
          <t>こもの</t>
        </is>
      </c>
      <c r="D9" s="138" t="n"/>
      <c r="E9" s="138" t="n"/>
      <c r="F9" s="138" t="n"/>
      <c r="G9" s="138" t="n"/>
      <c r="H9" s="138" t="n"/>
      <c r="I9" s="138" t="n"/>
      <c r="J9" s="138" t="n"/>
      <c r="K9" s="138" t="n"/>
      <c r="L9" s="138" t="n"/>
      <c r="M9" s="138" t="n"/>
      <c r="N9" s="138" t="n"/>
      <c r="O9" s="138" t="n"/>
      <c r="P9" s="138" t="n"/>
      <c r="Q9" s="138" t="n"/>
      <c r="R9" s="138" t="n"/>
      <c r="S9" s="138" t="n"/>
      <c r="T9" s="138" t="n"/>
      <c r="U9" s="138" t="n"/>
      <c r="V9" s="138" t="n"/>
      <c r="W9" s="138" t="n"/>
      <c r="X9" s="138" t="n"/>
      <c r="Y9" s="138" t="n"/>
      <c r="Z9" s="138" t="n"/>
      <c r="AA9" s="138" t="n">
        <v>2</v>
      </c>
      <c r="AB9" s="138" t="n"/>
      <c r="AC9" s="138" t="n"/>
      <c r="AD9" s="138" t="n"/>
      <c r="AE9" s="138" t="n"/>
      <c r="AF9" s="138" t="n"/>
      <c r="AG9" s="138" t="n"/>
      <c r="AH9" s="138" t="n"/>
      <c r="AI9" s="138" t="n"/>
      <c r="AJ9" s="138" t="n"/>
      <c r="AK9" s="138" t="n"/>
      <c r="AL9" s="138" t="n"/>
      <c r="AM9" s="138" t="n"/>
      <c r="AN9" s="138" t="n"/>
      <c r="AO9" s="138" t="n"/>
      <c r="AP9" s="138" t="n"/>
      <c r="AQ9" s="138" t="n"/>
      <c r="AR9" s="138" t="n"/>
      <c r="AS9" s="138" t="n"/>
      <c r="AT9" s="138" t="n"/>
      <c r="AU9" s="138" t="n"/>
      <c r="AV9" s="138" t="n"/>
      <c r="AW9" s="138" t="n"/>
      <c r="AX9" s="138" t="n">
        <v>3</v>
      </c>
      <c r="AY9" s="138" t="n"/>
      <c r="AZ9" s="138" t="n"/>
      <c r="BA9" s="138" t="n"/>
      <c r="BB9" s="138" t="n"/>
      <c r="BC9" s="138" t="n"/>
      <c r="BD9" s="138" t="n"/>
      <c r="BE9" s="138" t="n"/>
      <c r="BF9" s="138" t="n"/>
      <c r="BG9" s="138" t="n"/>
      <c r="BH9" s="138" t="n"/>
      <c r="BI9" s="138" t="n"/>
      <c r="BJ9" s="138" t="n"/>
      <c r="BK9" s="138" t="n"/>
      <c r="BL9" s="138" t="n"/>
      <c r="BM9" s="138" t="n"/>
      <c r="BN9" s="138" t="n"/>
      <c r="BO9" s="138" t="n"/>
      <c r="BP9" s="138" t="n"/>
      <c r="BQ9" s="138" t="n"/>
      <c r="BR9" s="138" t="n"/>
      <c r="BS9" s="138" t="n"/>
      <c r="BT9" s="138" t="n"/>
      <c r="BU9" s="138" t="n"/>
      <c r="BV9" s="138" t="n"/>
      <c r="BW9" s="138" t="n"/>
      <c r="BX9" s="138" t="n"/>
      <c r="BY9" s="138" t="n"/>
      <c r="BZ9" s="138" t="n"/>
      <c r="CA9" s="138" t="n"/>
      <c r="CB9" s="138" t="n"/>
      <c r="CC9" s="138" t="n">
        <v>10</v>
      </c>
      <c r="CD9" s="138" t="n">
        <v>6</v>
      </c>
      <c r="CE9" s="138" t="n">
        <v>10</v>
      </c>
      <c r="CF9" s="139" t="n">
        <v>31</v>
      </c>
    </row>
    <row r="10" ht="13.5" customHeight="1">
      <c r="A10" s="144" t="inlineStr">
        <is>
          <t>1017-15</t>
        </is>
      </c>
      <c r="B10" s="144" t="inlineStr">
        <is>
          <t>■有機あまなつ 10ｋｇ(早藤）</t>
        </is>
      </c>
      <c r="C10" s="138" t="inlineStr">
        <is>
          <t>箱</t>
        </is>
      </c>
      <c r="D10" s="138" t="n"/>
      <c r="E10" s="138" t="n"/>
      <c r="F10" s="138" t="n"/>
      <c r="G10" s="138" t="n"/>
      <c r="H10" s="138" t="n">
        <v>1</v>
      </c>
      <c r="I10" s="138" t="n"/>
      <c r="J10" s="138" t="n"/>
      <c r="K10" s="138" t="n"/>
      <c r="L10" s="138" t="n"/>
      <c r="M10" s="138" t="n"/>
      <c r="N10" s="138" t="n"/>
      <c r="O10" s="138" t="n"/>
      <c r="P10" s="138" t="n"/>
      <c r="Q10" s="138" t="n"/>
      <c r="R10" s="138" t="n"/>
      <c r="S10" s="138" t="n"/>
      <c r="T10" s="138" t="n"/>
      <c r="U10" s="138" t="n"/>
      <c r="V10" s="138" t="n"/>
      <c r="W10" s="138" t="n"/>
      <c r="X10" s="138" t="n"/>
      <c r="Y10" s="138" t="n"/>
      <c r="Z10" s="138" t="n"/>
      <c r="AA10" s="138" t="n"/>
      <c r="AB10" s="138" t="n"/>
      <c r="AC10" s="138" t="n"/>
      <c r="AD10" s="138" t="n"/>
      <c r="AE10" s="138" t="n"/>
      <c r="AF10" s="138" t="n"/>
      <c r="AG10" s="138" t="n"/>
      <c r="AH10" s="138" t="n"/>
      <c r="AI10" s="138" t="n"/>
      <c r="AJ10" s="138" t="n"/>
      <c r="AK10" s="138" t="n">
        <v>1</v>
      </c>
      <c r="AL10" s="138" t="n"/>
      <c r="AM10" s="138" t="n"/>
      <c r="AN10" s="138" t="n"/>
      <c r="AO10" s="138" t="n"/>
      <c r="AP10" s="138" t="n"/>
      <c r="AQ10" s="138" t="n"/>
      <c r="AR10" s="138" t="n"/>
      <c r="AS10" s="138" t="n"/>
      <c r="AT10" s="138" t="n"/>
      <c r="AU10" s="138" t="n"/>
      <c r="AV10" s="138" t="n"/>
      <c r="AW10" s="138" t="n"/>
      <c r="AX10" s="138" t="n"/>
      <c r="AY10" s="138" t="n"/>
      <c r="AZ10" s="138" t="n"/>
      <c r="BA10" s="138" t="n"/>
      <c r="BB10" s="138" t="n"/>
      <c r="BC10" s="138" t="n"/>
      <c r="BD10" s="138" t="n"/>
      <c r="BE10" s="138" t="n"/>
      <c r="BF10" s="138" t="n"/>
      <c r="BG10" s="138" t="n"/>
      <c r="BH10" s="138" t="n"/>
      <c r="BI10" s="138" t="n"/>
      <c r="BJ10" s="138" t="n">
        <v>1</v>
      </c>
      <c r="BK10" s="138" t="n"/>
      <c r="BL10" s="138" t="n"/>
      <c r="BM10" s="138" t="n"/>
      <c r="BN10" s="138" t="n"/>
      <c r="BO10" s="138" t="n"/>
      <c r="BP10" s="138" t="n"/>
      <c r="BQ10" s="138" t="n"/>
      <c r="BR10" s="138" t="n"/>
      <c r="BS10" s="138" t="n"/>
      <c r="BT10" s="138" t="n"/>
      <c r="BU10" s="138" t="n"/>
      <c r="BV10" s="138" t="n"/>
      <c r="BW10" s="138" t="n"/>
      <c r="BX10" s="138" t="n"/>
      <c r="BY10" s="138" t="n"/>
      <c r="BZ10" s="138" t="n"/>
      <c r="CA10" s="138" t="n"/>
      <c r="CB10" s="138" t="n"/>
      <c r="CC10" s="138" t="n"/>
      <c r="CD10" s="138" t="n"/>
      <c r="CE10" s="138" t="n"/>
      <c r="CF10" s="139" t="n">
        <v>3</v>
      </c>
    </row>
    <row r="11" ht="13.5" customHeight="1">
      <c r="A11" s="144" t="inlineStr">
        <is>
          <t>1049-67</t>
        </is>
      </c>
      <c r="B11" s="144" t="inlineStr">
        <is>
          <t>有機レモン 1kg袋 (中川栄)◇</t>
        </is>
      </c>
      <c r="C11" s="138" t="inlineStr">
        <is>
          <t>こもの</t>
        </is>
      </c>
      <c r="D11" s="138" t="n">
        <v>1</v>
      </c>
      <c r="E11" s="138" t="n"/>
      <c r="F11" s="138" t="n"/>
      <c r="G11" s="138" t="n">
        <v>2</v>
      </c>
      <c r="H11" s="138" t="n">
        <v>1</v>
      </c>
      <c r="I11" s="138" t="n"/>
      <c r="J11" s="138" t="n"/>
      <c r="K11" s="138" t="n"/>
      <c r="L11" s="138" t="n"/>
      <c r="M11" s="138" t="n"/>
      <c r="N11" s="138" t="n"/>
      <c r="O11" s="138" t="n"/>
      <c r="P11" s="138" t="n"/>
      <c r="Q11" s="138" t="n"/>
      <c r="R11" s="138" t="n"/>
      <c r="S11" s="138" t="n"/>
      <c r="T11" s="138" t="n"/>
      <c r="U11" s="138" t="n"/>
      <c r="V11" s="138" t="n"/>
      <c r="W11" s="138" t="n"/>
      <c r="X11" s="138" t="n"/>
      <c r="Y11" s="138" t="n"/>
      <c r="Z11" s="138" t="n"/>
      <c r="AA11" s="138" t="n"/>
      <c r="AB11" s="138" t="n"/>
      <c r="AC11" s="138" t="n"/>
      <c r="AD11" s="138" t="n"/>
      <c r="AE11" s="138" t="n"/>
      <c r="AF11" s="138" t="n"/>
      <c r="AG11" s="138" t="n"/>
      <c r="AH11" s="138" t="n"/>
      <c r="AI11" s="138" t="n"/>
      <c r="AJ11" s="138" t="n"/>
      <c r="AK11" s="138" t="n"/>
      <c r="AL11" s="138" t="n"/>
      <c r="AM11" s="138" t="n"/>
      <c r="AN11" s="138" t="n"/>
      <c r="AO11" s="138" t="n">
        <v>1</v>
      </c>
      <c r="AP11" s="138" t="n"/>
      <c r="AQ11" s="138" t="n"/>
      <c r="AR11" s="138" t="n"/>
      <c r="AS11" s="138" t="n"/>
      <c r="AT11" s="138" t="n"/>
      <c r="AU11" s="138" t="n"/>
      <c r="AV11" s="138" t="n"/>
      <c r="AW11" s="138" t="n"/>
      <c r="AX11" s="138" t="n"/>
      <c r="AY11" s="138" t="n"/>
      <c r="AZ11" s="138" t="n">
        <v>1</v>
      </c>
      <c r="BA11" s="138" t="n"/>
      <c r="BB11" s="138" t="n"/>
      <c r="BC11" s="138" t="n"/>
      <c r="BD11" s="138" t="n"/>
      <c r="BE11" s="138" t="n"/>
      <c r="BF11" s="138" t="n"/>
      <c r="BG11" s="138" t="n"/>
      <c r="BH11" s="138" t="n"/>
      <c r="BI11" s="138" t="n"/>
      <c r="BJ11" s="138" t="n"/>
      <c r="BK11" s="138" t="n"/>
      <c r="BL11" s="138" t="n"/>
      <c r="BM11" s="138" t="n"/>
      <c r="BN11" s="138" t="n"/>
      <c r="BO11" s="138" t="n"/>
      <c r="BP11" s="138" t="n"/>
      <c r="BQ11" s="138" t="n">
        <v>3</v>
      </c>
      <c r="BR11" s="138" t="n"/>
      <c r="BS11" s="138" t="n"/>
      <c r="BT11" s="138" t="n"/>
      <c r="BU11" s="138" t="n"/>
      <c r="BV11" s="138" t="n"/>
      <c r="BW11" s="138" t="n"/>
      <c r="BX11" s="138" t="n"/>
      <c r="BY11" s="138" t="n"/>
      <c r="BZ11" s="138" t="n"/>
      <c r="CA11" s="138" t="n"/>
      <c r="CB11" s="138" t="n"/>
      <c r="CC11" s="138" t="n"/>
      <c r="CD11" s="138" t="n"/>
      <c r="CE11" s="138" t="n"/>
      <c r="CF11" s="139" t="n">
        <v>9</v>
      </c>
    </row>
    <row r="12" ht="13.5" customHeight="1">
      <c r="A12" s="144" t="inlineStr">
        <is>
          <t>1049-85</t>
        </is>
      </c>
      <c r="B12" s="144" t="inlineStr">
        <is>
          <t>■有機レモン 10kg (中川栄)◇</t>
        </is>
      </c>
      <c r="C12" s="138" t="inlineStr">
        <is>
          <t>箱</t>
        </is>
      </c>
      <c r="D12" s="138" t="n"/>
      <c r="E12" s="138" t="n"/>
      <c r="F12" s="138" t="n"/>
      <c r="G12" s="138" t="n"/>
      <c r="H12" s="138" t="n"/>
      <c r="I12" s="138" t="n"/>
      <c r="J12" s="138" t="n"/>
      <c r="K12" s="138" t="n">
        <v>1</v>
      </c>
      <c r="L12" s="138" t="n"/>
      <c r="M12" s="138" t="n"/>
      <c r="N12" s="138" t="n"/>
      <c r="O12" s="138" t="n"/>
      <c r="P12" s="138" t="n"/>
      <c r="Q12" s="138" t="n"/>
      <c r="R12" s="138" t="n"/>
      <c r="S12" s="138" t="n"/>
      <c r="T12" s="138" t="n"/>
      <c r="U12" s="138" t="n"/>
      <c r="V12" s="138" t="n"/>
      <c r="W12" s="138" t="n"/>
      <c r="X12" s="138" t="n"/>
      <c r="Y12" s="138" t="n"/>
      <c r="Z12" s="138" t="n"/>
      <c r="AA12" s="138" t="n"/>
      <c r="AB12" s="138" t="n"/>
      <c r="AC12" s="138" t="n"/>
      <c r="AD12" s="138" t="n"/>
      <c r="AE12" s="138" t="n"/>
      <c r="AF12" s="138" t="n"/>
      <c r="AG12" s="138" t="n"/>
      <c r="AH12" s="138" t="n"/>
      <c r="AI12" s="138" t="n"/>
      <c r="AJ12" s="138" t="n"/>
      <c r="AK12" s="138" t="n"/>
      <c r="AL12" s="138" t="n"/>
      <c r="AM12" s="138" t="n"/>
      <c r="AN12" s="138" t="n"/>
      <c r="AO12" s="138" t="n"/>
      <c r="AP12" s="138" t="n"/>
      <c r="AQ12" s="138" t="n"/>
      <c r="AR12" s="138" t="n"/>
      <c r="AS12" s="138" t="n"/>
      <c r="AT12" s="138" t="n"/>
      <c r="AU12" s="138" t="n"/>
      <c r="AV12" s="138" t="n"/>
      <c r="AW12" s="138" t="n"/>
      <c r="AX12" s="138" t="n"/>
      <c r="AY12" s="138" t="n"/>
      <c r="AZ12" s="138" t="n"/>
      <c r="BA12" s="138" t="n"/>
      <c r="BB12" s="138" t="n"/>
      <c r="BC12" s="138" t="n"/>
      <c r="BD12" s="138" t="n"/>
      <c r="BE12" s="138" t="n"/>
      <c r="BF12" s="138" t="n"/>
      <c r="BG12" s="138" t="n"/>
      <c r="BH12" s="138" t="n"/>
      <c r="BI12" s="138" t="n"/>
      <c r="BJ12" s="138" t="n"/>
      <c r="BK12" s="138" t="n"/>
      <c r="BL12" s="138" t="n"/>
      <c r="BM12" s="138" t="n"/>
      <c r="BN12" s="138" t="n"/>
      <c r="BO12" s="138" t="n"/>
      <c r="BP12" s="138" t="n"/>
      <c r="BQ12" s="138" t="n"/>
      <c r="BR12" s="138" t="n"/>
      <c r="BS12" s="138" t="n"/>
      <c r="BT12" s="138" t="n"/>
      <c r="BU12" s="138" t="n"/>
      <c r="BV12" s="138" t="n"/>
      <c r="BW12" s="138" t="n"/>
      <c r="BX12" s="138" t="n"/>
      <c r="BY12" s="138" t="n"/>
      <c r="BZ12" s="138" t="n"/>
      <c r="CA12" s="138" t="n"/>
      <c r="CB12" s="138" t="n"/>
      <c r="CC12" s="138" t="n"/>
      <c r="CD12" s="138" t="n"/>
      <c r="CE12" s="138" t="n"/>
      <c r="CF12" s="139" t="n">
        <v>1</v>
      </c>
    </row>
    <row r="13" ht="13.5" customHeight="1">
      <c r="A13" s="144" t="inlineStr">
        <is>
          <t>1049-99</t>
        </is>
      </c>
      <c r="B13" s="144" t="inlineStr">
        <is>
          <t>有機レモン １個袋(中川栄)◇</t>
        </is>
      </c>
      <c r="C13" s="138" t="inlineStr">
        <is>
          <t>こもの</t>
        </is>
      </c>
      <c r="D13" s="138" t="n"/>
      <c r="E13" s="138" t="n"/>
      <c r="F13" s="138" t="n"/>
      <c r="G13" s="138" t="n"/>
      <c r="H13" s="138" t="n"/>
      <c r="I13" s="138" t="n"/>
      <c r="J13" s="138" t="n"/>
      <c r="K13" s="138" t="n"/>
      <c r="L13" s="138" t="n"/>
      <c r="M13" s="138" t="n"/>
      <c r="N13" s="138" t="n"/>
      <c r="O13" s="138" t="n"/>
      <c r="P13" s="138" t="n"/>
      <c r="Q13" s="138" t="n"/>
      <c r="R13" s="138" t="n"/>
      <c r="S13" s="138" t="n"/>
      <c r="T13" s="138" t="n"/>
      <c r="U13" s="138" t="n"/>
      <c r="V13" s="138" t="n"/>
      <c r="W13" s="138" t="n"/>
      <c r="X13" s="138" t="n"/>
      <c r="Y13" s="138" t="n"/>
      <c r="Z13" s="138" t="n"/>
      <c r="AA13" s="138" t="n"/>
      <c r="AB13" s="138" t="n"/>
      <c r="AC13" s="138" t="n"/>
      <c r="AD13" s="138" t="n"/>
      <c r="AE13" s="138" t="n"/>
      <c r="AF13" s="138" t="n"/>
      <c r="AG13" s="138" t="n"/>
      <c r="AH13" s="138" t="n"/>
      <c r="AI13" s="138" t="n"/>
      <c r="AJ13" s="138" t="n"/>
      <c r="AK13" s="138" t="n"/>
      <c r="AL13" s="138" t="n"/>
      <c r="AM13" s="138" t="n"/>
      <c r="AN13" s="138" t="n"/>
      <c r="AO13" s="138" t="n"/>
      <c r="AP13" s="138" t="n"/>
      <c r="AQ13" s="138" t="n"/>
      <c r="AR13" s="138" t="n"/>
      <c r="AS13" s="138" t="n"/>
      <c r="AT13" s="138" t="n"/>
      <c r="AU13" s="138" t="n"/>
      <c r="AV13" s="138" t="n"/>
      <c r="AW13" s="138" t="n"/>
      <c r="AX13" s="138" t="n"/>
      <c r="AY13" s="138" t="n"/>
      <c r="AZ13" s="138" t="n"/>
      <c r="BA13" s="138" t="n"/>
      <c r="BB13" s="138" t="n"/>
      <c r="BC13" s="138" t="n"/>
      <c r="BD13" s="138" t="n"/>
      <c r="BE13" s="138" t="n"/>
      <c r="BF13" s="138" t="n"/>
      <c r="BG13" s="138" t="n"/>
      <c r="BH13" s="138" t="n"/>
      <c r="BI13" s="138" t="n"/>
      <c r="BJ13" s="138" t="n"/>
      <c r="BK13" s="138" t="n"/>
      <c r="BL13" s="138" t="n"/>
      <c r="BM13" s="138" t="n"/>
      <c r="BN13" s="138" t="n"/>
      <c r="BO13" s="138" t="n"/>
      <c r="BP13" s="138" t="n"/>
      <c r="BQ13" s="138" t="n"/>
      <c r="BR13" s="138" t="n"/>
      <c r="BS13" s="138" t="n"/>
      <c r="BT13" s="138" t="n"/>
      <c r="BU13" s="138" t="n"/>
      <c r="BV13" s="138" t="n"/>
      <c r="BW13" s="138" t="n"/>
      <c r="BX13" s="138" t="n"/>
      <c r="BY13" s="138" t="n"/>
      <c r="BZ13" s="138" t="n"/>
      <c r="CA13" s="138" t="n"/>
      <c r="CB13" s="138" t="n"/>
      <c r="CC13" s="138" t="n"/>
      <c r="CD13" s="138" t="n"/>
      <c r="CE13" s="138" t="n">
        <v>4</v>
      </c>
      <c r="CF13" s="139" t="n">
        <v>4</v>
      </c>
    </row>
    <row r="14" ht="13.5" customHeight="1">
      <c r="A14" s="144" t="inlineStr">
        <is>
          <t>1050-25</t>
        </is>
      </c>
      <c r="B14" s="144" t="inlineStr">
        <is>
          <t>■河内晩柑　９kg箱(大矢野)8割減・不</t>
        </is>
      </c>
      <c r="C14" s="138" t="inlineStr">
        <is>
          <t>箱</t>
        </is>
      </c>
      <c r="D14" s="138" t="n"/>
      <c r="E14" s="138" t="n">
        <v>1</v>
      </c>
      <c r="F14" s="138" t="n">
        <v>1</v>
      </c>
      <c r="G14" s="138" t="n"/>
      <c r="H14" s="138" t="n"/>
      <c r="I14" s="138" t="n"/>
      <c r="J14" s="138" t="n"/>
      <c r="K14" s="138" t="n"/>
      <c r="L14" s="138" t="n"/>
      <c r="M14" s="138" t="n"/>
      <c r="N14" s="138" t="n"/>
      <c r="O14" s="138" t="n"/>
      <c r="P14" s="138" t="n"/>
      <c r="Q14" s="138" t="n"/>
      <c r="R14" s="138" t="n"/>
      <c r="S14" s="138" t="n"/>
      <c r="T14" s="138" t="n"/>
      <c r="U14" s="138" t="n"/>
      <c r="V14" s="138" t="n"/>
      <c r="W14" s="138" t="n"/>
      <c r="X14" s="138" t="n"/>
      <c r="Y14" s="138" t="n">
        <v>1</v>
      </c>
      <c r="Z14" s="138" t="n"/>
      <c r="AA14" s="138" t="n"/>
      <c r="AB14" s="138" t="n"/>
      <c r="AC14" s="138" t="n"/>
      <c r="AD14" s="138" t="n"/>
      <c r="AE14" s="138" t="n"/>
      <c r="AF14" s="138" t="n"/>
      <c r="AG14" s="138" t="n"/>
      <c r="AH14" s="138" t="n"/>
      <c r="AI14" s="138" t="n"/>
      <c r="AJ14" s="138" t="n"/>
      <c r="AK14" s="138" t="n">
        <v>1</v>
      </c>
      <c r="AL14" s="138" t="n">
        <v>1</v>
      </c>
      <c r="AM14" s="138" t="n"/>
      <c r="AN14" s="138" t="n"/>
      <c r="AO14" s="138" t="n"/>
      <c r="AP14" s="138" t="n"/>
      <c r="AQ14" s="138" t="n"/>
      <c r="AR14" s="138" t="n"/>
      <c r="AS14" s="138" t="n"/>
      <c r="AT14" s="138" t="n"/>
      <c r="AU14" s="138" t="n"/>
      <c r="AV14" s="138" t="n"/>
      <c r="AW14" s="138" t="n"/>
      <c r="AX14" s="138" t="n"/>
      <c r="AY14" s="138" t="n"/>
      <c r="AZ14" s="138" t="n"/>
      <c r="BA14" s="138" t="n"/>
      <c r="BB14" s="138" t="n"/>
      <c r="BC14" s="138" t="n"/>
      <c r="BD14" s="138" t="n"/>
      <c r="BE14" s="138" t="n"/>
      <c r="BF14" s="138" t="n"/>
      <c r="BG14" s="138" t="n"/>
      <c r="BH14" s="138" t="n"/>
      <c r="BI14" s="138" t="n"/>
      <c r="BJ14" s="138" t="n"/>
      <c r="BK14" s="138" t="n"/>
      <c r="BL14" s="138" t="n"/>
      <c r="BM14" s="138" t="n"/>
      <c r="BN14" s="138" t="n"/>
      <c r="BO14" s="138" t="n"/>
      <c r="BP14" s="138" t="n"/>
      <c r="BQ14" s="138" t="n"/>
      <c r="BR14" s="138" t="n"/>
      <c r="BS14" s="138" t="n"/>
      <c r="BT14" s="138" t="n"/>
      <c r="BU14" s="138" t="n"/>
      <c r="BV14" s="138" t="n">
        <v>1</v>
      </c>
      <c r="BW14" s="138" t="n"/>
      <c r="BX14" s="138" t="n"/>
      <c r="BY14" s="138" t="n"/>
      <c r="BZ14" s="138" t="n"/>
      <c r="CA14" s="138" t="n"/>
      <c r="CB14" s="138" t="n"/>
      <c r="CC14" s="138" t="n"/>
      <c r="CD14" s="138" t="n"/>
      <c r="CE14" s="138" t="n"/>
      <c r="CF14" s="139" t="n">
        <v>6</v>
      </c>
    </row>
    <row r="15" ht="13.5" customHeight="1">
      <c r="A15" s="144" t="inlineStr">
        <is>
          <t>1050-26</t>
        </is>
      </c>
      <c r="B15" s="144" t="inlineStr">
        <is>
          <t>河内晩柑　600ｇ（大矢野有機）◇</t>
        </is>
      </c>
      <c r="C15" s="138" t="inlineStr">
        <is>
          <t>こもの</t>
        </is>
      </c>
      <c r="D15" s="138" t="n"/>
      <c r="E15" s="138" t="n"/>
      <c r="F15" s="138" t="n"/>
      <c r="G15" s="138" t="n"/>
      <c r="H15" s="138" t="n"/>
      <c r="I15" s="138" t="n"/>
      <c r="J15" s="138" t="n"/>
      <c r="K15" s="138" t="n"/>
      <c r="L15" s="138" t="n"/>
      <c r="M15" s="138" t="n"/>
      <c r="N15" s="138" t="n"/>
      <c r="O15" s="138" t="n"/>
      <c r="P15" s="138" t="n"/>
      <c r="Q15" s="138" t="n"/>
      <c r="R15" s="138" t="n"/>
      <c r="S15" s="138" t="n"/>
      <c r="T15" s="138" t="n"/>
      <c r="U15" s="138" t="n"/>
      <c r="V15" s="138" t="n"/>
      <c r="W15" s="138" t="n"/>
      <c r="X15" s="138" t="n"/>
      <c r="Y15" s="138" t="n"/>
      <c r="Z15" s="138" t="n"/>
      <c r="AA15" s="138" t="n"/>
      <c r="AB15" s="138" t="n"/>
      <c r="AC15" s="138" t="n"/>
      <c r="AD15" s="138" t="n"/>
      <c r="AE15" s="138" t="n"/>
      <c r="AF15" s="138" t="n"/>
      <c r="AG15" s="138" t="n"/>
      <c r="AH15" s="138" t="n"/>
      <c r="AI15" s="138" t="n"/>
      <c r="AJ15" s="138" t="n"/>
      <c r="AK15" s="138" t="n"/>
      <c r="AL15" s="138" t="n"/>
      <c r="AM15" s="138" t="n"/>
      <c r="AN15" s="138" t="n"/>
      <c r="AO15" s="138" t="n"/>
      <c r="AP15" s="138" t="n"/>
      <c r="AQ15" s="138" t="n"/>
      <c r="AR15" s="138" t="n"/>
      <c r="AS15" s="138" t="n"/>
      <c r="AT15" s="138" t="n"/>
      <c r="AU15" s="138" t="n"/>
      <c r="AV15" s="138" t="n"/>
      <c r="AW15" s="138" t="n"/>
      <c r="AX15" s="138" t="n"/>
      <c r="AY15" s="138" t="n"/>
      <c r="AZ15" s="138" t="n"/>
      <c r="BA15" s="138" t="n"/>
      <c r="BB15" s="138" t="n"/>
      <c r="BC15" s="138" t="n"/>
      <c r="BD15" s="138" t="n"/>
      <c r="BE15" s="138" t="n"/>
      <c r="BF15" s="138" t="n"/>
      <c r="BG15" s="138" t="n"/>
      <c r="BH15" s="138" t="n"/>
      <c r="BI15" s="138" t="n"/>
      <c r="BJ15" s="138" t="n"/>
      <c r="BK15" s="138" t="n"/>
      <c r="BL15" s="138" t="n"/>
      <c r="BM15" s="138" t="n"/>
      <c r="BN15" s="138" t="n"/>
      <c r="BO15" s="138" t="n"/>
      <c r="BP15" s="138" t="n"/>
      <c r="BQ15" s="138" t="n"/>
      <c r="BR15" s="138" t="n"/>
      <c r="BS15" s="138" t="n"/>
      <c r="BT15" s="138" t="n"/>
      <c r="BU15" s="138" t="n"/>
      <c r="BV15" s="138" t="n"/>
      <c r="BW15" s="138" t="n"/>
      <c r="BX15" s="138" t="n"/>
      <c r="BY15" s="138" t="n"/>
      <c r="BZ15" s="138" t="n"/>
      <c r="CA15" s="138" t="n"/>
      <c r="CB15" s="138" t="n"/>
      <c r="CC15" s="138" t="n">
        <v>10</v>
      </c>
      <c r="CD15" s="138" t="n"/>
      <c r="CE15" s="138" t="n">
        <v>10</v>
      </c>
      <c r="CF15" s="139" t="n">
        <v>20</v>
      </c>
    </row>
    <row r="16" ht="13.5" customHeight="1">
      <c r="A16" s="144" t="inlineStr">
        <is>
          <t>1063-6</t>
        </is>
      </c>
      <c r="B16" s="144" t="inlineStr">
        <is>
          <t>□りんご「ｼﾅﾉｺﾞｰﾙﾄﾞ」5kg(片桐)</t>
        </is>
      </c>
      <c r="C16" s="138" t="inlineStr">
        <is>
          <t>こもの</t>
        </is>
      </c>
      <c r="D16" s="138" t="n"/>
      <c r="E16" s="138" t="n"/>
      <c r="F16" s="138" t="n"/>
      <c r="G16" s="138" t="n"/>
      <c r="H16" s="138" t="n"/>
      <c r="I16" s="138" t="n"/>
      <c r="J16" s="138" t="n"/>
      <c r="K16" s="138" t="n"/>
      <c r="L16" s="138" t="n"/>
      <c r="M16" s="138" t="n"/>
      <c r="N16" s="138" t="n"/>
      <c r="O16" s="138" t="n"/>
      <c r="P16" s="138" t="n"/>
      <c r="Q16" s="138" t="n"/>
      <c r="R16" s="138" t="n"/>
      <c r="S16" s="138" t="n"/>
      <c r="T16" s="138" t="n"/>
      <c r="U16" s="138" t="n"/>
      <c r="V16" s="138" t="n"/>
      <c r="W16" s="138" t="n"/>
      <c r="X16" s="138" t="n"/>
      <c r="Y16" s="138" t="n"/>
      <c r="Z16" s="138" t="n"/>
      <c r="AA16" s="138" t="n"/>
      <c r="AB16" s="138" t="n"/>
      <c r="AC16" s="138" t="n"/>
      <c r="AD16" s="138" t="n"/>
      <c r="AE16" s="138" t="n"/>
      <c r="AF16" s="138" t="n"/>
      <c r="AG16" s="138" t="n"/>
      <c r="AH16" s="138" t="n"/>
      <c r="AI16" s="138" t="n"/>
      <c r="AJ16" s="138" t="n"/>
      <c r="AK16" s="138" t="n"/>
      <c r="AL16" s="138" t="n"/>
      <c r="AM16" s="138" t="n"/>
      <c r="AN16" s="138" t="n"/>
      <c r="AO16" s="138" t="n"/>
      <c r="AP16" s="138" t="n"/>
      <c r="AQ16" s="138" t="n"/>
      <c r="AR16" s="138" t="n"/>
      <c r="AS16" s="138" t="n"/>
      <c r="AT16" s="138" t="n"/>
      <c r="AU16" s="138" t="n"/>
      <c r="AV16" s="138" t="n"/>
      <c r="AW16" s="138" t="n"/>
      <c r="AX16" s="138" t="n"/>
      <c r="AY16" s="138" t="n"/>
      <c r="AZ16" s="138" t="n"/>
      <c r="BA16" s="138" t="n"/>
      <c r="BB16" s="138" t="n"/>
      <c r="BC16" s="138" t="n"/>
      <c r="BD16" s="138" t="n"/>
      <c r="BE16" s="138" t="n"/>
      <c r="BF16" s="138" t="n"/>
      <c r="BG16" s="138" t="n"/>
      <c r="BH16" s="138" t="n"/>
      <c r="BI16" s="138" t="n"/>
      <c r="BJ16" s="138" t="n"/>
      <c r="BK16" s="138" t="n"/>
      <c r="BL16" s="138" t="n"/>
      <c r="BM16" s="138" t="n"/>
      <c r="BN16" s="138" t="n"/>
      <c r="BO16" s="138" t="n"/>
      <c r="BP16" s="138" t="n"/>
      <c r="BQ16" s="138" t="n"/>
      <c r="BR16" s="138" t="n"/>
      <c r="BS16" s="138" t="n"/>
      <c r="BT16" s="138" t="n"/>
      <c r="BU16" s="138" t="n"/>
      <c r="BV16" s="138" t="n"/>
      <c r="BW16" s="138" t="n"/>
      <c r="BX16" s="138" t="n"/>
      <c r="BY16" s="138" t="n"/>
      <c r="BZ16" s="138" t="n"/>
      <c r="CA16" s="138" t="n"/>
      <c r="CB16" s="138" t="n"/>
      <c r="CC16" s="138" t="n"/>
      <c r="CD16" s="138" t="n"/>
      <c r="CE16" s="138" t="n">
        <v>1</v>
      </c>
      <c r="CF16" s="139" t="n">
        <v>1</v>
      </c>
    </row>
    <row r="17" ht="13.5" customHeight="1">
      <c r="A17" s="144" t="inlineStr">
        <is>
          <t>1072-3</t>
        </is>
      </c>
      <c r="B17" s="144" t="inlineStr">
        <is>
          <t>■りんご「ふじ」10ｋｇ（津軽）</t>
        </is>
      </c>
      <c r="C17" s="138" t="inlineStr">
        <is>
          <t>箱</t>
        </is>
      </c>
      <c r="D17" s="138" t="n"/>
      <c r="E17" s="138" t="n"/>
      <c r="F17" s="138" t="n">
        <v>1</v>
      </c>
      <c r="G17" s="138" t="n"/>
      <c r="H17" s="138" t="n"/>
      <c r="I17" s="138" t="n"/>
      <c r="J17" s="138" t="n"/>
      <c r="K17" s="138" t="n">
        <v>1</v>
      </c>
      <c r="L17" s="138" t="n"/>
      <c r="M17" s="138" t="n"/>
      <c r="N17" s="138" t="n"/>
      <c r="O17" s="138" t="n"/>
      <c r="P17" s="138" t="n"/>
      <c r="Q17" s="138" t="n"/>
      <c r="R17" s="138" t="n"/>
      <c r="S17" s="138" t="n"/>
      <c r="T17" s="138" t="n"/>
      <c r="U17" s="138" t="n"/>
      <c r="V17" s="138" t="n"/>
      <c r="W17" s="138" t="n"/>
      <c r="X17" s="138" t="n"/>
      <c r="Y17" s="138" t="n"/>
      <c r="Z17" s="138" t="n"/>
      <c r="AA17" s="138" t="n"/>
      <c r="AB17" s="138" t="n"/>
      <c r="AC17" s="138" t="n"/>
      <c r="AD17" s="138" t="n"/>
      <c r="AE17" s="138" t="n"/>
      <c r="AF17" s="138" t="n"/>
      <c r="AG17" s="138" t="n"/>
      <c r="AH17" s="138" t="n"/>
      <c r="AI17" s="138" t="n"/>
      <c r="AJ17" s="138" t="n"/>
      <c r="AK17" s="138" t="n">
        <v>1</v>
      </c>
      <c r="AL17" s="138" t="n"/>
      <c r="AM17" s="138" t="n"/>
      <c r="AN17" s="138" t="n"/>
      <c r="AO17" s="138" t="n"/>
      <c r="AP17" s="138" t="n"/>
      <c r="AQ17" s="138" t="n"/>
      <c r="AR17" s="138" t="n"/>
      <c r="AS17" s="138" t="n"/>
      <c r="AT17" s="138" t="n"/>
      <c r="AU17" s="138" t="n"/>
      <c r="AV17" s="138" t="n"/>
      <c r="AW17" s="138" t="n"/>
      <c r="AX17" s="138" t="n"/>
      <c r="AY17" s="138" t="n"/>
      <c r="AZ17" s="138" t="n"/>
      <c r="BA17" s="138" t="n"/>
      <c r="BB17" s="138" t="n"/>
      <c r="BC17" s="138" t="n"/>
      <c r="BD17" s="138" t="n"/>
      <c r="BE17" s="138" t="n"/>
      <c r="BF17" s="138" t="n"/>
      <c r="BG17" s="138" t="n"/>
      <c r="BH17" s="138" t="n"/>
      <c r="BI17" s="138" t="n"/>
      <c r="BJ17" s="138" t="n"/>
      <c r="BK17" s="138" t="n"/>
      <c r="BL17" s="138" t="n"/>
      <c r="BM17" s="138" t="n"/>
      <c r="BN17" s="138" t="n"/>
      <c r="BO17" s="138" t="n"/>
      <c r="BP17" s="138" t="n"/>
      <c r="BQ17" s="138" t="n"/>
      <c r="BR17" s="138" t="n"/>
      <c r="BS17" s="138" t="n"/>
      <c r="BT17" s="138" t="n"/>
      <c r="BU17" s="138" t="n"/>
      <c r="BV17" s="138" t="n"/>
      <c r="BW17" s="138" t="n"/>
      <c r="BX17" s="138" t="n"/>
      <c r="BY17" s="138" t="n"/>
      <c r="BZ17" s="138" t="n"/>
      <c r="CA17" s="138" t="n"/>
      <c r="CB17" s="138" t="n"/>
      <c r="CC17" s="138" t="n"/>
      <c r="CD17" s="138" t="n"/>
      <c r="CE17" s="138" t="n"/>
      <c r="CF17" s="139" t="n">
        <v>3</v>
      </c>
    </row>
    <row r="18" ht="13.5" customHeight="1">
      <c r="A18" s="144" t="inlineStr">
        <is>
          <t>1072-4</t>
        </is>
      </c>
      <c r="B18" s="144" t="inlineStr">
        <is>
          <t>■りんご「ふじ」10ｋｇの半分（津軽）</t>
        </is>
      </c>
      <c r="C18" s="138" t="inlineStr">
        <is>
          <t>箱</t>
        </is>
      </c>
      <c r="D18" s="138" t="n"/>
      <c r="E18" s="138" t="n"/>
      <c r="F18" s="138" t="n"/>
      <c r="G18" s="138" t="n"/>
      <c r="H18" s="138" t="n"/>
      <c r="I18" s="138" t="n"/>
      <c r="J18" s="138" t="n"/>
      <c r="K18" s="138" t="n"/>
      <c r="L18" s="138" t="n"/>
      <c r="M18" s="138" t="n"/>
      <c r="N18" s="138" t="n"/>
      <c r="O18" s="138" t="n"/>
      <c r="P18" s="138" t="n"/>
      <c r="Q18" s="138" t="n"/>
      <c r="R18" s="138" t="n"/>
      <c r="S18" s="138" t="n"/>
      <c r="T18" s="138" t="n"/>
      <c r="U18" s="138" t="n"/>
      <c r="V18" s="138" t="n"/>
      <c r="W18" s="138" t="n"/>
      <c r="X18" s="138" t="n"/>
      <c r="Y18" s="138" t="n"/>
      <c r="Z18" s="138" t="n"/>
      <c r="AA18" s="138" t="n"/>
      <c r="AB18" s="138" t="n"/>
      <c r="AC18" s="138" t="n"/>
      <c r="AD18" s="138" t="n"/>
      <c r="AE18" s="138" t="n"/>
      <c r="AF18" s="138" t="n"/>
      <c r="AG18" s="138" t="n"/>
      <c r="AH18" s="138" t="n"/>
      <c r="AI18" s="138" t="n"/>
      <c r="AJ18" s="138" t="n"/>
      <c r="AK18" s="138" t="n"/>
      <c r="AL18" s="138" t="n"/>
      <c r="AM18" s="138" t="n"/>
      <c r="AN18" s="138" t="n"/>
      <c r="AO18" s="138" t="n"/>
      <c r="AP18" s="138" t="n"/>
      <c r="AQ18" s="138" t="n"/>
      <c r="AR18" s="138" t="n"/>
      <c r="AS18" s="138" t="n"/>
      <c r="AT18" s="138" t="n"/>
      <c r="AU18" s="138" t="n"/>
      <c r="AV18" s="138" t="n"/>
      <c r="AW18" s="138" t="n"/>
      <c r="AX18" s="138" t="n"/>
      <c r="AY18" s="138" t="n"/>
      <c r="AZ18" s="138" t="n"/>
      <c r="BA18" s="138" t="n"/>
      <c r="BB18" s="138" t="n"/>
      <c r="BC18" s="138" t="n"/>
      <c r="BD18" s="138" t="n"/>
      <c r="BE18" s="138" t="n"/>
      <c r="BF18" s="138" t="n"/>
      <c r="BG18" s="138" t="n"/>
      <c r="BH18" s="138" t="n"/>
      <c r="BI18" s="138" t="n"/>
      <c r="BJ18" s="138" t="n"/>
      <c r="BK18" s="138" t="n"/>
      <c r="BL18" s="138" t="n"/>
      <c r="BM18" s="138" t="n"/>
      <c r="BN18" s="138" t="n"/>
      <c r="BO18" s="138" t="n"/>
      <c r="BP18" s="138" t="n"/>
      <c r="BQ18" s="138" t="n"/>
      <c r="BR18" s="138" t="n"/>
      <c r="BS18" s="138" t="n"/>
      <c r="BT18" s="138" t="n"/>
      <c r="BU18" s="138" t="n"/>
      <c r="BV18" s="138" t="n"/>
      <c r="BW18" s="138" t="n"/>
      <c r="BX18" s="138" t="n"/>
      <c r="BY18" s="138" t="n"/>
      <c r="BZ18" s="138" t="n"/>
      <c r="CA18" s="138" t="n"/>
      <c r="CB18" s="138" t="n"/>
      <c r="CC18" s="138" t="n"/>
      <c r="CD18" s="138" t="n"/>
      <c r="CE18" s="138" t="n">
        <v>2</v>
      </c>
      <c r="CF18" s="139" t="n">
        <v>2</v>
      </c>
    </row>
    <row r="19" ht="13.5" customHeight="1">
      <c r="A19" s="144" t="inlineStr">
        <is>
          <t>1109-9</t>
        </is>
      </c>
      <c r="B19" s="144" t="inlineStr">
        <is>
          <t>□タカミメロン ４kg箱 (長有研）</t>
        </is>
      </c>
      <c r="C19" s="138" t="inlineStr">
        <is>
          <t>こもの</t>
        </is>
      </c>
      <c r="D19" s="138" t="n"/>
      <c r="E19" s="138" t="n"/>
      <c r="F19" s="138" t="n"/>
      <c r="G19" s="138" t="n"/>
      <c r="H19" s="138" t="n"/>
      <c r="I19" s="138" t="n"/>
      <c r="J19" s="138" t="n">
        <v>1</v>
      </c>
      <c r="K19" s="138" t="n"/>
      <c r="L19" s="138" t="n"/>
      <c r="M19" s="138" t="n"/>
      <c r="N19" s="138" t="n"/>
      <c r="O19" s="138" t="n"/>
      <c r="P19" s="138" t="n"/>
      <c r="Q19" s="138" t="n"/>
      <c r="R19" s="138" t="n"/>
      <c r="S19" s="138" t="n"/>
      <c r="T19" s="138" t="n"/>
      <c r="U19" s="138" t="n"/>
      <c r="V19" s="138" t="n"/>
      <c r="W19" s="138" t="n"/>
      <c r="X19" s="138" t="n"/>
      <c r="Y19" s="138" t="n"/>
      <c r="Z19" s="138" t="n"/>
      <c r="AA19" s="138" t="n"/>
      <c r="AB19" s="138" t="n"/>
      <c r="AC19" s="138" t="n"/>
      <c r="AD19" s="138" t="n"/>
      <c r="AE19" s="138" t="n"/>
      <c r="AF19" s="138" t="n"/>
      <c r="AG19" s="138" t="n"/>
      <c r="AH19" s="138" t="n"/>
      <c r="AI19" s="138" t="n"/>
      <c r="AJ19" s="138" t="n"/>
      <c r="AK19" s="138" t="n"/>
      <c r="AL19" s="138" t="n"/>
      <c r="AM19" s="138" t="n"/>
      <c r="AN19" s="138" t="n"/>
      <c r="AO19" s="138" t="n"/>
      <c r="AP19" s="138" t="n"/>
      <c r="AQ19" s="138" t="n"/>
      <c r="AR19" s="138" t="n"/>
      <c r="AS19" s="138" t="n"/>
      <c r="AT19" s="138" t="n"/>
      <c r="AU19" s="138" t="n"/>
      <c r="AV19" s="138" t="n"/>
      <c r="AW19" s="138" t="n"/>
      <c r="AX19" s="138" t="n"/>
      <c r="AY19" s="138" t="n"/>
      <c r="AZ19" s="138" t="n"/>
      <c r="BA19" s="138" t="n"/>
      <c r="BB19" s="138" t="n"/>
      <c r="BC19" s="138" t="n"/>
      <c r="BD19" s="138" t="n"/>
      <c r="BE19" s="138" t="n"/>
      <c r="BF19" s="138" t="n"/>
      <c r="BG19" s="138" t="n"/>
      <c r="BH19" s="138" t="n"/>
      <c r="BI19" s="138" t="n"/>
      <c r="BJ19" s="138" t="n"/>
      <c r="BK19" s="138" t="n"/>
      <c r="BL19" s="138" t="n"/>
      <c r="BM19" s="138" t="n"/>
      <c r="BN19" s="138" t="n"/>
      <c r="BO19" s="138" t="n"/>
      <c r="BP19" s="138" t="n"/>
      <c r="BQ19" s="138" t="n"/>
      <c r="BR19" s="138" t="n"/>
      <c r="BS19" s="138" t="n"/>
      <c r="BT19" s="138" t="n"/>
      <c r="BU19" s="138" t="n"/>
      <c r="BV19" s="138" t="n"/>
      <c r="BW19" s="138" t="n">
        <v>1</v>
      </c>
      <c r="BX19" s="138" t="n"/>
      <c r="BY19" s="138" t="n"/>
      <c r="BZ19" s="138" t="n"/>
      <c r="CA19" s="138" t="n"/>
      <c r="CB19" s="138" t="n"/>
      <c r="CC19" s="138" t="n"/>
      <c r="CD19" s="138" t="n"/>
      <c r="CE19" s="138" t="n"/>
      <c r="CF19" s="139" t="n">
        <v>2</v>
      </c>
    </row>
    <row r="20" ht="13.5" customHeight="1">
      <c r="A20" s="144" t="inlineStr">
        <is>
          <t>1117-12</t>
        </is>
      </c>
      <c r="B20" s="144" t="inlineStr">
        <is>
          <t>□タカミレッドメロン 4kg箱 (長有研）</t>
        </is>
      </c>
      <c r="C20" s="138" t="inlineStr">
        <is>
          <t>こもの</t>
        </is>
      </c>
      <c r="D20" s="138" t="n"/>
      <c r="E20" s="138" t="n">
        <v>1</v>
      </c>
      <c r="F20" s="138" t="n">
        <v>1</v>
      </c>
      <c r="G20" s="138" t="n"/>
      <c r="H20" s="138" t="n"/>
      <c r="I20" s="138" t="n"/>
      <c r="J20" s="138" t="n"/>
      <c r="K20" s="138" t="n"/>
      <c r="L20" s="138" t="n"/>
      <c r="M20" s="138" t="n"/>
      <c r="N20" s="138" t="n"/>
      <c r="O20" s="138" t="n"/>
      <c r="P20" s="138" t="n"/>
      <c r="Q20" s="138" t="n"/>
      <c r="R20" s="138" t="n"/>
      <c r="S20" s="138" t="n"/>
      <c r="T20" s="138" t="n"/>
      <c r="U20" s="138" t="n"/>
      <c r="V20" s="138" t="n"/>
      <c r="W20" s="138" t="n"/>
      <c r="X20" s="138" t="n"/>
      <c r="Y20" s="138" t="n"/>
      <c r="Z20" s="138" t="n"/>
      <c r="AA20" s="138" t="n"/>
      <c r="AB20" s="138" t="n"/>
      <c r="AC20" s="138" t="n"/>
      <c r="AD20" s="138" t="n"/>
      <c r="AE20" s="138" t="n"/>
      <c r="AF20" s="138" t="n"/>
      <c r="AG20" s="138" t="n"/>
      <c r="AH20" s="138" t="n"/>
      <c r="AI20" s="138" t="n"/>
      <c r="AJ20" s="138" t="n"/>
      <c r="AK20" s="138" t="n">
        <v>1</v>
      </c>
      <c r="AL20" s="138" t="n"/>
      <c r="AM20" s="138" t="n"/>
      <c r="AN20" s="138" t="n"/>
      <c r="AO20" s="138" t="n"/>
      <c r="AP20" s="138" t="n"/>
      <c r="AQ20" s="138" t="n"/>
      <c r="AR20" s="138" t="n"/>
      <c r="AS20" s="138" t="n"/>
      <c r="AT20" s="138" t="n"/>
      <c r="AU20" s="138" t="n"/>
      <c r="AV20" s="138" t="n"/>
      <c r="AW20" s="138" t="n"/>
      <c r="AX20" s="138" t="n"/>
      <c r="AY20" s="138" t="n"/>
      <c r="AZ20" s="138" t="n"/>
      <c r="BA20" s="138" t="n"/>
      <c r="BB20" s="138" t="n"/>
      <c r="BC20" s="138" t="n"/>
      <c r="BD20" s="138" t="n"/>
      <c r="BE20" s="138" t="n"/>
      <c r="BF20" s="138" t="n"/>
      <c r="BG20" s="138" t="n"/>
      <c r="BH20" s="138" t="n"/>
      <c r="BI20" s="138" t="n"/>
      <c r="BJ20" s="138" t="n"/>
      <c r="BK20" s="138" t="n"/>
      <c r="BL20" s="138" t="n"/>
      <c r="BM20" s="138" t="n"/>
      <c r="BN20" s="138" t="n"/>
      <c r="BO20" s="138" t="n"/>
      <c r="BP20" s="138" t="n"/>
      <c r="BQ20" s="138" t="n"/>
      <c r="BR20" s="138" t="n"/>
      <c r="BS20" s="138" t="n"/>
      <c r="BT20" s="138" t="n"/>
      <c r="BU20" s="138" t="n"/>
      <c r="BV20" s="138" t="n">
        <v>1</v>
      </c>
      <c r="BW20" s="138" t="n"/>
      <c r="BX20" s="138" t="n">
        <v>1</v>
      </c>
      <c r="BY20" s="138" t="n"/>
      <c r="BZ20" s="138" t="n"/>
      <c r="CA20" s="138" t="n"/>
      <c r="CB20" s="138" t="n"/>
      <c r="CC20" s="138" t="n"/>
      <c r="CD20" s="138" t="n"/>
      <c r="CE20" s="138" t="n">
        <v>1</v>
      </c>
      <c r="CF20" s="139" t="n">
        <v>6</v>
      </c>
    </row>
    <row r="21" ht="13.5" customHeight="1">
      <c r="A21" s="144" t="inlineStr">
        <is>
          <t>1148-149</t>
        </is>
      </c>
      <c r="B21" s="144" t="inlineStr">
        <is>
          <t>有機ｻﾝｺﾞｰﾙﾄﾞｷｳｲﾌﾙｰﾂ ３玉(ゼスプリ)◇</t>
        </is>
      </c>
      <c r="C21" s="138" t="inlineStr">
        <is>
          <t>こもの</t>
        </is>
      </c>
      <c r="D21" s="138" t="n"/>
      <c r="E21" s="138" t="n"/>
      <c r="F21" s="138" t="n"/>
      <c r="G21" s="138" t="n"/>
      <c r="H21" s="138" t="n"/>
      <c r="I21" s="138" t="n">
        <v>3</v>
      </c>
      <c r="J21" s="138" t="n"/>
      <c r="K21" s="138" t="n"/>
      <c r="L21" s="138" t="n"/>
      <c r="M21" s="138" t="n"/>
      <c r="N21" s="138" t="n"/>
      <c r="O21" s="138" t="n"/>
      <c r="P21" s="138" t="n"/>
      <c r="Q21" s="138" t="n"/>
      <c r="R21" s="138" t="n"/>
      <c r="S21" s="138" t="n"/>
      <c r="T21" s="138" t="n"/>
      <c r="U21" s="138" t="n"/>
      <c r="V21" s="138" t="n"/>
      <c r="W21" s="138" t="n"/>
      <c r="X21" s="138" t="n"/>
      <c r="Y21" s="138" t="n"/>
      <c r="Z21" s="138" t="n"/>
      <c r="AA21" s="138" t="n"/>
      <c r="AB21" s="138" t="n"/>
      <c r="AC21" s="138" t="n"/>
      <c r="AD21" s="138" t="n"/>
      <c r="AE21" s="138" t="n"/>
      <c r="AF21" s="138" t="n"/>
      <c r="AG21" s="138" t="n"/>
      <c r="AH21" s="138" t="n"/>
      <c r="AI21" s="138" t="n"/>
      <c r="AJ21" s="138" t="n"/>
      <c r="AK21" s="138" t="n">
        <v>4</v>
      </c>
      <c r="AL21" s="138" t="n"/>
      <c r="AM21" s="138" t="n"/>
      <c r="AN21" s="138" t="n"/>
      <c r="AO21" s="138" t="n"/>
      <c r="AP21" s="138" t="n"/>
      <c r="AQ21" s="138" t="n"/>
      <c r="AR21" s="138" t="n"/>
      <c r="AS21" s="138" t="n"/>
      <c r="AT21" s="138" t="n"/>
      <c r="AU21" s="138" t="n"/>
      <c r="AV21" s="138" t="n"/>
      <c r="AW21" s="138" t="n"/>
      <c r="AX21" s="138" t="n"/>
      <c r="AY21" s="138" t="n"/>
      <c r="AZ21" s="138" t="n"/>
      <c r="BA21" s="138" t="n"/>
      <c r="BB21" s="138" t="n"/>
      <c r="BC21" s="138" t="n"/>
      <c r="BD21" s="138" t="n"/>
      <c r="BE21" s="138" t="n"/>
      <c r="BF21" s="138" t="n"/>
      <c r="BG21" s="138" t="n"/>
      <c r="BH21" s="138" t="n"/>
      <c r="BI21" s="138" t="n"/>
      <c r="BJ21" s="138" t="n"/>
      <c r="BK21" s="138" t="n"/>
      <c r="BL21" s="138" t="n"/>
      <c r="BM21" s="138" t="n"/>
      <c r="BN21" s="138" t="n"/>
      <c r="BO21" s="138" t="n"/>
      <c r="BP21" s="138" t="n"/>
      <c r="BQ21" s="138" t="n"/>
      <c r="BR21" s="138" t="n"/>
      <c r="BS21" s="138" t="n"/>
      <c r="BT21" s="138" t="n"/>
      <c r="BU21" s="138" t="n"/>
      <c r="BV21" s="138" t="n">
        <v>6</v>
      </c>
      <c r="BW21" s="138" t="n"/>
      <c r="BX21" s="138" t="n"/>
      <c r="BY21" s="138" t="n"/>
      <c r="BZ21" s="138" t="n"/>
      <c r="CA21" s="138" t="n"/>
      <c r="CB21" s="138" t="n"/>
      <c r="CC21" s="138" t="n">
        <v>3</v>
      </c>
      <c r="CD21" s="138" t="n"/>
      <c r="CE21" s="138" t="n"/>
      <c r="CF21" s="139" t="n">
        <v>16</v>
      </c>
    </row>
    <row r="22" ht="13.5" customHeight="1">
      <c r="A22" s="144" t="inlineStr">
        <is>
          <t>1148-150</t>
        </is>
      </c>
      <c r="B22" s="144" t="inlineStr">
        <is>
          <t>■有機ｻﾝｺﾞｰﾙﾄﾞｷｳｲﾌﾙｰﾂ48玉箱(ゼスプリ)</t>
        </is>
      </c>
      <c r="C22" s="138" t="inlineStr">
        <is>
          <t>箱</t>
        </is>
      </c>
      <c r="D22" s="138" t="n"/>
      <c r="E22" s="138" t="n"/>
      <c r="F22" s="138" t="n"/>
      <c r="G22" s="138" t="n"/>
      <c r="H22" s="138" t="n"/>
      <c r="I22" s="138" t="n"/>
      <c r="J22" s="138" t="n"/>
      <c r="K22" s="138" t="n"/>
      <c r="L22" s="138" t="n"/>
      <c r="M22" s="138" t="n"/>
      <c r="N22" s="138" t="n"/>
      <c r="O22" s="138" t="n"/>
      <c r="P22" s="138" t="n"/>
      <c r="Q22" s="138" t="n"/>
      <c r="R22" s="138" t="n"/>
      <c r="S22" s="138" t="n"/>
      <c r="T22" s="138" t="n"/>
      <c r="U22" s="138" t="n"/>
      <c r="V22" s="138" t="n"/>
      <c r="W22" s="138" t="n"/>
      <c r="X22" s="138" t="n"/>
      <c r="Y22" s="138" t="n"/>
      <c r="Z22" s="138" t="n"/>
      <c r="AA22" s="138" t="n"/>
      <c r="AB22" s="138" t="n"/>
      <c r="AC22" s="138" t="n"/>
      <c r="AD22" s="138" t="n"/>
      <c r="AE22" s="138" t="n"/>
      <c r="AF22" s="138" t="n"/>
      <c r="AG22" s="138" t="n"/>
      <c r="AH22" s="138" t="n"/>
      <c r="AI22" s="138" t="n"/>
      <c r="AJ22" s="138" t="n"/>
      <c r="AK22" s="138" t="n"/>
      <c r="AL22" s="138" t="n"/>
      <c r="AM22" s="138" t="n"/>
      <c r="AN22" s="138" t="n"/>
      <c r="AO22" s="138" t="n"/>
      <c r="AP22" s="138" t="n"/>
      <c r="AQ22" s="138" t="n"/>
      <c r="AR22" s="138" t="n"/>
      <c r="AS22" s="138" t="n"/>
      <c r="AT22" s="138" t="n"/>
      <c r="AU22" s="138" t="n"/>
      <c r="AV22" s="138" t="n"/>
      <c r="AW22" s="138" t="n"/>
      <c r="AX22" s="138" t="n"/>
      <c r="AY22" s="138" t="n"/>
      <c r="AZ22" s="138" t="n"/>
      <c r="BA22" s="138" t="n"/>
      <c r="BB22" s="138" t="n"/>
      <c r="BC22" s="138" t="n"/>
      <c r="BD22" s="138" t="n"/>
      <c r="BE22" s="138" t="n"/>
      <c r="BF22" s="138" t="n"/>
      <c r="BG22" s="138" t="n"/>
      <c r="BH22" s="138" t="n"/>
      <c r="BI22" s="138" t="n"/>
      <c r="BJ22" s="138" t="n"/>
      <c r="BK22" s="138" t="n"/>
      <c r="BL22" s="138" t="n"/>
      <c r="BM22" s="138" t="n"/>
      <c r="BN22" s="138" t="n"/>
      <c r="BO22" s="138" t="n"/>
      <c r="BP22" s="138" t="n"/>
      <c r="BQ22" s="138" t="n"/>
      <c r="BR22" s="138" t="n"/>
      <c r="BS22" s="138" t="n"/>
      <c r="BT22" s="138" t="n"/>
      <c r="BU22" s="138" t="n"/>
      <c r="BV22" s="138" t="n"/>
      <c r="BW22" s="138" t="n"/>
      <c r="BX22" s="138" t="n"/>
      <c r="BY22" s="138" t="n"/>
      <c r="BZ22" s="138" t="n"/>
      <c r="CA22" s="138" t="n"/>
      <c r="CB22" s="138" t="n"/>
      <c r="CC22" s="138" t="n"/>
      <c r="CD22" s="138" t="n"/>
      <c r="CE22" s="138" t="n">
        <v>1</v>
      </c>
      <c r="CF22" s="139" t="n">
        <v>1</v>
      </c>
    </row>
    <row r="23" ht="13.5" customHeight="1">
      <c r="A23" s="144" t="inlineStr">
        <is>
          <t>1148-151</t>
        </is>
      </c>
      <c r="B23" s="144" t="inlineStr">
        <is>
          <t>■有機ｷｳｲﾌﾙｰﾂグリーン 30玉箱(ゼスプリ)</t>
        </is>
      </c>
      <c r="C23" s="138" t="inlineStr">
        <is>
          <t>箱</t>
        </is>
      </c>
      <c r="D23" s="138" t="n"/>
      <c r="E23" s="138" t="n"/>
      <c r="F23" s="138" t="n"/>
      <c r="G23" s="138" t="n"/>
      <c r="H23" s="138" t="n"/>
      <c r="I23" s="138" t="n"/>
      <c r="J23" s="138" t="n"/>
      <c r="K23" s="138" t="n"/>
      <c r="L23" s="138" t="n"/>
      <c r="M23" s="138" t="n"/>
      <c r="N23" s="138" t="n"/>
      <c r="O23" s="138" t="n"/>
      <c r="P23" s="138" t="n"/>
      <c r="Q23" s="138" t="n"/>
      <c r="R23" s="138" t="n"/>
      <c r="S23" s="138" t="n"/>
      <c r="T23" s="138" t="n"/>
      <c r="U23" s="138" t="n"/>
      <c r="V23" s="138" t="n"/>
      <c r="W23" s="138" t="n"/>
      <c r="X23" s="138" t="n"/>
      <c r="Y23" s="138" t="n"/>
      <c r="Z23" s="138" t="n"/>
      <c r="AA23" s="138" t="n"/>
      <c r="AB23" s="138" t="n"/>
      <c r="AC23" s="138" t="n"/>
      <c r="AD23" s="138" t="n"/>
      <c r="AE23" s="138" t="n"/>
      <c r="AF23" s="138" t="n"/>
      <c r="AG23" s="138" t="n"/>
      <c r="AH23" s="138" t="n"/>
      <c r="AI23" s="138" t="n"/>
      <c r="AJ23" s="138" t="n"/>
      <c r="AK23" s="138" t="n"/>
      <c r="AL23" s="138" t="n"/>
      <c r="AM23" s="138" t="n"/>
      <c r="AN23" s="138" t="n"/>
      <c r="AO23" s="138" t="n"/>
      <c r="AP23" s="138" t="n"/>
      <c r="AQ23" s="138" t="n"/>
      <c r="AR23" s="138" t="n"/>
      <c r="AS23" s="138" t="n"/>
      <c r="AT23" s="138" t="n"/>
      <c r="AU23" s="138" t="n"/>
      <c r="AV23" s="138" t="n"/>
      <c r="AW23" s="138" t="n"/>
      <c r="AX23" s="138" t="n"/>
      <c r="AY23" s="138" t="n"/>
      <c r="AZ23" s="138" t="n"/>
      <c r="BA23" s="138" t="n"/>
      <c r="BB23" s="138" t="n"/>
      <c r="BC23" s="138" t="n"/>
      <c r="BD23" s="138" t="n"/>
      <c r="BE23" s="138" t="n"/>
      <c r="BF23" s="138" t="n"/>
      <c r="BG23" s="138" t="n"/>
      <c r="BH23" s="138" t="n"/>
      <c r="BI23" s="138" t="n"/>
      <c r="BJ23" s="138" t="n"/>
      <c r="BK23" s="138" t="n"/>
      <c r="BL23" s="138" t="n"/>
      <c r="BM23" s="138" t="n"/>
      <c r="BN23" s="138" t="n"/>
      <c r="BO23" s="138" t="n"/>
      <c r="BP23" s="138" t="n"/>
      <c r="BQ23" s="138" t="n"/>
      <c r="BR23" s="138" t="n"/>
      <c r="BS23" s="138" t="n"/>
      <c r="BT23" s="138" t="n"/>
      <c r="BU23" s="138" t="n"/>
      <c r="BV23" s="138" t="n"/>
      <c r="BW23" s="138" t="n"/>
      <c r="BX23" s="138" t="n"/>
      <c r="BY23" s="138" t="n"/>
      <c r="BZ23" s="138" t="n"/>
      <c r="CA23" s="138" t="n"/>
      <c r="CB23" s="138" t="n"/>
      <c r="CC23" s="138" t="n"/>
      <c r="CD23" s="138" t="n"/>
      <c r="CE23" s="138" t="n">
        <v>1</v>
      </c>
      <c r="CF23" s="139" t="n">
        <v>1</v>
      </c>
    </row>
    <row r="24" ht="13.5" customHeight="1">
      <c r="A24" s="144" t="inlineStr">
        <is>
          <t>1148-152</t>
        </is>
      </c>
      <c r="B24" s="144" t="inlineStr">
        <is>
          <t>有機グリーンｷｳｲﾌﾙｰﾂ ３玉(ゼスプリ)◇</t>
        </is>
      </c>
      <c r="C24" s="138" t="inlineStr">
        <is>
          <t>こもの</t>
        </is>
      </c>
      <c r="D24" s="138" t="n">
        <v>3</v>
      </c>
      <c r="E24" s="138" t="n"/>
      <c r="F24" s="138" t="n"/>
      <c r="G24" s="138" t="n"/>
      <c r="H24" s="138" t="n"/>
      <c r="I24" s="138" t="n">
        <v>3</v>
      </c>
      <c r="J24" s="138" t="n"/>
      <c r="K24" s="138" t="n"/>
      <c r="L24" s="138" t="n"/>
      <c r="M24" s="138" t="n"/>
      <c r="N24" s="138" t="n"/>
      <c r="O24" s="138" t="n"/>
      <c r="P24" s="138" t="n"/>
      <c r="Q24" s="138" t="n"/>
      <c r="R24" s="138" t="n"/>
      <c r="S24" s="138" t="n"/>
      <c r="T24" s="138" t="n"/>
      <c r="U24" s="138" t="n"/>
      <c r="V24" s="138" t="n"/>
      <c r="W24" s="138" t="n"/>
      <c r="X24" s="138" t="n"/>
      <c r="Y24" s="138" t="n"/>
      <c r="Z24" s="138" t="n"/>
      <c r="AA24" s="138" t="n"/>
      <c r="AB24" s="138" t="n"/>
      <c r="AC24" s="138" t="n"/>
      <c r="AD24" s="138" t="n"/>
      <c r="AE24" s="138" t="n"/>
      <c r="AF24" s="138" t="n"/>
      <c r="AG24" s="138" t="n"/>
      <c r="AH24" s="138" t="n"/>
      <c r="AI24" s="138" t="n"/>
      <c r="AJ24" s="138" t="n"/>
      <c r="AK24" s="138" t="n"/>
      <c r="AL24" s="138" t="n"/>
      <c r="AM24" s="138" t="n"/>
      <c r="AN24" s="138" t="n"/>
      <c r="AO24" s="138" t="n">
        <v>1</v>
      </c>
      <c r="AP24" s="138" t="n"/>
      <c r="AQ24" s="138" t="n"/>
      <c r="AR24" s="138" t="n"/>
      <c r="AS24" s="138" t="n"/>
      <c r="AT24" s="138" t="n"/>
      <c r="AU24" s="138" t="n"/>
      <c r="AV24" s="138" t="n"/>
      <c r="AW24" s="138" t="n"/>
      <c r="AX24" s="138" t="n"/>
      <c r="AY24" s="138" t="n"/>
      <c r="AZ24" s="138" t="n">
        <v>2</v>
      </c>
      <c r="BA24" s="138" t="n"/>
      <c r="BB24" s="138" t="n"/>
      <c r="BC24" s="138" t="n"/>
      <c r="BD24" s="138" t="n"/>
      <c r="BE24" s="138" t="n"/>
      <c r="BF24" s="138" t="n"/>
      <c r="BG24" s="138" t="n"/>
      <c r="BH24" s="138" t="n"/>
      <c r="BI24" s="138" t="n"/>
      <c r="BJ24" s="138" t="n"/>
      <c r="BK24" s="138" t="n"/>
      <c r="BL24" s="138" t="n"/>
      <c r="BM24" s="138" t="n"/>
      <c r="BN24" s="138" t="n"/>
      <c r="BO24" s="138" t="n"/>
      <c r="BP24" s="138" t="n"/>
      <c r="BQ24" s="138" t="n"/>
      <c r="BR24" s="138" t="n"/>
      <c r="BS24" s="138" t="n"/>
      <c r="BT24" s="138" t="n"/>
      <c r="BU24" s="138" t="n"/>
      <c r="BV24" s="138" t="n"/>
      <c r="BW24" s="138" t="n"/>
      <c r="BX24" s="138" t="n">
        <v>4</v>
      </c>
      <c r="BY24" s="138" t="n"/>
      <c r="BZ24" s="138" t="n"/>
      <c r="CA24" s="138" t="n"/>
      <c r="CB24" s="138" t="n"/>
      <c r="CC24" s="138" t="n"/>
      <c r="CD24" s="138" t="n"/>
      <c r="CE24" s="138" t="n"/>
      <c r="CF24" s="139" t="n">
        <v>13</v>
      </c>
    </row>
    <row r="25" ht="13.5" customHeight="1">
      <c r="A25" s="144" t="inlineStr">
        <is>
          <t>1151-16</t>
        </is>
      </c>
      <c r="B25" s="144" t="inlineStr">
        <is>
          <t>有機青梅(梅酒用) 1kg袋 (ﾊﾟﾝﾄﾞﾗ)</t>
        </is>
      </c>
      <c r="C25" s="138" t="inlineStr">
        <is>
          <t>こもの</t>
        </is>
      </c>
      <c r="D25" s="138" t="n"/>
      <c r="E25" s="138" t="n"/>
      <c r="F25" s="138" t="n"/>
      <c r="G25" s="138" t="n"/>
      <c r="H25" s="138" t="n"/>
      <c r="I25" s="138" t="n"/>
      <c r="J25" s="138" t="n"/>
      <c r="K25" s="138" t="n"/>
      <c r="L25" s="138" t="n"/>
      <c r="M25" s="138" t="n"/>
      <c r="N25" s="138" t="n"/>
      <c r="O25" s="138" t="n"/>
      <c r="P25" s="138" t="n"/>
      <c r="Q25" s="138" t="n"/>
      <c r="R25" s="138" t="n"/>
      <c r="S25" s="138" t="n"/>
      <c r="T25" s="138" t="n"/>
      <c r="U25" s="138" t="n"/>
      <c r="V25" s="138" t="n"/>
      <c r="W25" s="138" t="n"/>
      <c r="X25" s="138" t="n"/>
      <c r="Y25" s="138" t="n"/>
      <c r="Z25" s="138" t="n"/>
      <c r="AA25" s="138" t="n"/>
      <c r="AB25" s="138" t="n"/>
      <c r="AC25" s="138" t="n"/>
      <c r="AD25" s="138" t="n"/>
      <c r="AE25" s="138" t="n"/>
      <c r="AF25" s="138" t="n"/>
      <c r="AG25" s="138" t="n"/>
      <c r="AH25" s="138" t="n"/>
      <c r="AI25" s="138" t="n"/>
      <c r="AJ25" s="138" t="n"/>
      <c r="AK25" s="138" t="n"/>
      <c r="AL25" s="138" t="n"/>
      <c r="AM25" s="138" t="n"/>
      <c r="AN25" s="138" t="n"/>
      <c r="AO25" s="138" t="n"/>
      <c r="AP25" s="138" t="n"/>
      <c r="AQ25" s="138" t="n"/>
      <c r="AR25" s="138" t="n"/>
      <c r="AS25" s="138" t="n"/>
      <c r="AT25" s="138" t="n"/>
      <c r="AU25" s="138" t="n"/>
      <c r="AV25" s="138" t="n"/>
      <c r="AW25" s="138" t="n"/>
      <c r="AX25" s="138" t="n"/>
      <c r="AY25" s="138" t="n"/>
      <c r="AZ25" s="138" t="n"/>
      <c r="BA25" s="138" t="n"/>
      <c r="BB25" s="138" t="n"/>
      <c r="BC25" s="138" t="n"/>
      <c r="BD25" s="138" t="n"/>
      <c r="BE25" s="138" t="n"/>
      <c r="BF25" s="138" t="n"/>
      <c r="BG25" s="138" t="n"/>
      <c r="BH25" s="138" t="n"/>
      <c r="BI25" s="138" t="n"/>
      <c r="BJ25" s="138" t="n"/>
      <c r="BK25" s="138" t="n"/>
      <c r="BL25" s="138" t="n"/>
      <c r="BM25" s="138" t="n"/>
      <c r="BN25" s="138" t="n"/>
      <c r="BO25" s="138" t="n"/>
      <c r="BP25" s="138" t="n"/>
      <c r="BQ25" s="138" t="n"/>
      <c r="BR25" s="138" t="n"/>
      <c r="BS25" s="138" t="n"/>
      <c r="BT25" s="138" t="n"/>
      <c r="BU25" s="138" t="n"/>
      <c r="BV25" s="138" t="n"/>
      <c r="BW25" s="138" t="n"/>
      <c r="BX25" s="138" t="n"/>
      <c r="BY25" s="138" t="n"/>
      <c r="BZ25" s="138" t="n"/>
      <c r="CA25" s="138" t="n"/>
      <c r="CB25" s="138" t="n"/>
      <c r="CC25" s="138" t="n">
        <v>28</v>
      </c>
      <c r="CD25" s="138" t="n"/>
      <c r="CE25" s="138" t="n"/>
      <c r="CF25" s="139" t="n">
        <v>28</v>
      </c>
    </row>
    <row r="26" ht="13.5" customHeight="1">
      <c r="A26" s="144" t="inlineStr">
        <is>
          <t>1170-29</t>
        </is>
      </c>
      <c r="B26" s="144" t="inlineStr">
        <is>
          <t>■エクアドルバナナ 600g袋×16入　非有機</t>
        </is>
      </c>
      <c r="C26" s="138" t="inlineStr">
        <is>
          <t>箱</t>
        </is>
      </c>
      <c r="D26" s="138" t="n"/>
      <c r="E26" s="138" t="n"/>
      <c r="F26" s="138" t="n"/>
      <c r="G26" s="138" t="n"/>
      <c r="H26" s="138" t="n"/>
      <c r="I26" s="138" t="n"/>
      <c r="J26" s="138" t="n"/>
      <c r="K26" s="138" t="n"/>
      <c r="L26" s="138" t="n"/>
      <c r="M26" s="138" t="n"/>
      <c r="N26" s="138" t="n"/>
      <c r="O26" s="138" t="n"/>
      <c r="P26" s="138" t="n"/>
      <c r="Q26" s="138" t="n"/>
      <c r="R26" s="138" t="n"/>
      <c r="S26" s="138" t="n"/>
      <c r="T26" s="138" t="n"/>
      <c r="U26" s="138" t="n"/>
      <c r="V26" s="138" t="n"/>
      <c r="W26" s="138" t="n"/>
      <c r="X26" s="138" t="n"/>
      <c r="Y26" s="138" t="n"/>
      <c r="Z26" s="138" t="n"/>
      <c r="AA26" s="138" t="n"/>
      <c r="AB26" s="138" t="n"/>
      <c r="AC26" s="138" t="n"/>
      <c r="AD26" s="138" t="n"/>
      <c r="AE26" s="138" t="n"/>
      <c r="AF26" s="138" t="n"/>
      <c r="AG26" s="138" t="n"/>
      <c r="AH26" s="138" t="n"/>
      <c r="AI26" s="138" t="n"/>
      <c r="AJ26" s="138" t="n"/>
      <c r="AK26" s="138" t="n"/>
      <c r="AL26" s="138" t="n"/>
      <c r="AM26" s="138" t="n"/>
      <c r="AN26" s="138" t="n"/>
      <c r="AO26" s="138" t="n"/>
      <c r="AP26" s="138" t="n"/>
      <c r="AQ26" s="138" t="n"/>
      <c r="AR26" s="138" t="n"/>
      <c r="AS26" s="138" t="n"/>
      <c r="AT26" s="138" t="n"/>
      <c r="AU26" s="138" t="n"/>
      <c r="AV26" s="138" t="n"/>
      <c r="AW26" s="138" t="n"/>
      <c r="AX26" s="138" t="n"/>
      <c r="AY26" s="138" t="n"/>
      <c r="AZ26" s="138" t="n"/>
      <c r="BA26" s="138" t="n"/>
      <c r="BB26" s="138" t="n"/>
      <c r="BC26" s="138" t="n"/>
      <c r="BD26" s="138" t="n"/>
      <c r="BE26" s="138" t="n"/>
      <c r="BF26" s="138" t="n"/>
      <c r="BG26" s="138" t="n"/>
      <c r="BH26" s="138" t="n"/>
      <c r="BI26" s="138" t="n"/>
      <c r="BJ26" s="138" t="n"/>
      <c r="BK26" s="138" t="n"/>
      <c r="BL26" s="138" t="n"/>
      <c r="BM26" s="138" t="n"/>
      <c r="BN26" s="138" t="n"/>
      <c r="BO26" s="138" t="n"/>
      <c r="BP26" s="138" t="n"/>
      <c r="BQ26" s="138" t="n"/>
      <c r="BR26" s="138" t="n"/>
      <c r="BS26" s="138" t="n"/>
      <c r="BT26" s="138" t="n"/>
      <c r="BU26" s="138" t="n"/>
      <c r="BV26" s="138" t="n"/>
      <c r="BW26" s="138" t="n"/>
      <c r="BX26" s="138" t="n"/>
      <c r="BY26" s="138" t="n"/>
      <c r="BZ26" s="138" t="n"/>
      <c r="CA26" s="138" t="n"/>
      <c r="CB26" s="138" t="n"/>
      <c r="CC26" s="138" t="n"/>
      <c r="CD26" s="138" t="n"/>
      <c r="CE26" s="138" t="n">
        <v>1</v>
      </c>
      <c r="CF26" s="139" t="n">
        <v>1</v>
      </c>
    </row>
    <row r="27" ht="13.5" customHeight="1">
      <c r="A27" s="144" t="inlineStr">
        <is>
          <t>1170-31</t>
        </is>
      </c>
      <c r="B27" s="144" t="inlineStr">
        <is>
          <t>■有機インカバナナ 600g袋×８入</t>
        </is>
      </c>
      <c r="C27" s="138" t="inlineStr">
        <is>
          <t>箱</t>
        </is>
      </c>
      <c r="D27" s="138" t="n"/>
      <c r="E27" s="138" t="n"/>
      <c r="F27" s="138" t="n"/>
      <c r="G27" s="138" t="n"/>
      <c r="H27" s="138" t="n"/>
      <c r="I27" s="138" t="n"/>
      <c r="J27" s="138" t="n"/>
      <c r="K27" s="138" t="n"/>
      <c r="L27" s="138" t="n"/>
      <c r="M27" s="138" t="n"/>
      <c r="N27" s="138" t="n"/>
      <c r="O27" s="138" t="n"/>
      <c r="P27" s="138" t="n"/>
      <c r="Q27" s="138" t="n"/>
      <c r="R27" s="138" t="n"/>
      <c r="S27" s="138" t="n"/>
      <c r="T27" s="138" t="n"/>
      <c r="U27" s="138" t="n"/>
      <c r="V27" s="138" t="n"/>
      <c r="W27" s="138" t="n"/>
      <c r="X27" s="138" t="n"/>
      <c r="Y27" s="138" t="n"/>
      <c r="Z27" s="138" t="n"/>
      <c r="AA27" s="138" t="n"/>
      <c r="AB27" s="138" t="n"/>
      <c r="AC27" s="138" t="n"/>
      <c r="AD27" s="138" t="n"/>
      <c r="AE27" s="138" t="n"/>
      <c r="AF27" s="138" t="n"/>
      <c r="AG27" s="138" t="n"/>
      <c r="AH27" s="138" t="n"/>
      <c r="AI27" s="138" t="n"/>
      <c r="AJ27" s="138" t="n"/>
      <c r="AK27" s="138" t="n"/>
      <c r="AL27" s="138" t="n"/>
      <c r="AM27" s="138" t="n"/>
      <c r="AN27" s="138" t="n"/>
      <c r="AO27" s="138" t="n"/>
      <c r="AP27" s="138" t="n"/>
      <c r="AQ27" s="138" t="n"/>
      <c r="AR27" s="138" t="n"/>
      <c r="AS27" s="138" t="n"/>
      <c r="AT27" s="138" t="n"/>
      <c r="AU27" s="138" t="n"/>
      <c r="AV27" s="138" t="n"/>
      <c r="AW27" s="138" t="n"/>
      <c r="AX27" s="138" t="n"/>
      <c r="AY27" s="138" t="n"/>
      <c r="AZ27" s="138" t="n"/>
      <c r="BA27" s="138" t="n"/>
      <c r="BB27" s="138" t="n"/>
      <c r="BC27" s="138" t="n"/>
      <c r="BD27" s="138" t="n"/>
      <c r="BE27" s="138" t="n"/>
      <c r="BF27" s="138" t="n"/>
      <c r="BG27" s="138" t="n"/>
      <c r="BH27" s="138" t="n"/>
      <c r="BI27" s="138" t="n"/>
      <c r="BJ27" s="138" t="n"/>
      <c r="BK27" s="138" t="n"/>
      <c r="BL27" s="138" t="n"/>
      <c r="BM27" s="138" t="n"/>
      <c r="BN27" s="138" t="n"/>
      <c r="BO27" s="138" t="n"/>
      <c r="BP27" s="138" t="n"/>
      <c r="BQ27" s="138" t="n"/>
      <c r="BR27" s="138" t="n"/>
      <c r="BS27" s="138" t="n"/>
      <c r="BT27" s="138" t="n"/>
      <c r="BU27" s="138" t="n"/>
      <c r="BV27" s="138" t="n"/>
      <c r="BW27" s="138" t="n"/>
      <c r="BX27" s="138" t="n"/>
      <c r="BY27" s="138" t="n"/>
      <c r="BZ27" s="138" t="n"/>
      <c r="CA27" s="138" t="n"/>
      <c r="CB27" s="138" t="n"/>
      <c r="CC27" s="138" t="n">
        <v>1</v>
      </c>
      <c r="CD27" s="138" t="n"/>
      <c r="CE27" s="138" t="n"/>
      <c r="CF27" s="139" t="n">
        <v>1</v>
      </c>
    </row>
    <row r="28" ht="13.5" customHeight="1">
      <c r="A28" s="144" t="inlineStr">
        <is>
          <t>1216-361</t>
        </is>
      </c>
      <c r="B28" s="144" t="inlineStr">
        <is>
          <t>■じゃが芋「ﾒｰｸｲﾝ」10kg(長有研)8割減・不</t>
        </is>
      </c>
      <c r="C28" s="138" t="inlineStr">
        <is>
          <t>箱</t>
        </is>
      </c>
      <c r="D28" s="138" t="n"/>
      <c r="E28" s="138" t="n"/>
      <c r="F28" s="138" t="n"/>
      <c r="G28" s="138" t="n"/>
      <c r="H28" s="138" t="n"/>
      <c r="I28" s="138" t="n"/>
      <c r="J28" s="138" t="n"/>
      <c r="K28" s="138" t="n"/>
      <c r="L28" s="138" t="n"/>
      <c r="M28" s="138" t="n"/>
      <c r="N28" s="138" t="n"/>
      <c r="O28" s="138" t="n"/>
      <c r="P28" s="138" t="n"/>
      <c r="Q28" s="138" t="n"/>
      <c r="R28" s="138" t="n"/>
      <c r="S28" s="138" t="n"/>
      <c r="T28" s="138" t="n"/>
      <c r="U28" s="138" t="n"/>
      <c r="V28" s="138" t="n"/>
      <c r="W28" s="138" t="n"/>
      <c r="X28" s="138" t="n"/>
      <c r="Y28" s="138" t="n"/>
      <c r="Z28" s="138" t="n"/>
      <c r="AA28" s="138" t="n"/>
      <c r="AB28" s="138" t="n"/>
      <c r="AC28" s="138" t="n"/>
      <c r="AD28" s="138" t="n"/>
      <c r="AE28" s="138" t="n"/>
      <c r="AF28" s="138" t="n"/>
      <c r="AG28" s="138" t="n"/>
      <c r="AH28" s="138" t="n"/>
      <c r="AI28" s="138" t="n"/>
      <c r="AJ28" s="138" t="n"/>
      <c r="AK28" s="138" t="n">
        <v>1</v>
      </c>
      <c r="AL28" s="138" t="n"/>
      <c r="AM28" s="138" t="n"/>
      <c r="AN28" s="138" t="n"/>
      <c r="AO28" s="138" t="n"/>
      <c r="AP28" s="138" t="n"/>
      <c r="AQ28" s="138" t="n"/>
      <c r="AR28" s="138" t="n"/>
      <c r="AS28" s="138" t="n"/>
      <c r="AT28" s="138" t="n"/>
      <c r="AU28" s="138" t="n"/>
      <c r="AV28" s="138" t="n"/>
      <c r="AW28" s="138" t="n"/>
      <c r="AX28" s="138" t="n"/>
      <c r="AY28" s="138" t="n"/>
      <c r="AZ28" s="138" t="n"/>
      <c r="BA28" s="138" t="n"/>
      <c r="BB28" s="138" t="n"/>
      <c r="BC28" s="138" t="n"/>
      <c r="BD28" s="138" t="n"/>
      <c r="BE28" s="138" t="n"/>
      <c r="BF28" s="138" t="n"/>
      <c r="BG28" s="138" t="n"/>
      <c r="BH28" s="138" t="n"/>
      <c r="BI28" s="138" t="n"/>
      <c r="BJ28" s="138" t="n"/>
      <c r="BK28" s="138" t="n"/>
      <c r="BL28" s="138" t="n"/>
      <c r="BM28" s="138" t="n"/>
      <c r="BN28" s="138" t="n"/>
      <c r="BO28" s="138" t="n"/>
      <c r="BP28" s="138" t="n"/>
      <c r="BQ28" s="138" t="n"/>
      <c r="BR28" s="138" t="n"/>
      <c r="BS28" s="138" t="n"/>
      <c r="BT28" s="138" t="n"/>
      <c r="BU28" s="138" t="n"/>
      <c r="BV28" s="138" t="n"/>
      <c r="BW28" s="138" t="n"/>
      <c r="BX28" s="138" t="n"/>
      <c r="BY28" s="138" t="n"/>
      <c r="BZ28" s="138" t="n"/>
      <c r="CA28" s="138" t="n"/>
      <c r="CB28" s="138" t="n"/>
      <c r="CC28" s="138" t="n"/>
      <c r="CD28" s="138" t="n">
        <v>2</v>
      </c>
      <c r="CE28" s="138" t="n"/>
      <c r="CF28" s="139" t="n">
        <v>3</v>
      </c>
    </row>
    <row r="29" ht="13.5" customHeight="1">
      <c r="A29" s="144" t="inlineStr">
        <is>
          <t>1216-362</t>
        </is>
      </c>
      <c r="B29" s="144" t="inlineStr">
        <is>
          <t>じゃが芋「ﾒｰｸｲﾝ」500g(長有研)◇</t>
        </is>
      </c>
      <c r="C29" s="138" t="inlineStr">
        <is>
          <t>こもの</t>
        </is>
      </c>
      <c r="D29" s="138" t="n"/>
      <c r="E29" s="138" t="n"/>
      <c r="F29" s="138" t="n"/>
      <c r="G29" s="138" t="n"/>
      <c r="H29" s="138" t="n"/>
      <c r="I29" s="138" t="n"/>
      <c r="J29" s="138" t="n"/>
      <c r="K29" s="138" t="n"/>
      <c r="L29" s="138" t="n"/>
      <c r="M29" s="138" t="n"/>
      <c r="N29" s="138" t="n"/>
      <c r="O29" s="138" t="n"/>
      <c r="P29" s="138" t="n"/>
      <c r="Q29" s="138" t="n"/>
      <c r="R29" s="138" t="n"/>
      <c r="S29" s="138" t="n"/>
      <c r="T29" s="138" t="n"/>
      <c r="U29" s="138" t="n"/>
      <c r="V29" s="138" t="n"/>
      <c r="W29" s="138" t="n"/>
      <c r="X29" s="138" t="n"/>
      <c r="Y29" s="138" t="n"/>
      <c r="Z29" s="138" t="n">
        <v>4</v>
      </c>
      <c r="AA29" s="138" t="n"/>
      <c r="AB29" s="138" t="n"/>
      <c r="AC29" s="138" t="n"/>
      <c r="AD29" s="138" t="n"/>
      <c r="AE29" s="138" t="n"/>
      <c r="AF29" s="138" t="n"/>
      <c r="AG29" s="138" t="n"/>
      <c r="AH29" s="138" t="n"/>
      <c r="AI29" s="138" t="n"/>
      <c r="AJ29" s="138" t="n"/>
      <c r="AK29" s="138" t="n"/>
      <c r="AL29" s="138" t="n"/>
      <c r="AM29" s="138" t="n"/>
      <c r="AN29" s="138" t="n"/>
      <c r="AO29" s="138" t="n"/>
      <c r="AP29" s="138" t="n"/>
      <c r="AQ29" s="138" t="n"/>
      <c r="AR29" s="138" t="n"/>
      <c r="AS29" s="138" t="n"/>
      <c r="AT29" s="138" t="n"/>
      <c r="AU29" s="138" t="n"/>
      <c r="AV29" s="138" t="n"/>
      <c r="AW29" s="138" t="n"/>
      <c r="AX29" s="138" t="n">
        <v>4</v>
      </c>
      <c r="AY29" s="138" t="n"/>
      <c r="AZ29" s="138" t="n"/>
      <c r="BA29" s="138" t="n"/>
      <c r="BB29" s="138" t="n"/>
      <c r="BC29" s="138" t="n"/>
      <c r="BD29" s="138" t="n"/>
      <c r="BE29" s="138" t="n"/>
      <c r="BF29" s="138" t="n"/>
      <c r="BG29" s="138" t="n"/>
      <c r="BH29" s="138" t="n"/>
      <c r="BI29" s="138" t="n"/>
      <c r="BJ29" s="138" t="n"/>
      <c r="BK29" s="138" t="n"/>
      <c r="BL29" s="138" t="n"/>
      <c r="BM29" s="138" t="n"/>
      <c r="BN29" s="138" t="n"/>
      <c r="BO29" s="138" t="n"/>
      <c r="BP29" s="138" t="n"/>
      <c r="BQ29" s="138" t="n"/>
      <c r="BR29" s="138" t="n"/>
      <c r="BS29" s="138" t="n"/>
      <c r="BT29" s="138" t="n"/>
      <c r="BU29" s="138" t="n"/>
      <c r="BV29" s="138" t="n"/>
      <c r="BW29" s="138" t="n"/>
      <c r="BX29" s="138" t="n"/>
      <c r="BY29" s="138" t="n"/>
      <c r="BZ29" s="138" t="n"/>
      <c r="CA29" s="138" t="n"/>
      <c r="CB29" s="138" t="n"/>
      <c r="CC29" s="138" t="n"/>
      <c r="CD29" s="138" t="n"/>
      <c r="CE29" s="138" t="n">
        <v>5</v>
      </c>
      <c r="CF29" s="139" t="n">
        <v>13</v>
      </c>
    </row>
    <row r="30" ht="13.5" customHeight="1">
      <c r="A30" s="144" t="inlineStr">
        <is>
          <t>1225-456</t>
        </is>
      </c>
      <c r="B30" s="144" t="inlineStr">
        <is>
          <t>■玉葱 10kgｺﾝﾃﾅ(マルハ)根残しムキ済◇</t>
        </is>
      </c>
      <c r="C30" s="138" t="inlineStr">
        <is>
          <t>箱</t>
        </is>
      </c>
      <c r="D30" s="138" t="n"/>
      <c r="E30" s="138" t="n"/>
      <c r="F30" s="138" t="n"/>
      <c r="G30" s="138" t="n"/>
      <c r="H30" s="138" t="n"/>
      <c r="I30" s="138" t="n"/>
      <c r="J30" s="138" t="n"/>
      <c r="K30" s="138" t="n"/>
      <c r="L30" s="138" t="n"/>
      <c r="M30" s="138" t="n"/>
      <c r="N30" s="138" t="n"/>
      <c r="O30" s="138" t="n"/>
      <c r="P30" s="138" t="n"/>
      <c r="Q30" s="138" t="n"/>
      <c r="R30" s="138" t="n"/>
      <c r="S30" s="138" t="n"/>
      <c r="T30" s="138" t="n"/>
      <c r="U30" s="138" t="n"/>
      <c r="V30" s="138" t="n"/>
      <c r="W30" s="138" t="n"/>
      <c r="X30" s="138" t="n"/>
      <c r="Y30" s="138" t="n"/>
      <c r="Z30" s="138" t="n"/>
      <c r="AA30" s="138" t="n"/>
      <c r="AB30" s="138" t="n"/>
      <c r="AC30" s="138" t="n"/>
      <c r="AD30" s="138" t="n"/>
      <c r="AE30" s="138" t="n"/>
      <c r="AF30" s="138" t="n"/>
      <c r="AG30" s="138" t="n"/>
      <c r="AH30" s="138" t="n"/>
      <c r="AI30" s="138" t="n"/>
      <c r="AJ30" s="138" t="n"/>
      <c r="AK30" s="138" t="n"/>
      <c r="AL30" s="138" t="n"/>
      <c r="AM30" s="138" t="n"/>
      <c r="AN30" s="138" t="n"/>
      <c r="AO30" s="138" t="n"/>
      <c r="AP30" s="138" t="n"/>
      <c r="AQ30" s="138" t="n"/>
      <c r="AR30" s="138" t="n"/>
      <c r="AS30" s="138" t="n"/>
      <c r="AT30" s="138" t="n"/>
      <c r="AU30" s="138" t="n"/>
      <c r="AV30" s="138" t="n"/>
      <c r="AW30" s="138" t="n"/>
      <c r="AX30" s="138" t="n"/>
      <c r="AY30" s="138" t="n"/>
      <c r="AZ30" s="138" t="n"/>
      <c r="BA30" s="138" t="n"/>
      <c r="BB30" s="138" t="n"/>
      <c r="BC30" s="138" t="n"/>
      <c r="BD30" s="138" t="n"/>
      <c r="BE30" s="138" t="n"/>
      <c r="BF30" s="138" t="n"/>
      <c r="BG30" s="138" t="n"/>
      <c r="BH30" s="138" t="n"/>
      <c r="BI30" s="138" t="n"/>
      <c r="BJ30" s="138" t="n"/>
      <c r="BK30" s="138" t="n"/>
      <c r="BL30" s="138" t="n"/>
      <c r="BM30" s="138" t="n"/>
      <c r="BN30" s="138" t="n"/>
      <c r="BO30" s="138" t="n"/>
      <c r="BP30" s="138" t="n"/>
      <c r="BQ30" s="138" t="n"/>
      <c r="BR30" s="138" t="n"/>
      <c r="BS30" s="138" t="n"/>
      <c r="BT30" s="138" t="n"/>
      <c r="BU30" s="138" t="n"/>
      <c r="BV30" s="138" t="n"/>
      <c r="BW30" s="138" t="n"/>
      <c r="BX30" s="138" t="n"/>
      <c r="BY30" s="138" t="n"/>
      <c r="BZ30" s="138" t="n"/>
      <c r="CA30" s="138" t="n"/>
      <c r="CB30" s="138" t="n">
        <v>1</v>
      </c>
      <c r="CC30" s="138" t="n"/>
      <c r="CD30" s="138" t="n"/>
      <c r="CE30" s="138" t="n"/>
      <c r="CF30" s="139" t="n">
        <v>1</v>
      </c>
    </row>
    <row r="31" ht="13.5" customHeight="1">
      <c r="A31" s="144" t="inlineStr">
        <is>
          <t>1225-7</t>
        </is>
      </c>
      <c r="B31" s="144" t="inlineStr">
        <is>
          <t>■有機 玉ねぎ 混 10kg(長有研)</t>
        </is>
      </c>
      <c r="C31" s="138" t="inlineStr">
        <is>
          <t>箱</t>
        </is>
      </c>
      <c r="D31" s="138" t="n"/>
      <c r="E31" s="138" t="n"/>
      <c r="F31" s="138" t="n"/>
      <c r="G31" s="138" t="n"/>
      <c r="H31" s="138" t="n"/>
      <c r="I31" s="138" t="n"/>
      <c r="J31" s="138" t="n"/>
      <c r="K31" s="138" t="n"/>
      <c r="L31" s="138" t="n"/>
      <c r="M31" s="138" t="n"/>
      <c r="N31" s="138" t="n"/>
      <c r="O31" s="138" t="n"/>
      <c r="P31" s="138" t="n">
        <v>1</v>
      </c>
      <c r="Q31" s="138" t="n"/>
      <c r="R31" s="138" t="n">
        <v>1</v>
      </c>
      <c r="S31" s="138" t="n">
        <v>1</v>
      </c>
      <c r="T31" s="138" t="n"/>
      <c r="U31" s="138" t="n">
        <v>1</v>
      </c>
      <c r="V31" s="138" t="n"/>
      <c r="W31" s="138" t="n"/>
      <c r="X31" s="138" t="n"/>
      <c r="Y31" s="138" t="n"/>
      <c r="Z31" s="138" t="n"/>
      <c r="AA31" s="138" t="n"/>
      <c r="AB31" s="138" t="n"/>
      <c r="AC31" s="138" t="n"/>
      <c r="AD31" s="138" t="n"/>
      <c r="AE31" s="138" t="n"/>
      <c r="AF31" s="138" t="n"/>
      <c r="AG31" s="138" t="n"/>
      <c r="AH31" s="138" t="n"/>
      <c r="AI31" s="138" t="n"/>
      <c r="AJ31" s="138" t="n"/>
      <c r="AK31" s="138" t="n"/>
      <c r="AL31" s="138" t="n"/>
      <c r="AM31" s="138" t="n"/>
      <c r="AN31" s="138" t="n"/>
      <c r="AO31" s="138" t="n"/>
      <c r="AP31" s="138" t="n">
        <v>1</v>
      </c>
      <c r="AQ31" s="138" t="n"/>
      <c r="AR31" s="138" t="n"/>
      <c r="AS31" s="138" t="n"/>
      <c r="AT31" s="138" t="n"/>
      <c r="AU31" s="138" t="n"/>
      <c r="AV31" s="138" t="n"/>
      <c r="AW31" s="138" t="n">
        <v>1</v>
      </c>
      <c r="AX31" s="138" t="n"/>
      <c r="AY31" s="138" t="n"/>
      <c r="AZ31" s="138" t="n"/>
      <c r="BA31" s="138" t="n"/>
      <c r="BB31" s="138" t="n"/>
      <c r="BC31" s="138" t="n"/>
      <c r="BD31" s="138" t="n"/>
      <c r="BE31" s="138" t="n"/>
      <c r="BF31" s="138" t="n"/>
      <c r="BG31" s="138" t="n"/>
      <c r="BH31" s="138" t="n"/>
      <c r="BI31" s="138" t="n"/>
      <c r="BJ31" s="138" t="n"/>
      <c r="BK31" s="138" t="n"/>
      <c r="BL31" s="138" t="n"/>
      <c r="BM31" s="138" t="n"/>
      <c r="BN31" s="138" t="n"/>
      <c r="BO31" s="138" t="n"/>
      <c r="BP31" s="138" t="n"/>
      <c r="BQ31" s="138" t="n"/>
      <c r="BR31" s="138" t="n"/>
      <c r="BS31" s="138" t="n"/>
      <c r="BT31" s="138" t="n"/>
      <c r="BU31" s="138" t="n"/>
      <c r="BV31" s="138" t="n"/>
      <c r="BW31" s="138" t="n"/>
      <c r="BX31" s="138" t="n">
        <v>1</v>
      </c>
      <c r="BY31" s="138" t="n"/>
      <c r="BZ31" s="138" t="n"/>
      <c r="CA31" s="138" t="n"/>
      <c r="CB31" s="138" t="n"/>
      <c r="CC31" s="138" t="n"/>
      <c r="CD31" s="138" t="n">
        <v>2</v>
      </c>
      <c r="CE31" s="138" t="n"/>
      <c r="CF31" s="139" t="n">
        <v>9</v>
      </c>
    </row>
    <row r="32" ht="13.5" customHeight="1">
      <c r="A32" s="144" t="inlineStr">
        <is>
          <t>1225-9</t>
        </is>
      </c>
      <c r="B32" s="144" t="inlineStr">
        <is>
          <t>■玉ねぎ 混 10kg(長有研）不不</t>
        </is>
      </c>
      <c r="C32" s="138" t="inlineStr">
        <is>
          <t>箱</t>
        </is>
      </c>
      <c r="D32" s="138" t="n"/>
      <c r="E32" s="138" t="n"/>
      <c r="F32" s="138" t="n"/>
      <c r="G32" s="138" t="n"/>
      <c r="H32" s="138" t="n"/>
      <c r="I32" s="138" t="n"/>
      <c r="J32" s="138" t="n">
        <v>1</v>
      </c>
      <c r="K32" s="138" t="n"/>
      <c r="L32" s="138" t="n"/>
      <c r="M32" s="138" t="n"/>
      <c r="N32" s="138" t="n"/>
      <c r="O32" s="138" t="n"/>
      <c r="P32" s="138" t="n"/>
      <c r="Q32" s="138" t="n"/>
      <c r="R32" s="138" t="n"/>
      <c r="S32" s="138" t="n"/>
      <c r="T32" s="138" t="n"/>
      <c r="U32" s="138" t="n"/>
      <c r="V32" s="138" t="n"/>
      <c r="W32" s="138" t="n"/>
      <c r="X32" s="138" t="n"/>
      <c r="Y32" s="138" t="n"/>
      <c r="Z32" s="138" t="n"/>
      <c r="AA32" s="138" t="n"/>
      <c r="AB32" s="138" t="n"/>
      <c r="AC32" s="138" t="n"/>
      <c r="AD32" s="138" t="n"/>
      <c r="AE32" s="138" t="n"/>
      <c r="AF32" s="138" t="n"/>
      <c r="AG32" s="138" t="n"/>
      <c r="AH32" s="138" t="n"/>
      <c r="AI32" s="138" t="n"/>
      <c r="AJ32" s="138" t="n"/>
      <c r="AK32" s="138" t="n"/>
      <c r="AL32" s="138" t="n"/>
      <c r="AM32" s="138" t="n">
        <v>1</v>
      </c>
      <c r="AN32" s="138" t="n"/>
      <c r="AO32" s="138" t="n"/>
      <c r="AP32" s="138" t="n"/>
      <c r="AQ32" s="138" t="n"/>
      <c r="AR32" s="138" t="n"/>
      <c r="AS32" s="138" t="n"/>
      <c r="AT32" s="138" t="n"/>
      <c r="AU32" s="138" t="n"/>
      <c r="AV32" s="138" t="n"/>
      <c r="AW32" s="138" t="n"/>
      <c r="AX32" s="138" t="n"/>
      <c r="AY32" s="138" t="n"/>
      <c r="AZ32" s="138" t="n"/>
      <c r="BA32" s="138" t="n"/>
      <c r="BB32" s="138" t="n"/>
      <c r="BC32" s="138" t="n"/>
      <c r="BD32" s="138" t="n"/>
      <c r="BE32" s="138" t="n"/>
      <c r="BF32" s="138" t="n"/>
      <c r="BG32" s="138" t="n"/>
      <c r="BH32" s="138" t="n"/>
      <c r="BI32" s="138" t="n"/>
      <c r="BJ32" s="138" t="n"/>
      <c r="BK32" s="138" t="n"/>
      <c r="BL32" s="138" t="n"/>
      <c r="BM32" s="138" t="n"/>
      <c r="BN32" s="138" t="n"/>
      <c r="BO32" s="138" t="n"/>
      <c r="BP32" s="138" t="n"/>
      <c r="BQ32" s="138" t="n"/>
      <c r="BR32" s="138" t="n"/>
      <c r="BS32" s="138" t="n"/>
      <c r="BT32" s="138" t="n"/>
      <c r="BU32" s="138" t="n"/>
      <c r="BV32" s="138" t="n"/>
      <c r="BW32" s="138" t="n"/>
      <c r="BX32" s="138" t="n"/>
      <c r="BY32" s="138" t="n"/>
      <c r="BZ32" s="138" t="n"/>
      <c r="CA32" s="138" t="n"/>
      <c r="CB32" s="138" t="n"/>
      <c r="CC32" s="138" t="n"/>
      <c r="CD32" s="138" t="n"/>
      <c r="CE32" s="138" t="n"/>
      <c r="CF32" s="139" t="n">
        <v>2</v>
      </c>
    </row>
    <row r="33" ht="13.5" customHeight="1">
      <c r="A33" s="144" t="inlineStr">
        <is>
          <t>1226-200</t>
        </is>
      </c>
      <c r="B33" s="144" t="inlineStr">
        <is>
          <t>有機玉ねぎ　500ｇ(長有研)◇</t>
        </is>
      </c>
      <c r="C33" s="138" t="inlineStr">
        <is>
          <t>こもの</t>
        </is>
      </c>
      <c r="D33" s="138" t="n">
        <v>3</v>
      </c>
      <c r="E33" s="138" t="n"/>
      <c r="F33" s="138" t="n"/>
      <c r="G33" s="138" t="n"/>
      <c r="H33" s="138" t="n"/>
      <c r="I33" s="138" t="n"/>
      <c r="J33" s="138" t="n"/>
      <c r="K33" s="138" t="n"/>
      <c r="L33" s="138" t="n"/>
      <c r="M33" s="138" t="n"/>
      <c r="N33" s="138" t="n"/>
      <c r="O33" s="138" t="n"/>
      <c r="P33" s="138" t="n"/>
      <c r="Q33" s="138" t="n"/>
      <c r="R33" s="138" t="n"/>
      <c r="S33" s="138" t="n"/>
      <c r="T33" s="138" t="n"/>
      <c r="U33" s="138" t="n"/>
      <c r="V33" s="138" t="n"/>
      <c r="W33" s="138" t="n"/>
      <c r="X33" s="138" t="n"/>
      <c r="Y33" s="138" t="n"/>
      <c r="Z33" s="138" t="n"/>
      <c r="AA33" s="138" t="n"/>
      <c r="AB33" s="138" t="n"/>
      <c r="AC33" s="138" t="n"/>
      <c r="AD33" s="138" t="n"/>
      <c r="AE33" s="138" t="n"/>
      <c r="AF33" s="138" t="n"/>
      <c r="AG33" s="138" t="n"/>
      <c r="AH33" s="138" t="n"/>
      <c r="AI33" s="138" t="n"/>
      <c r="AJ33" s="138" t="n"/>
      <c r="AK33" s="138" t="n">
        <v>15</v>
      </c>
      <c r="AL33" s="138" t="n"/>
      <c r="AM33" s="138" t="n"/>
      <c r="AN33" s="138" t="n"/>
      <c r="AO33" s="138" t="n">
        <v>3</v>
      </c>
      <c r="AP33" s="138" t="n"/>
      <c r="AQ33" s="138" t="n"/>
      <c r="AR33" s="138" t="n">
        <v>5</v>
      </c>
      <c r="AS33" s="138" t="n"/>
      <c r="AT33" s="138" t="n"/>
      <c r="AU33" s="138" t="n"/>
      <c r="AV33" s="138" t="n"/>
      <c r="AW33" s="138" t="n"/>
      <c r="AX33" s="138" t="n">
        <v>10</v>
      </c>
      <c r="AY33" s="138" t="n"/>
      <c r="AZ33" s="138" t="n">
        <v>2</v>
      </c>
      <c r="BA33" s="138" t="n"/>
      <c r="BB33" s="138" t="n"/>
      <c r="BC33" s="138" t="n"/>
      <c r="BD33" s="138" t="n"/>
      <c r="BE33" s="138" t="n"/>
      <c r="BF33" s="138" t="n"/>
      <c r="BG33" s="138" t="n"/>
      <c r="BH33" s="138" t="n"/>
      <c r="BI33" s="138" t="n"/>
      <c r="BJ33" s="138" t="n"/>
      <c r="BK33" s="138" t="n"/>
      <c r="BL33" s="138" t="n"/>
      <c r="BM33" s="138" t="n"/>
      <c r="BN33" s="138" t="n"/>
      <c r="BO33" s="138" t="n"/>
      <c r="BP33" s="138" t="n"/>
      <c r="BQ33" s="138" t="n"/>
      <c r="BR33" s="138" t="n"/>
      <c r="BS33" s="138" t="n"/>
      <c r="BT33" s="138" t="n"/>
      <c r="BU33" s="138" t="n"/>
      <c r="BV33" s="138" t="n"/>
      <c r="BW33" s="138" t="n"/>
      <c r="BX33" s="138" t="n"/>
      <c r="BY33" s="138" t="n"/>
      <c r="BZ33" s="138" t="n"/>
      <c r="CA33" s="138" t="n"/>
      <c r="CB33" s="138" t="n"/>
      <c r="CC33" s="138" t="n">
        <v>20</v>
      </c>
      <c r="CD33" s="138" t="n"/>
      <c r="CE33" s="138" t="n">
        <v>5</v>
      </c>
      <c r="CF33" s="139" t="n">
        <v>63</v>
      </c>
    </row>
    <row r="34" ht="13.5" customHeight="1">
      <c r="A34" s="144" t="inlineStr">
        <is>
          <t>1226-437</t>
        </is>
      </c>
      <c r="B34" s="144" t="inlineStr">
        <is>
          <t>有機玉ねぎ　500ｇ×10(雲仙)◇東一</t>
        </is>
      </c>
      <c r="C34" s="138" t="inlineStr">
        <is>
          <t>こもの</t>
        </is>
      </c>
      <c r="D34" s="138" t="n"/>
      <c r="E34" s="138" t="n"/>
      <c r="F34" s="138" t="n"/>
      <c r="G34" s="138" t="n"/>
      <c r="H34" s="138" t="n"/>
      <c r="I34" s="138" t="n"/>
      <c r="J34" s="138" t="n"/>
      <c r="K34" s="138" t="n"/>
      <c r="L34" s="138" t="n"/>
      <c r="M34" s="138" t="n"/>
      <c r="N34" s="138" t="n"/>
      <c r="O34" s="138" t="n"/>
      <c r="P34" s="138" t="n"/>
      <c r="Q34" s="138" t="n"/>
      <c r="R34" s="138" t="n"/>
      <c r="S34" s="138" t="n"/>
      <c r="T34" s="138" t="n"/>
      <c r="U34" s="138" t="n"/>
      <c r="V34" s="138" t="n"/>
      <c r="W34" s="138" t="n"/>
      <c r="X34" s="138" t="n"/>
      <c r="Y34" s="138" t="n"/>
      <c r="Z34" s="138" t="n"/>
      <c r="AA34" s="138" t="n"/>
      <c r="AB34" s="138" t="n"/>
      <c r="AC34" s="138" t="n"/>
      <c r="AD34" s="138" t="n"/>
      <c r="AE34" s="138" t="n"/>
      <c r="AF34" s="138" t="n"/>
      <c r="AG34" s="138" t="n"/>
      <c r="AH34" s="138" t="n"/>
      <c r="AI34" s="138" t="n"/>
      <c r="AJ34" s="138" t="n"/>
      <c r="AK34" s="138" t="n"/>
      <c r="AL34" s="138" t="n"/>
      <c r="AM34" s="138" t="n"/>
      <c r="AN34" s="138" t="n"/>
      <c r="AO34" s="138" t="n"/>
      <c r="AP34" s="138" t="n"/>
      <c r="AQ34" s="138" t="n"/>
      <c r="AR34" s="138" t="n"/>
      <c r="AS34" s="138" t="n"/>
      <c r="AT34" s="138" t="n"/>
      <c r="AU34" s="138" t="n"/>
      <c r="AV34" s="138" t="n"/>
      <c r="AW34" s="138" t="n"/>
      <c r="AX34" s="138" t="n"/>
      <c r="AY34" s="138" t="n"/>
      <c r="AZ34" s="138" t="n"/>
      <c r="BA34" s="138" t="n"/>
      <c r="BB34" s="138" t="n"/>
      <c r="BC34" s="138" t="n">
        <v>11</v>
      </c>
      <c r="BD34" s="138" t="n"/>
      <c r="BE34" s="138" t="n"/>
      <c r="BF34" s="138" t="n"/>
      <c r="BG34" s="138" t="n"/>
      <c r="BH34" s="138" t="n"/>
      <c r="BI34" s="138" t="n"/>
      <c r="BJ34" s="138" t="n"/>
      <c r="BK34" s="138" t="n"/>
      <c r="BL34" s="138" t="n"/>
      <c r="BM34" s="138" t="n"/>
      <c r="BN34" s="138" t="n"/>
      <c r="BO34" s="138" t="n"/>
      <c r="BP34" s="138" t="n"/>
      <c r="BQ34" s="138" t="n"/>
      <c r="BR34" s="138" t="n"/>
      <c r="BS34" s="138" t="n"/>
      <c r="BT34" s="138" t="n"/>
      <c r="BU34" s="138" t="n"/>
      <c r="BV34" s="138" t="n"/>
      <c r="BW34" s="138" t="n"/>
      <c r="BX34" s="138" t="n"/>
      <c r="BY34" s="138" t="n"/>
      <c r="BZ34" s="138" t="n"/>
      <c r="CA34" s="138" t="n"/>
      <c r="CB34" s="138" t="n"/>
      <c r="CC34" s="138" t="n"/>
      <c r="CD34" s="138" t="n"/>
      <c r="CE34" s="138" t="n"/>
      <c r="CF34" s="139" t="n">
        <v>11</v>
      </c>
    </row>
    <row r="35" ht="13.5" customHeight="1">
      <c r="A35" s="144" t="inlineStr">
        <is>
          <t>1232-114</t>
        </is>
      </c>
      <c r="B35" s="144" t="inlineStr">
        <is>
          <t>じゃが芋｢ﾆｼﾕﾀｶ｣ 500g(長有研)◇不不</t>
        </is>
      </c>
      <c r="C35" s="138" t="inlineStr">
        <is>
          <t>こもの</t>
        </is>
      </c>
      <c r="D35" s="138" t="n">
        <v>3</v>
      </c>
      <c r="E35" s="138" t="n"/>
      <c r="F35" s="138" t="n">
        <v>5</v>
      </c>
      <c r="G35" s="138" t="n"/>
      <c r="H35" s="138" t="n"/>
      <c r="I35" s="138" t="n"/>
      <c r="J35" s="138" t="n"/>
      <c r="K35" s="138" t="n"/>
      <c r="L35" s="138" t="n"/>
      <c r="M35" s="138" t="n"/>
      <c r="N35" s="138" t="n"/>
      <c r="O35" s="138" t="n"/>
      <c r="P35" s="138" t="n"/>
      <c r="Q35" s="138" t="n"/>
      <c r="R35" s="138" t="n"/>
      <c r="S35" s="138" t="n"/>
      <c r="T35" s="138" t="n"/>
      <c r="U35" s="138" t="n"/>
      <c r="V35" s="138" t="n"/>
      <c r="W35" s="138" t="n"/>
      <c r="X35" s="138" t="n"/>
      <c r="Y35" s="138" t="n"/>
      <c r="Z35" s="138" t="n">
        <v>4</v>
      </c>
      <c r="AA35" s="138" t="n"/>
      <c r="AB35" s="138" t="n"/>
      <c r="AC35" s="138" t="n"/>
      <c r="AD35" s="138" t="n"/>
      <c r="AE35" s="138" t="n"/>
      <c r="AF35" s="138" t="n"/>
      <c r="AG35" s="138" t="n"/>
      <c r="AH35" s="138" t="n"/>
      <c r="AI35" s="138" t="n"/>
      <c r="AJ35" s="138" t="n"/>
      <c r="AK35" s="138" t="n"/>
      <c r="AL35" s="138" t="n"/>
      <c r="AM35" s="138" t="n"/>
      <c r="AN35" s="138" t="n"/>
      <c r="AO35" s="138" t="n">
        <v>3</v>
      </c>
      <c r="AP35" s="138" t="n"/>
      <c r="AQ35" s="138" t="n"/>
      <c r="AR35" s="138" t="n"/>
      <c r="AS35" s="138" t="n"/>
      <c r="AT35" s="138" t="n"/>
      <c r="AU35" s="138" t="n"/>
      <c r="AV35" s="138" t="n"/>
      <c r="AW35" s="138" t="n"/>
      <c r="AX35" s="138" t="n"/>
      <c r="AY35" s="138" t="n"/>
      <c r="AZ35" s="138" t="n">
        <v>2</v>
      </c>
      <c r="BA35" s="138" t="n"/>
      <c r="BB35" s="138" t="n"/>
      <c r="BC35" s="138" t="n"/>
      <c r="BD35" s="138" t="n"/>
      <c r="BE35" s="138" t="n"/>
      <c r="BF35" s="138" t="n"/>
      <c r="BG35" s="138" t="n"/>
      <c r="BH35" s="138" t="n"/>
      <c r="BI35" s="138" t="n"/>
      <c r="BJ35" s="138" t="n"/>
      <c r="BK35" s="138" t="n"/>
      <c r="BL35" s="138" t="n"/>
      <c r="BM35" s="138" t="n"/>
      <c r="BN35" s="138" t="n"/>
      <c r="BO35" s="138" t="n"/>
      <c r="BP35" s="138" t="n"/>
      <c r="BQ35" s="138" t="n"/>
      <c r="BR35" s="138" t="n"/>
      <c r="BS35" s="138" t="n"/>
      <c r="BT35" s="138" t="n"/>
      <c r="BU35" s="138" t="n"/>
      <c r="BV35" s="138" t="n"/>
      <c r="BW35" s="138" t="n"/>
      <c r="BX35" s="138" t="n"/>
      <c r="BY35" s="138" t="n"/>
      <c r="BZ35" s="138" t="n"/>
      <c r="CA35" s="138" t="n"/>
      <c r="CB35" s="138" t="n"/>
      <c r="CC35" s="138" t="n">
        <v>20</v>
      </c>
      <c r="CD35" s="138" t="n"/>
      <c r="CE35" s="138" t="n">
        <v>5</v>
      </c>
      <c r="CF35" s="139" t="n">
        <v>42</v>
      </c>
    </row>
    <row r="36" ht="13.5" customHeight="1">
      <c r="A36" s="144" t="inlineStr">
        <is>
          <t>1232-13</t>
        </is>
      </c>
      <c r="B36" s="144" t="inlineStr">
        <is>
          <t>■じゃが芋｢ﾆｼﾕﾀｶ｣10kg(長有研）無無</t>
        </is>
      </c>
      <c r="C36" s="138" t="inlineStr">
        <is>
          <t>箱</t>
        </is>
      </c>
      <c r="D36" s="138" t="n"/>
      <c r="E36" s="138" t="n"/>
      <c r="F36" s="138" t="n"/>
      <c r="G36" s="138" t="n"/>
      <c r="H36" s="138" t="n"/>
      <c r="I36" s="138" t="n"/>
      <c r="J36" s="138" t="n"/>
      <c r="K36" s="138" t="n"/>
      <c r="L36" s="138" t="n"/>
      <c r="M36" s="138" t="n"/>
      <c r="N36" s="138" t="n"/>
      <c r="O36" s="138" t="n"/>
      <c r="P36" s="138" t="n"/>
      <c r="Q36" s="138" t="n"/>
      <c r="R36" s="138" t="n"/>
      <c r="S36" s="138" t="n"/>
      <c r="T36" s="138" t="n"/>
      <c r="U36" s="138" t="n"/>
      <c r="V36" s="138" t="n"/>
      <c r="W36" s="138" t="n"/>
      <c r="X36" s="138" t="n"/>
      <c r="Y36" s="138" t="n"/>
      <c r="Z36" s="138" t="n"/>
      <c r="AA36" s="138" t="n"/>
      <c r="AB36" s="138" t="n"/>
      <c r="AC36" s="138" t="n"/>
      <c r="AD36" s="138" t="n"/>
      <c r="AE36" s="138" t="n"/>
      <c r="AF36" s="138" t="n"/>
      <c r="AG36" s="138" t="n"/>
      <c r="AH36" s="138" t="n"/>
      <c r="AI36" s="138" t="n"/>
      <c r="AJ36" s="138" t="n"/>
      <c r="AK36" s="138" t="n">
        <v>1</v>
      </c>
      <c r="AL36" s="138" t="n"/>
      <c r="AM36" s="138" t="n"/>
      <c r="AN36" s="138" t="n"/>
      <c r="AO36" s="138" t="n"/>
      <c r="AP36" s="138" t="n">
        <v>1</v>
      </c>
      <c r="AQ36" s="138" t="n"/>
      <c r="AR36" s="138" t="n"/>
      <c r="AS36" s="138" t="n"/>
      <c r="AT36" s="138" t="n"/>
      <c r="AU36" s="138" t="n"/>
      <c r="AV36" s="138" t="n"/>
      <c r="AW36" s="138" t="n"/>
      <c r="AX36" s="138" t="n"/>
      <c r="AY36" s="138" t="n"/>
      <c r="AZ36" s="138" t="n"/>
      <c r="BA36" s="138" t="n"/>
      <c r="BB36" s="138" t="n"/>
      <c r="BC36" s="138" t="n"/>
      <c r="BD36" s="138" t="n"/>
      <c r="BE36" s="138" t="n"/>
      <c r="BF36" s="138" t="n"/>
      <c r="BG36" s="138" t="n"/>
      <c r="BH36" s="138" t="n"/>
      <c r="BI36" s="138" t="n"/>
      <c r="BJ36" s="138" t="n"/>
      <c r="BK36" s="138" t="n"/>
      <c r="BL36" s="138" t="n"/>
      <c r="BM36" s="138" t="n"/>
      <c r="BN36" s="138" t="n"/>
      <c r="BO36" s="138" t="n"/>
      <c r="BP36" s="138" t="n"/>
      <c r="BQ36" s="138" t="n"/>
      <c r="BR36" s="138" t="n"/>
      <c r="BS36" s="138" t="n"/>
      <c r="BT36" s="138" t="n"/>
      <c r="BU36" s="138" t="n"/>
      <c r="BV36" s="138" t="n"/>
      <c r="BW36" s="138" t="n"/>
      <c r="BX36" s="138" t="n">
        <v>1</v>
      </c>
      <c r="BY36" s="138" t="n"/>
      <c r="BZ36" s="138" t="n"/>
      <c r="CA36" s="138" t="n"/>
      <c r="CB36" s="138" t="n"/>
      <c r="CC36" s="138" t="n"/>
      <c r="CD36" s="138" t="n"/>
      <c r="CE36" s="138" t="n"/>
      <c r="CF36" s="139" t="n">
        <v>3</v>
      </c>
    </row>
    <row r="37" ht="13.5" customHeight="1">
      <c r="A37" s="144" t="inlineStr">
        <is>
          <t>1238-190</t>
        </is>
      </c>
      <c r="B37" s="144" t="inlineStr">
        <is>
          <t>有機「ﾆｼﾕﾀｶ」500g(長有研)◇×10 東一</t>
        </is>
      </c>
      <c r="C37" s="138" t="inlineStr">
        <is>
          <t>こもの</t>
        </is>
      </c>
      <c r="D37" s="138" t="n"/>
      <c r="E37" s="138" t="n"/>
      <c r="F37" s="138" t="n"/>
      <c r="G37" s="138" t="n"/>
      <c r="H37" s="138" t="n"/>
      <c r="I37" s="138" t="n"/>
      <c r="J37" s="138" t="n"/>
      <c r="K37" s="138" t="n"/>
      <c r="L37" s="138" t="n"/>
      <c r="M37" s="138" t="n"/>
      <c r="N37" s="138" t="n"/>
      <c r="O37" s="138" t="n"/>
      <c r="P37" s="138" t="n"/>
      <c r="Q37" s="138" t="n"/>
      <c r="R37" s="138" t="n"/>
      <c r="S37" s="138" t="n"/>
      <c r="T37" s="138" t="n"/>
      <c r="U37" s="138" t="n"/>
      <c r="V37" s="138" t="n"/>
      <c r="W37" s="138" t="n"/>
      <c r="X37" s="138" t="n"/>
      <c r="Y37" s="138" t="n"/>
      <c r="Z37" s="138" t="n"/>
      <c r="AA37" s="138" t="n"/>
      <c r="AB37" s="138" t="n"/>
      <c r="AC37" s="138" t="n"/>
      <c r="AD37" s="138" t="n"/>
      <c r="AE37" s="138" t="n"/>
      <c r="AF37" s="138" t="n"/>
      <c r="AG37" s="138" t="n"/>
      <c r="AH37" s="138" t="n"/>
      <c r="AI37" s="138" t="n"/>
      <c r="AJ37" s="138" t="n"/>
      <c r="AK37" s="138" t="n"/>
      <c r="AL37" s="138" t="n"/>
      <c r="AM37" s="138" t="n"/>
      <c r="AN37" s="138" t="n"/>
      <c r="AO37" s="138" t="n"/>
      <c r="AP37" s="138" t="n"/>
      <c r="AQ37" s="138" t="n"/>
      <c r="AR37" s="138" t="n"/>
      <c r="AS37" s="138" t="n"/>
      <c r="AT37" s="138" t="n"/>
      <c r="AU37" s="138" t="n"/>
      <c r="AV37" s="138" t="n"/>
      <c r="AW37" s="138" t="n"/>
      <c r="AX37" s="138" t="n"/>
      <c r="AY37" s="138" t="n"/>
      <c r="AZ37" s="138" t="n"/>
      <c r="BA37" s="138" t="n"/>
      <c r="BB37" s="138" t="n"/>
      <c r="BC37" s="138" t="n">
        <v>0</v>
      </c>
      <c r="BD37" s="138" t="n"/>
      <c r="BE37" s="138" t="n"/>
      <c r="BF37" s="138" t="n"/>
      <c r="BG37" s="138" t="n"/>
      <c r="BH37" s="138" t="n"/>
      <c r="BI37" s="138" t="n"/>
      <c r="BJ37" s="138" t="n"/>
      <c r="BK37" s="138" t="n"/>
      <c r="BL37" s="138" t="n"/>
      <c r="BM37" s="138" t="n"/>
      <c r="BN37" s="138" t="n"/>
      <c r="BO37" s="138" t="n"/>
      <c r="BP37" s="138" t="n"/>
      <c r="BQ37" s="138" t="n"/>
      <c r="BR37" s="138" t="n"/>
      <c r="BS37" s="138" t="n"/>
      <c r="BT37" s="138" t="n"/>
      <c r="BU37" s="138" t="n"/>
      <c r="BV37" s="138" t="n"/>
      <c r="BW37" s="138" t="n"/>
      <c r="BX37" s="138" t="n"/>
      <c r="BY37" s="138" t="n"/>
      <c r="BZ37" s="138" t="n"/>
      <c r="CA37" s="138" t="n"/>
      <c r="CB37" s="138" t="n"/>
      <c r="CC37" s="138" t="n"/>
      <c r="CD37" s="138" t="n"/>
      <c r="CE37" s="138" t="n"/>
      <c r="CF37" s="139" t="n">
        <v>0</v>
      </c>
    </row>
    <row r="38" ht="13.5" customHeight="1">
      <c r="A38" s="144" t="inlineStr">
        <is>
          <t>1239-233</t>
        </is>
      </c>
      <c r="B38" s="144" t="inlineStr">
        <is>
          <t>人参　洗い  400g(長有研)◇</t>
        </is>
      </c>
      <c r="C38" s="138" t="inlineStr">
        <is>
          <t>こもの</t>
        </is>
      </c>
      <c r="D38" s="138" t="n"/>
      <c r="E38" s="138" t="n"/>
      <c r="F38" s="138" t="n"/>
      <c r="G38" s="138" t="n"/>
      <c r="H38" s="138" t="n"/>
      <c r="I38" s="138" t="n"/>
      <c r="J38" s="138" t="n"/>
      <c r="K38" s="138" t="n"/>
      <c r="L38" s="138" t="n"/>
      <c r="M38" s="138" t="n"/>
      <c r="N38" s="138" t="n"/>
      <c r="O38" s="138" t="n"/>
      <c r="P38" s="138" t="n"/>
      <c r="Q38" s="138" t="n"/>
      <c r="R38" s="138" t="n"/>
      <c r="S38" s="138" t="n"/>
      <c r="T38" s="138" t="n"/>
      <c r="U38" s="138" t="n"/>
      <c r="V38" s="138" t="n"/>
      <c r="W38" s="138" t="n"/>
      <c r="X38" s="138" t="n"/>
      <c r="Y38" s="138" t="n"/>
      <c r="Z38" s="138" t="n"/>
      <c r="AA38" s="138" t="n"/>
      <c r="AB38" s="138" t="n"/>
      <c r="AC38" s="138" t="n"/>
      <c r="AD38" s="138" t="n"/>
      <c r="AE38" s="138" t="n"/>
      <c r="AF38" s="138" t="n"/>
      <c r="AG38" s="138" t="n"/>
      <c r="AH38" s="138" t="n"/>
      <c r="AI38" s="138" t="n"/>
      <c r="AJ38" s="138" t="n"/>
      <c r="AK38" s="138" t="n"/>
      <c r="AL38" s="138" t="n"/>
      <c r="AM38" s="138" t="n"/>
      <c r="AN38" s="138" t="n"/>
      <c r="AO38" s="138" t="n"/>
      <c r="AP38" s="138" t="n"/>
      <c r="AQ38" s="138" t="n"/>
      <c r="AR38" s="138" t="n"/>
      <c r="AS38" s="138" t="n"/>
      <c r="AT38" s="138" t="n"/>
      <c r="AU38" s="138" t="n"/>
      <c r="AV38" s="138" t="n"/>
      <c r="AW38" s="138" t="n"/>
      <c r="AX38" s="138" t="n"/>
      <c r="AY38" s="138" t="n"/>
      <c r="AZ38" s="138" t="n"/>
      <c r="BA38" s="138" t="n"/>
      <c r="BB38" s="138" t="n"/>
      <c r="BC38" s="138" t="n"/>
      <c r="BD38" s="138" t="n"/>
      <c r="BE38" s="138" t="n"/>
      <c r="BF38" s="138" t="n"/>
      <c r="BG38" s="138" t="n"/>
      <c r="BH38" s="138" t="n">
        <v>50</v>
      </c>
      <c r="BI38" s="138" t="n"/>
      <c r="BJ38" s="138" t="n"/>
      <c r="BK38" s="138" t="n"/>
      <c r="BL38" s="138" t="n"/>
      <c r="BM38" s="138" t="n"/>
      <c r="BN38" s="138" t="n"/>
      <c r="BO38" s="138" t="n"/>
      <c r="BP38" s="138" t="n"/>
      <c r="BQ38" s="138" t="n"/>
      <c r="BR38" s="138" t="n"/>
      <c r="BS38" s="138" t="n"/>
      <c r="BT38" s="138" t="n"/>
      <c r="BU38" s="138" t="n"/>
      <c r="BV38" s="138" t="n"/>
      <c r="BW38" s="138" t="n"/>
      <c r="BX38" s="138" t="n"/>
      <c r="BY38" s="138" t="n"/>
      <c r="BZ38" s="138" t="n"/>
      <c r="CA38" s="138" t="n"/>
      <c r="CB38" s="138" t="n"/>
      <c r="CC38" s="138" t="n"/>
      <c r="CD38" s="138" t="n"/>
      <c r="CE38" s="138" t="n"/>
      <c r="CF38" s="139" t="n">
        <v>50</v>
      </c>
    </row>
    <row r="39" ht="13.5" customHeight="1">
      <c r="A39" s="144" t="inlineStr">
        <is>
          <t>1241-194</t>
        </is>
      </c>
      <c r="B39" s="144" t="inlineStr">
        <is>
          <t>■有機人参 洗い LM 10kg箱（加瀬）</t>
        </is>
      </c>
      <c r="C39" s="138" t="inlineStr">
        <is>
          <t>箱</t>
        </is>
      </c>
      <c r="D39" s="138" t="n"/>
      <c r="E39" s="138" t="n"/>
      <c r="F39" s="138" t="n"/>
      <c r="G39" s="138" t="n">
        <v>1</v>
      </c>
      <c r="H39" s="138" t="n"/>
      <c r="I39" s="138" t="n">
        <v>2</v>
      </c>
      <c r="J39" s="138" t="n">
        <v>1</v>
      </c>
      <c r="K39" s="138" t="n"/>
      <c r="L39" s="138" t="n"/>
      <c r="M39" s="138" t="n"/>
      <c r="N39" s="138" t="n"/>
      <c r="O39" s="138" t="n"/>
      <c r="P39" s="138" t="n"/>
      <c r="Q39" s="138" t="n"/>
      <c r="R39" s="138" t="n"/>
      <c r="S39" s="138" t="n"/>
      <c r="T39" s="138" t="n"/>
      <c r="U39" s="138" t="n"/>
      <c r="V39" s="138" t="n"/>
      <c r="W39" s="138" t="n"/>
      <c r="X39" s="138" t="n"/>
      <c r="Y39" s="138" t="n"/>
      <c r="Z39" s="138" t="n"/>
      <c r="AA39" s="138" t="n"/>
      <c r="AB39" s="138" t="n"/>
      <c r="AC39" s="138" t="n"/>
      <c r="AD39" s="138" t="n">
        <v>1</v>
      </c>
      <c r="AE39" s="138" t="n"/>
      <c r="AF39" s="138" t="n"/>
      <c r="AG39" s="138" t="n"/>
      <c r="AH39" s="138" t="n"/>
      <c r="AI39" s="138" t="n"/>
      <c r="AJ39" s="138" t="n"/>
      <c r="AK39" s="138" t="n">
        <v>1</v>
      </c>
      <c r="AL39" s="138" t="n"/>
      <c r="AM39" s="138" t="n"/>
      <c r="AN39" s="138" t="n">
        <v>1</v>
      </c>
      <c r="AO39" s="138" t="n"/>
      <c r="AP39" s="138" t="n">
        <v>1</v>
      </c>
      <c r="AQ39" s="138" t="n">
        <v>1</v>
      </c>
      <c r="AR39" s="138" t="n"/>
      <c r="AS39" s="138" t="n"/>
      <c r="AT39" s="138" t="n"/>
      <c r="AU39" s="138" t="n"/>
      <c r="AV39" s="138" t="n"/>
      <c r="AW39" s="138" t="n"/>
      <c r="AX39" s="138" t="n"/>
      <c r="AY39" s="138" t="n"/>
      <c r="AZ39" s="138" t="n"/>
      <c r="BA39" s="138" t="n"/>
      <c r="BB39" s="138" t="n">
        <v>1</v>
      </c>
      <c r="BC39" s="138" t="n"/>
      <c r="BD39" s="138" t="n">
        <v>1</v>
      </c>
      <c r="BE39" s="138" t="n"/>
      <c r="BF39" s="138" t="n">
        <v>1</v>
      </c>
      <c r="BG39" s="138" t="n"/>
      <c r="BH39" s="138" t="n"/>
      <c r="BI39" s="138" t="n"/>
      <c r="BJ39" s="138" t="n"/>
      <c r="BK39" s="138" t="n"/>
      <c r="BL39" s="138" t="n"/>
      <c r="BM39" s="138" t="n"/>
      <c r="BN39" s="138" t="n"/>
      <c r="BO39" s="138" t="n"/>
      <c r="BP39" s="138" t="n"/>
      <c r="BQ39" s="138" t="n"/>
      <c r="BR39" s="138" t="n"/>
      <c r="BS39" s="138" t="n"/>
      <c r="BT39" s="138" t="n"/>
      <c r="BU39" s="138" t="n"/>
      <c r="BV39" s="138" t="n"/>
      <c r="BW39" s="138" t="n"/>
      <c r="BX39" s="138" t="n">
        <v>1</v>
      </c>
      <c r="BY39" s="138" t="n">
        <v>1</v>
      </c>
      <c r="BZ39" s="138" t="n"/>
      <c r="CA39" s="138" t="n"/>
      <c r="CB39" s="138" t="n"/>
      <c r="CC39" s="138" t="n"/>
      <c r="CD39" s="138" t="n"/>
      <c r="CE39" s="138" t="n"/>
      <c r="CF39" s="139" t="n">
        <v>14</v>
      </c>
    </row>
    <row r="40" ht="13.5" customHeight="1">
      <c r="A40" s="144" t="inlineStr">
        <is>
          <t>1241-197</t>
        </is>
      </c>
      <c r="B40" s="144" t="inlineStr">
        <is>
          <t>有機人参 洗い　400g(加瀬)◇</t>
        </is>
      </c>
      <c r="C40" s="138" t="inlineStr">
        <is>
          <t>こもの</t>
        </is>
      </c>
      <c r="D40" s="138" t="n">
        <v>5</v>
      </c>
      <c r="E40" s="138" t="n"/>
      <c r="F40" s="138" t="n">
        <v>5</v>
      </c>
      <c r="G40" s="138" t="n"/>
      <c r="H40" s="138" t="n"/>
      <c r="I40" s="138" t="n"/>
      <c r="J40" s="138" t="n"/>
      <c r="K40" s="138" t="n"/>
      <c r="L40" s="138" t="n"/>
      <c r="M40" s="138" t="n"/>
      <c r="N40" s="138" t="n"/>
      <c r="O40" s="138" t="n"/>
      <c r="P40" s="138" t="n"/>
      <c r="Q40" s="138" t="n"/>
      <c r="R40" s="138" t="n"/>
      <c r="S40" s="138" t="n">
        <v>5</v>
      </c>
      <c r="T40" s="138" t="n"/>
      <c r="U40" s="138" t="n">
        <v>5</v>
      </c>
      <c r="V40" s="138" t="n"/>
      <c r="W40" s="138" t="n"/>
      <c r="X40" s="138" t="n"/>
      <c r="Y40" s="138" t="n"/>
      <c r="Z40" s="138" t="n"/>
      <c r="AA40" s="138" t="n"/>
      <c r="AB40" s="138" t="n"/>
      <c r="AC40" s="138" t="n"/>
      <c r="AD40" s="138" t="n"/>
      <c r="AE40" s="138" t="n"/>
      <c r="AF40" s="138" t="n"/>
      <c r="AG40" s="138" t="n"/>
      <c r="AH40" s="138" t="n"/>
      <c r="AI40" s="138" t="n"/>
      <c r="AJ40" s="138" t="n"/>
      <c r="AK40" s="138" t="n"/>
      <c r="AL40" s="138" t="n"/>
      <c r="AM40" s="138" t="n"/>
      <c r="AN40" s="138" t="n"/>
      <c r="AO40" s="138" t="n">
        <v>5</v>
      </c>
      <c r="AP40" s="138" t="n"/>
      <c r="AQ40" s="138" t="n"/>
      <c r="AR40" s="138" t="n"/>
      <c r="AS40" s="138" t="n"/>
      <c r="AT40" s="138" t="n"/>
      <c r="AU40" s="138" t="n"/>
      <c r="AV40" s="138" t="n"/>
      <c r="AW40" s="138" t="n"/>
      <c r="AX40" s="138" t="n">
        <v>5</v>
      </c>
      <c r="AY40" s="138" t="n"/>
      <c r="AZ40" s="138" t="n">
        <v>4</v>
      </c>
      <c r="BA40" s="138" t="n"/>
      <c r="BB40" s="138" t="n"/>
      <c r="BC40" s="138" t="n"/>
      <c r="BD40" s="138" t="n"/>
      <c r="BE40" s="138" t="n">
        <v>3</v>
      </c>
      <c r="BF40" s="138" t="n"/>
      <c r="BG40" s="138" t="n"/>
      <c r="BH40" s="138" t="n"/>
      <c r="BI40" s="138" t="n">
        <v>50</v>
      </c>
      <c r="BJ40" s="138" t="n"/>
      <c r="BK40" s="138" t="n"/>
      <c r="BL40" s="138" t="n"/>
      <c r="BM40" s="138" t="n"/>
      <c r="BN40" s="138" t="n"/>
      <c r="BO40" s="138" t="n"/>
      <c r="BP40" s="138" t="n">
        <v>2</v>
      </c>
      <c r="BQ40" s="138" t="n"/>
      <c r="BR40" s="138" t="n"/>
      <c r="BS40" s="138" t="n"/>
      <c r="BT40" s="138" t="n"/>
      <c r="BU40" s="138" t="n"/>
      <c r="BV40" s="138" t="n"/>
      <c r="BW40" s="138" t="n">
        <v>5</v>
      </c>
      <c r="BX40" s="138" t="n"/>
      <c r="BY40" s="138" t="n"/>
      <c r="BZ40" s="138" t="n"/>
      <c r="CA40" s="138" t="n"/>
      <c r="CB40" s="138" t="n"/>
      <c r="CC40" s="138" t="n">
        <v>15</v>
      </c>
      <c r="CD40" s="138" t="n"/>
      <c r="CE40" s="138" t="n">
        <v>7</v>
      </c>
      <c r="CF40" s="139" t="n">
        <v>116</v>
      </c>
    </row>
    <row r="41" ht="13.5" customHeight="1">
      <c r="A41" s="144" t="inlineStr">
        <is>
          <t>1241-519</t>
        </is>
      </c>
      <c r="B41" s="144" t="inlineStr">
        <is>
          <t>有機人参 洗い 400ｇ(キテレツ・産ﾊﾟ)</t>
        </is>
      </c>
      <c r="C41" s="138" t="inlineStr">
        <is>
          <t>こもの</t>
        </is>
      </c>
      <c r="D41" s="138" t="n"/>
      <c r="E41" s="138" t="n"/>
      <c r="F41" s="138" t="n"/>
      <c r="G41" s="138" t="n"/>
      <c r="H41" s="138" t="n"/>
      <c r="I41" s="138" t="n"/>
      <c r="J41" s="138" t="n"/>
      <c r="K41" s="138" t="n"/>
      <c r="L41" s="138" t="n"/>
      <c r="M41" s="138" t="n"/>
      <c r="N41" s="138" t="n"/>
      <c r="O41" s="138" t="n"/>
      <c r="P41" s="138" t="n"/>
      <c r="Q41" s="138" t="n"/>
      <c r="R41" s="138" t="n"/>
      <c r="S41" s="138" t="n"/>
      <c r="T41" s="138" t="n"/>
      <c r="U41" s="138" t="n"/>
      <c r="V41" s="138" t="n"/>
      <c r="W41" s="138" t="n"/>
      <c r="X41" s="138" t="n"/>
      <c r="Y41" s="138" t="n"/>
      <c r="Z41" s="138" t="n"/>
      <c r="AA41" s="138" t="n"/>
      <c r="AB41" s="138" t="n"/>
      <c r="AC41" s="138" t="n"/>
      <c r="AD41" s="138" t="n"/>
      <c r="AE41" s="138" t="n"/>
      <c r="AF41" s="138" t="n"/>
      <c r="AG41" s="138" t="n"/>
      <c r="AH41" s="138" t="n"/>
      <c r="AI41" s="138" t="n"/>
      <c r="AJ41" s="138" t="n"/>
      <c r="AK41" s="138" t="n"/>
      <c r="AL41" s="138" t="n"/>
      <c r="AM41" s="138" t="n"/>
      <c r="AN41" s="138" t="n"/>
      <c r="AO41" s="138" t="n"/>
      <c r="AP41" s="138" t="n"/>
      <c r="AQ41" s="138" t="n"/>
      <c r="AR41" s="138" t="n"/>
      <c r="AS41" s="138" t="n"/>
      <c r="AT41" s="138" t="n"/>
      <c r="AU41" s="138" t="n"/>
      <c r="AV41" s="138" t="n"/>
      <c r="AW41" s="138" t="n"/>
      <c r="AX41" s="138" t="n"/>
      <c r="AY41" s="138" t="n"/>
      <c r="AZ41" s="138" t="n"/>
      <c r="BA41" s="138" t="n"/>
      <c r="BB41" s="138" t="n"/>
      <c r="BC41" s="138" t="n"/>
      <c r="BD41" s="138" t="n"/>
      <c r="BE41" s="138" t="n"/>
      <c r="BF41" s="138" t="n"/>
      <c r="BG41" s="138" t="n"/>
      <c r="BH41" s="138" t="n"/>
      <c r="BI41" s="138" t="n"/>
      <c r="BJ41" s="138" t="n"/>
      <c r="BK41" s="138" t="n"/>
      <c r="BL41" s="138" t="n"/>
      <c r="BM41" s="138" t="n"/>
      <c r="BN41" s="138" t="n"/>
      <c r="BO41" s="138" t="n"/>
      <c r="BP41" s="138" t="n"/>
      <c r="BQ41" s="138" t="n"/>
      <c r="BR41" s="138" t="n"/>
      <c r="BS41" s="138" t="n"/>
      <c r="BT41" s="138" t="n"/>
      <c r="BU41" s="138" t="n"/>
      <c r="BV41" s="138" t="n"/>
      <c r="BW41" s="138" t="n"/>
      <c r="BX41" s="138" t="n"/>
      <c r="BY41" s="138" t="n"/>
      <c r="BZ41" s="138" t="n"/>
      <c r="CA41" s="138" t="n">
        <v>10</v>
      </c>
      <c r="CB41" s="138" t="n"/>
      <c r="CC41" s="138" t="n"/>
      <c r="CD41" s="138" t="n"/>
      <c r="CE41" s="138" t="n"/>
      <c r="CF41" s="139" t="n">
        <v>10</v>
      </c>
    </row>
    <row r="42" ht="13.5" customHeight="1">
      <c r="A42" s="144" t="inlineStr">
        <is>
          <t>1241-640</t>
        </is>
      </c>
      <c r="B42" s="144" t="inlineStr">
        <is>
          <t>有機人参 洗い 400g（ｷﾃﾚﾂﾌｧｰﾑ)◇</t>
        </is>
      </c>
      <c r="C42" s="138" t="inlineStr">
        <is>
          <t>こもの</t>
        </is>
      </c>
      <c r="D42" s="138" t="n"/>
      <c r="E42" s="138" t="n"/>
      <c r="F42" s="138" t="n"/>
      <c r="G42" s="138" t="n"/>
      <c r="H42" s="138" t="n"/>
      <c r="I42" s="138" t="n"/>
      <c r="J42" s="138" t="n"/>
      <c r="K42" s="138" t="n"/>
      <c r="L42" s="138" t="n"/>
      <c r="M42" s="138" t="n"/>
      <c r="N42" s="138" t="n"/>
      <c r="O42" s="138" t="n"/>
      <c r="P42" s="138" t="n"/>
      <c r="Q42" s="138" t="n"/>
      <c r="R42" s="138" t="n"/>
      <c r="S42" s="138" t="n"/>
      <c r="T42" s="138" t="n"/>
      <c r="U42" s="138" t="n"/>
      <c r="V42" s="138" t="n"/>
      <c r="W42" s="138" t="n"/>
      <c r="X42" s="138" t="n"/>
      <c r="Y42" s="138" t="n"/>
      <c r="Z42" s="138" t="n"/>
      <c r="AA42" s="138" t="n"/>
      <c r="AB42" s="138" t="n"/>
      <c r="AC42" s="138" t="n"/>
      <c r="AD42" s="138" t="n"/>
      <c r="AE42" s="138" t="n"/>
      <c r="AF42" s="138" t="n"/>
      <c r="AG42" s="138" t="n"/>
      <c r="AH42" s="138" t="n"/>
      <c r="AI42" s="138" t="n"/>
      <c r="AJ42" s="138" t="n"/>
      <c r="AK42" s="138" t="n"/>
      <c r="AL42" s="138" t="n"/>
      <c r="AM42" s="138" t="n"/>
      <c r="AN42" s="138" t="n"/>
      <c r="AO42" s="138" t="n"/>
      <c r="AP42" s="138" t="n"/>
      <c r="AQ42" s="138" t="n"/>
      <c r="AR42" s="138" t="n"/>
      <c r="AS42" s="138" t="n"/>
      <c r="AT42" s="138" t="n"/>
      <c r="AU42" s="138" t="n"/>
      <c r="AV42" s="138" t="n"/>
      <c r="AW42" s="138" t="n"/>
      <c r="AX42" s="138" t="n"/>
      <c r="AY42" s="138" t="n"/>
      <c r="AZ42" s="138" t="n"/>
      <c r="BA42" s="138" t="n"/>
      <c r="BB42" s="138" t="n"/>
      <c r="BC42" s="138" t="n"/>
      <c r="BD42" s="138" t="n"/>
      <c r="BE42" s="138" t="n"/>
      <c r="BF42" s="138" t="n"/>
      <c r="BG42" s="138" t="n"/>
      <c r="BH42" s="138" t="n"/>
      <c r="BI42" s="138" t="n"/>
      <c r="BJ42" s="138" t="n"/>
      <c r="BK42" s="138" t="n"/>
      <c r="BL42" s="138" t="n"/>
      <c r="BM42" s="138" t="n"/>
      <c r="BN42" s="138" t="n"/>
      <c r="BO42" s="138" t="n"/>
      <c r="BP42" s="138" t="n"/>
      <c r="BQ42" s="138" t="n"/>
      <c r="BR42" s="138" t="n"/>
      <c r="BS42" s="138" t="n"/>
      <c r="BT42" s="138" t="n"/>
      <c r="BU42" s="138" t="n"/>
      <c r="BV42" s="138" t="n"/>
      <c r="BW42" s="138" t="n"/>
      <c r="BX42" s="138" t="n"/>
      <c r="BY42" s="138" t="n"/>
      <c r="BZ42" s="138" t="n"/>
      <c r="CA42" s="138" t="n"/>
      <c r="CB42" s="138" t="n"/>
      <c r="CC42" s="138" t="n">
        <v>5</v>
      </c>
      <c r="CD42" s="138" t="n"/>
      <c r="CE42" s="138" t="n"/>
      <c r="CF42" s="139" t="n">
        <v>5</v>
      </c>
    </row>
    <row r="43" ht="13.5" customHeight="1">
      <c r="A43" s="144" t="inlineStr">
        <is>
          <t>1241-644</t>
        </is>
      </c>
      <c r="B43" s="144" t="inlineStr">
        <is>
          <t>有機人参 洗い 400ｇ◇×10(吉水)東一</t>
        </is>
      </c>
      <c r="C43" s="138" t="inlineStr">
        <is>
          <t>こもの</t>
        </is>
      </c>
      <c r="D43" s="138" t="n"/>
      <c r="E43" s="138" t="n"/>
      <c r="F43" s="138" t="n"/>
      <c r="G43" s="138" t="n"/>
      <c r="H43" s="138" t="n"/>
      <c r="I43" s="138" t="n"/>
      <c r="J43" s="138" t="n"/>
      <c r="K43" s="138" t="n"/>
      <c r="L43" s="138" t="n"/>
      <c r="M43" s="138" t="n"/>
      <c r="N43" s="138" t="n"/>
      <c r="O43" s="138" t="n"/>
      <c r="P43" s="138" t="n"/>
      <c r="Q43" s="138" t="n"/>
      <c r="R43" s="138" t="n"/>
      <c r="S43" s="138" t="n"/>
      <c r="T43" s="138" t="n"/>
      <c r="U43" s="138" t="n"/>
      <c r="V43" s="138" t="n"/>
      <c r="W43" s="138" t="n"/>
      <c r="X43" s="138" t="n"/>
      <c r="Y43" s="138" t="n"/>
      <c r="Z43" s="138" t="n"/>
      <c r="AA43" s="138" t="n"/>
      <c r="AB43" s="138" t="n"/>
      <c r="AC43" s="138" t="n"/>
      <c r="AD43" s="138" t="n"/>
      <c r="AE43" s="138" t="n"/>
      <c r="AF43" s="138" t="n"/>
      <c r="AG43" s="138" t="n"/>
      <c r="AH43" s="138" t="n"/>
      <c r="AI43" s="138" t="n"/>
      <c r="AJ43" s="138" t="n"/>
      <c r="AK43" s="138" t="n"/>
      <c r="AL43" s="138" t="n"/>
      <c r="AM43" s="138" t="n"/>
      <c r="AN43" s="138" t="n"/>
      <c r="AO43" s="138" t="n"/>
      <c r="AP43" s="138" t="n"/>
      <c r="AQ43" s="138" t="n"/>
      <c r="AR43" s="138" t="n"/>
      <c r="AS43" s="138" t="n"/>
      <c r="AT43" s="138" t="n"/>
      <c r="AU43" s="138" t="n"/>
      <c r="AV43" s="138" t="n"/>
      <c r="AW43" s="138" t="n"/>
      <c r="AX43" s="138" t="n"/>
      <c r="AY43" s="138" t="n"/>
      <c r="AZ43" s="138" t="n"/>
      <c r="BA43" s="138" t="n"/>
      <c r="BB43" s="138" t="n"/>
      <c r="BC43" s="138" t="n">
        <v>0</v>
      </c>
      <c r="BD43" s="138" t="n"/>
      <c r="BE43" s="138" t="n"/>
      <c r="BF43" s="138" t="n"/>
      <c r="BG43" s="138" t="n"/>
      <c r="BH43" s="138" t="n"/>
      <c r="BI43" s="138" t="n"/>
      <c r="BJ43" s="138" t="n"/>
      <c r="BK43" s="138" t="n"/>
      <c r="BL43" s="138" t="n"/>
      <c r="BM43" s="138" t="n"/>
      <c r="BN43" s="138" t="n"/>
      <c r="BO43" s="138" t="n"/>
      <c r="BP43" s="138" t="n"/>
      <c r="BQ43" s="138" t="n"/>
      <c r="BR43" s="138" t="n"/>
      <c r="BS43" s="138" t="n"/>
      <c r="BT43" s="138" t="n"/>
      <c r="BU43" s="138" t="n"/>
      <c r="BV43" s="138" t="n"/>
      <c r="BW43" s="138" t="n"/>
      <c r="BX43" s="138" t="n"/>
      <c r="BY43" s="138" t="n"/>
      <c r="BZ43" s="138" t="n"/>
      <c r="CA43" s="138" t="n"/>
      <c r="CB43" s="138" t="n"/>
      <c r="CC43" s="138" t="n"/>
      <c r="CD43" s="138" t="n"/>
      <c r="CE43" s="138" t="n"/>
      <c r="CF43" s="139" t="n">
        <v>0</v>
      </c>
    </row>
    <row r="44" ht="13.5" customHeight="1">
      <c r="A44" s="144" t="inlineStr">
        <is>
          <t>1248-25</t>
        </is>
      </c>
      <c r="B44" s="144" t="inlineStr">
        <is>
          <t>有機葉付人参 2～4本入 (加瀬)</t>
        </is>
      </c>
      <c r="C44" s="138" t="inlineStr">
        <is>
          <t>こもの</t>
        </is>
      </c>
      <c r="D44" s="138" t="n"/>
      <c r="E44" s="138" t="n"/>
      <c r="F44" s="138" t="n"/>
      <c r="G44" s="138" t="n"/>
      <c r="H44" s="138" t="n"/>
      <c r="I44" s="138" t="n">
        <v>3</v>
      </c>
      <c r="J44" s="138" t="n"/>
      <c r="K44" s="138" t="n"/>
      <c r="L44" s="138" t="n"/>
      <c r="M44" s="138" t="n"/>
      <c r="N44" s="138" t="n"/>
      <c r="O44" s="138" t="n">
        <v>3</v>
      </c>
      <c r="P44" s="138" t="n"/>
      <c r="Q44" s="138" t="n"/>
      <c r="R44" s="138" t="n">
        <v>3</v>
      </c>
      <c r="S44" s="138" t="n">
        <v>3</v>
      </c>
      <c r="T44" s="138" t="n"/>
      <c r="U44" s="138" t="n"/>
      <c r="V44" s="138" t="n">
        <v>3</v>
      </c>
      <c r="W44" s="138" t="n"/>
      <c r="X44" s="138" t="n">
        <v>3</v>
      </c>
      <c r="Y44" s="138" t="n"/>
      <c r="Z44" s="138" t="n"/>
      <c r="AA44" s="138" t="n">
        <v>3</v>
      </c>
      <c r="AB44" s="138" t="n">
        <v>2</v>
      </c>
      <c r="AC44" s="138" t="n"/>
      <c r="AD44" s="138" t="n"/>
      <c r="AE44" s="138" t="n"/>
      <c r="AF44" s="138" t="n"/>
      <c r="AG44" s="138" t="n">
        <v>3</v>
      </c>
      <c r="AH44" s="138" t="n"/>
      <c r="AI44" s="138" t="n"/>
      <c r="AJ44" s="138" t="n"/>
      <c r="AK44" s="138" t="n"/>
      <c r="AL44" s="138" t="n"/>
      <c r="AM44" s="138" t="n"/>
      <c r="AN44" s="138" t="n"/>
      <c r="AO44" s="138" t="n"/>
      <c r="AP44" s="138" t="n">
        <v>3</v>
      </c>
      <c r="AQ44" s="138" t="n"/>
      <c r="AR44" s="138" t="n"/>
      <c r="AS44" s="138" t="n"/>
      <c r="AT44" s="138" t="n"/>
      <c r="AU44" s="138" t="n"/>
      <c r="AV44" s="138" t="n"/>
      <c r="AW44" s="138" t="n">
        <v>3</v>
      </c>
      <c r="AX44" s="138" t="n">
        <v>4</v>
      </c>
      <c r="AY44" s="138" t="n"/>
      <c r="AZ44" s="138" t="n"/>
      <c r="BA44" s="138" t="n">
        <v>3</v>
      </c>
      <c r="BB44" s="138" t="n">
        <v>3</v>
      </c>
      <c r="BC44" s="138" t="n"/>
      <c r="BD44" s="138" t="n"/>
      <c r="BE44" s="138" t="n"/>
      <c r="BF44" s="138" t="n">
        <v>3</v>
      </c>
      <c r="BG44" s="138" t="n"/>
      <c r="BH44" s="138" t="n"/>
      <c r="BI44" s="138" t="n"/>
      <c r="BJ44" s="138" t="n"/>
      <c r="BK44" s="138" t="n"/>
      <c r="BL44" s="138" t="n"/>
      <c r="BM44" s="138" t="n"/>
      <c r="BN44" s="138" t="n"/>
      <c r="BO44" s="138" t="n"/>
      <c r="BP44" s="138" t="n"/>
      <c r="BQ44" s="138" t="n"/>
      <c r="BR44" s="138" t="n"/>
      <c r="BS44" s="138" t="n"/>
      <c r="BT44" s="138" t="n"/>
      <c r="BU44" s="138" t="n"/>
      <c r="BV44" s="138" t="n"/>
      <c r="BW44" s="138" t="n"/>
      <c r="BX44" s="138" t="n"/>
      <c r="BY44" s="138" t="n"/>
      <c r="BZ44" s="138" t="n"/>
      <c r="CA44" s="138" t="n"/>
      <c r="CB44" s="138" t="n"/>
      <c r="CC44" s="138" t="n"/>
      <c r="CD44" s="138" t="n"/>
      <c r="CE44" s="138" t="n"/>
      <c r="CF44" s="139" t="n">
        <v>45</v>
      </c>
    </row>
    <row r="45" ht="13.5" customHeight="1">
      <c r="A45" s="144" t="inlineStr">
        <is>
          <t>1250-35</t>
        </is>
      </c>
      <c r="B45" s="144" t="inlineStr">
        <is>
          <t>有機ごぼう 泥  200ｇ（みちのく）</t>
        </is>
      </c>
      <c r="C45" s="138" t="inlineStr">
        <is>
          <t>こもの</t>
        </is>
      </c>
      <c r="D45" s="138" t="n">
        <v>2</v>
      </c>
      <c r="E45" s="138" t="n"/>
      <c r="F45" s="138" t="n"/>
      <c r="G45" s="138" t="n"/>
      <c r="H45" s="138" t="n"/>
      <c r="I45" s="138" t="n"/>
      <c r="J45" s="138" t="n"/>
      <c r="K45" s="138" t="n"/>
      <c r="L45" s="138" t="n"/>
      <c r="M45" s="138" t="n"/>
      <c r="N45" s="138" t="n">
        <v>3</v>
      </c>
      <c r="O45" s="138" t="n"/>
      <c r="P45" s="138" t="n"/>
      <c r="Q45" s="138" t="n"/>
      <c r="R45" s="138" t="n">
        <v>4</v>
      </c>
      <c r="S45" s="138" t="n"/>
      <c r="T45" s="138" t="n"/>
      <c r="U45" s="138" t="n"/>
      <c r="V45" s="138" t="n"/>
      <c r="W45" s="138" t="n"/>
      <c r="X45" s="138" t="n">
        <v>6</v>
      </c>
      <c r="Y45" s="138" t="n"/>
      <c r="Z45" s="138" t="n"/>
      <c r="AA45" s="138" t="n"/>
      <c r="AB45" s="138" t="n"/>
      <c r="AC45" s="138" t="n"/>
      <c r="AD45" s="138" t="n"/>
      <c r="AE45" s="138" t="n"/>
      <c r="AF45" s="138" t="n"/>
      <c r="AG45" s="138" t="n"/>
      <c r="AH45" s="138" t="n"/>
      <c r="AI45" s="138" t="n"/>
      <c r="AJ45" s="138" t="n"/>
      <c r="AK45" s="138" t="n">
        <v>5</v>
      </c>
      <c r="AL45" s="138" t="n">
        <v>8</v>
      </c>
      <c r="AM45" s="138" t="n"/>
      <c r="AN45" s="138" t="n"/>
      <c r="AO45" s="138" t="n">
        <v>2</v>
      </c>
      <c r="AP45" s="138" t="n"/>
      <c r="AQ45" s="138" t="n"/>
      <c r="AR45" s="138" t="n"/>
      <c r="AS45" s="138" t="n"/>
      <c r="AT45" s="138" t="n"/>
      <c r="AU45" s="138" t="n"/>
      <c r="AV45" s="138" t="n"/>
      <c r="AW45" s="138" t="n"/>
      <c r="AX45" s="138" t="n"/>
      <c r="AY45" s="138" t="n"/>
      <c r="AZ45" s="138" t="n">
        <v>2</v>
      </c>
      <c r="BA45" s="138" t="n">
        <v>3</v>
      </c>
      <c r="BB45" s="138" t="n"/>
      <c r="BC45" s="138" t="n"/>
      <c r="BD45" s="138" t="n"/>
      <c r="BE45" s="138" t="n"/>
      <c r="BF45" s="138" t="n">
        <v>5</v>
      </c>
      <c r="BG45" s="138" t="n"/>
      <c r="BH45" s="138" t="n">
        <v>10</v>
      </c>
      <c r="BI45" s="138" t="n"/>
      <c r="BJ45" s="138" t="n"/>
      <c r="BK45" s="138" t="n"/>
      <c r="BL45" s="138" t="n"/>
      <c r="BM45" s="138" t="n"/>
      <c r="BN45" s="138" t="n"/>
      <c r="BO45" s="138" t="n"/>
      <c r="BP45" s="138" t="n"/>
      <c r="BQ45" s="138" t="n"/>
      <c r="BR45" s="138" t="n"/>
      <c r="BS45" s="138" t="n"/>
      <c r="BT45" s="138" t="n"/>
      <c r="BU45" s="138" t="n"/>
      <c r="BV45" s="138" t="n"/>
      <c r="BW45" s="138" t="n"/>
      <c r="BX45" s="138" t="n"/>
      <c r="BY45" s="138" t="n"/>
      <c r="BZ45" s="138" t="n"/>
      <c r="CA45" s="138" t="n"/>
      <c r="CB45" s="138" t="n"/>
      <c r="CC45" s="138" t="n"/>
      <c r="CD45" s="138" t="n">
        <v>6</v>
      </c>
      <c r="CE45" s="138" t="n"/>
      <c r="CF45" s="139" t="n">
        <v>56</v>
      </c>
    </row>
    <row r="46" ht="13.5" customHeight="1">
      <c r="A46" s="144" t="inlineStr">
        <is>
          <t>1250-70</t>
        </is>
      </c>
      <c r="B46" s="144" t="inlineStr">
        <is>
          <t>有機ごぼう 泥200g×５(みちのく)東一</t>
        </is>
      </c>
      <c r="C46" s="138" t="inlineStr">
        <is>
          <t>こもの</t>
        </is>
      </c>
      <c r="D46" s="138" t="n"/>
      <c r="E46" s="138" t="n"/>
      <c r="F46" s="138" t="n"/>
      <c r="G46" s="138" t="n"/>
      <c r="H46" s="138" t="n"/>
      <c r="I46" s="138" t="n"/>
      <c r="J46" s="138" t="n"/>
      <c r="K46" s="138" t="n"/>
      <c r="L46" s="138" t="n"/>
      <c r="M46" s="138" t="n"/>
      <c r="N46" s="138" t="n"/>
      <c r="O46" s="138" t="n"/>
      <c r="P46" s="138" t="n"/>
      <c r="Q46" s="138" t="n"/>
      <c r="R46" s="138" t="n"/>
      <c r="S46" s="138" t="n"/>
      <c r="T46" s="138" t="n"/>
      <c r="U46" s="138" t="n"/>
      <c r="V46" s="138" t="n"/>
      <c r="W46" s="138" t="n"/>
      <c r="X46" s="138" t="n"/>
      <c r="Y46" s="138" t="n"/>
      <c r="Z46" s="138" t="n"/>
      <c r="AA46" s="138" t="n"/>
      <c r="AB46" s="138" t="n"/>
      <c r="AC46" s="138" t="n"/>
      <c r="AD46" s="138" t="n"/>
      <c r="AE46" s="138" t="n"/>
      <c r="AF46" s="138" t="n"/>
      <c r="AG46" s="138" t="n"/>
      <c r="AH46" s="138" t="n"/>
      <c r="AI46" s="138" t="n"/>
      <c r="AJ46" s="138" t="n"/>
      <c r="AK46" s="138" t="n"/>
      <c r="AL46" s="138" t="n"/>
      <c r="AM46" s="138" t="n"/>
      <c r="AN46" s="138" t="n"/>
      <c r="AO46" s="138" t="n"/>
      <c r="AP46" s="138" t="n"/>
      <c r="AQ46" s="138" t="n"/>
      <c r="AR46" s="138" t="n"/>
      <c r="AS46" s="138" t="n"/>
      <c r="AT46" s="138" t="n"/>
      <c r="AU46" s="138" t="n"/>
      <c r="AV46" s="138" t="n"/>
      <c r="AW46" s="138" t="n"/>
      <c r="AX46" s="138" t="n"/>
      <c r="AY46" s="138" t="n"/>
      <c r="AZ46" s="138" t="n"/>
      <c r="BA46" s="138" t="n"/>
      <c r="BB46" s="138" t="n"/>
      <c r="BC46" s="138" t="n">
        <v>2</v>
      </c>
      <c r="BD46" s="138" t="n"/>
      <c r="BE46" s="138" t="n"/>
      <c r="BF46" s="138" t="n"/>
      <c r="BG46" s="138" t="n"/>
      <c r="BH46" s="138" t="n"/>
      <c r="BI46" s="138" t="n"/>
      <c r="BJ46" s="138" t="n"/>
      <c r="BK46" s="138" t="n"/>
      <c r="BL46" s="138" t="n"/>
      <c r="BM46" s="138" t="n"/>
      <c r="BN46" s="138" t="n"/>
      <c r="BO46" s="138" t="n"/>
      <c r="BP46" s="138" t="n"/>
      <c r="BQ46" s="138" t="n"/>
      <c r="BR46" s="138" t="n"/>
      <c r="BS46" s="138" t="n"/>
      <c r="BT46" s="138" t="n"/>
      <c r="BU46" s="138" t="n"/>
      <c r="BV46" s="138" t="n"/>
      <c r="BW46" s="138" t="n"/>
      <c r="BX46" s="138" t="n"/>
      <c r="BY46" s="138" t="n"/>
      <c r="BZ46" s="138" t="n"/>
      <c r="CA46" s="138" t="n"/>
      <c r="CB46" s="138" t="n"/>
      <c r="CC46" s="138" t="n"/>
      <c r="CD46" s="138" t="n"/>
      <c r="CE46" s="138" t="n"/>
      <c r="CF46" s="139" t="n">
        <v>2</v>
      </c>
    </row>
    <row r="47" ht="13.5" customHeight="1">
      <c r="A47" s="144" t="inlineStr">
        <is>
          <t>1250-91</t>
        </is>
      </c>
      <c r="B47" s="144" t="inlineStr">
        <is>
          <t>ごぼう 泥  200ｇ(津軽産直組合)不不</t>
        </is>
      </c>
      <c r="C47" s="138" t="inlineStr">
        <is>
          <t>こもの</t>
        </is>
      </c>
      <c r="D47" s="138" t="n"/>
      <c r="E47" s="138" t="n"/>
      <c r="F47" s="138" t="n"/>
      <c r="G47" s="138" t="n">
        <v>2</v>
      </c>
      <c r="H47" s="138" t="n"/>
      <c r="I47" s="138" t="n"/>
      <c r="J47" s="138" t="n"/>
      <c r="K47" s="138" t="n"/>
      <c r="L47" s="138" t="n">
        <v>10</v>
      </c>
      <c r="M47" s="138" t="n"/>
      <c r="N47" s="138" t="n"/>
      <c r="O47" s="138" t="n"/>
      <c r="P47" s="138" t="n"/>
      <c r="Q47" s="138" t="n"/>
      <c r="R47" s="138" t="n"/>
      <c r="S47" s="138" t="n"/>
      <c r="T47" s="138" t="n"/>
      <c r="U47" s="138" t="n">
        <v>4</v>
      </c>
      <c r="V47" s="138" t="n"/>
      <c r="W47" s="138" t="n"/>
      <c r="X47" s="138" t="n"/>
      <c r="Y47" s="138" t="n">
        <v>3</v>
      </c>
      <c r="Z47" s="138" t="n"/>
      <c r="AA47" s="138" t="n"/>
      <c r="AB47" s="138" t="n"/>
      <c r="AC47" s="138" t="n"/>
      <c r="AD47" s="138" t="n"/>
      <c r="AE47" s="138" t="n"/>
      <c r="AF47" s="138" t="n"/>
      <c r="AG47" s="138" t="n"/>
      <c r="AH47" s="138" t="n">
        <v>10</v>
      </c>
      <c r="AI47" s="138" t="n"/>
      <c r="AJ47" s="138" t="n"/>
      <c r="AK47" s="138" t="n"/>
      <c r="AL47" s="138" t="n"/>
      <c r="AM47" s="138" t="n"/>
      <c r="AN47" s="138" t="n"/>
      <c r="AO47" s="138" t="n"/>
      <c r="AP47" s="138" t="n"/>
      <c r="AQ47" s="138" t="n"/>
      <c r="AR47" s="138" t="n">
        <v>3</v>
      </c>
      <c r="AS47" s="138" t="n"/>
      <c r="AT47" s="138" t="n"/>
      <c r="AU47" s="138" t="n"/>
      <c r="AV47" s="138" t="n"/>
      <c r="AW47" s="138" t="n"/>
      <c r="AX47" s="138" t="n">
        <v>15</v>
      </c>
      <c r="AY47" s="138" t="n"/>
      <c r="AZ47" s="138" t="n"/>
      <c r="BA47" s="138" t="n"/>
      <c r="BB47" s="138" t="n"/>
      <c r="BC47" s="138" t="n"/>
      <c r="BD47" s="138" t="n">
        <v>4</v>
      </c>
      <c r="BE47" s="138" t="n"/>
      <c r="BF47" s="138" t="n"/>
      <c r="BG47" s="138" t="n"/>
      <c r="BH47" s="138" t="n"/>
      <c r="BI47" s="138" t="n"/>
      <c r="BJ47" s="138" t="n"/>
      <c r="BK47" s="138" t="n"/>
      <c r="BL47" s="138" t="n"/>
      <c r="BM47" s="138" t="n"/>
      <c r="BN47" s="138" t="n"/>
      <c r="BO47" s="138" t="n"/>
      <c r="BP47" s="138" t="n"/>
      <c r="BQ47" s="138" t="n"/>
      <c r="BR47" s="138" t="n"/>
      <c r="BS47" s="138" t="n"/>
      <c r="BT47" s="138" t="n"/>
      <c r="BU47" s="138" t="n"/>
      <c r="BV47" s="138" t="n"/>
      <c r="BW47" s="138" t="n"/>
      <c r="BX47" s="138" t="n"/>
      <c r="BY47" s="138" t="n"/>
      <c r="BZ47" s="138" t="n"/>
      <c r="CA47" s="138" t="n"/>
      <c r="CB47" s="138" t="n"/>
      <c r="CC47" s="138" t="n"/>
      <c r="CD47" s="138" t="n"/>
      <c r="CE47" s="138" t="n"/>
      <c r="CF47" s="139" t="n">
        <v>51</v>
      </c>
    </row>
    <row r="48" ht="13.5" customHeight="1">
      <c r="A48" s="144" t="inlineStr">
        <is>
          <t>1261-147</t>
        </is>
      </c>
      <c r="B48" s="144" t="inlineStr">
        <is>
          <t>■有機大根 洗い 裸 10本(丸和)</t>
        </is>
      </c>
      <c r="C48" s="138" t="inlineStr">
        <is>
          <t>箱</t>
        </is>
      </c>
      <c r="D48" s="138" t="n"/>
      <c r="E48" s="138" t="n"/>
      <c r="F48" s="138" t="n"/>
      <c r="G48" s="138" t="n"/>
      <c r="H48" s="138" t="n"/>
      <c r="I48" s="138" t="n"/>
      <c r="J48" s="138" t="n"/>
      <c r="K48" s="138" t="n">
        <v>1</v>
      </c>
      <c r="L48" s="138" t="n"/>
      <c r="M48" s="138" t="n"/>
      <c r="N48" s="138" t="n"/>
      <c r="O48" s="138" t="n"/>
      <c r="P48" s="138" t="n">
        <v>1</v>
      </c>
      <c r="Q48" s="138" t="n"/>
      <c r="R48" s="138" t="n"/>
      <c r="S48" s="138" t="n"/>
      <c r="T48" s="138" t="n"/>
      <c r="U48" s="138" t="n"/>
      <c r="V48" s="138" t="n"/>
      <c r="W48" s="138" t="n"/>
      <c r="X48" s="138" t="n"/>
      <c r="Y48" s="138" t="n"/>
      <c r="Z48" s="138" t="n"/>
      <c r="AA48" s="138" t="n"/>
      <c r="AB48" s="138" t="n"/>
      <c r="AC48" s="138" t="n"/>
      <c r="AD48" s="138" t="n">
        <v>1</v>
      </c>
      <c r="AE48" s="138" t="n"/>
      <c r="AF48" s="138" t="n"/>
      <c r="AG48" s="138" t="n"/>
      <c r="AH48" s="138" t="n"/>
      <c r="AI48" s="138" t="n">
        <v>1</v>
      </c>
      <c r="AJ48" s="138" t="n"/>
      <c r="AK48" s="138" t="n"/>
      <c r="AL48" s="138" t="n">
        <v>1</v>
      </c>
      <c r="AM48" s="138" t="n"/>
      <c r="AN48" s="138" t="n"/>
      <c r="AO48" s="138" t="n"/>
      <c r="AP48" s="138" t="n"/>
      <c r="AQ48" s="138" t="n"/>
      <c r="AR48" s="138" t="n"/>
      <c r="AS48" s="138" t="n"/>
      <c r="AT48" s="138" t="n"/>
      <c r="AU48" s="138" t="n">
        <v>1</v>
      </c>
      <c r="AV48" s="138" t="n"/>
      <c r="AW48" s="138" t="n"/>
      <c r="AX48" s="138" t="n"/>
      <c r="AY48" s="138" t="n"/>
      <c r="AZ48" s="138" t="n"/>
      <c r="BA48" s="138" t="n">
        <v>1</v>
      </c>
      <c r="BB48" s="138" t="n">
        <v>1</v>
      </c>
      <c r="BC48" s="138" t="n"/>
      <c r="BD48" s="138" t="n"/>
      <c r="BE48" s="138" t="n"/>
      <c r="BF48" s="138" t="n"/>
      <c r="BG48" s="138" t="n"/>
      <c r="BH48" s="138" t="n"/>
      <c r="BI48" s="138" t="n"/>
      <c r="BJ48" s="138" t="n"/>
      <c r="BK48" s="138" t="n"/>
      <c r="BL48" s="138" t="n"/>
      <c r="BM48" s="138" t="n"/>
      <c r="BN48" s="138" t="n"/>
      <c r="BO48" s="138" t="n"/>
      <c r="BP48" s="138" t="n"/>
      <c r="BQ48" s="138" t="n"/>
      <c r="BR48" s="138" t="n"/>
      <c r="BS48" s="138" t="n"/>
      <c r="BT48" s="138" t="n"/>
      <c r="BU48" s="138" t="n"/>
      <c r="BV48" s="138" t="n"/>
      <c r="BW48" s="138" t="n"/>
      <c r="BX48" s="138" t="n"/>
      <c r="BY48" s="138" t="n"/>
      <c r="BZ48" s="138" t="n"/>
      <c r="CA48" s="138" t="n"/>
      <c r="CB48" s="138" t="n"/>
      <c r="CC48" s="138" t="n"/>
      <c r="CD48" s="138" t="n"/>
      <c r="CE48" s="138" t="n"/>
      <c r="CF48" s="139" t="n">
        <v>8</v>
      </c>
    </row>
    <row r="49" ht="13.5" customHeight="1">
      <c r="A49" s="144" t="inlineStr">
        <is>
          <t>1261-148</t>
        </is>
      </c>
      <c r="B49" s="144" t="inlineStr">
        <is>
          <t>有機大根 洗い 1本袋 (丸和)◇</t>
        </is>
      </c>
      <c r="C49" s="138" t="inlineStr">
        <is>
          <t>こもの</t>
        </is>
      </c>
      <c r="D49" s="138" t="n">
        <v>2</v>
      </c>
      <c r="E49" s="138" t="n">
        <v>5</v>
      </c>
      <c r="F49" s="138" t="n"/>
      <c r="G49" s="138" t="n"/>
      <c r="H49" s="138" t="n"/>
      <c r="I49" s="138" t="n"/>
      <c r="J49" s="138" t="n"/>
      <c r="K49" s="138" t="n"/>
      <c r="L49" s="138" t="n"/>
      <c r="M49" s="138" t="n"/>
      <c r="N49" s="138" t="n">
        <v>2</v>
      </c>
      <c r="O49" s="138" t="n"/>
      <c r="P49" s="138" t="n"/>
      <c r="Q49" s="138" t="n"/>
      <c r="R49" s="138" t="n"/>
      <c r="S49" s="138" t="n"/>
      <c r="T49" s="138" t="n"/>
      <c r="U49" s="138" t="n"/>
      <c r="V49" s="138" t="n"/>
      <c r="W49" s="138" t="n"/>
      <c r="X49" s="138" t="n"/>
      <c r="Y49" s="138" t="n"/>
      <c r="Z49" s="138" t="n"/>
      <c r="AA49" s="138" t="n">
        <v>3</v>
      </c>
      <c r="AB49" s="138" t="n"/>
      <c r="AC49" s="138" t="n"/>
      <c r="AD49" s="138" t="n"/>
      <c r="AE49" s="138" t="n"/>
      <c r="AF49" s="138" t="n"/>
      <c r="AG49" s="138" t="n"/>
      <c r="AH49" s="138" t="n"/>
      <c r="AI49" s="138" t="n"/>
      <c r="AJ49" s="138" t="n"/>
      <c r="AK49" s="138" t="n"/>
      <c r="AL49" s="138" t="n"/>
      <c r="AM49" s="138" t="n"/>
      <c r="AN49" s="138" t="n"/>
      <c r="AO49" s="138" t="n">
        <v>2</v>
      </c>
      <c r="AP49" s="138" t="n"/>
      <c r="AQ49" s="138" t="n"/>
      <c r="AR49" s="138" t="n"/>
      <c r="AS49" s="138" t="n"/>
      <c r="AT49" s="138" t="n"/>
      <c r="AU49" s="138" t="n"/>
      <c r="AV49" s="138" t="n"/>
      <c r="AW49" s="138" t="n"/>
      <c r="AX49" s="138" t="n"/>
      <c r="AY49" s="138" t="n"/>
      <c r="AZ49" s="138" t="n">
        <v>2</v>
      </c>
      <c r="BA49" s="138" t="n"/>
      <c r="BB49" s="138" t="n"/>
      <c r="BC49" s="138" t="n"/>
      <c r="BD49" s="138" t="n"/>
      <c r="BE49" s="138" t="n">
        <v>2</v>
      </c>
      <c r="BF49" s="138" t="n"/>
      <c r="BG49" s="138" t="n"/>
      <c r="BH49" s="138" t="n"/>
      <c r="BI49" s="138" t="n"/>
      <c r="BJ49" s="138" t="n"/>
      <c r="BK49" s="138" t="n"/>
      <c r="BL49" s="138" t="n"/>
      <c r="BM49" s="138" t="n"/>
      <c r="BN49" s="138" t="n"/>
      <c r="BO49" s="138" t="n"/>
      <c r="BP49" s="138" t="n"/>
      <c r="BQ49" s="138" t="n"/>
      <c r="BR49" s="138" t="n"/>
      <c r="BS49" s="138" t="n"/>
      <c r="BT49" s="138" t="n"/>
      <c r="BU49" s="138" t="n"/>
      <c r="BV49" s="138" t="n"/>
      <c r="BW49" s="138" t="n"/>
      <c r="BX49" s="138" t="n">
        <v>10</v>
      </c>
      <c r="BY49" s="138" t="n"/>
      <c r="BZ49" s="138" t="n"/>
      <c r="CA49" s="138" t="n"/>
      <c r="CB49" s="138" t="n"/>
      <c r="CC49" s="138" t="n"/>
      <c r="CD49" s="138" t="n"/>
      <c r="CE49" s="138" t="n"/>
      <c r="CF49" s="139" t="n">
        <v>28</v>
      </c>
    </row>
    <row r="50" ht="13.5" customHeight="1">
      <c r="A50" s="144" t="inlineStr">
        <is>
          <t>1261-149</t>
        </is>
      </c>
      <c r="B50" s="144" t="inlineStr">
        <is>
          <t>有機カット大根 洗い 1/2本袋×4 (丸和)◇</t>
        </is>
      </c>
      <c r="C50" s="138" t="inlineStr">
        <is>
          <t>こもの</t>
        </is>
      </c>
      <c r="D50" s="138" t="n"/>
      <c r="E50" s="138" t="n"/>
      <c r="F50" s="138" t="n"/>
      <c r="G50" s="138" t="n"/>
      <c r="H50" s="138" t="n"/>
      <c r="I50" s="138" t="n"/>
      <c r="J50" s="138" t="n"/>
      <c r="K50" s="138" t="n"/>
      <c r="L50" s="138" t="n"/>
      <c r="M50" s="138" t="n"/>
      <c r="N50" s="138" t="n">
        <v>1</v>
      </c>
      <c r="O50" s="138" t="n"/>
      <c r="P50" s="138" t="n"/>
      <c r="Q50" s="138" t="n"/>
      <c r="R50" s="138" t="n"/>
      <c r="S50" s="138" t="n"/>
      <c r="T50" s="138" t="n"/>
      <c r="U50" s="138" t="n"/>
      <c r="V50" s="138" t="n"/>
      <c r="W50" s="138" t="n"/>
      <c r="X50" s="138" t="n"/>
      <c r="Y50" s="138" t="n"/>
      <c r="Z50" s="138" t="n"/>
      <c r="AA50" s="138" t="n"/>
      <c r="AB50" s="138" t="n"/>
      <c r="AC50" s="138" t="n"/>
      <c r="AD50" s="138" t="n"/>
      <c r="AE50" s="138" t="n"/>
      <c r="AF50" s="138" t="n">
        <v>3</v>
      </c>
      <c r="AG50" s="138" t="n"/>
      <c r="AH50" s="138" t="n"/>
      <c r="AI50" s="138" t="n"/>
      <c r="AJ50" s="138" t="n"/>
      <c r="AK50" s="138" t="n"/>
      <c r="AL50" s="138" t="n"/>
      <c r="AM50" s="138" t="n"/>
      <c r="AN50" s="138" t="n"/>
      <c r="AO50" s="138" t="n"/>
      <c r="AP50" s="138" t="n"/>
      <c r="AQ50" s="138" t="n"/>
      <c r="AR50" s="138" t="n"/>
      <c r="AS50" s="138" t="n"/>
      <c r="AT50" s="138" t="n"/>
      <c r="AU50" s="138" t="n"/>
      <c r="AV50" s="138" t="n"/>
      <c r="AW50" s="138" t="n"/>
      <c r="AX50" s="138" t="n">
        <v>3</v>
      </c>
      <c r="AY50" s="138" t="n"/>
      <c r="AZ50" s="138" t="n"/>
      <c r="BA50" s="138" t="n"/>
      <c r="BB50" s="138" t="n"/>
      <c r="BC50" s="138" t="n"/>
      <c r="BD50" s="138" t="n"/>
      <c r="BE50" s="138" t="n"/>
      <c r="BF50" s="138" t="n"/>
      <c r="BG50" s="138" t="n"/>
      <c r="BH50" s="138" t="n"/>
      <c r="BI50" s="138" t="n"/>
      <c r="BJ50" s="138" t="n"/>
      <c r="BK50" s="138" t="n"/>
      <c r="BL50" s="138" t="n"/>
      <c r="BM50" s="138" t="n"/>
      <c r="BN50" s="138" t="n"/>
      <c r="BO50" s="138" t="n"/>
      <c r="BP50" s="138" t="n"/>
      <c r="BQ50" s="138" t="n"/>
      <c r="BR50" s="138" t="n"/>
      <c r="BS50" s="138" t="n"/>
      <c r="BT50" s="138" t="n"/>
      <c r="BU50" s="138" t="n"/>
      <c r="BV50" s="138" t="n"/>
      <c r="BW50" s="138" t="n"/>
      <c r="BX50" s="138" t="n"/>
      <c r="BY50" s="138" t="n"/>
      <c r="BZ50" s="138" t="n"/>
      <c r="CA50" s="138" t="n"/>
      <c r="CB50" s="138" t="n"/>
      <c r="CC50" s="138" t="n"/>
      <c r="CD50" s="138" t="n"/>
      <c r="CE50" s="138" t="n"/>
      <c r="CF50" s="139" t="n">
        <v>7</v>
      </c>
    </row>
    <row r="51" ht="13.5" customHeight="1">
      <c r="A51" s="144" t="inlineStr">
        <is>
          <t>1261-239</t>
        </is>
      </c>
      <c r="B51" s="144" t="inlineStr">
        <is>
          <t>有機短大根（葉切り洗い）1本袋(加瀬)</t>
        </is>
      </c>
      <c r="C51" s="138" t="inlineStr">
        <is>
          <t>こもの</t>
        </is>
      </c>
      <c r="D51" s="138" t="n"/>
      <c r="E51" s="138" t="n"/>
      <c r="F51" s="138" t="n"/>
      <c r="G51" s="138" t="n"/>
      <c r="H51" s="138" t="n"/>
      <c r="I51" s="138" t="n"/>
      <c r="J51" s="138" t="n">
        <v>8</v>
      </c>
      <c r="K51" s="138" t="n"/>
      <c r="L51" s="138" t="n"/>
      <c r="M51" s="138" t="n"/>
      <c r="N51" s="138" t="n"/>
      <c r="O51" s="138" t="n"/>
      <c r="P51" s="138" t="n"/>
      <c r="Q51" s="138" t="n"/>
      <c r="R51" s="138" t="n">
        <v>3</v>
      </c>
      <c r="S51" s="138" t="n"/>
      <c r="T51" s="138" t="n"/>
      <c r="U51" s="138" t="n">
        <v>2</v>
      </c>
      <c r="V51" s="138" t="n"/>
      <c r="W51" s="138" t="n"/>
      <c r="X51" s="138" t="n"/>
      <c r="Y51" s="138" t="n"/>
      <c r="Z51" s="138" t="n"/>
      <c r="AA51" s="138" t="n"/>
      <c r="AB51" s="138" t="n"/>
      <c r="AC51" s="138" t="n"/>
      <c r="AD51" s="138" t="n">
        <v>2</v>
      </c>
      <c r="AE51" s="138" t="n"/>
      <c r="AF51" s="138" t="n">
        <v>4</v>
      </c>
      <c r="AG51" s="138" t="n"/>
      <c r="AH51" s="138" t="n"/>
      <c r="AI51" s="138" t="n"/>
      <c r="AJ51" s="138" t="n"/>
      <c r="AK51" s="138" t="n">
        <v>10</v>
      </c>
      <c r="AL51" s="138" t="n"/>
      <c r="AM51" s="138" t="n"/>
      <c r="AN51" s="138" t="n">
        <v>6</v>
      </c>
      <c r="AO51" s="138" t="n"/>
      <c r="AP51" s="138" t="n"/>
      <c r="AQ51" s="138" t="n"/>
      <c r="AR51" s="138" t="n"/>
      <c r="AS51" s="138" t="n"/>
      <c r="AT51" s="138" t="n"/>
      <c r="AU51" s="138" t="n"/>
      <c r="AV51" s="138" t="n"/>
      <c r="AW51" s="138" t="n"/>
      <c r="AX51" s="138" t="n"/>
      <c r="AY51" s="138" t="n"/>
      <c r="AZ51" s="138" t="n"/>
      <c r="BA51" s="138" t="n"/>
      <c r="BB51" s="138" t="n"/>
      <c r="BC51" s="138" t="n"/>
      <c r="BD51" s="138" t="n"/>
      <c r="BE51" s="138" t="n"/>
      <c r="BF51" s="138" t="n">
        <v>3</v>
      </c>
      <c r="BG51" s="138" t="n">
        <v>2</v>
      </c>
      <c r="BH51" s="138" t="n"/>
      <c r="BI51" s="138" t="n"/>
      <c r="BJ51" s="138" t="n"/>
      <c r="BK51" s="138" t="n"/>
      <c r="BL51" s="138" t="n"/>
      <c r="BM51" s="138" t="n"/>
      <c r="BN51" s="138" t="n"/>
      <c r="BO51" s="138" t="n"/>
      <c r="BP51" s="138" t="n"/>
      <c r="BQ51" s="138" t="n"/>
      <c r="BR51" s="138" t="n"/>
      <c r="BS51" s="138" t="n"/>
      <c r="BT51" s="138" t="n"/>
      <c r="BU51" s="138" t="n"/>
      <c r="BV51" s="138" t="n">
        <v>10</v>
      </c>
      <c r="BW51" s="138" t="n"/>
      <c r="BX51" s="138" t="n"/>
      <c r="BY51" s="138" t="n"/>
      <c r="BZ51" s="138" t="n"/>
      <c r="CA51" s="138" t="n"/>
      <c r="CB51" s="138" t="n"/>
      <c r="CC51" s="138" t="n">
        <v>8</v>
      </c>
      <c r="CD51" s="138" t="n"/>
      <c r="CE51" s="138" t="n">
        <v>3</v>
      </c>
      <c r="CF51" s="139" t="n">
        <v>61</v>
      </c>
    </row>
    <row r="52" ht="13.5" customHeight="1">
      <c r="A52" s="144" t="inlineStr">
        <is>
          <t>1261-369</t>
        </is>
      </c>
      <c r="B52" s="144" t="inlineStr">
        <is>
          <t>大根　 1本袋(多田孝一)虫2・不　千葉</t>
        </is>
      </c>
      <c r="C52" s="138" t="inlineStr">
        <is>
          <t>こもの</t>
        </is>
      </c>
      <c r="D52" s="138" t="n"/>
      <c r="E52" s="138" t="n"/>
      <c r="F52" s="138" t="n"/>
      <c r="G52" s="138" t="n">
        <v>4</v>
      </c>
      <c r="H52" s="138" t="n">
        <v>2</v>
      </c>
      <c r="I52" s="138" t="n"/>
      <c r="J52" s="138" t="n"/>
      <c r="K52" s="138" t="n"/>
      <c r="L52" s="138" t="n"/>
      <c r="M52" s="138" t="n"/>
      <c r="N52" s="138" t="n"/>
      <c r="O52" s="138" t="n"/>
      <c r="P52" s="138" t="n"/>
      <c r="Q52" s="138" t="n"/>
      <c r="R52" s="138" t="n"/>
      <c r="S52" s="138" t="n"/>
      <c r="T52" s="138" t="n"/>
      <c r="U52" s="138" t="n"/>
      <c r="V52" s="138" t="n"/>
      <c r="W52" s="138" t="n"/>
      <c r="X52" s="138" t="n"/>
      <c r="Y52" s="138" t="n"/>
      <c r="Z52" s="138" t="n"/>
      <c r="AA52" s="138" t="n"/>
      <c r="AB52" s="138" t="n"/>
      <c r="AC52" s="138" t="n"/>
      <c r="AD52" s="138" t="n"/>
      <c r="AE52" s="138" t="n"/>
      <c r="AF52" s="138" t="n"/>
      <c r="AG52" s="138" t="n"/>
      <c r="AH52" s="138" t="n"/>
      <c r="AI52" s="138" t="n"/>
      <c r="AJ52" s="138" t="n"/>
      <c r="AK52" s="138" t="n"/>
      <c r="AL52" s="138" t="n"/>
      <c r="AM52" s="138" t="n"/>
      <c r="AN52" s="138" t="n"/>
      <c r="AO52" s="138" t="n"/>
      <c r="AP52" s="138" t="n"/>
      <c r="AQ52" s="138" t="n"/>
      <c r="AR52" s="138" t="n"/>
      <c r="AS52" s="138" t="n"/>
      <c r="AT52" s="138" t="n"/>
      <c r="AU52" s="138" t="n"/>
      <c r="AV52" s="138" t="n"/>
      <c r="AW52" s="138" t="n"/>
      <c r="AX52" s="138" t="n"/>
      <c r="AY52" s="138" t="n"/>
      <c r="AZ52" s="138" t="n"/>
      <c r="BA52" s="138" t="n"/>
      <c r="BB52" s="138" t="n"/>
      <c r="BC52" s="138" t="n"/>
      <c r="BD52" s="138" t="n"/>
      <c r="BE52" s="138" t="n"/>
      <c r="BF52" s="138" t="n"/>
      <c r="BG52" s="138" t="n"/>
      <c r="BH52" s="138" t="n"/>
      <c r="BI52" s="138" t="n"/>
      <c r="BJ52" s="138" t="n"/>
      <c r="BK52" s="138" t="n"/>
      <c r="BL52" s="138" t="n"/>
      <c r="BM52" s="138" t="n"/>
      <c r="BN52" s="138" t="n"/>
      <c r="BO52" s="138" t="n"/>
      <c r="BP52" s="138" t="n"/>
      <c r="BQ52" s="138" t="n"/>
      <c r="BR52" s="138" t="n"/>
      <c r="BS52" s="138" t="n"/>
      <c r="BT52" s="138" t="n"/>
      <c r="BU52" s="138" t="n"/>
      <c r="BV52" s="138" t="n"/>
      <c r="BW52" s="138" t="n"/>
      <c r="BX52" s="138" t="n"/>
      <c r="BY52" s="138" t="n"/>
      <c r="BZ52" s="138" t="n"/>
      <c r="CA52" s="138" t="n"/>
      <c r="CB52" s="138" t="n"/>
      <c r="CC52" s="138" t="n">
        <v>5</v>
      </c>
      <c r="CD52" s="138" t="n"/>
      <c r="CE52" s="138" t="n"/>
      <c r="CF52" s="139" t="n">
        <v>11</v>
      </c>
    </row>
    <row r="53" ht="13.5" customHeight="1">
      <c r="A53" s="144" t="inlineStr">
        <is>
          <t>1261-370</t>
        </is>
      </c>
      <c r="B53" s="144" t="inlineStr">
        <is>
          <t>■大根　裸10本(多田孝一)虫2・不　千葉</t>
        </is>
      </c>
      <c r="C53" s="138" t="inlineStr">
        <is>
          <t>箱</t>
        </is>
      </c>
      <c r="D53" s="138" t="n"/>
      <c r="E53" s="138" t="n"/>
      <c r="F53" s="138" t="n">
        <v>1</v>
      </c>
      <c r="G53" s="138" t="n"/>
      <c r="H53" s="138" t="n"/>
      <c r="I53" s="138" t="n"/>
      <c r="J53" s="138" t="n"/>
      <c r="K53" s="138" t="n"/>
      <c r="L53" s="138" t="n"/>
      <c r="M53" s="138" t="n"/>
      <c r="N53" s="138" t="n"/>
      <c r="O53" s="138" t="n"/>
      <c r="P53" s="138" t="n"/>
      <c r="Q53" s="138" t="n"/>
      <c r="R53" s="138" t="n"/>
      <c r="S53" s="138" t="n"/>
      <c r="T53" s="138" t="n"/>
      <c r="U53" s="138" t="n"/>
      <c r="V53" s="138" t="n"/>
      <c r="W53" s="138" t="n"/>
      <c r="X53" s="138" t="n"/>
      <c r="Y53" s="138" t="n"/>
      <c r="Z53" s="138" t="n"/>
      <c r="AA53" s="138" t="n"/>
      <c r="AB53" s="138" t="n"/>
      <c r="AC53" s="138" t="n"/>
      <c r="AD53" s="138" t="n"/>
      <c r="AE53" s="138" t="n"/>
      <c r="AF53" s="138" t="n"/>
      <c r="AG53" s="138" t="n"/>
      <c r="AH53" s="138" t="n"/>
      <c r="AI53" s="138" t="n"/>
      <c r="AJ53" s="138" t="n"/>
      <c r="AK53" s="138" t="n"/>
      <c r="AL53" s="138" t="n"/>
      <c r="AM53" s="138" t="n"/>
      <c r="AN53" s="138" t="n"/>
      <c r="AO53" s="138" t="n"/>
      <c r="AP53" s="138" t="n"/>
      <c r="AQ53" s="138" t="n"/>
      <c r="AR53" s="138" t="n"/>
      <c r="AS53" s="138" t="n"/>
      <c r="AT53" s="138" t="n"/>
      <c r="AU53" s="138" t="n"/>
      <c r="AV53" s="138" t="n"/>
      <c r="AW53" s="138" t="n"/>
      <c r="AX53" s="138" t="n"/>
      <c r="AY53" s="138" t="n"/>
      <c r="AZ53" s="138" t="n"/>
      <c r="BA53" s="138" t="n"/>
      <c r="BB53" s="138" t="n"/>
      <c r="BC53" s="138" t="n"/>
      <c r="BD53" s="138" t="n"/>
      <c r="BE53" s="138" t="n"/>
      <c r="BF53" s="138" t="n"/>
      <c r="BG53" s="138" t="n"/>
      <c r="BH53" s="138" t="n">
        <v>2</v>
      </c>
      <c r="BI53" s="138" t="n"/>
      <c r="BJ53" s="138" t="n"/>
      <c r="BK53" s="138" t="n"/>
      <c r="BL53" s="138" t="n"/>
      <c r="BM53" s="138" t="n"/>
      <c r="BN53" s="138" t="n"/>
      <c r="BO53" s="138" t="n"/>
      <c r="BP53" s="138" t="n"/>
      <c r="BQ53" s="138" t="n"/>
      <c r="BR53" s="138" t="n"/>
      <c r="BS53" s="138" t="n"/>
      <c r="BT53" s="138" t="n"/>
      <c r="BU53" s="138" t="n"/>
      <c r="BV53" s="138" t="n"/>
      <c r="BW53" s="138" t="n"/>
      <c r="BX53" s="138" t="n"/>
      <c r="BY53" s="138" t="n"/>
      <c r="BZ53" s="138" t="n"/>
      <c r="CA53" s="138" t="n"/>
      <c r="CB53" s="138" t="n"/>
      <c r="CC53" s="138" t="n"/>
      <c r="CD53" s="138" t="n"/>
      <c r="CE53" s="138" t="n"/>
      <c r="CF53" s="139" t="n">
        <v>3</v>
      </c>
    </row>
    <row r="54" ht="13.5" customHeight="1">
      <c r="A54" s="144" t="inlineStr">
        <is>
          <t>1266-272</t>
        </is>
      </c>
      <c r="B54" s="144" t="inlineStr">
        <is>
          <t>有機ミニ大根　洗い　1本袋(キテレツ)</t>
        </is>
      </c>
      <c r="C54" s="138" t="inlineStr">
        <is>
          <t>こもの</t>
        </is>
      </c>
      <c r="D54" s="138" t="n"/>
      <c r="E54" s="138" t="n"/>
      <c r="F54" s="138" t="n"/>
      <c r="G54" s="138" t="n"/>
      <c r="H54" s="138" t="n"/>
      <c r="I54" s="138" t="n"/>
      <c r="J54" s="138" t="n"/>
      <c r="K54" s="138" t="n"/>
      <c r="L54" s="138" t="n"/>
      <c r="M54" s="138" t="n"/>
      <c r="N54" s="138" t="n"/>
      <c r="O54" s="138" t="n"/>
      <c r="P54" s="138" t="n"/>
      <c r="Q54" s="138" t="n"/>
      <c r="R54" s="138" t="n"/>
      <c r="S54" s="138" t="n"/>
      <c r="T54" s="138" t="n"/>
      <c r="U54" s="138" t="n"/>
      <c r="V54" s="138" t="n"/>
      <c r="W54" s="138" t="n"/>
      <c r="X54" s="138" t="n"/>
      <c r="Y54" s="138" t="n"/>
      <c r="Z54" s="138" t="n"/>
      <c r="AA54" s="138" t="n"/>
      <c r="AB54" s="138" t="n"/>
      <c r="AC54" s="138" t="n"/>
      <c r="AD54" s="138" t="n"/>
      <c r="AE54" s="138" t="n"/>
      <c r="AF54" s="138" t="n"/>
      <c r="AG54" s="138" t="n"/>
      <c r="AH54" s="138" t="n"/>
      <c r="AI54" s="138" t="n"/>
      <c r="AJ54" s="138" t="n"/>
      <c r="AK54" s="138" t="n"/>
      <c r="AL54" s="138" t="n"/>
      <c r="AM54" s="138" t="n"/>
      <c r="AN54" s="138" t="n"/>
      <c r="AO54" s="138" t="n"/>
      <c r="AP54" s="138" t="n"/>
      <c r="AQ54" s="138" t="n"/>
      <c r="AR54" s="138" t="n"/>
      <c r="AS54" s="138" t="n"/>
      <c r="AT54" s="138" t="n"/>
      <c r="AU54" s="138" t="n"/>
      <c r="AV54" s="138" t="n"/>
      <c r="AW54" s="138" t="n"/>
      <c r="AX54" s="138" t="n"/>
      <c r="AY54" s="138" t="n"/>
      <c r="AZ54" s="138" t="n"/>
      <c r="BA54" s="138" t="n"/>
      <c r="BB54" s="138" t="n"/>
      <c r="BC54" s="138" t="n"/>
      <c r="BD54" s="138" t="n"/>
      <c r="BE54" s="138" t="n"/>
      <c r="BF54" s="138" t="n"/>
      <c r="BG54" s="138" t="n"/>
      <c r="BH54" s="138" t="n"/>
      <c r="BI54" s="138" t="n"/>
      <c r="BJ54" s="138" t="n"/>
      <c r="BK54" s="138" t="n"/>
      <c r="BL54" s="138" t="n"/>
      <c r="BM54" s="138" t="n"/>
      <c r="BN54" s="138" t="n"/>
      <c r="BO54" s="138" t="n"/>
      <c r="BP54" s="138" t="n"/>
      <c r="BQ54" s="138" t="n"/>
      <c r="BR54" s="138" t="n"/>
      <c r="BS54" s="138" t="n"/>
      <c r="BT54" s="138" t="n"/>
      <c r="BU54" s="138" t="n"/>
      <c r="BV54" s="138" t="n"/>
      <c r="BW54" s="138" t="n"/>
      <c r="BX54" s="138" t="n"/>
      <c r="BY54" s="138" t="n"/>
      <c r="BZ54" s="138" t="n"/>
      <c r="CA54" s="138" t="n">
        <v>6</v>
      </c>
      <c r="CB54" s="138" t="n"/>
      <c r="CC54" s="138" t="n"/>
      <c r="CD54" s="138" t="n"/>
      <c r="CE54" s="138" t="n"/>
      <c r="CF54" s="139" t="n">
        <v>6</v>
      </c>
    </row>
    <row r="55" ht="13.5" customHeight="1">
      <c r="A55" s="144" t="inlineStr">
        <is>
          <t>1277-130</t>
        </is>
      </c>
      <c r="B55" s="144" t="inlineStr">
        <is>
          <t>有機かぶ白　２～３玉袋（飯田）</t>
        </is>
      </c>
      <c r="C55" s="138" t="inlineStr">
        <is>
          <t>こもの</t>
        </is>
      </c>
      <c r="D55" s="138" t="n">
        <v>2</v>
      </c>
      <c r="E55" s="138" t="n"/>
      <c r="F55" s="138" t="n">
        <v>10</v>
      </c>
      <c r="G55" s="138" t="n"/>
      <c r="H55" s="138" t="n"/>
      <c r="I55" s="138" t="n">
        <v>4</v>
      </c>
      <c r="J55" s="138" t="n"/>
      <c r="K55" s="138" t="n"/>
      <c r="L55" s="138" t="n"/>
      <c r="M55" s="138" t="n"/>
      <c r="N55" s="138" t="n"/>
      <c r="O55" s="138" t="n"/>
      <c r="P55" s="138" t="n"/>
      <c r="Q55" s="138" t="n"/>
      <c r="R55" s="138" t="n"/>
      <c r="S55" s="138" t="n"/>
      <c r="T55" s="138" t="n"/>
      <c r="U55" s="138" t="n"/>
      <c r="V55" s="138" t="n"/>
      <c r="W55" s="138" t="n"/>
      <c r="X55" s="138" t="n"/>
      <c r="Y55" s="138" t="n"/>
      <c r="Z55" s="138" t="n"/>
      <c r="AA55" s="138" t="n"/>
      <c r="AB55" s="138" t="n"/>
      <c r="AC55" s="138" t="n"/>
      <c r="AD55" s="138" t="n"/>
      <c r="AE55" s="138" t="n"/>
      <c r="AF55" s="138" t="n"/>
      <c r="AG55" s="138" t="n"/>
      <c r="AH55" s="138" t="n"/>
      <c r="AI55" s="138" t="n"/>
      <c r="AJ55" s="138" t="n"/>
      <c r="AK55" s="138" t="n">
        <v>5</v>
      </c>
      <c r="AL55" s="138" t="n"/>
      <c r="AM55" s="138" t="n"/>
      <c r="AN55" s="138" t="n"/>
      <c r="AO55" s="138" t="n">
        <v>2</v>
      </c>
      <c r="AP55" s="138" t="n"/>
      <c r="AQ55" s="138" t="n"/>
      <c r="AR55" s="138" t="n"/>
      <c r="AS55" s="138" t="n"/>
      <c r="AT55" s="138" t="n"/>
      <c r="AU55" s="138" t="n"/>
      <c r="AV55" s="138" t="n"/>
      <c r="AW55" s="138" t="n"/>
      <c r="AX55" s="138" t="n"/>
      <c r="AY55" s="138" t="n"/>
      <c r="AZ55" s="138" t="n">
        <v>2</v>
      </c>
      <c r="BA55" s="138" t="n"/>
      <c r="BB55" s="138" t="n"/>
      <c r="BC55" s="138" t="n"/>
      <c r="BD55" s="138" t="n"/>
      <c r="BE55" s="138" t="n"/>
      <c r="BF55" s="138" t="n"/>
      <c r="BG55" s="138" t="n"/>
      <c r="BH55" s="138" t="n"/>
      <c r="BI55" s="138" t="n"/>
      <c r="BJ55" s="138" t="n"/>
      <c r="BK55" s="138" t="n"/>
      <c r="BL55" s="138" t="n"/>
      <c r="BM55" s="138" t="n"/>
      <c r="BN55" s="138" t="n"/>
      <c r="BO55" s="138" t="n"/>
      <c r="BP55" s="138" t="n"/>
      <c r="BQ55" s="138" t="n"/>
      <c r="BR55" s="138" t="n"/>
      <c r="BS55" s="138" t="n"/>
      <c r="BT55" s="138" t="n"/>
      <c r="BU55" s="138" t="n"/>
      <c r="BV55" s="138" t="n"/>
      <c r="BW55" s="138" t="n"/>
      <c r="BX55" s="138" t="n"/>
      <c r="BY55" s="138" t="n"/>
      <c r="BZ55" s="138" t="n"/>
      <c r="CA55" s="138" t="n">
        <v>5</v>
      </c>
      <c r="CB55" s="138" t="n"/>
      <c r="CC55" s="138" t="n"/>
      <c r="CD55" s="138" t="n">
        <v>5</v>
      </c>
      <c r="CE55" s="138" t="n"/>
      <c r="CF55" s="139" t="n">
        <v>35</v>
      </c>
    </row>
    <row r="56" ht="13.5" customHeight="1">
      <c r="A56" s="144" t="inlineStr">
        <is>
          <t>1277-179</t>
        </is>
      </c>
      <c r="B56" s="144" t="inlineStr">
        <is>
          <t>有機ビーツ 300g袋(かごしま)◇</t>
        </is>
      </c>
      <c r="C56" s="138" t="inlineStr">
        <is>
          <t>こもの</t>
        </is>
      </c>
      <c r="D56" s="138" t="n"/>
      <c r="E56" s="138" t="n"/>
      <c r="F56" s="138" t="n"/>
      <c r="G56" s="138" t="n">
        <v>1</v>
      </c>
      <c r="H56" s="138" t="n"/>
      <c r="I56" s="138" t="n">
        <v>2</v>
      </c>
      <c r="J56" s="138" t="n">
        <v>2</v>
      </c>
      <c r="K56" s="138" t="n"/>
      <c r="L56" s="138" t="n"/>
      <c r="M56" s="138" t="n"/>
      <c r="N56" s="138" t="n"/>
      <c r="O56" s="138" t="n"/>
      <c r="P56" s="138" t="n"/>
      <c r="Q56" s="138" t="n"/>
      <c r="R56" s="138" t="n">
        <v>2</v>
      </c>
      <c r="S56" s="138" t="n"/>
      <c r="T56" s="138" t="n"/>
      <c r="U56" s="138" t="n"/>
      <c r="V56" s="138" t="n"/>
      <c r="W56" s="138" t="n"/>
      <c r="X56" s="138" t="n">
        <v>3</v>
      </c>
      <c r="Y56" s="138" t="n"/>
      <c r="Z56" s="138" t="n"/>
      <c r="AA56" s="138" t="n"/>
      <c r="AB56" s="138" t="n"/>
      <c r="AC56" s="138" t="n"/>
      <c r="AD56" s="138" t="n"/>
      <c r="AE56" s="138" t="n"/>
      <c r="AF56" s="138" t="n"/>
      <c r="AG56" s="138" t="n"/>
      <c r="AH56" s="138" t="n"/>
      <c r="AI56" s="138" t="n"/>
      <c r="AJ56" s="138" t="n"/>
      <c r="AK56" s="138" t="n"/>
      <c r="AL56" s="138" t="n">
        <v>3</v>
      </c>
      <c r="AM56" s="138" t="n"/>
      <c r="AN56" s="138" t="n"/>
      <c r="AO56" s="138" t="n"/>
      <c r="AP56" s="138" t="n"/>
      <c r="AQ56" s="138" t="n"/>
      <c r="AR56" s="138" t="n"/>
      <c r="AS56" s="138" t="n">
        <v>2</v>
      </c>
      <c r="AT56" s="138" t="n"/>
      <c r="AU56" s="138" t="n"/>
      <c r="AV56" s="138" t="n"/>
      <c r="AW56" s="138" t="n"/>
      <c r="AX56" s="138" t="n"/>
      <c r="AY56" s="138" t="n"/>
      <c r="AZ56" s="138" t="n"/>
      <c r="BA56" s="138" t="n"/>
      <c r="BB56" s="138" t="n"/>
      <c r="BC56" s="138" t="n"/>
      <c r="BD56" s="138" t="n"/>
      <c r="BE56" s="138" t="n"/>
      <c r="BF56" s="138" t="n"/>
      <c r="BG56" s="138" t="n"/>
      <c r="BH56" s="138" t="n"/>
      <c r="BI56" s="138" t="n">
        <v>5</v>
      </c>
      <c r="BJ56" s="138" t="n"/>
      <c r="BK56" s="138" t="n"/>
      <c r="BL56" s="138" t="n"/>
      <c r="BM56" s="138" t="n"/>
      <c r="BN56" s="138" t="n"/>
      <c r="BO56" s="138" t="n"/>
      <c r="BP56" s="138" t="n"/>
      <c r="BQ56" s="138" t="n"/>
      <c r="BR56" s="138" t="n"/>
      <c r="BS56" s="138" t="n"/>
      <c r="BT56" s="138" t="n"/>
      <c r="BU56" s="138" t="n"/>
      <c r="BV56" s="138" t="n">
        <v>4</v>
      </c>
      <c r="BW56" s="138" t="n"/>
      <c r="BX56" s="138" t="n">
        <v>6</v>
      </c>
      <c r="BY56" s="138" t="n"/>
      <c r="BZ56" s="138" t="n"/>
      <c r="CA56" s="138" t="n"/>
      <c r="CB56" s="138" t="n"/>
      <c r="CC56" s="138" t="n">
        <v>4</v>
      </c>
      <c r="CD56" s="138" t="n"/>
      <c r="CE56" s="138" t="n"/>
      <c r="CF56" s="139" t="n">
        <v>34</v>
      </c>
    </row>
    <row r="57" ht="13.5" customHeight="1">
      <c r="A57" s="144" t="inlineStr">
        <is>
          <t>1316-307</t>
        </is>
      </c>
      <c r="B57" s="144" t="inlineStr">
        <is>
          <t>ｻﾂﾏ芋「すずほっくり」700g(斉藤光正)◇</t>
        </is>
      </c>
      <c r="C57" s="138" t="inlineStr">
        <is>
          <t>こもの</t>
        </is>
      </c>
      <c r="D57" s="138" t="n">
        <v>2</v>
      </c>
      <c r="E57" s="138" t="n"/>
      <c r="F57" s="138" t="n"/>
      <c r="G57" s="138" t="n"/>
      <c r="H57" s="138" t="n"/>
      <c r="I57" s="138" t="n"/>
      <c r="J57" s="138" t="n"/>
      <c r="K57" s="138" t="n"/>
      <c r="L57" s="138" t="n"/>
      <c r="M57" s="138" t="n"/>
      <c r="N57" s="138" t="n"/>
      <c r="O57" s="138" t="n"/>
      <c r="P57" s="138" t="n"/>
      <c r="Q57" s="138" t="n"/>
      <c r="R57" s="138" t="n"/>
      <c r="S57" s="138" t="n"/>
      <c r="T57" s="138" t="n"/>
      <c r="U57" s="138" t="n"/>
      <c r="V57" s="138" t="n"/>
      <c r="W57" s="138" t="n"/>
      <c r="X57" s="138" t="n"/>
      <c r="Y57" s="138" t="n"/>
      <c r="Z57" s="138" t="n"/>
      <c r="AA57" s="138" t="n"/>
      <c r="AB57" s="138" t="n"/>
      <c r="AC57" s="138" t="n"/>
      <c r="AD57" s="138" t="n"/>
      <c r="AE57" s="138" t="n"/>
      <c r="AF57" s="138" t="n"/>
      <c r="AG57" s="138" t="n"/>
      <c r="AH57" s="138" t="n"/>
      <c r="AI57" s="138" t="n"/>
      <c r="AJ57" s="138" t="n"/>
      <c r="AK57" s="138" t="n"/>
      <c r="AL57" s="138" t="n"/>
      <c r="AM57" s="138" t="n"/>
      <c r="AN57" s="138" t="n"/>
      <c r="AO57" s="138" t="n">
        <v>2</v>
      </c>
      <c r="AP57" s="138" t="n"/>
      <c r="AQ57" s="138" t="n"/>
      <c r="AR57" s="138" t="n"/>
      <c r="AS57" s="138" t="n"/>
      <c r="AT57" s="138" t="n"/>
      <c r="AU57" s="138" t="n"/>
      <c r="AV57" s="138" t="n"/>
      <c r="AW57" s="138" t="n"/>
      <c r="AX57" s="138" t="n"/>
      <c r="AY57" s="138" t="n"/>
      <c r="AZ57" s="138" t="n">
        <v>2</v>
      </c>
      <c r="BA57" s="138" t="n"/>
      <c r="BB57" s="138" t="n"/>
      <c r="BC57" s="138" t="n"/>
      <c r="BD57" s="138" t="n"/>
      <c r="BE57" s="138" t="n"/>
      <c r="BF57" s="138" t="n"/>
      <c r="BG57" s="138" t="n"/>
      <c r="BH57" s="138" t="n"/>
      <c r="BI57" s="138" t="n"/>
      <c r="BJ57" s="138" t="n"/>
      <c r="BK57" s="138" t="n"/>
      <c r="BL57" s="138" t="n"/>
      <c r="BM57" s="138" t="n"/>
      <c r="BN57" s="138" t="n"/>
      <c r="BO57" s="138" t="n"/>
      <c r="BP57" s="138" t="n"/>
      <c r="BQ57" s="138" t="n"/>
      <c r="BR57" s="138" t="n"/>
      <c r="BS57" s="138" t="n"/>
      <c r="BT57" s="138" t="n"/>
      <c r="BU57" s="138" t="n"/>
      <c r="BV57" s="138" t="n"/>
      <c r="BW57" s="138" t="n"/>
      <c r="BX57" s="138" t="n"/>
      <c r="BY57" s="138" t="n"/>
      <c r="BZ57" s="138" t="n"/>
      <c r="CA57" s="138" t="n"/>
      <c r="CB57" s="138" t="n"/>
      <c r="CC57" s="138" t="n"/>
      <c r="CD57" s="138" t="n"/>
      <c r="CE57" s="138" t="n"/>
      <c r="CF57" s="139" t="n">
        <v>6</v>
      </c>
    </row>
    <row r="58" ht="13.5" customHeight="1">
      <c r="A58" s="144" t="inlineStr">
        <is>
          <t>1316-312</t>
        </is>
      </c>
      <c r="B58" s="144" t="inlineStr">
        <is>
          <t>■ｻﾂﾏ芋「ｼﾙｸｽｲｰﾄ」10kg(齊藤光正)6割・5割</t>
        </is>
      </c>
      <c r="C58" s="138" t="inlineStr">
        <is>
          <t>箱</t>
        </is>
      </c>
      <c r="D58" s="138" t="n"/>
      <c r="E58" s="138" t="n">
        <v>1</v>
      </c>
      <c r="F58" s="138" t="n"/>
      <c r="G58" s="138" t="n"/>
      <c r="H58" s="138" t="n"/>
      <c r="I58" s="138" t="n"/>
      <c r="J58" s="138" t="n"/>
      <c r="K58" s="138" t="n"/>
      <c r="L58" s="138" t="n"/>
      <c r="M58" s="138" t="n"/>
      <c r="N58" s="138" t="n"/>
      <c r="O58" s="138" t="n"/>
      <c r="P58" s="138" t="n"/>
      <c r="Q58" s="138" t="n"/>
      <c r="R58" s="138" t="n"/>
      <c r="S58" s="138" t="n"/>
      <c r="T58" s="138" t="n"/>
      <c r="U58" s="138" t="n"/>
      <c r="V58" s="138" t="n"/>
      <c r="W58" s="138" t="n"/>
      <c r="X58" s="138" t="n"/>
      <c r="Y58" s="138" t="n"/>
      <c r="Z58" s="138" t="n"/>
      <c r="AA58" s="138" t="n"/>
      <c r="AB58" s="138" t="n"/>
      <c r="AC58" s="138" t="n"/>
      <c r="AD58" s="138" t="n"/>
      <c r="AE58" s="138" t="n"/>
      <c r="AF58" s="138" t="n"/>
      <c r="AG58" s="138" t="n"/>
      <c r="AH58" s="138" t="n"/>
      <c r="AI58" s="138" t="n"/>
      <c r="AJ58" s="138" t="n"/>
      <c r="AK58" s="138" t="n"/>
      <c r="AL58" s="138" t="n"/>
      <c r="AM58" s="138" t="n"/>
      <c r="AN58" s="138" t="n"/>
      <c r="AO58" s="138" t="n"/>
      <c r="AP58" s="138" t="n"/>
      <c r="AQ58" s="138" t="n"/>
      <c r="AR58" s="138" t="n"/>
      <c r="AS58" s="138" t="n"/>
      <c r="AT58" s="138" t="n"/>
      <c r="AU58" s="138" t="n"/>
      <c r="AV58" s="138" t="n"/>
      <c r="AW58" s="138" t="n"/>
      <c r="AX58" s="138" t="n"/>
      <c r="AY58" s="138" t="n"/>
      <c r="AZ58" s="138" t="n"/>
      <c r="BA58" s="138" t="n"/>
      <c r="BB58" s="138" t="n"/>
      <c r="BC58" s="138" t="n"/>
      <c r="BD58" s="138" t="n"/>
      <c r="BE58" s="138" t="n"/>
      <c r="BF58" s="138" t="n"/>
      <c r="BG58" s="138" t="n"/>
      <c r="BH58" s="138" t="n"/>
      <c r="BI58" s="138" t="n"/>
      <c r="BJ58" s="138" t="n"/>
      <c r="BK58" s="138" t="n"/>
      <c r="BL58" s="138" t="n"/>
      <c r="BM58" s="138" t="n"/>
      <c r="BN58" s="138" t="n"/>
      <c r="BO58" s="138" t="n"/>
      <c r="BP58" s="138" t="n"/>
      <c r="BQ58" s="138" t="n"/>
      <c r="BR58" s="138" t="n"/>
      <c r="BS58" s="138" t="n"/>
      <c r="BT58" s="138" t="n"/>
      <c r="BU58" s="138" t="n"/>
      <c r="BV58" s="138" t="n"/>
      <c r="BW58" s="138" t="n"/>
      <c r="BX58" s="138" t="n"/>
      <c r="BY58" s="138" t="n"/>
      <c r="BZ58" s="138" t="n"/>
      <c r="CA58" s="138" t="n"/>
      <c r="CB58" s="138" t="n"/>
      <c r="CC58" s="138" t="n"/>
      <c r="CD58" s="138" t="n"/>
      <c r="CE58" s="138" t="n"/>
      <c r="CF58" s="139" t="n">
        <v>1</v>
      </c>
    </row>
    <row r="59" ht="13.5" customHeight="1">
      <c r="A59" s="144" t="inlineStr">
        <is>
          <t>1316-313</t>
        </is>
      </c>
      <c r="B59" s="144" t="inlineStr">
        <is>
          <t>ｻﾂﾏ芋「シルクスイート」700g(齊藤光正)◇</t>
        </is>
      </c>
      <c r="C59" s="138" t="inlineStr">
        <is>
          <t>こもの</t>
        </is>
      </c>
      <c r="D59" s="138" t="n"/>
      <c r="E59" s="138" t="n"/>
      <c r="F59" s="138" t="n"/>
      <c r="G59" s="138" t="n">
        <v>1</v>
      </c>
      <c r="H59" s="138" t="n"/>
      <c r="I59" s="138" t="n"/>
      <c r="J59" s="138" t="n"/>
      <c r="K59" s="138" t="n"/>
      <c r="L59" s="138" t="n"/>
      <c r="M59" s="138" t="n"/>
      <c r="N59" s="138" t="n"/>
      <c r="O59" s="138" t="n"/>
      <c r="P59" s="138" t="n"/>
      <c r="Q59" s="138" t="n"/>
      <c r="R59" s="138" t="n"/>
      <c r="S59" s="138" t="n"/>
      <c r="T59" s="138" t="n"/>
      <c r="U59" s="138" t="n"/>
      <c r="V59" s="138" t="n"/>
      <c r="W59" s="138" t="n"/>
      <c r="X59" s="138" t="n"/>
      <c r="Y59" s="138" t="n"/>
      <c r="Z59" s="138" t="n"/>
      <c r="AA59" s="138" t="n"/>
      <c r="AB59" s="138" t="n"/>
      <c r="AC59" s="138" t="n"/>
      <c r="AD59" s="138" t="n"/>
      <c r="AE59" s="138" t="n"/>
      <c r="AF59" s="138" t="n"/>
      <c r="AG59" s="138" t="n"/>
      <c r="AH59" s="138" t="n"/>
      <c r="AI59" s="138" t="n"/>
      <c r="AJ59" s="138" t="n"/>
      <c r="AK59" s="138" t="n"/>
      <c r="AL59" s="138" t="n"/>
      <c r="AM59" s="138" t="n"/>
      <c r="AN59" s="138" t="n"/>
      <c r="AO59" s="138" t="n"/>
      <c r="AP59" s="138" t="n"/>
      <c r="AQ59" s="138" t="n"/>
      <c r="AR59" s="138" t="n"/>
      <c r="AS59" s="138" t="n"/>
      <c r="AT59" s="138" t="n"/>
      <c r="AU59" s="138" t="n"/>
      <c r="AV59" s="138" t="n"/>
      <c r="AW59" s="138" t="n"/>
      <c r="AX59" s="138" t="n"/>
      <c r="AY59" s="138" t="n"/>
      <c r="AZ59" s="138" t="n"/>
      <c r="BA59" s="138" t="n"/>
      <c r="BB59" s="138" t="n"/>
      <c r="BC59" s="138" t="n"/>
      <c r="BD59" s="138" t="n"/>
      <c r="BE59" s="138" t="n"/>
      <c r="BF59" s="138" t="n"/>
      <c r="BG59" s="138" t="n"/>
      <c r="BH59" s="138" t="n"/>
      <c r="BI59" s="138" t="n"/>
      <c r="BJ59" s="138" t="n">
        <v>2</v>
      </c>
      <c r="BK59" s="138" t="n"/>
      <c r="BL59" s="138" t="n"/>
      <c r="BM59" s="138" t="n"/>
      <c r="BN59" s="138" t="n"/>
      <c r="BO59" s="138" t="n"/>
      <c r="BP59" s="138" t="n"/>
      <c r="BQ59" s="138" t="n"/>
      <c r="BR59" s="138" t="n"/>
      <c r="BS59" s="138" t="n"/>
      <c r="BT59" s="138" t="n"/>
      <c r="BU59" s="138" t="n"/>
      <c r="BV59" s="138" t="n">
        <v>6</v>
      </c>
      <c r="BW59" s="138" t="n"/>
      <c r="BX59" s="138" t="n">
        <v>8</v>
      </c>
      <c r="BY59" s="138" t="n"/>
      <c r="BZ59" s="138" t="n"/>
      <c r="CA59" s="138" t="n"/>
      <c r="CB59" s="138" t="n"/>
      <c r="CC59" s="138" t="n">
        <v>3</v>
      </c>
      <c r="CD59" s="138" t="n"/>
      <c r="CE59" s="138" t="n">
        <v>2</v>
      </c>
      <c r="CF59" s="139" t="n">
        <v>22</v>
      </c>
    </row>
    <row r="60" ht="13.5" customHeight="1">
      <c r="A60" s="144" t="inlineStr">
        <is>
          <t>1353-18</t>
        </is>
      </c>
      <c r="B60" s="144" t="inlineStr">
        <is>
          <t>有機長いも　200gﾊﾟｯｸ×５(みちのく)東一</t>
        </is>
      </c>
      <c r="C60" s="138" t="inlineStr">
        <is>
          <t>こもの</t>
        </is>
      </c>
      <c r="D60" s="138" t="n"/>
      <c r="E60" s="138" t="n"/>
      <c r="F60" s="138" t="n"/>
      <c r="G60" s="138" t="n"/>
      <c r="H60" s="138" t="n"/>
      <c r="I60" s="138" t="n"/>
      <c r="J60" s="138" t="n"/>
      <c r="K60" s="138" t="n"/>
      <c r="L60" s="138" t="n"/>
      <c r="M60" s="138" t="n"/>
      <c r="N60" s="138" t="n"/>
      <c r="O60" s="138" t="n"/>
      <c r="P60" s="138" t="n"/>
      <c r="Q60" s="138" t="n"/>
      <c r="R60" s="138" t="n"/>
      <c r="S60" s="138" t="n"/>
      <c r="T60" s="138" t="n"/>
      <c r="U60" s="138" t="n"/>
      <c r="V60" s="138" t="n"/>
      <c r="W60" s="138" t="n"/>
      <c r="X60" s="138" t="n"/>
      <c r="Y60" s="138" t="n"/>
      <c r="Z60" s="138" t="n"/>
      <c r="AA60" s="138" t="n"/>
      <c r="AB60" s="138" t="n"/>
      <c r="AC60" s="138" t="n"/>
      <c r="AD60" s="138" t="n"/>
      <c r="AE60" s="138" t="n"/>
      <c r="AF60" s="138" t="n"/>
      <c r="AG60" s="138" t="n"/>
      <c r="AH60" s="138" t="n"/>
      <c r="AI60" s="138" t="n"/>
      <c r="AJ60" s="138" t="n"/>
      <c r="AK60" s="138" t="n"/>
      <c r="AL60" s="138" t="n"/>
      <c r="AM60" s="138" t="n"/>
      <c r="AN60" s="138" t="n"/>
      <c r="AO60" s="138" t="n"/>
      <c r="AP60" s="138" t="n"/>
      <c r="AQ60" s="138" t="n"/>
      <c r="AR60" s="138" t="n"/>
      <c r="AS60" s="138" t="n"/>
      <c r="AT60" s="138" t="n"/>
      <c r="AU60" s="138" t="n"/>
      <c r="AV60" s="138" t="n"/>
      <c r="AW60" s="138" t="n"/>
      <c r="AX60" s="138" t="n"/>
      <c r="AY60" s="138" t="n"/>
      <c r="AZ60" s="138" t="n"/>
      <c r="BA60" s="138" t="n"/>
      <c r="BB60" s="138" t="n"/>
      <c r="BC60" s="138" t="n">
        <v>1</v>
      </c>
      <c r="BD60" s="138" t="n"/>
      <c r="BE60" s="138" t="n"/>
      <c r="BF60" s="138" t="n"/>
      <c r="BG60" s="138" t="n"/>
      <c r="BH60" s="138" t="n"/>
      <c r="BI60" s="138" t="n"/>
      <c r="BJ60" s="138" t="n"/>
      <c r="BK60" s="138" t="n"/>
      <c r="BL60" s="138" t="n"/>
      <c r="BM60" s="138" t="n"/>
      <c r="BN60" s="138" t="n"/>
      <c r="BO60" s="138" t="n"/>
      <c r="BP60" s="138" t="n"/>
      <c r="BQ60" s="138" t="n"/>
      <c r="BR60" s="138" t="n"/>
      <c r="BS60" s="138" t="n"/>
      <c r="BT60" s="138" t="n"/>
      <c r="BU60" s="138" t="n"/>
      <c r="BV60" s="138" t="n"/>
      <c r="BW60" s="138" t="n"/>
      <c r="BX60" s="138" t="n"/>
      <c r="BY60" s="138" t="n"/>
      <c r="BZ60" s="138" t="n"/>
      <c r="CA60" s="138" t="n"/>
      <c r="CB60" s="138" t="n"/>
      <c r="CC60" s="138" t="n"/>
      <c r="CD60" s="138" t="n"/>
      <c r="CE60" s="138" t="n"/>
      <c r="CF60" s="139" t="n">
        <v>1</v>
      </c>
    </row>
    <row r="61" ht="13.5" customHeight="1">
      <c r="A61" s="144" t="inlineStr">
        <is>
          <t>1353-5</t>
        </is>
      </c>
      <c r="B61" s="144" t="inlineStr">
        <is>
          <t>有機長いも　200ｇ（みちのく）</t>
        </is>
      </c>
      <c r="C61" s="138" t="inlineStr">
        <is>
          <t>こもの</t>
        </is>
      </c>
      <c r="D61" s="138" t="n"/>
      <c r="E61" s="138" t="n"/>
      <c r="F61" s="138" t="n">
        <v>5</v>
      </c>
      <c r="G61" s="138" t="n"/>
      <c r="H61" s="138" t="n"/>
      <c r="I61" s="138" t="n"/>
      <c r="J61" s="138" t="n"/>
      <c r="K61" s="138" t="n"/>
      <c r="L61" s="138" t="n"/>
      <c r="M61" s="138" t="n"/>
      <c r="N61" s="138" t="n"/>
      <c r="O61" s="138" t="n"/>
      <c r="P61" s="138" t="n"/>
      <c r="Q61" s="138" t="n"/>
      <c r="R61" s="138" t="n"/>
      <c r="S61" s="138" t="n"/>
      <c r="T61" s="138" t="n"/>
      <c r="U61" s="138" t="n"/>
      <c r="V61" s="138" t="n"/>
      <c r="W61" s="138" t="n"/>
      <c r="X61" s="138" t="n">
        <v>4</v>
      </c>
      <c r="Y61" s="138" t="n"/>
      <c r="Z61" s="138" t="n"/>
      <c r="AA61" s="138" t="n"/>
      <c r="AB61" s="138" t="n"/>
      <c r="AC61" s="138" t="n"/>
      <c r="AD61" s="138" t="n"/>
      <c r="AE61" s="138" t="n"/>
      <c r="AF61" s="138" t="n"/>
      <c r="AG61" s="138" t="n"/>
      <c r="AH61" s="138" t="n"/>
      <c r="AI61" s="138" t="n"/>
      <c r="AJ61" s="138" t="n"/>
      <c r="AK61" s="138" t="n">
        <v>5</v>
      </c>
      <c r="AL61" s="138" t="n"/>
      <c r="AM61" s="138" t="n"/>
      <c r="AN61" s="138" t="n"/>
      <c r="AO61" s="138" t="n"/>
      <c r="AP61" s="138" t="n">
        <v>5</v>
      </c>
      <c r="AQ61" s="138" t="n"/>
      <c r="AR61" s="138" t="n">
        <v>3</v>
      </c>
      <c r="AS61" s="138" t="n"/>
      <c r="AT61" s="138" t="n"/>
      <c r="AU61" s="138" t="n"/>
      <c r="AV61" s="138" t="n"/>
      <c r="AW61" s="138" t="n"/>
      <c r="AX61" s="138" t="n"/>
      <c r="AY61" s="138" t="n"/>
      <c r="AZ61" s="138" t="n"/>
      <c r="BA61" s="138" t="n"/>
      <c r="BB61" s="138" t="n"/>
      <c r="BC61" s="138" t="n"/>
      <c r="BD61" s="138" t="n"/>
      <c r="BE61" s="138" t="n"/>
      <c r="BF61" s="138" t="n"/>
      <c r="BG61" s="138" t="n">
        <v>2</v>
      </c>
      <c r="BH61" s="138" t="n"/>
      <c r="BI61" s="138" t="n"/>
      <c r="BJ61" s="138" t="n">
        <v>2</v>
      </c>
      <c r="BK61" s="138" t="n"/>
      <c r="BL61" s="138" t="n"/>
      <c r="BM61" s="138" t="n"/>
      <c r="BN61" s="138" t="n"/>
      <c r="BO61" s="138" t="n"/>
      <c r="BP61" s="138" t="n"/>
      <c r="BQ61" s="138" t="n"/>
      <c r="BR61" s="138" t="n"/>
      <c r="BS61" s="138" t="n"/>
      <c r="BT61" s="138" t="n"/>
      <c r="BU61" s="138" t="n"/>
      <c r="BV61" s="138" t="n"/>
      <c r="BW61" s="138" t="n"/>
      <c r="BX61" s="138" t="n">
        <v>6</v>
      </c>
      <c r="BY61" s="138" t="n"/>
      <c r="BZ61" s="138" t="n"/>
      <c r="CA61" s="138" t="n"/>
      <c r="CB61" s="138" t="n"/>
      <c r="CC61" s="138" t="n">
        <v>5</v>
      </c>
      <c r="CD61" s="138" t="n"/>
      <c r="CE61" s="138" t="n"/>
      <c r="CF61" s="139" t="n">
        <v>37</v>
      </c>
    </row>
    <row r="62" ht="13.5" customHeight="1">
      <c r="A62" s="144" t="inlineStr">
        <is>
          <t>1358-50</t>
        </is>
      </c>
      <c r="B62" s="144" t="inlineStr">
        <is>
          <t>有機 赤玉ねぎ 混 400g(雲仙)◇</t>
        </is>
      </c>
      <c r="C62" s="138" t="inlineStr">
        <is>
          <t>こもの</t>
        </is>
      </c>
      <c r="D62" s="138" t="n"/>
      <c r="E62" s="138" t="n"/>
      <c r="F62" s="138" t="n"/>
      <c r="G62" s="138" t="n"/>
      <c r="H62" s="138" t="n"/>
      <c r="I62" s="138" t="n"/>
      <c r="J62" s="138" t="n"/>
      <c r="K62" s="138" t="n"/>
      <c r="L62" s="138" t="n"/>
      <c r="M62" s="138" t="n"/>
      <c r="N62" s="138" t="n"/>
      <c r="O62" s="138" t="n"/>
      <c r="P62" s="138" t="n"/>
      <c r="Q62" s="138" t="n"/>
      <c r="R62" s="138" t="n"/>
      <c r="S62" s="138" t="n"/>
      <c r="T62" s="138" t="n"/>
      <c r="U62" s="138" t="n"/>
      <c r="V62" s="138" t="n"/>
      <c r="W62" s="138" t="n"/>
      <c r="X62" s="138" t="n"/>
      <c r="Y62" s="138" t="n"/>
      <c r="Z62" s="138" t="n"/>
      <c r="AA62" s="138" t="n"/>
      <c r="AB62" s="138" t="n"/>
      <c r="AC62" s="138" t="n"/>
      <c r="AD62" s="138" t="n"/>
      <c r="AE62" s="138" t="n"/>
      <c r="AF62" s="138" t="n"/>
      <c r="AG62" s="138" t="n"/>
      <c r="AH62" s="138" t="n"/>
      <c r="AI62" s="138" t="n"/>
      <c r="AJ62" s="138" t="n"/>
      <c r="AK62" s="138" t="n">
        <v>4</v>
      </c>
      <c r="AL62" s="138" t="n"/>
      <c r="AM62" s="138" t="n"/>
      <c r="AN62" s="138" t="n"/>
      <c r="AO62" s="138" t="n"/>
      <c r="AP62" s="138" t="n"/>
      <c r="AQ62" s="138" t="n"/>
      <c r="AR62" s="138" t="n"/>
      <c r="AS62" s="138" t="n"/>
      <c r="AT62" s="138" t="n"/>
      <c r="AU62" s="138" t="n"/>
      <c r="AV62" s="138" t="n"/>
      <c r="AW62" s="138" t="n"/>
      <c r="AX62" s="138" t="n"/>
      <c r="AY62" s="138" t="n"/>
      <c r="AZ62" s="138" t="n"/>
      <c r="BA62" s="138" t="n"/>
      <c r="BB62" s="138" t="n"/>
      <c r="BC62" s="138" t="n"/>
      <c r="BD62" s="138" t="n"/>
      <c r="BE62" s="138" t="n"/>
      <c r="BF62" s="138" t="n"/>
      <c r="BG62" s="138" t="n"/>
      <c r="BH62" s="138" t="n"/>
      <c r="BI62" s="138" t="n"/>
      <c r="BJ62" s="138" t="n"/>
      <c r="BK62" s="138" t="n"/>
      <c r="BL62" s="138" t="n"/>
      <c r="BM62" s="138" t="n"/>
      <c r="BN62" s="138" t="n"/>
      <c r="BO62" s="138" t="n"/>
      <c r="BP62" s="138" t="n"/>
      <c r="BQ62" s="138" t="n"/>
      <c r="BR62" s="138" t="n"/>
      <c r="BS62" s="138" t="n"/>
      <c r="BT62" s="138" t="n"/>
      <c r="BU62" s="138" t="n"/>
      <c r="BV62" s="138" t="n">
        <v>6</v>
      </c>
      <c r="BW62" s="138" t="n"/>
      <c r="BX62" s="138" t="n"/>
      <c r="BY62" s="138" t="n"/>
      <c r="BZ62" s="138" t="n"/>
      <c r="CA62" s="138" t="n"/>
      <c r="CB62" s="138" t="n"/>
      <c r="CC62" s="138" t="n"/>
      <c r="CD62" s="138" t="n"/>
      <c r="CE62" s="138" t="n">
        <v>3</v>
      </c>
      <c r="CF62" s="139" t="n">
        <v>13</v>
      </c>
    </row>
    <row r="63" ht="13.5" customHeight="1">
      <c r="A63" s="144" t="inlineStr">
        <is>
          <t>1365-17</t>
        </is>
      </c>
      <c r="B63" s="144" t="inlineStr">
        <is>
          <t>らっきょう　泥　1kg袋 (まるよし)◇</t>
        </is>
      </c>
      <c r="C63" s="138" t="inlineStr">
        <is>
          <t>こもの</t>
        </is>
      </c>
      <c r="D63" s="138" t="n"/>
      <c r="E63" s="138" t="n"/>
      <c r="F63" s="138" t="n"/>
      <c r="G63" s="138" t="n"/>
      <c r="H63" s="138" t="n"/>
      <c r="I63" s="138" t="n">
        <v>2</v>
      </c>
      <c r="J63" s="138" t="n">
        <v>2</v>
      </c>
      <c r="K63" s="138" t="n"/>
      <c r="L63" s="138" t="n"/>
      <c r="M63" s="138" t="n"/>
      <c r="N63" s="138" t="n"/>
      <c r="O63" s="138" t="n"/>
      <c r="P63" s="138" t="n"/>
      <c r="Q63" s="138" t="n"/>
      <c r="R63" s="138" t="n"/>
      <c r="S63" s="138" t="n"/>
      <c r="T63" s="138" t="n"/>
      <c r="U63" s="138" t="n"/>
      <c r="V63" s="138" t="n"/>
      <c r="W63" s="138" t="n"/>
      <c r="X63" s="138" t="n"/>
      <c r="Y63" s="138" t="n"/>
      <c r="Z63" s="138" t="n"/>
      <c r="AA63" s="138" t="n"/>
      <c r="AB63" s="138" t="n"/>
      <c r="AC63" s="138" t="n"/>
      <c r="AD63" s="138" t="n"/>
      <c r="AE63" s="138" t="n"/>
      <c r="AF63" s="138" t="n"/>
      <c r="AG63" s="138" t="n"/>
      <c r="AH63" s="138" t="n"/>
      <c r="AI63" s="138" t="n"/>
      <c r="AJ63" s="138" t="n"/>
      <c r="AK63" s="138" t="n"/>
      <c r="AL63" s="138" t="n">
        <v>4</v>
      </c>
      <c r="AM63" s="138" t="n"/>
      <c r="AN63" s="138" t="n"/>
      <c r="AO63" s="138" t="n"/>
      <c r="AP63" s="138" t="n"/>
      <c r="AQ63" s="138" t="n"/>
      <c r="AR63" s="138" t="n"/>
      <c r="AS63" s="138" t="n">
        <v>2</v>
      </c>
      <c r="AT63" s="138" t="n"/>
      <c r="AU63" s="138" t="n"/>
      <c r="AV63" s="138" t="n"/>
      <c r="AW63" s="138" t="n"/>
      <c r="AX63" s="138" t="n"/>
      <c r="AY63" s="138" t="n"/>
      <c r="AZ63" s="138" t="n"/>
      <c r="BA63" s="138" t="n"/>
      <c r="BB63" s="138" t="n"/>
      <c r="BC63" s="138" t="n"/>
      <c r="BD63" s="138" t="n"/>
      <c r="BE63" s="138" t="n"/>
      <c r="BF63" s="138" t="n"/>
      <c r="BG63" s="138" t="n"/>
      <c r="BH63" s="138" t="n"/>
      <c r="BI63" s="138" t="n"/>
      <c r="BJ63" s="138" t="n"/>
      <c r="BK63" s="138" t="n"/>
      <c r="BL63" s="138" t="n"/>
      <c r="BM63" s="138" t="n"/>
      <c r="BN63" s="138" t="n"/>
      <c r="BO63" s="138" t="n"/>
      <c r="BP63" s="138" t="n"/>
      <c r="BQ63" s="138" t="n"/>
      <c r="BR63" s="138" t="n"/>
      <c r="BS63" s="138" t="n"/>
      <c r="BT63" s="138" t="n"/>
      <c r="BU63" s="138" t="n"/>
      <c r="BV63" s="138" t="n"/>
      <c r="BW63" s="138" t="n"/>
      <c r="BX63" s="138" t="n"/>
      <c r="BY63" s="138" t="n"/>
      <c r="BZ63" s="138" t="n"/>
      <c r="CA63" s="138" t="n"/>
      <c r="CB63" s="138" t="n"/>
      <c r="CC63" s="138" t="n"/>
      <c r="CD63" s="138" t="n"/>
      <c r="CE63" s="138" t="n"/>
      <c r="CF63" s="139" t="n">
        <v>10</v>
      </c>
    </row>
    <row r="64" ht="13.5" customHeight="1">
      <c r="A64" s="144" t="inlineStr">
        <is>
          <t>1393-3</t>
        </is>
      </c>
      <c r="B64" s="144" t="inlineStr">
        <is>
          <t>瀬戸さん（野菜の里）の有機野菜セット</t>
        </is>
      </c>
      <c r="C64" s="138" t="inlineStr">
        <is>
          <t>こもの</t>
        </is>
      </c>
      <c r="D64" s="138" t="n"/>
      <c r="E64" s="138" t="n"/>
      <c r="F64" s="138" t="n"/>
      <c r="G64" s="138" t="n"/>
      <c r="H64" s="138" t="n"/>
      <c r="I64" s="138" t="n"/>
      <c r="J64" s="138" t="n"/>
      <c r="K64" s="138" t="n">
        <v>1</v>
      </c>
      <c r="L64" s="138" t="n"/>
      <c r="M64" s="138" t="n"/>
      <c r="N64" s="138" t="n"/>
      <c r="O64" s="138" t="n">
        <v>1</v>
      </c>
      <c r="P64" s="138" t="n"/>
      <c r="Q64" s="138" t="n"/>
      <c r="R64" s="138" t="n"/>
      <c r="S64" s="138" t="n"/>
      <c r="T64" s="138" t="n"/>
      <c r="U64" s="138" t="n"/>
      <c r="V64" s="138" t="n"/>
      <c r="W64" s="138" t="n"/>
      <c r="X64" s="138" t="n"/>
      <c r="Y64" s="138" t="n"/>
      <c r="Z64" s="138" t="n"/>
      <c r="AA64" s="138" t="n"/>
      <c r="AB64" s="138" t="n"/>
      <c r="AC64" s="138" t="n"/>
      <c r="AD64" s="138" t="n"/>
      <c r="AE64" s="138" t="n"/>
      <c r="AF64" s="138" t="n"/>
      <c r="AG64" s="138" t="n"/>
      <c r="AH64" s="138" t="n"/>
      <c r="AI64" s="138" t="n"/>
      <c r="AJ64" s="138" t="n"/>
      <c r="AK64" s="138" t="n">
        <v>1</v>
      </c>
      <c r="AL64" s="138" t="n"/>
      <c r="AM64" s="138" t="n">
        <v>1</v>
      </c>
      <c r="AN64" s="138" t="n"/>
      <c r="AO64" s="138" t="n"/>
      <c r="AP64" s="138" t="n"/>
      <c r="AQ64" s="138" t="n"/>
      <c r="AR64" s="138" t="n"/>
      <c r="AS64" s="138" t="n"/>
      <c r="AT64" s="138" t="n"/>
      <c r="AU64" s="138" t="n"/>
      <c r="AV64" s="138" t="n"/>
      <c r="AW64" s="138" t="n"/>
      <c r="AX64" s="138" t="n"/>
      <c r="AY64" s="138" t="n"/>
      <c r="AZ64" s="138" t="n"/>
      <c r="BA64" s="138" t="n"/>
      <c r="BB64" s="138" t="n"/>
      <c r="BC64" s="138" t="n"/>
      <c r="BD64" s="138" t="n"/>
      <c r="BE64" s="138" t="n"/>
      <c r="BF64" s="138" t="n"/>
      <c r="BG64" s="138" t="n"/>
      <c r="BH64" s="138" t="n"/>
      <c r="BI64" s="138" t="n"/>
      <c r="BJ64" s="138" t="n"/>
      <c r="BK64" s="138" t="n"/>
      <c r="BL64" s="138" t="n"/>
      <c r="BM64" s="138" t="n"/>
      <c r="BN64" s="138" t="n"/>
      <c r="BO64" s="138" t="n"/>
      <c r="BP64" s="138" t="n"/>
      <c r="BQ64" s="138" t="n"/>
      <c r="BR64" s="138" t="n"/>
      <c r="BS64" s="138" t="n"/>
      <c r="BT64" s="138" t="n"/>
      <c r="BU64" s="138" t="n"/>
      <c r="BV64" s="138" t="n"/>
      <c r="BW64" s="138" t="n"/>
      <c r="BX64" s="138" t="n"/>
      <c r="BY64" s="138" t="n"/>
      <c r="BZ64" s="138" t="n"/>
      <c r="CA64" s="138" t="n"/>
      <c r="CB64" s="138" t="n"/>
      <c r="CC64" s="138" t="n">
        <v>1</v>
      </c>
      <c r="CD64" s="138" t="n"/>
      <c r="CE64" s="138" t="n"/>
      <c r="CF64" s="139" t="n">
        <v>5</v>
      </c>
    </row>
    <row r="65" ht="13.5" customHeight="1">
      <c r="A65" s="144" t="inlineStr">
        <is>
          <t>1393-40</t>
        </is>
      </c>
      <c r="B65" s="144" t="inlineStr">
        <is>
          <t>ｷﾃﾚﾂﾌｧｰﾑの野菜ｾｯﾄ</t>
        </is>
      </c>
      <c r="C65" s="138" t="inlineStr">
        <is>
          <t>こもの</t>
        </is>
      </c>
      <c r="D65" s="138" t="n"/>
      <c r="E65" s="138" t="n"/>
      <c r="F65" s="138" t="n"/>
      <c r="G65" s="138" t="n"/>
      <c r="H65" s="138" t="n"/>
      <c r="I65" s="138" t="n"/>
      <c r="J65" s="138" t="n"/>
      <c r="K65" s="138" t="n"/>
      <c r="L65" s="138" t="n"/>
      <c r="M65" s="138" t="n"/>
      <c r="N65" s="138" t="n"/>
      <c r="O65" s="138" t="n"/>
      <c r="P65" s="138" t="n"/>
      <c r="Q65" s="138" t="n"/>
      <c r="R65" s="138" t="n"/>
      <c r="S65" s="138" t="n"/>
      <c r="T65" s="138" t="n"/>
      <c r="U65" s="138" t="n"/>
      <c r="V65" s="138" t="n"/>
      <c r="W65" s="138" t="n"/>
      <c r="X65" s="138" t="n"/>
      <c r="Y65" s="138" t="n"/>
      <c r="Z65" s="138" t="n"/>
      <c r="AA65" s="138" t="n"/>
      <c r="AB65" s="138" t="n"/>
      <c r="AC65" s="138" t="n"/>
      <c r="AD65" s="138" t="n"/>
      <c r="AE65" s="138" t="n"/>
      <c r="AF65" s="138" t="n"/>
      <c r="AG65" s="138" t="n"/>
      <c r="AH65" s="138" t="n"/>
      <c r="AI65" s="138" t="n"/>
      <c r="AJ65" s="138" t="n"/>
      <c r="AK65" s="138" t="n">
        <v>1</v>
      </c>
      <c r="AL65" s="138" t="n"/>
      <c r="AM65" s="138" t="n"/>
      <c r="AN65" s="138" t="n"/>
      <c r="AO65" s="138" t="n"/>
      <c r="AP65" s="138" t="n"/>
      <c r="AQ65" s="138" t="n"/>
      <c r="AR65" s="138" t="n"/>
      <c r="AS65" s="138" t="n"/>
      <c r="AT65" s="138" t="n"/>
      <c r="AU65" s="138" t="n"/>
      <c r="AV65" s="138" t="n"/>
      <c r="AW65" s="138" t="n"/>
      <c r="AX65" s="138" t="n"/>
      <c r="AY65" s="138" t="n"/>
      <c r="AZ65" s="138" t="n"/>
      <c r="BA65" s="138" t="n"/>
      <c r="BB65" s="138" t="n"/>
      <c r="BC65" s="138" t="n"/>
      <c r="BD65" s="138" t="n"/>
      <c r="BE65" s="138" t="n"/>
      <c r="BF65" s="138" t="n"/>
      <c r="BG65" s="138" t="n"/>
      <c r="BH65" s="138" t="n"/>
      <c r="BI65" s="138" t="n">
        <v>1</v>
      </c>
      <c r="BJ65" s="138" t="n"/>
      <c r="BK65" s="138" t="n"/>
      <c r="BL65" s="138" t="n"/>
      <c r="BM65" s="138" t="n"/>
      <c r="BN65" s="138" t="n"/>
      <c r="BO65" s="138" t="n"/>
      <c r="BP65" s="138" t="n"/>
      <c r="BQ65" s="138" t="n"/>
      <c r="BR65" s="138" t="n"/>
      <c r="BS65" s="138" t="n"/>
      <c r="BT65" s="138" t="n"/>
      <c r="BU65" s="138" t="n"/>
      <c r="BV65" s="138" t="n"/>
      <c r="BW65" s="138" t="n"/>
      <c r="BX65" s="138" t="n"/>
      <c r="BY65" s="138" t="n"/>
      <c r="BZ65" s="138" t="n"/>
      <c r="CA65" s="138" t="n"/>
      <c r="CB65" s="138" t="n"/>
      <c r="CC65" s="138" t="n"/>
      <c r="CD65" s="138" t="n"/>
      <c r="CE65" s="138" t="n"/>
      <c r="CF65" s="139" t="n">
        <v>2</v>
      </c>
    </row>
    <row r="66" ht="13.5" customHeight="1">
      <c r="A66" s="144" t="inlineStr">
        <is>
          <t>1404-24</t>
        </is>
      </c>
      <c r="B66" s="144" t="inlineStr">
        <is>
          <t>ほうれん草 150g(八ヶ岳ｸﾞﾘｰﾝ井出)不不</t>
        </is>
      </c>
      <c r="C66" s="138" t="inlineStr">
        <is>
          <t>こもの</t>
        </is>
      </c>
      <c r="D66" s="138" t="n"/>
      <c r="E66" s="138" t="n">
        <v>5</v>
      </c>
      <c r="F66" s="138" t="n"/>
      <c r="G66" s="138" t="n"/>
      <c r="H66" s="138" t="n"/>
      <c r="I66" s="138" t="n"/>
      <c r="J66" s="138" t="n">
        <v>12</v>
      </c>
      <c r="K66" s="138" t="n"/>
      <c r="L66" s="138" t="n"/>
      <c r="M66" s="138" t="n">
        <v>10</v>
      </c>
      <c r="N66" s="138" t="n">
        <v>5</v>
      </c>
      <c r="O66" s="138" t="n"/>
      <c r="P66" s="138" t="n"/>
      <c r="Q66" s="138" t="n"/>
      <c r="R66" s="138" t="n"/>
      <c r="S66" s="138" t="n">
        <v>6</v>
      </c>
      <c r="T66" s="138" t="n"/>
      <c r="U66" s="138" t="n"/>
      <c r="V66" s="138" t="n"/>
      <c r="W66" s="138" t="n"/>
      <c r="X66" s="138" t="n"/>
      <c r="Y66" s="138" t="n"/>
      <c r="Z66" s="138" t="n"/>
      <c r="AA66" s="138" t="n">
        <v>5</v>
      </c>
      <c r="AB66" s="138" t="n"/>
      <c r="AC66" s="138" t="n"/>
      <c r="AD66" s="138" t="n"/>
      <c r="AE66" s="138" t="n">
        <v>5</v>
      </c>
      <c r="AF66" s="138" t="n">
        <v>8</v>
      </c>
      <c r="AG66" s="138" t="n"/>
      <c r="AH66" s="138" t="n"/>
      <c r="AI66" s="138" t="n"/>
      <c r="AJ66" s="138" t="n"/>
      <c r="AK66" s="138" t="n"/>
      <c r="AL66" s="138" t="n">
        <v>8</v>
      </c>
      <c r="AM66" s="138" t="n"/>
      <c r="AN66" s="138" t="n"/>
      <c r="AO66" s="138" t="n"/>
      <c r="AP66" s="138" t="n"/>
      <c r="AQ66" s="138" t="n"/>
      <c r="AR66" s="138" t="n"/>
      <c r="AS66" s="138" t="n"/>
      <c r="AT66" s="138" t="n"/>
      <c r="AU66" s="138" t="n"/>
      <c r="AV66" s="138" t="n">
        <v>6</v>
      </c>
      <c r="AW66" s="138" t="n">
        <v>6</v>
      </c>
      <c r="AX66" s="138" t="n"/>
      <c r="AY66" s="138" t="n"/>
      <c r="AZ66" s="138" t="n"/>
      <c r="BA66" s="138" t="n"/>
      <c r="BB66" s="138" t="n"/>
      <c r="BC66" s="138" t="n"/>
      <c r="BD66" s="138" t="n"/>
      <c r="BE66" s="138" t="n"/>
      <c r="BF66" s="138" t="n"/>
      <c r="BG66" s="138" t="n"/>
      <c r="BH66" s="138" t="n"/>
      <c r="BI66" s="138" t="n"/>
      <c r="BJ66" s="138" t="n"/>
      <c r="BK66" s="138" t="n"/>
      <c r="BL66" s="138" t="n"/>
      <c r="BM66" s="138" t="n"/>
      <c r="BN66" s="138" t="n"/>
      <c r="BO66" s="138" t="n"/>
      <c r="BP66" s="138" t="n"/>
      <c r="BQ66" s="138" t="n"/>
      <c r="BR66" s="138" t="n"/>
      <c r="BS66" s="138" t="n"/>
      <c r="BT66" s="138" t="n"/>
      <c r="BU66" s="138" t="n"/>
      <c r="BV66" s="138" t="n">
        <v>8</v>
      </c>
      <c r="BW66" s="138" t="n">
        <v>2</v>
      </c>
      <c r="BX66" s="138" t="n"/>
      <c r="BY66" s="138" t="n"/>
      <c r="BZ66" s="138" t="n"/>
      <c r="CA66" s="138" t="n">
        <v>20</v>
      </c>
      <c r="CB66" s="138" t="n"/>
      <c r="CC66" s="138" t="n">
        <v>40</v>
      </c>
      <c r="CD66" s="138" t="n"/>
      <c r="CE66" s="138" t="n">
        <v>7</v>
      </c>
      <c r="CF66" s="139" t="n">
        <v>153</v>
      </c>
    </row>
    <row r="67" ht="13.5" customHeight="1">
      <c r="A67" s="144" t="inlineStr">
        <is>
          <t>1404-28</t>
        </is>
      </c>
      <c r="B67" s="144" t="inlineStr">
        <is>
          <t>■ほうれん草 5kg (八ヶ岳グリーン)不不</t>
        </is>
      </c>
      <c r="C67" s="138" t="inlineStr">
        <is>
          <t>箱</t>
        </is>
      </c>
      <c r="D67" s="138" t="n"/>
      <c r="E67" s="138" t="n"/>
      <c r="F67" s="138" t="n"/>
      <c r="G67" s="138" t="n"/>
      <c r="H67" s="138" t="n"/>
      <c r="I67" s="138" t="n"/>
      <c r="J67" s="138" t="n"/>
      <c r="K67" s="138" t="n"/>
      <c r="L67" s="138" t="n"/>
      <c r="M67" s="138" t="n"/>
      <c r="N67" s="138" t="n"/>
      <c r="O67" s="138" t="n"/>
      <c r="P67" s="138" t="n"/>
      <c r="Q67" s="138" t="n"/>
      <c r="R67" s="138" t="n"/>
      <c r="S67" s="138" t="n"/>
      <c r="T67" s="138" t="n"/>
      <c r="U67" s="138" t="n"/>
      <c r="V67" s="138" t="n"/>
      <c r="W67" s="138" t="n"/>
      <c r="X67" s="138" t="n"/>
      <c r="Y67" s="138" t="n"/>
      <c r="Z67" s="138" t="n"/>
      <c r="AA67" s="138" t="n"/>
      <c r="AB67" s="138" t="n"/>
      <c r="AC67" s="138" t="n"/>
      <c r="AD67" s="138" t="n"/>
      <c r="AE67" s="138" t="n"/>
      <c r="AF67" s="138" t="n"/>
      <c r="AG67" s="138" t="n"/>
      <c r="AH67" s="138" t="n"/>
      <c r="AI67" s="138" t="n"/>
      <c r="AJ67" s="138" t="n"/>
      <c r="AK67" s="138" t="n"/>
      <c r="AL67" s="138" t="n"/>
      <c r="AM67" s="138" t="n"/>
      <c r="AN67" s="138" t="n"/>
      <c r="AO67" s="138" t="n"/>
      <c r="AP67" s="138" t="n"/>
      <c r="AQ67" s="138" t="n"/>
      <c r="AR67" s="138" t="n"/>
      <c r="AS67" s="138" t="n"/>
      <c r="AT67" s="138" t="n"/>
      <c r="AU67" s="138" t="n"/>
      <c r="AV67" s="138" t="n"/>
      <c r="AW67" s="138" t="n"/>
      <c r="AX67" s="138" t="n"/>
      <c r="AY67" s="138" t="n"/>
      <c r="AZ67" s="138" t="n"/>
      <c r="BA67" s="138" t="n"/>
      <c r="BB67" s="138" t="n"/>
      <c r="BC67" s="138" t="n"/>
      <c r="BD67" s="138" t="n"/>
      <c r="BE67" s="138" t="n"/>
      <c r="BF67" s="138" t="n"/>
      <c r="BG67" s="138" t="n"/>
      <c r="BH67" s="138" t="n"/>
      <c r="BI67" s="138" t="n"/>
      <c r="BJ67" s="138" t="n"/>
      <c r="BK67" s="138" t="n"/>
      <c r="BL67" s="138" t="n">
        <v>1</v>
      </c>
      <c r="BM67" s="138" t="n"/>
      <c r="BN67" s="138" t="n"/>
      <c r="BO67" s="138" t="n">
        <v>1</v>
      </c>
      <c r="BP67" s="138" t="n"/>
      <c r="BQ67" s="138" t="n"/>
      <c r="BR67" s="138" t="n"/>
      <c r="BS67" s="138" t="n"/>
      <c r="BT67" s="138" t="n"/>
      <c r="BU67" s="138" t="n"/>
      <c r="BV67" s="138" t="n"/>
      <c r="BW67" s="138" t="n"/>
      <c r="BX67" s="138" t="n"/>
      <c r="BY67" s="138" t="n"/>
      <c r="BZ67" s="138" t="n"/>
      <c r="CA67" s="138" t="n"/>
      <c r="CB67" s="138" t="n"/>
      <c r="CC67" s="138" t="n"/>
      <c r="CD67" s="138" t="n"/>
      <c r="CE67" s="138" t="n"/>
      <c r="CF67" s="139" t="n">
        <v>2</v>
      </c>
    </row>
    <row r="68" ht="13.5" customHeight="1">
      <c r="A68" s="144" t="inlineStr">
        <is>
          <t>1407-14</t>
        </is>
      </c>
      <c r="B68" s="144" t="inlineStr">
        <is>
          <t>有機ルッコラ 50g袋 (わ～ふぁ)</t>
        </is>
      </c>
      <c r="C68" s="138" t="inlineStr">
        <is>
          <t>こもの</t>
        </is>
      </c>
      <c r="D68" s="138" t="n"/>
      <c r="E68" s="138" t="n"/>
      <c r="F68" s="138" t="n"/>
      <c r="G68" s="138" t="n"/>
      <c r="H68" s="138" t="n"/>
      <c r="I68" s="138" t="n"/>
      <c r="J68" s="138" t="n">
        <v>2</v>
      </c>
      <c r="K68" s="138" t="n"/>
      <c r="L68" s="138" t="n"/>
      <c r="M68" s="138" t="n"/>
      <c r="N68" s="138" t="n"/>
      <c r="O68" s="138" t="n"/>
      <c r="P68" s="138" t="n"/>
      <c r="Q68" s="138" t="n"/>
      <c r="R68" s="138" t="n"/>
      <c r="S68" s="138" t="n">
        <v>3</v>
      </c>
      <c r="T68" s="138" t="n"/>
      <c r="U68" s="138" t="n"/>
      <c r="V68" s="138" t="n"/>
      <c r="W68" s="138" t="n"/>
      <c r="X68" s="138" t="n"/>
      <c r="Y68" s="138" t="n"/>
      <c r="Z68" s="138" t="n"/>
      <c r="AA68" s="138" t="n">
        <v>3</v>
      </c>
      <c r="AB68" s="138" t="n"/>
      <c r="AC68" s="138" t="n"/>
      <c r="AD68" s="138" t="n"/>
      <c r="AE68" s="138" t="n"/>
      <c r="AF68" s="138" t="n"/>
      <c r="AG68" s="138" t="n"/>
      <c r="AH68" s="138" t="n"/>
      <c r="AI68" s="138" t="n"/>
      <c r="AJ68" s="138" t="n"/>
      <c r="AK68" s="138" t="n"/>
      <c r="AL68" s="138" t="n"/>
      <c r="AM68" s="138" t="n"/>
      <c r="AN68" s="138" t="n"/>
      <c r="AO68" s="138" t="n"/>
      <c r="AP68" s="138" t="n"/>
      <c r="AQ68" s="138" t="n"/>
      <c r="AR68" s="138" t="n"/>
      <c r="AS68" s="138" t="n"/>
      <c r="AT68" s="138" t="n"/>
      <c r="AU68" s="138" t="n"/>
      <c r="AV68" s="138" t="n"/>
      <c r="AW68" s="138" t="n">
        <v>3</v>
      </c>
      <c r="AX68" s="138" t="n"/>
      <c r="AY68" s="138" t="n"/>
      <c r="AZ68" s="138" t="n"/>
      <c r="BA68" s="138" t="n"/>
      <c r="BB68" s="138" t="n">
        <v>2</v>
      </c>
      <c r="BC68" s="138" t="n"/>
      <c r="BD68" s="138" t="n"/>
      <c r="BE68" s="138" t="n"/>
      <c r="BF68" s="138" t="n"/>
      <c r="BG68" s="138" t="n"/>
      <c r="BH68" s="138" t="n"/>
      <c r="BI68" s="138" t="n"/>
      <c r="BJ68" s="138" t="n">
        <v>2</v>
      </c>
      <c r="BK68" s="138" t="n"/>
      <c r="BL68" s="138" t="n"/>
      <c r="BM68" s="138" t="n"/>
      <c r="BN68" s="138" t="n"/>
      <c r="BO68" s="138" t="n"/>
      <c r="BP68" s="138" t="n"/>
      <c r="BQ68" s="138" t="n"/>
      <c r="BR68" s="138" t="n"/>
      <c r="BS68" s="138" t="n"/>
      <c r="BT68" s="138" t="n"/>
      <c r="BU68" s="138" t="n"/>
      <c r="BV68" s="138" t="n"/>
      <c r="BW68" s="138" t="n"/>
      <c r="BX68" s="138" t="n">
        <v>6</v>
      </c>
      <c r="BY68" s="138" t="n"/>
      <c r="BZ68" s="138" t="n"/>
      <c r="CA68" s="138" t="n"/>
      <c r="CB68" s="138" t="n"/>
      <c r="CC68" s="138" t="n">
        <v>2</v>
      </c>
      <c r="CD68" s="138" t="n"/>
      <c r="CE68" s="138" t="n">
        <v>2</v>
      </c>
      <c r="CF68" s="139" t="n">
        <v>25</v>
      </c>
    </row>
    <row r="69" ht="13.5" customHeight="1">
      <c r="A69" s="144" t="inlineStr">
        <is>
          <t>1407-20</t>
        </is>
      </c>
      <c r="B69" s="144" t="inlineStr">
        <is>
          <t>有機ルッコラ 50g袋×５(わ～ふぁ)東一</t>
        </is>
      </c>
      <c r="C69" s="138" t="inlineStr">
        <is>
          <t>こもの</t>
        </is>
      </c>
      <c r="D69" s="138" t="n"/>
      <c r="E69" s="138" t="n"/>
      <c r="F69" s="138" t="n"/>
      <c r="G69" s="138" t="n"/>
      <c r="H69" s="138" t="n"/>
      <c r="I69" s="138" t="n"/>
      <c r="J69" s="138" t="n"/>
      <c r="K69" s="138" t="n"/>
      <c r="L69" s="138" t="n"/>
      <c r="M69" s="138" t="n"/>
      <c r="N69" s="138" t="n"/>
      <c r="O69" s="138" t="n"/>
      <c r="P69" s="138" t="n"/>
      <c r="Q69" s="138" t="n"/>
      <c r="R69" s="138" t="n"/>
      <c r="S69" s="138" t="n"/>
      <c r="T69" s="138" t="n"/>
      <c r="U69" s="138" t="n"/>
      <c r="V69" s="138" t="n"/>
      <c r="W69" s="138" t="n"/>
      <c r="X69" s="138" t="n"/>
      <c r="Y69" s="138" t="n"/>
      <c r="Z69" s="138" t="n"/>
      <c r="AA69" s="138" t="n"/>
      <c r="AB69" s="138" t="n"/>
      <c r="AC69" s="138" t="n"/>
      <c r="AD69" s="138" t="n"/>
      <c r="AE69" s="138" t="n"/>
      <c r="AF69" s="138" t="n"/>
      <c r="AG69" s="138" t="n"/>
      <c r="AH69" s="138" t="n"/>
      <c r="AI69" s="138" t="n"/>
      <c r="AJ69" s="138" t="n"/>
      <c r="AK69" s="138" t="n"/>
      <c r="AL69" s="138" t="n"/>
      <c r="AM69" s="138" t="n"/>
      <c r="AN69" s="138" t="n"/>
      <c r="AO69" s="138" t="n"/>
      <c r="AP69" s="138" t="n"/>
      <c r="AQ69" s="138" t="n"/>
      <c r="AR69" s="138" t="n"/>
      <c r="AS69" s="138" t="n"/>
      <c r="AT69" s="138" t="n"/>
      <c r="AU69" s="138" t="n"/>
      <c r="AV69" s="138" t="n"/>
      <c r="AW69" s="138" t="n"/>
      <c r="AX69" s="138" t="n"/>
      <c r="AY69" s="138" t="n"/>
      <c r="AZ69" s="138" t="n"/>
      <c r="BA69" s="138" t="n"/>
      <c r="BB69" s="138" t="n"/>
      <c r="BC69" s="138" t="n">
        <v>3</v>
      </c>
      <c r="BD69" s="138" t="n"/>
      <c r="BE69" s="138" t="n"/>
      <c r="BF69" s="138" t="n"/>
      <c r="BG69" s="138" t="n"/>
      <c r="BH69" s="138" t="n"/>
      <c r="BI69" s="138" t="n"/>
      <c r="BJ69" s="138" t="n"/>
      <c r="BK69" s="138" t="n"/>
      <c r="BL69" s="138" t="n"/>
      <c r="BM69" s="138" t="n"/>
      <c r="BN69" s="138" t="n"/>
      <c r="BO69" s="138" t="n"/>
      <c r="BP69" s="138" t="n"/>
      <c r="BQ69" s="138" t="n"/>
      <c r="BR69" s="138" t="n"/>
      <c r="BS69" s="138" t="n"/>
      <c r="BT69" s="138" t="n"/>
      <c r="BU69" s="138" t="n"/>
      <c r="BV69" s="138" t="n"/>
      <c r="BW69" s="138" t="n"/>
      <c r="BX69" s="138" t="n"/>
      <c r="BY69" s="138" t="n"/>
      <c r="BZ69" s="138" t="n"/>
      <c r="CA69" s="138" t="n"/>
      <c r="CB69" s="138" t="n"/>
      <c r="CC69" s="138" t="n"/>
      <c r="CD69" s="138" t="n"/>
      <c r="CE69" s="138" t="n"/>
      <c r="CF69" s="139" t="n">
        <v>3</v>
      </c>
    </row>
    <row r="70" ht="13.5" customHeight="1">
      <c r="A70" s="144" t="inlineStr">
        <is>
          <t>1408-166</t>
        </is>
      </c>
      <c r="B70" s="144" t="inlineStr">
        <is>
          <t>有機ほうれん草　150ｇ(北総)</t>
        </is>
      </c>
      <c r="C70" s="138" t="inlineStr">
        <is>
          <t>こもの</t>
        </is>
      </c>
      <c r="D70" s="138" t="n">
        <v>3</v>
      </c>
      <c r="E70" s="138" t="n"/>
      <c r="F70" s="138" t="n"/>
      <c r="G70" s="138" t="n"/>
      <c r="H70" s="138" t="n"/>
      <c r="I70" s="138" t="n"/>
      <c r="J70" s="138" t="n"/>
      <c r="K70" s="138" t="n"/>
      <c r="L70" s="138" t="n"/>
      <c r="M70" s="138" t="n"/>
      <c r="N70" s="138" t="n"/>
      <c r="O70" s="138" t="n"/>
      <c r="P70" s="138" t="n"/>
      <c r="Q70" s="138" t="n"/>
      <c r="R70" s="138" t="n">
        <v>5</v>
      </c>
      <c r="S70" s="138" t="n"/>
      <c r="T70" s="138" t="n"/>
      <c r="U70" s="138" t="n"/>
      <c r="V70" s="138" t="n"/>
      <c r="W70" s="138" t="n"/>
      <c r="X70" s="138" t="n"/>
      <c r="Y70" s="138" t="n"/>
      <c r="Z70" s="138" t="n"/>
      <c r="AA70" s="138" t="n"/>
      <c r="AB70" s="138" t="n"/>
      <c r="AC70" s="138" t="n">
        <v>4</v>
      </c>
      <c r="AD70" s="138" t="n"/>
      <c r="AE70" s="138" t="n"/>
      <c r="AF70" s="138" t="n"/>
      <c r="AG70" s="138" t="n"/>
      <c r="AH70" s="138" t="n"/>
      <c r="AI70" s="138" t="n"/>
      <c r="AJ70" s="138" t="n"/>
      <c r="AK70" s="138" t="n"/>
      <c r="AL70" s="138" t="n"/>
      <c r="AM70" s="138" t="n"/>
      <c r="AN70" s="138" t="n"/>
      <c r="AO70" s="138" t="n">
        <v>3</v>
      </c>
      <c r="AP70" s="138" t="n"/>
      <c r="AQ70" s="138" t="n"/>
      <c r="AR70" s="138" t="n"/>
      <c r="AS70" s="138" t="n"/>
      <c r="AT70" s="138" t="n"/>
      <c r="AU70" s="138" t="n"/>
      <c r="AV70" s="138" t="n"/>
      <c r="AW70" s="138" t="n"/>
      <c r="AX70" s="138" t="n"/>
      <c r="AY70" s="138" t="n"/>
      <c r="AZ70" s="138" t="n">
        <v>2</v>
      </c>
      <c r="BA70" s="138" t="n"/>
      <c r="BB70" s="138" t="n"/>
      <c r="BC70" s="138" t="n"/>
      <c r="BD70" s="138" t="n"/>
      <c r="BE70" s="138" t="n">
        <v>2</v>
      </c>
      <c r="BF70" s="138" t="n">
        <v>8</v>
      </c>
      <c r="BG70" s="138" t="n"/>
      <c r="BH70" s="138" t="n"/>
      <c r="BI70" s="138" t="n"/>
      <c r="BJ70" s="138" t="n"/>
      <c r="BK70" s="138" t="n"/>
      <c r="BL70" s="138" t="n"/>
      <c r="BM70" s="138" t="n"/>
      <c r="BN70" s="138" t="n"/>
      <c r="BO70" s="138" t="n"/>
      <c r="BP70" s="138" t="n"/>
      <c r="BQ70" s="138" t="n"/>
      <c r="BR70" s="138" t="n"/>
      <c r="BS70" s="138" t="n"/>
      <c r="BT70" s="138" t="n"/>
      <c r="BU70" s="138" t="n"/>
      <c r="BV70" s="138" t="n"/>
      <c r="BW70" s="138" t="n"/>
      <c r="BX70" s="138" t="n">
        <v>8</v>
      </c>
      <c r="BY70" s="138" t="n"/>
      <c r="BZ70" s="138" t="n"/>
      <c r="CA70" s="138" t="n"/>
      <c r="CB70" s="138" t="n"/>
      <c r="CC70" s="138" t="n"/>
      <c r="CD70" s="138" t="n">
        <v>8</v>
      </c>
      <c r="CE70" s="138" t="n"/>
      <c r="CF70" s="139" t="n">
        <v>43</v>
      </c>
    </row>
    <row r="71" ht="13.5" customHeight="1">
      <c r="A71" s="144" t="inlineStr">
        <is>
          <t>1408-179</t>
        </is>
      </c>
      <c r="B71" s="144" t="inlineStr">
        <is>
          <t>■有機ほうれん草　150ｇ×25入(北総)</t>
        </is>
      </c>
      <c r="C71" s="138" t="inlineStr">
        <is>
          <t>箱</t>
        </is>
      </c>
      <c r="D71" s="138" t="n"/>
      <c r="E71" s="138" t="n"/>
      <c r="F71" s="138" t="n"/>
      <c r="G71" s="138" t="n"/>
      <c r="H71" s="138" t="n"/>
      <c r="I71" s="138" t="n"/>
      <c r="J71" s="138" t="n"/>
      <c r="K71" s="138" t="n"/>
      <c r="L71" s="138" t="n"/>
      <c r="M71" s="138" t="n"/>
      <c r="N71" s="138" t="n"/>
      <c r="O71" s="138" t="n"/>
      <c r="P71" s="138" t="n"/>
      <c r="Q71" s="138" t="n"/>
      <c r="R71" s="138" t="n"/>
      <c r="S71" s="138" t="n"/>
      <c r="T71" s="138" t="n"/>
      <c r="U71" s="138" t="n"/>
      <c r="V71" s="138" t="n"/>
      <c r="W71" s="138" t="n"/>
      <c r="X71" s="138" t="n"/>
      <c r="Y71" s="138" t="n"/>
      <c r="Z71" s="138" t="n"/>
      <c r="AA71" s="138" t="n"/>
      <c r="AB71" s="138" t="n"/>
      <c r="AC71" s="138" t="n"/>
      <c r="AD71" s="138" t="n"/>
      <c r="AE71" s="138" t="n"/>
      <c r="AF71" s="138" t="n"/>
      <c r="AG71" s="138" t="n"/>
      <c r="AH71" s="138" t="n"/>
      <c r="AI71" s="138" t="n"/>
      <c r="AJ71" s="138" t="n"/>
      <c r="AK71" s="138" t="n"/>
      <c r="AL71" s="138" t="n"/>
      <c r="AM71" s="138" t="n"/>
      <c r="AN71" s="138" t="n"/>
      <c r="AO71" s="138" t="n"/>
      <c r="AP71" s="138" t="n"/>
      <c r="AQ71" s="138" t="n"/>
      <c r="AR71" s="138" t="n"/>
      <c r="AS71" s="138" t="n"/>
      <c r="AT71" s="138" t="n"/>
      <c r="AU71" s="138" t="n"/>
      <c r="AV71" s="138" t="n"/>
      <c r="AW71" s="138" t="n"/>
      <c r="AX71" s="138" t="n"/>
      <c r="AY71" s="138" t="n"/>
      <c r="AZ71" s="138" t="n"/>
      <c r="BA71" s="138" t="n"/>
      <c r="BB71" s="138" t="n"/>
      <c r="BC71" s="138" t="n"/>
      <c r="BD71" s="138" t="n"/>
      <c r="BE71" s="138" t="n"/>
      <c r="BF71" s="138" t="n"/>
      <c r="BG71" s="138" t="n"/>
      <c r="BH71" s="138" t="n"/>
      <c r="BI71" s="138" t="n"/>
      <c r="BJ71" s="138" t="n"/>
      <c r="BK71" s="138" t="n"/>
      <c r="BL71" s="138" t="n"/>
      <c r="BM71" s="138" t="n"/>
      <c r="BN71" s="138" t="n"/>
      <c r="BO71" s="138" t="n"/>
      <c r="BP71" s="138" t="n"/>
      <c r="BQ71" s="138" t="n"/>
      <c r="BR71" s="138" t="n"/>
      <c r="BS71" s="138" t="n"/>
      <c r="BT71" s="138" t="n"/>
      <c r="BU71" s="138" t="n"/>
      <c r="BV71" s="138" t="n"/>
      <c r="BW71" s="138" t="n"/>
      <c r="BX71" s="138" t="n"/>
      <c r="BY71" s="138" t="n"/>
      <c r="BZ71" s="138" t="n">
        <v>2</v>
      </c>
      <c r="CA71" s="138" t="n"/>
      <c r="CB71" s="138" t="n"/>
      <c r="CC71" s="138" t="n"/>
      <c r="CD71" s="138" t="n"/>
      <c r="CE71" s="138" t="n"/>
      <c r="CF71" s="139" t="n">
        <v>2</v>
      </c>
    </row>
    <row r="72" ht="13.5" customHeight="1">
      <c r="A72" s="144" t="inlineStr">
        <is>
          <t>1408-72</t>
        </is>
      </c>
      <c r="B72" s="144" t="inlineStr">
        <is>
          <t>有機ほうれん草　150g袋 (わ～ふぁ)</t>
        </is>
      </c>
      <c r="C72" s="138" t="inlineStr">
        <is>
          <t>こもの</t>
        </is>
      </c>
      <c r="D72" s="138" t="n"/>
      <c r="E72" s="138" t="n"/>
      <c r="F72" s="138" t="n"/>
      <c r="G72" s="138" t="n"/>
      <c r="H72" s="138" t="n"/>
      <c r="I72" s="138" t="n"/>
      <c r="J72" s="138" t="n"/>
      <c r="K72" s="138" t="n"/>
      <c r="L72" s="138" t="n"/>
      <c r="M72" s="138" t="n"/>
      <c r="N72" s="138" t="n"/>
      <c r="O72" s="138" t="n"/>
      <c r="P72" s="138" t="n"/>
      <c r="Q72" s="138" t="n"/>
      <c r="R72" s="138" t="n"/>
      <c r="S72" s="138" t="n"/>
      <c r="T72" s="138" t="n"/>
      <c r="U72" s="138" t="n"/>
      <c r="V72" s="138" t="n"/>
      <c r="W72" s="138" t="n">
        <v>5</v>
      </c>
      <c r="X72" s="138" t="n"/>
      <c r="Y72" s="138" t="n"/>
      <c r="Z72" s="138" t="n">
        <v>4</v>
      </c>
      <c r="AA72" s="138" t="n"/>
      <c r="AB72" s="138" t="n"/>
      <c r="AC72" s="138" t="n"/>
      <c r="AD72" s="138" t="n"/>
      <c r="AE72" s="138" t="n"/>
      <c r="AF72" s="138" t="n"/>
      <c r="AG72" s="138" t="n"/>
      <c r="AH72" s="138" t="n"/>
      <c r="AI72" s="138" t="n">
        <v>3</v>
      </c>
      <c r="AJ72" s="138" t="n"/>
      <c r="AK72" s="138" t="n"/>
      <c r="AL72" s="138" t="n"/>
      <c r="AM72" s="138" t="n"/>
      <c r="AN72" s="138" t="n"/>
      <c r="AO72" s="138" t="n"/>
      <c r="AP72" s="138" t="n"/>
      <c r="AQ72" s="138" t="n"/>
      <c r="AR72" s="138" t="n"/>
      <c r="AS72" s="138" t="n">
        <v>6</v>
      </c>
      <c r="AT72" s="138" t="n"/>
      <c r="AU72" s="138" t="n"/>
      <c r="AV72" s="138" t="n"/>
      <c r="AW72" s="138" t="n"/>
      <c r="AX72" s="138" t="n"/>
      <c r="AY72" s="138" t="n"/>
      <c r="AZ72" s="138" t="n"/>
      <c r="BA72" s="138" t="n"/>
      <c r="BB72" s="138" t="n">
        <v>5</v>
      </c>
      <c r="BC72" s="138" t="n"/>
      <c r="BD72" s="138" t="n"/>
      <c r="BE72" s="138" t="n"/>
      <c r="BF72" s="138" t="n"/>
      <c r="BG72" s="138" t="n"/>
      <c r="BH72" s="138" t="n"/>
      <c r="BI72" s="138" t="n"/>
      <c r="BJ72" s="138" t="n"/>
      <c r="BK72" s="138" t="n"/>
      <c r="BL72" s="138" t="n"/>
      <c r="BM72" s="138" t="n"/>
      <c r="BN72" s="138" t="n"/>
      <c r="BO72" s="138" t="n"/>
      <c r="BP72" s="138" t="n"/>
      <c r="BQ72" s="138" t="n"/>
      <c r="BR72" s="138" t="n"/>
      <c r="BS72" s="138" t="n"/>
      <c r="BT72" s="138" t="n"/>
      <c r="BU72" s="138" t="n"/>
      <c r="BV72" s="138" t="n"/>
      <c r="BW72" s="138" t="n"/>
      <c r="BX72" s="138" t="n"/>
      <c r="BY72" s="138" t="n"/>
      <c r="BZ72" s="138" t="n"/>
      <c r="CA72" s="138" t="n"/>
      <c r="CB72" s="138" t="n"/>
      <c r="CC72" s="138" t="n"/>
      <c r="CD72" s="138" t="n"/>
      <c r="CE72" s="138" t="n"/>
      <c r="CF72" s="139" t="n">
        <v>23</v>
      </c>
    </row>
    <row r="73" ht="13.5" customHeight="1">
      <c r="A73" s="144" t="inlineStr">
        <is>
          <t>1409-160</t>
        </is>
      </c>
      <c r="B73" s="144" t="inlineStr">
        <is>
          <t>有機小松菜　200g(北総)</t>
        </is>
      </c>
      <c r="C73" s="138" t="inlineStr">
        <is>
          <t>こもの</t>
        </is>
      </c>
      <c r="D73" s="138" t="n">
        <v>3</v>
      </c>
      <c r="E73" s="138" t="n"/>
      <c r="F73" s="138" t="n"/>
      <c r="G73" s="138" t="n"/>
      <c r="H73" s="138" t="n"/>
      <c r="I73" s="138" t="n"/>
      <c r="J73" s="138" t="n"/>
      <c r="K73" s="138" t="n"/>
      <c r="L73" s="138" t="n"/>
      <c r="M73" s="138" t="n"/>
      <c r="N73" s="138" t="n">
        <v>5</v>
      </c>
      <c r="O73" s="138" t="n"/>
      <c r="P73" s="138" t="n"/>
      <c r="Q73" s="138" t="n"/>
      <c r="R73" s="138" t="n">
        <v>7</v>
      </c>
      <c r="S73" s="138" t="n"/>
      <c r="T73" s="138" t="n"/>
      <c r="U73" s="138" t="n"/>
      <c r="V73" s="138" t="n"/>
      <c r="W73" s="138" t="n">
        <v>5</v>
      </c>
      <c r="X73" s="138" t="n"/>
      <c r="Y73" s="138" t="n"/>
      <c r="Z73" s="138" t="n">
        <v>4</v>
      </c>
      <c r="AA73" s="138" t="n"/>
      <c r="AB73" s="138" t="n"/>
      <c r="AC73" s="138" t="n">
        <v>5</v>
      </c>
      <c r="AD73" s="138" t="n"/>
      <c r="AE73" s="138" t="n"/>
      <c r="AF73" s="138" t="n"/>
      <c r="AG73" s="138" t="n"/>
      <c r="AH73" s="138" t="n"/>
      <c r="AI73" s="138" t="n"/>
      <c r="AJ73" s="138" t="n"/>
      <c r="AK73" s="138" t="n"/>
      <c r="AL73" s="138" t="n">
        <v>10</v>
      </c>
      <c r="AM73" s="138" t="n"/>
      <c r="AN73" s="138" t="n"/>
      <c r="AO73" s="138" t="n">
        <v>3</v>
      </c>
      <c r="AP73" s="138" t="n"/>
      <c r="AQ73" s="138" t="n"/>
      <c r="AR73" s="138" t="n">
        <v>5</v>
      </c>
      <c r="AS73" s="138" t="n"/>
      <c r="AT73" s="138" t="n"/>
      <c r="AU73" s="138" t="n"/>
      <c r="AV73" s="138" t="n"/>
      <c r="AW73" s="138" t="n"/>
      <c r="AX73" s="138" t="n"/>
      <c r="AY73" s="138" t="n"/>
      <c r="AZ73" s="138" t="n">
        <v>2</v>
      </c>
      <c r="BA73" s="138" t="n"/>
      <c r="BB73" s="138" t="n"/>
      <c r="BC73" s="138" t="n"/>
      <c r="BD73" s="138" t="n"/>
      <c r="BE73" s="138" t="n">
        <v>2</v>
      </c>
      <c r="BF73" s="138" t="n">
        <v>5</v>
      </c>
      <c r="BG73" s="138" t="n">
        <v>4</v>
      </c>
      <c r="BH73" s="138" t="n">
        <v>15</v>
      </c>
      <c r="BI73" s="138" t="n"/>
      <c r="BJ73" s="138" t="n"/>
      <c r="BK73" s="138" t="n"/>
      <c r="BL73" s="138" t="n"/>
      <c r="BM73" s="138" t="n"/>
      <c r="BN73" s="138" t="n"/>
      <c r="BO73" s="138" t="n"/>
      <c r="BP73" s="138" t="n"/>
      <c r="BQ73" s="138" t="n">
        <v>4</v>
      </c>
      <c r="BR73" s="138" t="n">
        <v>4</v>
      </c>
      <c r="BS73" s="138" t="n"/>
      <c r="BT73" s="138" t="n"/>
      <c r="BU73" s="138" t="n"/>
      <c r="BV73" s="138" t="n">
        <v>4</v>
      </c>
      <c r="BW73" s="138" t="n">
        <v>4</v>
      </c>
      <c r="BX73" s="138" t="n">
        <v>8</v>
      </c>
      <c r="BY73" s="138" t="n">
        <v>2</v>
      </c>
      <c r="BZ73" s="138" t="n"/>
      <c r="CA73" s="138" t="n"/>
      <c r="CB73" s="138" t="n"/>
      <c r="CC73" s="138" t="n"/>
      <c r="CD73" s="138" t="n">
        <v>8</v>
      </c>
      <c r="CE73" s="138" t="n">
        <v>3</v>
      </c>
      <c r="CF73" s="139" t="n">
        <v>112</v>
      </c>
    </row>
    <row r="74" ht="13.5" customHeight="1">
      <c r="A74" s="144" t="inlineStr">
        <is>
          <t>1409-166</t>
        </is>
      </c>
      <c r="B74" s="144" t="inlineStr">
        <is>
          <t>有機小松菜　200g袋×４(北総)東一</t>
        </is>
      </c>
      <c r="C74" s="138" t="inlineStr">
        <is>
          <t>こもの</t>
        </is>
      </c>
      <c r="D74" s="138" t="n"/>
      <c r="E74" s="138" t="n"/>
      <c r="F74" s="138" t="n"/>
      <c r="G74" s="138" t="n"/>
      <c r="H74" s="138" t="n"/>
      <c r="I74" s="138" t="n"/>
      <c r="J74" s="138" t="n"/>
      <c r="K74" s="138" t="n"/>
      <c r="L74" s="138" t="n"/>
      <c r="M74" s="138" t="n"/>
      <c r="N74" s="138" t="n"/>
      <c r="O74" s="138" t="n"/>
      <c r="P74" s="138" t="n"/>
      <c r="Q74" s="138" t="n"/>
      <c r="R74" s="138" t="n"/>
      <c r="S74" s="138" t="n"/>
      <c r="T74" s="138" t="n"/>
      <c r="U74" s="138" t="n"/>
      <c r="V74" s="138" t="n"/>
      <c r="W74" s="138" t="n"/>
      <c r="X74" s="138" t="n"/>
      <c r="Y74" s="138" t="n"/>
      <c r="Z74" s="138" t="n"/>
      <c r="AA74" s="138" t="n"/>
      <c r="AB74" s="138" t="n"/>
      <c r="AC74" s="138" t="n"/>
      <c r="AD74" s="138" t="n"/>
      <c r="AE74" s="138" t="n"/>
      <c r="AF74" s="138" t="n"/>
      <c r="AG74" s="138" t="n"/>
      <c r="AH74" s="138" t="n"/>
      <c r="AI74" s="138" t="n"/>
      <c r="AJ74" s="138" t="n"/>
      <c r="AK74" s="138" t="n"/>
      <c r="AL74" s="138" t="n"/>
      <c r="AM74" s="138" t="n"/>
      <c r="AN74" s="138" t="n"/>
      <c r="AO74" s="138" t="n"/>
      <c r="AP74" s="138" t="n"/>
      <c r="AQ74" s="138" t="n"/>
      <c r="AR74" s="138" t="n"/>
      <c r="AS74" s="138" t="n"/>
      <c r="AT74" s="138" t="n"/>
      <c r="AU74" s="138" t="n"/>
      <c r="AV74" s="138" t="n"/>
      <c r="AW74" s="138" t="n"/>
      <c r="AX74" s="138" t="n"/>
      <c r="AY74" s="138" t="n"/>
      <c r="AZ74" s="138" t="n"/>
      <c r="BA74" s="138" t="n"/>
      <c r="BB74" s="138" t="n"/>
      <c r="BC74" s="138" t="n">
        <v>1</v>
      </c>
      <c r="BD74" s="138" t="n"/>
      <c r="BE74" s="138" t="n"/>
      <c r="BF74" s="138" t="n"/>
      <c r="BG74" s="138" t="n"/>
      <c r="BH74" s="138" t="n"/>
      <c r="BI74" s="138" t="n"/>
      <c r="BJ74" s="138" t="n"/>
      <c r="BK74" s="138" t="n"/>
      <c r="BL74" s="138" t="n"/>
      <c r="BM74" s="138" t="n"/>
      <c r="BN74" s="138" t="n"/>
      <c r="BO74" s="138" t="n"/>
      <c r="BP74" s="138" t="n"/>
      <c r="BQ74" s="138" t="n"/>
      <c r="BR74" s="138" t="n"/>
      <c r="BS74" s="138" t="n"/>
      <c r="BT74" s="138" t="n"/>
      <c r="BU74" s="138" t="n"/>
      <c r="BV74" s="138" t="n"/>
      <c r="BW74" s="138" t="n"/>
      <c r="BX74" s="138" t="n"/>
      <c r="BY74" s="138" t="n"/>
      <c r="BZ74" s="138" t="n"/>
      <c r="CA74" s="138" t="n"/>
      <c r="CB74" s="138" t="n"/>
      <c r="CC74" s="138" t="n"/>
      <c r="CD74" s="138" t="n"/>
      <c r="CE74" s="138" t="n"/>
      <c r="CF74" s="139" t="n">
        <v>1</v>
      </c>
    </row>
    <row r="75" ht="13.5" customHeight="1">
      <c r="A75" s="144" t="inlineStr">
        <is>
          <t>1409-197</t>
        </is>
      </c>
      <c r="B75" s="144" t="inlineStr">
        <is>
          <t>有機小松菜 150g(丸和)</t>
        </is>
      </c>
      <c r="C75" s="138" t="inlineStr">
        <is>
          <t>こもの</t>
        </is>
      </c>
      <c r="D75" s="138" t="n"/>
      <c r="E75" s="138" t="n"/>
      <c r="F75" s="138" t="n"/>
      <c r="G75" s="138" t="n"/>
      <c r="H75" s="138" t="n"/>
      <c r="I75" s="138" t="n"/>
      <c r="J75" s="138" t="n"/>
      <c r="K75" s="138" t="n"/>
      <c r="L75" s="138" t="n"/>
      <c r="M75" s="138" t="n"/>
      <c r="N75" s="138" t="n"/>
      <c r="O75" s="138" t="n"/>
      <c r="P75" s="138" t="n"/>
      <c r="Q75" s="138" t="n"/>
      <c r="R75" s="138" t="n"/>
      <c r="S75" s="138" t="n"/>
      <c r="T75" s="138" t="n"/>
      <c r="U75" s="138" t="n"/>
      <c r="V75" s="138" t="n"/>
      <c r="W75" s="138" t="n"/>
      <c r="X75" s="138" t="n"/>
      <c r="Y75" s="138" t="n"/>
      <c r="Z75" s="138" t="n"/>
      <c r="AA75" s="138" t="n"/>
      <c r="AB75" s="138" t="n"/>
      <c r="AC75" s="138" t="n"/>
      <c r="AD75" s="138" t="n"/>
      <c r="AE75" s="138" t="n"/>
      <c r="AF75" s="138" t="n"/>
      <c r="AG75" s="138" t="n"/>
      <c r="AH75" s="138" t="n"/>
      <c r="AI75" s="138" t="n"/>
      <c r="AJ75" s="138" t="n"/>
      <c r="AK75" s="138" t="n"/>
      <c r="AL75" s="138" t="n"/>
      <c r="AM75" s="138" t="n"/>
      <c r="AN75" s="138" t="n"/>
      <c r="AO75" s="138" t="n"/>
      <c r="AP75" s="138" t="n"/>
      <c r="AQ75" s="138" t="n"/>
      <c r="AR75" s="138" t="n"/>
      <c r="AS75" s="138" t="n"/>
      <c r="AT75" s="138" t="n"/>
      <c r="AU75" s="138" t="n"/>
      <c r="AV75" s="138" t="n"/>
      <c r="AW75" s="138" t="n"/>
      <c r="AX75" s="138" t="n"/>
      <c r="AY75" s="138" t="n"/>
      <c r="AZ75" s="138" t="n"/>
      <c r="BA75" s="138" t="n"/>
      <c r="BB75" s="138" t="n"/>
      <c r="BC75" s="138" t="n"/>
      <c r="BD75" s="138" t="n"/>
      <c r="BE75" s="138" t="n"/>
      <c r="BF75" s="138" t="n"/>
      <c r="BG75" s="138" t="n"/>
      <c r="BH75" s="138" t="n"/>
      <c r="BI75" s="138" t="n"/>
      <c r="BJ75" s="138" t="n"/>
      <c r="BK75" s="138" t="n"/>
      <c r="BL75" s="138" t="n"/>
      <c r="BM75" s="138" t="n"/>
      <c r="BN75" s="138" t="n"/>
      <c r="BO75" s="138" t="n"/>
      <c r="BP75" s="138" t="n"/>
      <c r="BQ75" s="138" t="n"/>
      <c r="BR75" s="138" t="n"/>
      <c r="BS75" s="138" t="n"/>
      <c r="BT75" s="138" t="n"/>
      <c r="BU75" s="138" t="n"/>
      <c r="BV75" s="138" t="n"/>
      <c r="BW75" s="138" t="n"/>
      <c r="BX75" s="138" t="n"/>
      <c r="BY75" s="138" t="n"/>
      <c r="BZ75" s="138" t="n"/>
      <c r="CA75" s="138" t="n"/>
      <c r="CB75" s="138" t="n"/>
      <c r="CC75" s="138" t="n">
        <v>100</v>
      </c>
      <c r="CD75" s="138" t="n"/>
      <c r="CE75" s="138" t="n"/>
      <c r="CF75" s="139" t="n">
        <v>100</v>
      </c>
    </row>
    <row r="76" ht="13.5" customHeight="1">
      <c r="A76" s="144" t="inlineStr">
        <is>
          <t>1409-81</t>
        </is>
      </c>
      <c r="B76" s="144" t="inlineStr">
        <is>
          <t>有機小松菜　200g袋 (わ～ふぁ)</t>
        </is>
      </c>
      <c r="C76" s="138" t="inlineStr">
        <is>
          <t>こもの</t>
        </is>
      </c>
      <c r="D76" s="138" t="n"/>
      <c r="E76" s="138" t="n">
        <v>5</v>
      </c>
      <c r="F76" s="138" t="n"/>
      <c r="G76" s="138" t="n"/>
      <c r="H76" s="138" t="n"/>
      <c r="I76" s="138" t="n"/>
      <c r="J76" s="138" t="n"/>
      <c r="K76" s="138" t="n"/>
      <c r="L76" s="138" t="n"/>
      <c r="M76" s="138" t="n"/>
      <c r="N76" s="138" t="n"/>
      <c r="O76" s="138" t="n"/>
      <c r="P76" s="138" t="n"/>
      <c r="Q76" s="138" t="n"/>
      <c r="R76" s="138" t="n">
        <v>5</v>
      </c>
      <c r="S76" s="138" t="n"/>
      <c r="T76" s="138" t="n"/>
      <c r="U76" s="138" t="n"/>
      <c r="V76" s="138" t="n"/>
      <c r="W76" s="138" t="n"/>
      <c r="X76" s="138" t="n"/>
      <c r="Y76" s="138" t="n"/>
      <c r="Z76" s="138" t="n"/>
      <c r="AA76" s="138" t="n"/>
      <c r="AB76" s="138" t="n"/>
      <c r="AC76" s="138" t="n"/>
      <c r="AD76" s="138" t="n"/>
      <c r="AE76" s="138" t="n"/>
      <c r="AF76" s="138" t="n"/>
      <c r="AG76" s="138" t="n"/>
      <c r="AH76" s="138" t="n"/>
      <c r="AI76" s="138" t="n">
        <v>3</v>
      </c>
      <c r="AJ76" s="138" t="n"/>
      <c r="AK76" s="138" t="n"/>
      <c r="AL76" s="138" t="n"/>
      <c r="AM76" s="138" t="n"/>
      <c r="AN76" s="138" t="n"/>
      <c r="AO76" s="138" t="n"/>
      <c r="AP76" s="138" t="n"/>
      <c r="AQ76" s="138" t="n"/>
      <c r="AR76" s="138" t="n"/>
      <c r="AS76" s="138" t="n"/>
      <c r="AT76" s="138" t="n"/>
      <c r="AU76" s="138" t="n"/>
      <c r="AV76" s="138" t="n"/>
      <c r="AW76" s="138" t="n"/>
      <c r="AX76" s="138" t="n"/>
      <c r="AY76" s="138" t="n"/>
      <c r="AZ76" s="138" t="n"/>
      <c r="BA76" s="138" t="n"/>
      <c r="BB76" s="138" t="n"/>
      <c r="BC76" s="138" t="n"/>
      <c r="BD76" s="138" t="n"/>
      <c r="BE76" s="138" t="n"/>
      <c r="BF76" s="138" t="n"/>
      <c r="BG76" s="138" t="n"/>
      <c r="BH76" s="138" t="n"/>
      <c r="BI76" s="138" t="n"/>
      <c r="BJ76" s="138" t="n"/>
      <c r="BK76" s="138" t="n"/>
      <c r="BL76" s="138" t="n"/>
      <c r="BM76" s="138" t="n"/>
      <c r="BN76" s="138" t="n"/>
      <c r="BO76" s="138" t="n"/>
      <c r="BP76" s="138" t="n"/>
      <c r="BQ76" s="138" t="n"/>
      <c r="BR76" s="138" t="n"/>
      <c r="BS76" s="138" t="n"/>
      <c r="BT76" s="138" t="n"/>
      <c r="BU76" s="138" t="n"/>
      <c r="BV76" s="138" t="n"/>
      <c r="BW76" s="138" t="n"/>
      <c r="BX76" s="138" t="n"/>
      <c r="BY76" s="138" t="n"/>
      <c r="BZ76" s="138" t="n"/>
      <c r="CA76" s="138" t="n"/>
      <c r="CB76" s="138" t="n"/>
      <c r="CC76" s="138" t="n"/>
      <c r="CD76" s="138" t="n"/>
      <c r="CE76" s="138" t="n"/>
      <c r="CF76" s="139" t="n">
        <v>13</v>
      </c>
    </row>
    <row r="77" ht="13.5" customHeight="1">
      <c r="A77" s="144" t="inlineStr">
        <is>
          <t>1419-1</t>
        </is>
      </c>
      <c r="B77" s="144" t="inlineStr">
        <is>
          <t>有機フリルケール　３枚入（わ～ふぁ）</t>
        </is>
      </c>
      <c r="C77" s="138" t="inlineStr">
        <is>
          <t>こもの</t>
        </is>
      </c>
      <c r="D77" s="138" t="n"/>
      <c r="E77" s="138" t="n"/>
      <c r="F77" s="138" t="n"/>
      <c r="G77" s="138" t="n"/>
      <c r="H77" s="138" t="n"/>
      <c r="I77" s="138" t="n"/>
      <c r="J77" s="138" t="n"/>
      <c r="K77" s="138" t="n"/>
      <c r="L77" s="138" t="n"/>
      <c r="M77" s="138" t="n">
        <v>10</v>
      </c>
      <c r="N77" s="138" t="n"/>
      <c r="O77" s="138" t="n"/>
      <c r="P77" s="138" t="n"/>
      <c r="Q77" s="138" t="n"/>
      <c r="R77" s="138" t="n"/>
      <c r="S77" s="138" t="n"/>
      <c r="T77" s="138" t="n"/>
      <c r="U77" s="138" t="n">
        <v>2</v>
      </c>
      <c r="V77" s="138" t="n"/>
      <c r="W77" s="138" t="n"/>
      <c r="X77" s="138" t="n"/>
      <c r="Y77" s="138" t="n"/>
      <c r="Z77" s="138" t="n"/>
      <c r="AA77" s="138" t="n"/>
      <c r="AB77" s="138" t="n"/>
      <c r="AC77" s="138" t="n"/>
      <c r="AD77" s="138" t="n"/>
      <c r="AE77" s="138" t="n"/>
      <c r="AF77" s="138" t="n"/>
      <c r="AG77" s="138" t="n"/>
      <c r="AH77" s="138" t="n"/>
      <c r="AI77" s="138" t="n"/>
      <c r="AJ77" s="138" t="n"/>
      <c r="AK77" s="138" t="n"/>
      <c r="AL77" s="138" t="n"/>
      <c r="AM77" s="138" t="n"/>
      <c r="AN77" s="138" t="n"/>
      <c r="AO77" s="138" t="n"/>
      <c r="AP77" s="138" t="n"/>
      <c r="AQ77" s="138" t="n"/>
      <c r="AR77" s="138" t="n"/>
      <c r="AS77" s="138" t="n"/>
      <c r="AT77" s="138" t="n">
        <v>1</v>
      </c>
      <c r="AU77" s="138" t="n"/>
      <c r="AV77" s="138" t="n"/>
      <c r="AW77" s="138" t="n"/>
      <c r="AX77" s="138" t="n"/>
      <c r="AY77" s="138" t="n"/>
      <c r="AZ77" s="138" t="n"/>
      <c r="BA77" s="138" t="n"/>
      <c r="BB77" s="138" t="n">
        <v>4</v>
      </c>
      <c r="BC77" s="138" t="n"/>
      <c r="BD77" s="138" t="n"/>
      <c r="BE77" s="138" t="n">
        <v>1</v>
      </c>
      <c r="BF77" s="138" t="n">
        <v>5</v>
      </c>
      <c r="BG77" s="138" t="n"/>
      <c r="BH77" s="138" t="n"/>
      <c r="BI77" s="138" t="n"/>
      <c r="BJ77" s="138" t="n">
        <v>4</v>
      </c>
      <c r="BK77" s="138" t="n"/>
      <c r="BL77" s="138" t="n"/>
      <c r="BM77" s="138" t="n"/>
      <c r="BN77" s="138" t="n"/>
      <c r="BO77" s="138" t="n"/>
      <c r="BP77" s="138" t="n"/>
      <c r="BQ77" s="138" t="n"/>
      <c r="BR77" s="138" t="n">
        <v>3</v>
      </c>
      <c r="BS77" s="138" t="n"/>
      <c r="BT77" s="138" t="n"/>
      <c r="BU77" s="138" t="n"/>
      <c r="BV77" s="138" t="n"/>
      <c r="BW77" s="138" t="n"/>
      <c r="BX77" s="138" t="n"/>
      <c r="BY77" s="138" t="n"/>
      <c r="BZ77" s="138" t="n"/>
      <c r="CA77" s="138" t="n"/>
      <c r="CB77" s="138" t="n"/>
      <c r="CC77" s="138" t="n">
        <v>2</v>
      </c>
      <c r="CD77" s="138" t="n"/>
      <c r="CE77" s="138" t="n"/>
      <c r="CF77" s="139" t="n">
        <v>32</v>
      </c>
    </row>
    <row r="78" ht="13.5" customHeight="1">
      <c r="A78" s="144" t="inlineStr">
        <is>
          <t>1419-15</t>
        </is>
      </c>
      <c r="B78" s="144" t="inlineStr">
        <is>
          <t>有機ケール　緑 80ｇ(富岡)</t>
        </is>
      </c>
      <c r="C78" s="138" t="inlineStr">
        <is>
          <t>こもの</t>
        </is>
      </c>
      <c r="D78" s="138" t="n"/>
      <c r="E78" s="138" t="n"/>
      <c r="F78" s="138" t="n"/>
      <c r="G78" s="138" t="n"/>
      <c r="H78" s="138" t="n"/>
      <c r="I78" s="138" t="n"/>
      <c r="J78" s="138" t="n"/>
      <c r="K78" s="138" t="n"/>
      <c r="L78" s="138" t="n"/>
      <c r="M78" s="138" t="n"/>
      <c r="N78" s="138" t="n"/>
      <c r="O78" s="138" t="n">
        <v>3</v>
      </c>
      <c r="P78" s="138" t="n"/>
      <c r="Q78" s="138" t="n"/>
      <c r="R78" s="138" t="n">
        <v>5</v>
      </c>
      <c r="S78" s="138" t="n">
        <v>3</v>
      </c>
      <c r="T78" s="138" t="n"/>
      <c r="U78" s="138" t="n"/>
      <c r="V78" s="138" t="n"/>
      <c r="W78" s="138" t="n">
        <v>3</v>
      </c>
      <c r="X78" s="138" t="n"/>
      <c r="Y78" s="138" t="n"/>
      <c r="Z78" s="138" t="n"/>
      <c r="AA78" s="138" t="n"/>
      <c r="AB78" s="138" t="n"/>
      <c r="AC78" s="138" t="n"/>
      <c r="AD78" s="138" t="n"/>
      <c r="AE78" s="138" t="n"/>
      <c r="AF78" s="138" t="n"/>
      <c r="AG78" s="138" t="n">
        <v>6</v>
      </c>
      <c r="AH78" s="138" t="n"/>
      <c r="AI78" s="138" t="n"/>
      <c r="AJ78" s="138" t="n"/>
      <c r="AK78" s="138" t="n"/>
      <c r="AL78" s="138" t="n"/>
      <c r="AM78" s="138" t="n"/>
      <c r="AN78" s="138" t="n"/>
      <c r="AO78" s="138" t="n"/>
      <c r="AP78" s="138" t="n"/>
      <c r="AQ78" s="138" t="n"/>
      <c r="AR78" s="138" t="n"/>
      <c r="AS78" s="138" t="n"/>
      <c r="AT78" s="138" t="n">
        <v>1</v>
      </c>
      <c r="AU78" s="138" t="n"/>
      <c r="AV78" s="138" t="n"/>
      <c r="AW78" s="138" t="n">
        <v>4</v>
      </c>
      <c r="AX78" s="138" t="n"/>
      <c r="AY78" s="138" t="n">
        <v>5</v>
      </c>
      <c r="AZ78" s="138" t="n"/>
      <c r="BA78" s="138" t="n"/>
      <c r="BB78" s="138" t="n"/>
      <c r="BC78" s="138" t="n"/>
      <c r="BD78" s="138" t="n"/>
      <c r="BE78" s="138" t="n"/>
      <c r="BF78" s="138" t="n"/>
      <c r="BG78" s="138" t="n"/>
      <c r="BH78" s="138" t="n"/>
      <c r="BI78" s="138" t="n"/>
      <c r="BJ78" s="138" t="n"/>
      <c r="BK78" s="138" t="n"/>
      <c r="BL78" s="138" t="n"/>
      <c r="BM78" s="138" t="n"/>
      <c r="BN78" s="138" t="n"/>
      <c r="BO78" s="138" t="n"/>
      <c r="BP78" s="138" t="n"/>
      <c r="BQ78" s="138" t="n"/>
      <c r="BR78" s="138" t="n"/>
      <c r="BS78" s="138" t="n"/>
      <c r="BT78" s="138" t="n"/>
      <c r="BU78" s="138" t="n"/>
      <c r="BV78" s="138" t="n"/>
      <c r="BW78" s="138" t="n"/>
      <c r="BX78" s="138" t="n"/>
      <c r="BY78" s="138" t="n"/>
      <c r="BZ78" s="138" t="n"/>
      <c r="CA78" s="138" t="n"/>
      <c r="CB78" s="138" t="n"/>
      <c r="CC78" s="138" t="n"/>
      <c r="CD78" s="138" t="n"/>
      <c r="CE78" s="138" t="n">
        <v>10</v>
      </c>
      <c r="CF78" s="139" t="n">
        <v>40</v>
      </c>
    </row>
    <row r="79" ht="13.5" customHeight="1">
      <c r="A79" s="144" t="inlineStr">
        <is>
          <t>1419-35</t>
        </is>
      </c>
      <c r="B79" s="144" t="inlineStr">
        <is>
          <t>有機ケール　80ｇ(まるた)</t>
        </is>
      </c>
      <c r="C79" s="138" t="inlineStr">
        <is>
          <t>こもの</t>
        </is>
      </c>
      <c r="D79" s="138" t="n"/>
      <c r="E79" s="138" t="n">
        <v>1</v>
      </c>
      <c r="F79" s="138" t="n"/>
      <c r="G79" s="138" t="n"/>
      <c r="H79" s="138" t="n"/>
      <c r="I79" s="138" t="n">
        <v>5</v>
      </c>
      <c r="J79" s="138" t="n"/>
      <c r="K79" s="138" t="n"/>
      <c r="L79" s="138" t="n"/>
      <c r="M79" s="138" t="n"/>
      <c r="N79" s="138" t="n"/>
      <c r="O79" s="138" t="n"/>
      <c r="P79" s="138" t="n"/>
      <c r="Q79" s="138" t="n"/>
      <c r="R79" s="138" t="n"/>
      <c r="S79" s="138" t="n"/>
      <c r="T79" s="138" t="n"/>
      <c r="U79" s="138" t="n"/>
      <c r="V79" s="138" t="n"/>
      <c r="W79" s="138" t="n"/>
      <c r="X79" s="138" t="n"/>
      <c r="Y79" s="138" t="n"/>
      <c r="Z79" s="138" t="n"/>
      <c r="AA79" s="138" t="n"/>
      <c r="AB79" s="138" t="n"/>
      <c r="AC79" s="138" t="n"/>
      <c r="AD79" s="138" t="n"/>
      <c r="AE79" s="138" t="n"/>
      <c r="AF79" s="138" t="n"/>
      <c r="AG79" s="138" t="n"/>
      <c r="AH79" s="138" t="n"/>
      <c r="AI79" s="138" t="n"/>
      <c r="AJ79" s="138" t="n"/>
      <c r="AK79" s="138" t="n">
        <v>5</v>
      </c>
      <c r="AL79" s="138" t="n"/>
      <c r="AM79" s="138" t="n"/>
      <c r="AN79" s="138" t="n"/>
      <c r="AO79" s="138" t="n"/>
      <c r="AP79" s="138" t="n"/>
      <c r="AQ79" s="138" t="n"/>
      <c r="AR79" s="138" t="n"/>
      <c r="AS79" s="138" t="n"/>
      <c r="AT79" s="138" t="n"/>
      <c r="AU79" s="138" t="n"/>
      <c r="AV79" s="138" t="n"/>
      <c r="AW79" s="138" t="n"/>
      <c r="AX79" s="138" t="n"/>
      <c r="AY79" s="138" t="n"/>
      <c r="AZ79" s="138" t="n"/>
      <c r="BA79" s="138" t="n"/>
      <c r="BB79" s="138" t="n"/>
      <c r="BC79" s="138" t="n"/>
      <c r="BD79" s="138" t="n"/>
      <c r="BE79" s="138" t="n"/>
      <c r="BF79" s="138" t="n"/>
      <c r="BG79" s="138" t="n"/>
      <c r="BH79" s="138" t="n"/>
      <c r="BI79" s="138" t="n"/>
      <c r="BJ79" s="138" t="n"/>
      <c r="BK79" s="138" t="n"/>
      <c r="BL79" s="138" t="n"/>
      <c r="BM79" s="138" t="n"/>
      <c r="BN79" s="138" t="n"/>
      <c r="BO79" s="138" t="n"/>
      <c r="BP79" s="138" t="n"/>
      <c r="BQ79" s="138" t="n"/>
      <c r="BR79" s="138" t="n">
        <v>4</v>
      </c>
      <c r="BS79" s="138" t="n"/>
      <c r="BT79" s="138" t="n"/>
      <c r="BU79" s="138" t="n"/>
      <c r="BV79" s="138" t="n">
        <v>8</v>
      </c>
      <c r="BW79" s="138" t="n"/>
      <c r="BX79" s="138" t="n">
        <v>10</v>
      </c>
      <c r="BY79" s="138" t="n"/>
      <c r="BZ79" s="138" t="n"/>
      <c r="CA79" s="138" t="n">
        <v>8</v>
      </c>
      <c r="CB79" s="138" t="n">
        <v>25</v>
      </c>
      <c r="CC79" s="138" t="n"/>
      <c r="CD79" s="138" t="n"/>
      <c r="CE79" s="138" t="n"/>
      <c r="CF79" s="139" t="n">
        <v>66</v>
      </c>
    </row>
    <row r="80" ht="13.5" customHeight="1">
      <c r="A80" s="144" t="inlineStr">
        <is>
          <t>1443-28</t>
        </is>
      </c>
      <c r="B80" s="144" t="inlineStr">
        <is>
          <t>有機ちんげん菜　２株(わ～ふぁ)</t>
        </is>
      </c>
      <c r="C80" s="138" t="inlineStr">
        <is>
          <t>こもの</t>
        </is>
      </c>
      <c r="D80" s="138" t="n"/>
      <c r="E80" s="138" t="n"/>
      <c r="F80" s="138" t="n"/>
      <c r="G80" s="138" t="n"/>
      <c r="H80" s="138" t="n"/>
      <c r="I80" s="138" t="n"/>
      <c r="J80" s="138" t="n">
        <v>6</v>
      </c>
      <c r="K80" s="138" t="n"/>
      <c r="L80" s="138" t="n"/>
      <c r="M80" s="138" t="n"/>
      <c r="N80" s="138" t="n"/>
      <c r="O80" s="138" t="n"/>
      <c r="P80" s="138" t="n"/>
      <c r="Q80" s="138" t="n"/>
      <c r="R80" s="138" t="n">
        <v>2</v>
      </c>
      <c r="S80" s="138" t="n"/>
      <c r="T80" s="138" t="n"/>
      <c r="U80" s="138" t="n"/>
      <c r="V80" s="138" t="n"/>
      <c r="W80" s="138" t="n"/>
      <c r="X80" s="138" t="n"/>
      <c r="Y80" s="138" t="n">
        <v>3</v>
      </c>
      <c r="Z80" s="138" t="n">
        <v>2</v>
      </c>
      <c r="AA80" s="138" t="n"/>
      <c r="AB80" s="138" t="n"/>
      <c r="AC80" s="138" t="n"/>
      <c r="AD80" s="138" t="n">
        <v>2</v>
      </c>
      <c r="AE80" s="138" t="n"/>
      <c r="AF80" s="138" t="n"/>
      <c r="AG80" s="138" t="n"/>
      <c r="AH80" s="138" t="n"/>
      <c r="AI80" s="138" t="n"/>
      <c r="AJ80" s="138" t="n"/>
      <c r="AK80" s="138" t="n"/>
      <c r="AL80" s="138" t="n"/>
      <c r="AM80" s="138" t="n"/>
      <c r="AN80" s="138" t="n"/>
      <c r="AO80" s="138" t="n"/>
      <c r="AP80" s="138" t="n"/>
      <c r="AQ80" s="138" t="n"/>
      <c r="AR80" s="138" t="n">
        <v>3</v>
      </c>
      <c r="AS80" s="138" t="n"/>
      <c r="AT80" s="138" t="n"/>
      <c r="AU80" s="138" t="n"/>
      <c r="AV80" s="138" t="n"/>
      <c r="AW80" s="138" t="n"/>
      <c r="AX80" s="138" t="n"/>
      <c r="AY80" s="138" t="n"/>
      <c r="AZ80" s="138" t="n"/>
      <c r="BA80" s="138" t="n"/>
      <c r="BB80" s="138" t="n"/>
      <c r="BC80" s="138" t="n"/>
      <c r="BD80" s="138" t="n"/>
      <c r="BE80" s="138" t="n"/>
      <c r="BF80" s="138" t="n"/>
      <c r="BG80" s="138" t="n"/>
      <c r="BH80" s="138" t="n"/>
      <c r="BI80" s="138" t="n"/>
      <c r="BJ80" s="138" t="n">
        <v>1</v>
      </c>
      <c r="BK80" s="138" t="n"/>
      <c r="BL80" s="138" t="n"/>
      <c r="BM80" s="138" t="n"/>
      <c r="BN80" s="138" t="n"/>
      <c r="BO80" s="138" t="n"/>
      <c r="BP80" s="138" t="n"/>
      <c r="BQ80" s="138" t="n"/>
      <c r="BR80" s="138" t="n"/>
      <c r="BS80" s="138" t="n"/>
      <c r="BT80" s="138" t="n"/>
      <c r="BU80" s="138" t="n"/>
      <c r="BV80" s="138" t="n"/>
      <c r="BW80" s="138" t="n"/>
      <c r="BX80" s="138" t="n"/>
      <c r="BY80" s="138" t="n"/>
      <c r="BZ80" s="138" t="n"/>
      <c r="CA80" s="138" t="n"/>
      <c r="CB80" s="138" t="n"/>
      <c r="CC80" s="138" t="n">
        <v>2</v>
      </c>
      <c r="CD80" s="138" t="n"/>
      <c r="CE80" s="138" t="n"/>
      <c r="CF80" s="139" t="n">
        <v>21</v>
      </c>
    </row>
    <row r="81" ht="13.5" customHeight="1">
      <c r="A81" s="144" t="inlineStr">
        <is>
          <t>1448-17</t>
        </is>
      </c>
      <c r="B81" s="144" t="inlineStr">
        <is>
          <t>春菊　150g(さんぶ)</t>
        </is>
      </c>
      <c r="C81" s="138" t="inlineStr">
        <is>
          <t>こもの</t>
        </is>
      </c>
      <c r="D81" s="138" t="n"/>
      <c r="E81" s="138" t="n"/>
      <c r="F81" s="138" t="n"/>
      <c r="G81" s="138" t="n"/>
      <c r="H81" s="138" t="n"/>
      <c r="I81" s="138" t="n"/>
      <c r="J81" s="138" t="n"/>
      <c r="K81" s="138" t="n"/>
      <c r="L81" s="138" t="n"/>
      <c r="M81" s="138" t="n"/>
      <c r="N81" s="138" t="n"/>
      <c r="O81" s="138" t="n"/>
      <c r="P81" s="138" t="n"/>
      <c r="Q81" s="138" t="n"/>
      <c r="R81" s="138" t="n"/>
      <c r="S81" s="138" t="n"/>
      <c r="T81" s="138" t="n"/>
      <c r="U81" s="138" t="n"/>
      <c r="V81" s="138" t="n"/>
      <c r="W81" s="138" t="n">
        <v>3</v>
      </c>
      <c r="X81" s="138" t="n">
        <v>2</v>
      </c>
      <c r="Y81" s="138" t="n"/>
      <c r="Z81" s="138" t="n"/>
      <c r="AA81" s="138" t="n"/>
      <c r="AB81" s="138" t="n"/>
      <c r="AC81" s="138" t="n"/>
      <c r="AD81" s="138" t="n"/>
      <c r="AE81" s="138" t="n"/>
      <c r="AF81" s="138" t="n"/>
      <c r="AG81" s="138" t="n"/>
      <c r="AH81" s="138" t="n"/>
      <c r="AI81" s="138" t="n"/>
      <c r="AJ81" s="138" t="n"/>
      <c r="AK81" s="138" t="n"/>
      <c r="AL81" s="138" t="n">
        <v>4</v>
      </c>
      <c r="AM81" s="138" t="n"/>
      <c r="AN81" s="138" t="n"/>
      <c r="AO81" s="138" t="n"/>
      <c r="AP81" s="138" t="n"/>
      <c r="AQ81" s="138" t="n"/>
      <c r="AR81" s="138" t="n"/>
      <c r="AS81" s="138" t="n">
        <v>2</v>
      </c>
      <c r="AT81" s="138" t="n"/>
      <c r="AU81" s="138" t="n"/>
      <c r="AV81" s="138" t="n"/>
      <c r="AW81" s="138" t="n"/>
      <c r="AX81" s="138" t="n"/>
      <c r="AY81" s="138" t="n"/>
      <c r="AZ81" s="138" t="n"/>
      <c r="BA81" s="138" t="n"/>
      <c r="BB81" s="138" t="n">
        <v>3</v>
      </c>
      <c r="BC81" s="138" t="n"/>
      <c r="BD81" s="138" t="n"/>
      <c r="BE81" s="138" t="n">
        <v>1</v>
      </c>
      <c r="BF81" s="138" t="n"/>
      <c r="BG81" s="138" t="n">
        <v>2</v>
      </c>
      <c r="BH81" s="138" t="n"/>
      <c r="BI81" s="138" t="n"/>
      <c r="BJ81" s="138" t="n">
        <v>2</v>
      </c>
      <c r="BK81" s="138" t="n"/>
      <c r="BL81" s="138" t="n"/>
      <c r="BM81" s="138" t="n"/>
      <c r="BN81" s="138" t="n"/>
      <c r="BO81" s="138" t="n"/>
      <c r="BP81" s="138" t="n"/>
      <c r="BQ81" s="138" t="n"/>
      <c r="BR81" s="138" t="n"/>
      <c r="BS81" s="138" t="n"/>
      <c r="BT81" s="138" t="n"/>
      <c r="BU81" s="138" t="n"/>
      <c r="BV81" s="138" t="n"/>
      <c r="BW81" s="138" t="n"/>
      <c r="BX81" s="138" t="n"/>
      <c r="BY81" s="138" t="n"/>
      <c r="BZ81" s="138" t="n"/>
      <c r="CA81" s="138" t="n"/>
      <c r="CB81" s="138" t="n"/>
      <c r="CC81" s="138" t="n"/>
      <c r="CD81" s="138" t="n"/>
      <c r="CE81" s="138" t="n"/>
      <c r="CF81" s="139" t="n">
        <v>19</v>
      </c>
    </row>
    <row r="82" ht="13.5" customHeight="1">
      <c r="A82" s="144" t="inlineStr">
        <is>
          <t>1448-36</t>
        </is>
      </c>
      <c r="B82" s="144" t="inlineStr">
        <is>
          <t>有機春菊　100ｇ(わ～ふぁ)</t>
        </is>
      </c>
      <c r="C82" s="138" t="inlineStr">
        <is>
          <t>こもの</t>
        </is>
      </c>
      <c r="D82" s="138" t="n"/>
      <c r="E82" s="138" t="n"/>
      <c r="F82" s="138" t="n"/>
      <c r="G82" s="138" t="n"/>
      <c r="H82" s="138" t="n"/>
      <c r="I82" s="138" t="n"/>
      <c r="J82" s="138" t="n"/>
      <c r="K82" s="138" t="n"/>
      <c r="L82" s="138" t="n"/>
      <c r="M82" s="138" t="n"/>
      <c r="N82" s="138" t="n"/>
      <c r="O82" s="138" t="n"/>
      <c r="P82" s="138" t="n"/>
      <c r="Q82" s="138" t="n"/>
      <c r="R82" s="138" t="n"/>
      <c r="S82" s="138" t="n"/>
      <c r="T82" s="138" t="n"/>
      <c r="U82" s="138" t="n"/>
      <c r="V82" s="138" t="n"/>
      <c r="W82" s="138" t="n"/>
      <c r="X82" s="138" t="n"/>
      <c r="Y82" s="138" t="n"/>
      <c r="Z82" s="138" t="n"/>
      <c r="AA82" s="138" t="n"/>
      <c r="AB82" s="138" t="n"/>
      <c r="AC82" s="138" t="n"/>
      <c r="AD82" s="138" t="n"/>
      <c r="AE82" s="138" t="n"/>
      <c r="AF82" s="138" t="n"/>
      <c r="AG82" s="138" t="n"/>
      <c r="AH82" s="138" t="n"/>
      <c r="AI82" s="138" t="n"/>
      <c r="AJ82" s="138" t="n"/>
      <c r="AK82" s="138" t="n"/>
      <c r="AL82" s="138" t="n"/>
      <c r="AM82" s="138" t="n"/>
      <c r="AN82" s="138" t="n"/>
      <c r="AO82" s="138" t="n"/>
      <c r="AP82" s="138" t="n"/>
      <c r="AQ82" s="138" t="n"/>
      <c r="AR82" s="138" t="n"/>
      <c r="AS82" s="138" t="n"/>
      <c r="AT82" s="138" t="n"/>
      <c r="AU82" s="138" t="n"/>
      <c r="AV82" s="138" t="n"/>
      <c r="AW82" s="138" t="n"/>
      <c r="AX82" s="138" t="n"/>
      <c r="AY82" s="138" t="n"/>
      <c r="AZ82" s="138" t="n"/>
      <c r="BA82" s="138" t="n"/>
      <c r="BB82" s="138" t="n"/>
      <c r="BC82" s="138" t="n"/>
      <c r="BD82" s="138" t="n"/>
      <c r="BE82" s="138" t="n"/>
      <c r="BF82" s="138" t="n"/>
      <c r="BG82" s="138" t="n"/>
      <c r="BH82" s="138" t="n"/>
      <c r="BI82" s="138" t="n"/>
      <c r="BJ82" s="138" t="n"/>
      <c r="BK82" s="138" t="n"/>
      <c r="BL82" s="138" t="n"/>
      <c r="BM82" s="138" t="n"/>
      <c r="BN82" s="138" t="n"/>
      <c r="BO82" s="138" t="n"/>
      <c r="BP82" s="138" t="n"/>
      <c r="BQ82" s="138" t="n"/>
      <c r="BR82" s="138" t="n"/>
      <c r="BS82" s="138" t="n"/>
      <c r="BT82" s="138" t="n"/>
      <c r="BU82" s="138" t="n"/>
      <c r="BV82" s="138" t="n"/>
      <c r="BW82" s="138" t="n"/>
      <c r="BX82" s="138" t="n"/>
      <c r="BY82" s="138" t="n"/>
      <c r="BZ82" s="138" t="n"/>
      <c r="CA82" s="138" t="n"/>
      <c r="CB82" s="138" t="n"/>
      <c r="CC82" s="138" t="n">
        <v>2</v>
      </c>
      <c r="CD82" s="138" t="n">
        <v>6</v>
      </c>
      <c r="CE82" s="138" t="n"/>
      <c r="CF82" s="139" t="n">
        <v>8</v>
      </c>
    </row>
    <row r="83" ht="13.5" customHeight="1">
      <c r="A83" s="144" t="inlineStr">
        <is>
          <t>1468-3</t>
        </is>
      </c>
      <c r="B83" s="144" t="inlineStr">
        <is>
          <t>有機山東菜　150ｇ（わ～ふぁ）</t>
        </is>
      </c>
      <c r="C83" s="138" t="inlineStr">
        <is>
          <t>こもの</t>
        </is>
      </c>
      <c r="D83" s="138" t="n"/>
      <c r="E83" s="138" t="n"/>
      <c r="F83" s="138" t="n"/>
      <c r="G83" s="138" t="n"/>
      <c r="H83" s="138" t="n"/>
      <c r="I83" s="138" t="n"/>
      <c r="J83" s="138" t="n"/>
      <c r="K83" s="138" t="n"/>
      <c r="L83" s="138" t="n"/>
      <c r="M83" s="138" t="n"/>
      <c r="N83" s="138" t="n"/>
      <c r="O83" s="138" t="n"/>
      <c r="P83" s="138" t="n"/>
      <c r="Q83" s="138" t="n"/>
      <c r="R83" s="138" t="n">
        <v>3</v>
      </c>
      <c r="S83" s="138" t="n"/>
      <c r="T83" s="138" t="n"/>
      <c r="U83" s="138" t="n"/>
      <c r="V83" s="138" t="n"/>
      <c r="W83" s="138" t="n"/>
      <c r="X83" s="138" t="n"/>
      <c r="Y83" s="138" t="n"/>
      <c r="Z83" s="138" t="n"/>
      <c r="AA83" s="138" t="n"/>
      <c r="AB83" s="138" t="n"/>
      <c r="AC83" s="138" t="n">
        <v>2</v>
      </c>
      <c r="AD83" s="138" t="n"/>
      <c r="AE83" s="138" t="n"/>
      <c r="AF83" s="138" t="n"/>
      <c r="AG83" s="138" t="n"/>
      <c r="AH83" s="138" t="n"/>
      <c r="AI83" s="138" t="n"/>
      <c r="AJ83" s="138" t="n"/>
      <c r="AK83" s="138" t="n">
        <v>5</v>
      </c>
      <c r="AL83" s="138" t="n"/>
      <c r="AM83" s="138" t="n"/>
      <c r="AN83" s="138" t="n"/>
      <c r="AO83" s="138" t="n"/>
      <c r="AP83" s="138" t="n"/>
      <c r="AQ83" s="138" t="n"/>
      <c r="AR83" s="138" t="n"/>
      <c r="AS83" s="138" t="n"/>
      <c r="AT83" s="138" t="n"/>
      <c r="AU83" s="138" t="n"/>
      <c r="AV83" s="138" t="n">
        <v>2</v>
      </c>
      <c r="AW83" s="138" t="n"/>
      <c r="AX83" s="138" t="n">
        <v>2</v>
      </c>
      <c r="AY83" s="138" t="n"/>
      <c r="AZ83" s="138" t="n"/>
      <c r="BA83" s="138" t="n"/>
      <c r="BB83" s="138" t="n">
        <v>2</v>
      </c>
      <c r="BC83" s="138" t="n"/>
      <c r="BD83" s="138" t="n"/>
      <c r="BE83" s="138" t="n"/>
      <c r="BF83" s="138" t="n"/>
      <c r="BG83" s="138" t="n"/>
      <c r="BH83" s="138" t="n"/>
      <c r="BI83" s="138" t="n"/>
      <c r="BJ83" s="138" t="n"/>
      <c r="BK83" s="138" t="n"/>
      <c r="BL83" s="138" t="n"/>
      <c r="BM83" s="138" t="n"/>
      <c r="BN83" s="138" t="n"/>
      <c r="BO83" s="138" t="n"/>
      <c r="BP83" s="138" t="n"/>
      <c r="BQ83" s="138" t="n"/>
      <c r="BR83" s="138" t="n"/>
      <c r="BS83" s="138" t="n"/>
      <c r="BT83" s="138" t="n"/>
      <c r="BU83" s="138" t="n"/>
      <c r="BV83" s="138" t="n"/>
      <c r="BW83" s="138" t="n"/>
      <c r="BX83" s="138" t="n"/>
      <c r="BY83" s="138" t="n"/>
      <c r="BZ83" s="138" t="n"/>
      <c r="CA83" s="138" t="n"/>
      <c r="CB83" s="138" t="n"/>
      <c r="CC83" s="138" t="n"/>
      <c r="CD83" s="138" t="n">
        <v>9</v>
      </c>
      <c r="CE83" s="138" t="n"/>
      <c r="CF83" s="139" t="n">
        <v>25</v>
      </c>
    </row>
    <row r="84" ht="13.5" customHeight="1">
      <c r="A84" s="144" t="inlineStr">
        <is>
          <t>1470-55</t>
        </is>
      </c>
      <c r="B84" s="144" t="inlineStr">
        <is>
          <t>有機水菜 200g袋 (わ～ふぁ・産ﾊﾟ)</t>
        </is>
      </c>
      <c r="C84" s="138" t="inlineStr">
        <is>
          <t>こもの</t>
        </is>
      </c>
      <c r="D84" s="138" t="n"/>
      <c r="E84" s="138" t="n"/>
      <c r="F84" s="138" t="n">
        <v>3</v>
      </c>
      <c r="G84" s="138" t="n"/>
      <c r="H84" s="138" t="n"/>
      <c r="I84" s="138" t="n"/>
      <c r="J84" s="138" t="n"/>
      <c r="K84" s="138" t="n"/>
      <c r="L84" s="138" t="n"/>
      <c r="M84" s="138" t="n"/>
      <c r="N84" s="138" t="n"/>
      <c r="O84" s="138" t="n"/>
      <c r="P84" s="138" t="n"/>
      <c r="Q84" s="138" t="n"/>
      <c r="R84" s="138" t="n"/>
      <c r="S84" s="138" t="n"/>
      <c r="T84" s="138" t="n"/>
      <c r="U84" s="138" t="n"/>
      <c r="V84" s="138" t="n"/>
      <c r="W84" s="138" t="n"/>
      <c r="X84" s="138" t="n"/>
      <c r="Y84" s="138" t="n"/>
      <c r="Z84" s="138" t="n"/>
      <c r="AA84" s="138" t="n"/>
      <c r="AB84" s="138" t="n"/>
      <c r="AC84" s="138" t="n"/>
      <c r="AD84" s="138" t="n"/>
      <c r="AE84" s="138" t="n"/>
      <c r="AF84" s="138" t="n"/>
      <c r="AG84" s="138" t="n"/>
      <c r="AH84" s="138" t="n"/>
      <c r="AI84" s="138" t="n"/>
      <c r="AJ84" s="138" t="n"/>
      <c r="AK84" s="138" t="n"/>
      <c r="AL84" s="138" t="n"/>
      <c r="AM84" s="138" t="n"/>
      <c r="AN84" s="138" t="n"/>
      <c r="AO84" s="138" t="n"/>
      <c r="AP84" s="138" t="n"/>
      <c r="AQ84" s="138" t="n"/>
      <c r="AR84" s="138" t="n"/>
      <c r="AS84" s="138" t="n"/>
      <c r="AT84" s="138" t="n"/>
      <c r="AU84" s="138" t="n"/>
      <c r="AV84" s="138" t="n"/>
      <c r="AW84" s="138" t="n"/>
      <c r="AX84" s="138" t="n"/>
      <c r="AY84" s="138" t="n"/>
      <c r="AZ84" s="138" t="n"/>
      <c r="BA84" s="138" t="n"/>
      <c r="BB84" s="138" t="n"/>
      <c r="BC84" s="138" t="n"/>
      <c r="BD84" s="138" t="n"/>
      <c r="BE84" s="138" t="n"/>
      <c r="BF84" s="138" t="n"/>
      <c r="BG84" s="138" t="n"/>
      <c r="BH84" s="138" t="n"/>
      <c r="BI84" s="138" t="n"/>
      <c r="BJ84" s="138" t="n"/>
      <c r="BK84" s="138" t="n"/>
      <c r="BL84" s="138" t="n"/>
      <c r="BM84" s="138" t="n"/>
      <c r="BN84" s="138" t="n"/>
      <c r="BO84" s="138" t="n"/>
      <c r="BP84" s="138" t="n"/>
      <c r="BQ84" s="138" t="n"/>
      <c r="BR84" s="138" t="n"/>
      <c r="BS84" s="138" t="n"/>
      <c r="BT84" s="138" t="n"/>
      <c r="BU84" s="138" t="n"/>
      <c r="BV84" s="138" t="n"/>
      <c r="BW84" s="138" t="n"/>
      <c r="BX84" s="138" t="n"/>
      <c r="BY84" s="138" t="n"/>
      <c r="BZ84" s="138" t="n"/>
      <c r="CA84" s="138" t="n"/>
      <c r="CB84" s="138" t="n"/>
      <c r="CC84" s="138" t="n">
        <v>2</v>
      </c>
      <c r="CD84" s="138" t="n"/>
      <c r="CE84" s="138" t="n">
        <v>3</v>
      </c>
      <c r="CF84" s="139" t="n">
        <v>8</v>
      </c>
    </row>
    <row r="85" ht="13.5" customHeight="1">
      <c r="A85" s="144" t="inlineStr">
        <is>
          <t>1502-148</t>
        </is>
      </c>
      <c r="B85" s="144" t="inlineStr">
        <is>
          <t>キャベツ　1個袋(キテレツ)不不</t>
        </is>
      </c>
      <c r="C85" s="138" t="inlineStr">
        <is>
          <t>こもの</t>
        </is>
      </c>
      <c r="D85" s="138" t="n"/>
      <c r="E85" s="138" t="n"/>
      <c r="F85" s="138" t="n"/>
      <c r="G85" s="138" t="n"/>
      <c r="H85" s="138" t="n"/>
      <c r="I85" s="138" t="n"/>
      <c r="J85" s="138" t="n"/>
      <c r="K85" s="138" t="n"/>
      <c r="L85" s="138" t="n"/>
      <c r="M85" s="138" t="n"/>
      <c r="N85" s="138" t="n"/>
      <c r="O85" s="138" t="n"/>
      <c r="P85" s="138" t="n"/>
      <c r="Q85" s="138" t="n"/>
      <c r="R85" s="138" t="n"/>
      <c r="S85" s="138" t="n"/>
      <c r="T85" s="138" t="n"/>
      <c r="U85" s="138" t="n"/>
      <c r="V85" s="138" t="n"/>
      <c r="W85" s="138" t="n"/>
      <c r="X85" s="138" t="n"/>
      <c r="Y85" s="138" t="n"/>
      <c r="Z85" s="138" t="n"/>
      <c r="AA85" s="138" t="n"/>
      <c r="AB85" s="138" t="n"/>
      <c r="AC85" s="138" t="n"/>
      <c r="AD85" s="138" t="n"/>
      <c r="AE85" s="138" t="n"/>
      <c r="AF85" s="138" t="n"/>
      <c r="AG85" s="138" t="n"/>
      <c r="AH85" s="138" t="n"/>
      <c r="AI85" s="138" t="n"/>
      <c r="AJ85" s="138" t="n"/>
      <c r="AK85" s="138" t="n"/>
      <c r="AL85" s="138" t="n"/>
      <c r="AM85" s="138" t="n"/>
      <c r="AN85" s="138" t="n"/>
      <c r="AO85" s="138" t="n"/>
      <c r="AP85" s="138" t="n"/>
      <c r="AQ85" s="138" t="n"/>
      <c r="AR85" s="138" t="n"/>
      <c r="AS85" s="138" t="n"/>
      <c r="AT85" s="138" t="n"/>
      <c r="AU85" s="138" t="n"/>
      <c r="AV85" s="138" t="n"/>
      <c r="AW85" s="138" t="n"/>
      <c r="AX85" s="138" t="n"/>
      <c r="AY85" s="138" t="n"/>
      <c r="AZ85" s="138" t="n"/>
      <c r="BA85" s="138" t="n"/>
      <c r="BB85" s="138" t="n"/>
      <c r="BC85" s="138" t="n"/>
      <c r="BD85" s="138" t="n"/>
      <c r="BE85" s="138" t="n"/>
      <c r="BF85" s="138" t="n"/>
      <c r="BG85" s="138" t="n"/>
      <c r="BH85" s="138" t="n"/>
      <c r="BI85" s="138" t="n"/>
      <c r="BJ85" s="138" t="n"/>
      <c r="BK85" s="138" t="n"/>
      <c r="BL85" s="138" t="n"/>
      <c r="BM85" s="138" t="n"/>
      <c r="BN85" s="138" t="n"/>
      <c r="BO85" s="138" t="n"/>
      <c r="BP85" s="138" t="n"/>
      <c r="BQ85" s="138" t="n"/>
      <c r="BR85" s="138" t="n"/>
      <c r="BS85" s="138" t="n"/>
      <c r="BT85" s="138" t="n"/>
      <c r="BU85" s="138" t="n"/>
      <c r="BV85" s="138" t="n"/>
      <c r="BW85" s="138" t="n"/>
      <c r="BX85" s="138" t="n"/>
      <c r="BY85" s="138" t="n"/>
      <c r="BZ85" s="138" t="n"/>
      <c r="CA85" s="138" t="n">
        <v>10</v>
      </c>
      <c r="CB85" s="138" t="n"/>
      <c r="CC85" s="138" t="n"/>
      <c r="CD85" s="138" t="n"/>
      <c r="CE85" s="138" t="n">
        <v>5</v>
      </c>
      <c r="CF85" s="139" t="n">
        <v>15</v>
      </c>
    </row>
    <row r="86" ht="13.5" customHeight="1">
      <c r="A86" s="144" t="inlineStr">
        <is>
          <t>1502-149</t>
        </is>
      </c>
      <c r="B86" s="144" t="inlineStr">
        <is>
          <t>■キャベツ　８玉ｺﾝﾃﾅ(キテレツ)不不</t>
        </is>
      </c>
      <c r="C86" s="138" t="inlineStr">
        <is>
          <t>箱</t>
        </is>
      </c>
      <c r="D86" s="138" t="n"/>
      <c r="E86" s="138" t="n"/>
      <c r="F86" s="138" t="n"/>
      <c r="G86" s="138" t="n"/>
      <c r="H86" s="138" t="n"/>
      <c r="I86" s="138" t="n"/>
      <c r="J86" s="138" t="n"/>
      <c r="K86" s="138" t="n"/>
      <c r="L86" s="138" t="n"/>
      <c r="M86" s="138" t="n"/>
      <c r="N86" s="138" t="n"/>
      <c r="O86" s="138" t="n"/>
      <c r="P86" s="138" t="n"/>
      <c r="Q86" s="138" t="n"/>
      <c r="R86" s="138" t="n"/>
      <c r="S86" s="138" t="n"/>
      <c r="T86" s="138" t="n"/>
      <c r="U86" s="138" t="n"/>
      <c r="V86" s="138" t="n"/>
      <c r="W86" s="138" t="n"/>
      <c r="X86" s="138" t="n"/>
      <c r="Y86" s="138" t="n"/>
      <c r="Z86" s="138" t="n"/>
      <c r="AA86" s="138" t="n"/>
      <c r="AB86" s="138" t="n"/>
      <c r="AC86" s="138" t="n"/>
      <c r="AD86" s="138" t="n"/>
      <c r="AE86" s="138" t="n"/>
      <c r="AF86" s="138" t="n"/>
      <c r="AG86" s="138" t="n"/>
      <c r="AH86" s="138" t="n">
        <v>1</v>
      </c>
      <c r="AI86" s="138" t="n"/>
      <c r="AJ86" s="138" t="n"/>
      <c r="AK86" s="138" t="n"/>
      <c r="AL86" s="138" t="n"/>
      <c r="AM86" s="138" t="n"/>
      <c r="AN86" s="138" t="n"/>
      <c r="AO86" s="138" t="n"/>
      <c r="AP86" s="138" t="n"/>
      <c r="AQ86" s="138" t="n"/>
      <c r="AR86" s="138" t="n"/>
      <c r="AS86" s="138" t="n"/>
      <c r="AT86" s="138" t="n"/>
      <c r="AU86" s="138" t="n"/>
      <c r="AV86" s="138" t="n">
        <v>1</v>
      </c>
      <c r="AW86" s="138" t="n"/>
      <c r="AX86" s="138" t="n"/>
      <c r="AY86" s="138" t="n"/>
      <c r="AZ86" s="138" t="n"/>
      <c r="BA86" s="138" t="n"/>
      <c r="BB86" s="138" t="n"/>
      <c r="BC86" s="138" t="n"/>
      <c r="BD86" s="138" t="n"/>
      <c r="BE86" s="138" t="n"/>
      <c r="BF86" s="138" t="n"/>
      <c r="BG86" s="138" t="n"/>
      <c r="BH86" s="138" t="n"/>
      <c r="BI86" s="138" t="n"/>
      <c r="BJ86" s="138" t="n"/>
      <c r="BK86" s="138" t="n"/>
      <c r="BL86" s="138" t="n"/>
      <c r="BM86" s="138" t="n"/>
      <c r="BN86" s="138" t="n"/>
      <c r="BO86" s="138" t="n"/>
      <c r="BP86" s="138" t="n"/>
      <c r="BQ86" s="138" t="n"/>
      <c r="BR86" s="138" t="n"/>
      <c r="BS86" s="138" t="n"/>
      <c r="BT86" s="138" t="n"/>
      <c r="BU86" s="138" t="n"/>
      <c r="BV86" s="138" t="n"/>
      <c r="BW86" s="138" t="n"/>
      <c r="BX86" s="138" t="n"/>
      <c r="BY86" s="138" t="n"/>
      <c r="BZ86" s="138" t="n"/>
      <c r="CA86" s="138" t="n"/>
      <c r="CB86" s="138" t="n"/>
      <c r="CC86" s="138" t="n"/>
      <c r="CD86" s="138" t="n"/>
      <c r="CE86" s="138" t="n"/>
      <c r="CF86" s="139" t="n">
        <v>2</v>
      </c>
    </row>
    <row r="87" ht="13.5" customHeight="1">
      <c r="A87" s="144" t="inlineStr">
        <is>
          <t>1509-108</t>
        </is>
      </c>
      <c r="B87" s="144" t="inlineStr">
        <is>
          <t>有機グリーンボール　1玉(ﾌｧｰﾏｰｽﾞ)◇</t>
        </is>
      </c>
      <c r="C87" s="138" t="inlineStr">
        <is>
          <t>こもの</t>
        </is>
      </c>
      <c r="D87" s="138" t="n"/>
      <c r="E87" s="138" t="n"/>
      <c r="F87" s="138" t="n"/>
      <c r="G87" s="138" t="n"/>
      <c r="H87" s="138" t="n"/>
      <c r="I87" s="138" t="n"/>
      <c r="J87" s="138" t="n"/>
      <c r="K87" s="138" t="n"/>
      <c r="L87" s="138" t="n"/>
      <c r="M87" s="138" t="n"/>
      <c r="N87" s="138" t="n"/>
      <c r="O87" s="138" t="n"/>
      <c r="P87" s="138" t="n"/>
      <c r="Q87" s="138" t="n"/>
      <c r="R87" s="138" t="n"/>
      <c r="S87" s="138" t="n"/>
      <c r="T87" s="138" t="n"/>
      <c r="U87" s="138" t="n"/>
      <c r="V87" s="138" t="n"/>
      <c r="W87" s="138" t="n"/>
      <c r="X87" s="138" t="n"/>
      <c r="Y87" s="138" t="n"/>
      <c r="Z87" s="138" t="n"/>
      <c r="AA87" s="138" t="n"/>
      <c r="AB87" s="138" t="n"/>
      <c r="AC87" s="138" t="n"/>
      <c r="AD87" s="138" t="n"/>
      <c r="AE87" s="138" t="n"/>
      <c r="AF87" s="138" t="n"/>
      <c r="AG87" s="138" t="n"/>
      <c r="AH87" s="138" t="n"/>
      <c r="AI87" s="138" t="n"/>
      <c r="AJ87" s="138" t="n"/>
      <c r="AK87" s="138" t="n"/>
      <c r="AL87" s="138" t="n"/>
      <c r="AM87" s="138" t="n"/>
      <c r="AN87" s="138" t="n"/>
      <c r="AO87" s="138" t="n"/>
      <c r="AP87" s="138" t="n"/>
      <c r="AQ87" s="138" t="n"/>
      <c r="AR87" s="138" t="n"/>
      <c r="AS87" s="138" t="n"/>
      <c r="AT87" s="138" t="n"/>
      <c r="AU87" s="138" t="n"/>
      <c r="AV87" s="138" t="n"/>
      <c r="AW87" s="138" t="n"/>
      <c r="AX87" s="138" t="n"/>
      <c r="AY87" s="138" t="n"/>
      <c r="AZ87" s="138" t="n"/>
      <c r="BA87" s="138" t="n"/>
      <c r="BB87" s="138" t="n"/>
      <c r="BC87" s="138" t="n"/>
      <c r="BD87" s="138" t="n"/>
      <c r="BE87" s="138" t="n"/>
      <c r="BF87" s="138" t="n"/>
      <c r="BG87" s="138" t="n"/>
      <c r="BH87" s="138" t="n"/>
      <c r="BI87" s="138" t="n"/>
      <c r="BJ87" s="138" t="n"/>
      <c r="BK87" s="138" t="n"/>
      <c r="BL87" s="138" t="n"/>
      <c r="BM87" s="138" t="n"/>
      <c r="BN87" s="138" t="n"/>
      <c r="BO87" s="138" t="n"/>
      <c r="BP87" s="138" t="n"/>
      <c r="BQ87" s="138" t="n"/>
      <c r="BR87" s="138" t="n"/>
      <c r="BS87" s="138" t="n"/>
      <c r="BT87" s="138" t="n"/>
      <c r="BU87" s="138" t="n"/>
      <c r="BV87" s="138" t="n"/>
      <c r="BW87" s="138" t="n"/>
      <c r="BX87" s="138" t="n"/>
      <c r="BY87" s="138" t="n"/>
      <c r="BZ87" s="138" t="n"/>
      <c r="CA87" s="138" t="n"/>
      <c r="CB87" s="138" t="n"/>
      <c r="CC87" s="138" t="n"/>
      <c r="CD87" s="138" t="n"/>
      <c r="CE87" s="138" t="n">
        <v>3</v>
      </c>
      <c r="CF87" s="139" t="n">
        <v>3</v>
      </c>
    </row>
    <row r="88" ht="13.5" customHeight="1">
      <c r="A88" s="144" t="inlineStr">
        <is>
          <t>1509-118</t>
        </is>
      </c>
      <c r="B88" s="144" t="inlineStr">
        <is>
          <t>有機キャベツ １玉包（丸和）◇</t>
        </is>
      </c>
      <c r="C88" s="138" t="inlineStr">
        <is>
          <t>こもの</t>
        </is>
      </c>
      <c r="D88" s="138" t="n"/>
      <c r="E88" s="138" t="n"/>
      <c r="F88" s="138" t="n"/>
      <c r="G88" s="138" t="n"/>
      <c r="H88" s="138" t="n"/>
      <c r="I88" s="138" t="n"/>
      <c r="J88" s="138" t="n"/>
      <c r="K88" s="138" t="n"/>
      <c r="L88" s="138" t="n"/>
      <c r="M88" s="138" t="n"/>
      <c r="N88" s="138" t="n"/>
      <c r="O88" s="138" t="n"/>
      <c r="P88" s="138" t="n"/>
      <c r="Q88" s="138" t="n"/>
      <c r="R88" s="138" t="n"/>
      <c r="S88" s="138" t="n"/>
      <c r="T88" s="138" t="n"/>
      <c r="U88" s="138" t="n">
        <v>6</v>
      </c>
      <c r="V88" s="138" t="n"/>
      <c r="W88" s="138" t="n"/>
      <c r="X88" s="138" t="n"/>
      <c r="Y88" s="138" t="n"/>
      <c r="Z88" s="138" t="n"/>
      <c r="AA88" s="138" t="n"/>
      <c r="AB88" s="138" t="n"/>
      <c r="AC88" s="138" t="n"/>
      <c r="AD88" s="138" t="n"/>
      <c r="AE88" s="138" t="n"/>
      <c r="AF88" s="138" t="n"/>
      <c r="AG88" s="138" t="n"/>
      <c r="AH88" s="138" t="n"/>
      <c r="AI88" s="138" t="n"/>
      <c r="AJ88" s="138" t="n"/>
      <c r="AK88" s="138" t="n"/>
      <c r="AL88" s="138" t="n"/>
      <c r="AM88" s="138" t="n"/>
      <c r="AN88" s="138" t="n"/>
      <c r="AO88" s="138" t="n"/>
      <c r="AP88" s="138" t="n"/>
      <c r="AQ88" s="138" t="n"/>
      <c r="AR88" s="138" t="n"/>
      <c r="AS88" s="138" t="n"/>
      <c r="AT88" s="138" t="n"/>
      <c r="AU88" s="138" t="n"/>
      <c r="AV88" s="138" t="n"/>
      <c r="AW88" s="138" t="n"/>
      <c r="AX88" s="138" t="n"/>
      <c r="AY88" s="138" t="n"/>
      <c r="AZ88" s="138" t="n"/>
      <c r="BA88" s="138" t="n"/>
      <c r="BB88" s="138" t="n"/>
      <c r="BC88" s="138" t="n"/>
      <c r="BD88" s="138" t="n"/>
      <c r="BE88" s="138" t="n"/>
      <c r="BF88" s="138" t="n"/>
      <c r="BG88" s="138" t="n"/>
      <c r="BH88" s="138" t="n"/>
      <c r="BI88" s="138" t="n"/>
      <c r="BJ88" s="138" t="n"/>
      <c r="BK88" s="138" t="n"/>
      <c r="BL88" s="138" t="n"/>
      <c r="BM88" s="138" t="n"/>
      <c r="BN88" s="138" t="n"/>
      <c r="BO88" s="138" t="n"/>
      <c r="BP88" s="138" t="n"/>
      <c r="BQ88" s="138" t="n"/>
      <c r="BR88" s="138" t="n"/>
      <c r="BS88" s="138" t="n"/>
      <c r="BT88" s="138" t="n"/>
      <c r="BU88" s="138" t="n"/>
      <c r="BV88" s="138" t="n"/>
      <c r="BW88" s="138" t="n"/>
      <c r="BX88" s="138" t="n"/>
      <c r="BY88" s="138" t="n"/>
      <c r="BZ88" s="138" t="n"/>
      <c r="CA88" s="138" t="n"/>
      <c r="CB88" s="138" t="n"/>
      <c r="CC88" s="138" t="n"/>
      <c r="CD88" s="138" t="n"/>
      <c r="CE88" s="138" t="n"/>
      <c r="CF88" s="139" t="n">
        <v>6</v>
      </c>
    </row>
    <row r="89" ht="13.5" customHeight="1">
      <c r="A89" s="144" t="inlineStr">
        <is>
          <t>1509-161</t>
        </is>
      </c>
      <c r="B89" s="144" t="inlineStr">
        <is>
          <t>■有機キャベツ ８玉ｺﾝﾃﾅ(飯田）</t>
        </is>
      </c>
      <c r="C89" s="138" t="inlineStr">
        <is>
          <t>箱</t>
        </is>
      </c>
      <c r="D89" s="138" t="n"/>
      <c r="E89" s="138" t="n"/>
      <c r="F89" s="138" t="n"/>
      <c r="G89" s="138" t="n"/>
      <c r="H89" s="138" t="n"/>
      <c r="I89" s="138" t="n"/>
      <c r="J89" s="138" t="n"/>
      <c r="K89" s="138" t="n"/>
      <c r="L89" s="138" t="n"/>
      <c r="M89" s="138" t="n"/>
      <c r="N89" s="138" t="n"/>
      <c r="O89" s="138" t="n"/>
      <c r="P89" s="138" t="n"/>
      <c r="Q89" s="138" t="n"/>
      <c r="R89" s="138" t="n"/>
      <c r="S89" s="138" t="n"/>
      <c r="T89" s="138" t="n"/>
      <c r="U89" s="138" t="n"/>
      <c r="V89" s="138" t="n"/>
      <c r="W89" s="138" t="n"/>
      <c r="X89" s="138" t="n"/>
      <c r="Y89" s="138" t="n"/>
      <c r="Z89" s="138" t="n"/>
      <c r="AA89" s="138" t="n"/>
      <c r="AB89" s="138" t="n"/>
      <c r="AC89" s="138" t="n"/>
      <c r="AD89" s="138" t="n"/>
      <c r="AE89" s="138" t="n"/>
      <c r="AF89" s="138" t="n"/>
      <c r="AG89" s="138" t="n"/>
      <c r="AH89" s="138" t="n"/>
      <c r="AI89" s="138" t="n"/>
      <c r="AJ89" s="138" t="n"/>
      <c r="AK89" s="138" t="n"/>
      <c r="AL89" s="138" t="n"/>
      <c r="AM89" s="138" t="n"/>
      <c r="AN89" s="138" t="n"/>
      <c r="AO89" s="138" t="n"/>
      <c r="AP89" s="138" t="n"/>
      <c r="AQ89" s="138" t="n"/>
      <c r="AR89" s="138" t="n"/>
      <c r="AS89" s="138" t="n"/>
      <c r="AT89" s="138" t="n"/>
      <c r="AU89" s="138" t="n"/>
      <c r="AV89" s="138" t="n"/>
      <c r="AW89" s="138" t="n"/>
      <c r="AX89" s="138" t="n"/>
      <c r="AY89" s="138" t="n"/>
      <c r="AZ89" s="138" t="n"/>
      <c r="BA89" s="138" t="n"/>
      <c r="BB89" s="138" t="n"/>
      <c r="BC89" s="138" t="n"/>
      <c r="BD89" s="138" t="n"/>
      <c r="BE89" s="138" t="n"/>
      <c r="BF89" s="138" t="n"/>
      <c r="BG89" s="138" t="n"/>
      <c r="BH89" s="138" t="n"/>
      <c r="BI89" s="138" t="n"/>
      <c r="BJ89" s="138" t="n"/>
      <c r="BK89" s="138" t="n"/>
      <c r="BL89" s="138" t="n"/>
      <c r="BM89" s="138" t="n"/>
      <c r="BN89" s="138" t="n"/>
      <c r="BO89" s="138" t="n"/>
      <c r="BP89" s="138" t="n"/>
      <c r="BQ89" s="138" t="n"/>
      <c r="BR89" s="138" t="n"/>
      <c r="BS89" s="138" t="n"/>
      <c r="BT89" s="138" t="n"/>
      <c r="BU89" s="138" t="n"/>
      <c r="BV89" s="138" t="n"/>
      <c r="BW89" s="138" t="n"/>
      <c r="BX89" s="138" t="n"/>
      <c r="BY89" s="138" t="n"/>
      <c r="BZ89" s="138" t="n"/>
      <c r="CA89" s="138" t="n"/>
      <c r="CB89" s="138" t="n">
        <v>1</v>
      </c>
      <c r="CC89" s="138" t="n"/>
      <c r="CD89" s="138" t="n"/>
      <c r="CE89" s="138" t="n"/>
      <c r="CF89" s="139" t="n">
        <v>1</v>
      </c>
    </row>
    <row r="90" ht="13.5" customHeight="1">
      <c r="A90" s="144" t="inlineStr">
        <is>
          <t>1509-82</t>
        </is>
      </c>
      <c r="B90" s="144" t="inlineStr">
        <is>
          <t>■有機キャベツ ８玉箱（丸和）</t>
        </is>
      </c>
      <c r="C90" s="138" t="inlineStr">
        <is>
          <t>箱</t>
        </is>
      </c>
      <c r="D90" s="138" t="n"/>
      <c r="E90" s="138" t="n"/>
      <c r="F90" s="138" t="n"/>
      <c r="G90" s="138" t="n">
        <v>1</v>
      </c>
      <c r="H90" s="138" t="n"/>
      <c r="I90" s="138" t="n">
        <v>1</v>
      </c>
      <c r="J90" s="138" t="n">
        <v>1</v>
      </c>
      <c r="K90" s="138" t="n">
        <v>2</v>
      </c>
      <c r="L90" s="138" t="n"/>
      <c r="M90" s="138" t="n"/>
      <c r="N90" s="138" t="n"/>
      <c r="O90" s="138" t="n"/>
      <c r="P90" s="138" t="n">
        <v>1</v>
      </c>
      <c r="Q90" s="138" t="n"/>
      <c r="R90" s="138" t="n">
        <v>1</v>
      </c>
      <c r="S90" s="138" t="n"/>
      <c r="T90" s="138" t="n"/>
      <c r="U90" s="138" t="n"/>
      <c r="V90" s="138" t="n">
        <v>1</v>
      </c>
      <c r="W90" s="138" t="n"/>
      <c r="X90" s="138" t="n">
        <v>1</v>
      </c>
      <c r="Y90" s="138" t="n"/>
      <c r="Z90" s="138" t="n">
        <v>1</v>
      </c>
      <c r="AA90" s="138" t="n"/>
      <c r="AB90" s="138" t="n"/>
      <c r="AC90" s="138" t="n">
        <v>1</v>
      </c>
      <c r="AD90" s="138" t="n"/>
      <c r="AE90" s="138" t="n"/>
      <c r="AF90" s="138" t="n"/>
      <c r="AG90" s="138" t="n"/>
      <c r="AH90" s="138" t="n"/>
      <c r="AI90" s="138" t="n"/>
      <c r="AJ90" s="138" t="n"/>
      <c r="AK90" s="138" t="n">
        <v>1</v>
      </c>
      <c r="AL90" s="138" t="n"/>
      <c r="AM90" s="138" t="n">
        <v>1</v>
      </c>
      <c r="AN90" s="138" t="n">
        <v>1</v>
      </c>
      <c r="AO90" s="138" t="n"/>
      <c r="AP90" s="138" t="n"/>
      <c r="AQ90" s="138" t="n"/>
      <c r="AR90" s="138" t="n"/>
      <c r="AS90" s="138" t="n">
        <v>1</v>
      </c>
      <c r="AT90" s="138" t="n"/>
      <c r="AU90" s="138" t="n"/>
      <c r="AV90" s="138" t="n"/>
      <c r="AW90" s="138" t="n">
        <v>1</v>
      </c>
      <c r="AX90" s="138" t="n">
        <v>2</v>
      </c>
      <c r="AY90" s="138" t="n">
        <v>1</v>
      </c>
      <c r="AZ90" s="138" t="n"/>
      <c r="BA90" s="138" t="n">
        <v>1</v>
      </c>
      <c r="BB90" s="138" t="n">
        <v>1</v>
      </c>
      <c r="BC90" s="138" t="n"/>
      <c r="BD90" s="138" t="n"/>
      <c r="BE90" s="138" t="n">
        <v>1</v>
      </c>
      <c r="BF90" s="138" t="n">
        <v>2</v>
      </c>
      <c r="BG90" s="138" t="n"/>
      <c r="BH90" s="138" t="n"/>
      <c r="BI90" s="138" t="n"/>
      <c r="BJ90" s="138" t="n"/>
      <c r="BK90" s="138" t="n"/>
      <c r="BL90" s="138" t="n"/>
      <c r="BM90" s="138" t="n"/>
      <c r="BN90" s="138" t="n"/>
      <c r="BO90" s="138" t="n"/>
      <c r="BP90" s="138" t="n"/>
      <c r="BQ90" s="138" t="n"/>
      <c r="BR90" s="138" t="n"/>
      <c r="BS90" s="138" t="n"/>
      <c r="BT90" s="138" t="n"/>
      <c r="BU90" s="138" t="n"/>
      <c r="BV90" s="138" t="n">
        <v>1</v>
      </c>
      <c r="BW90" s="138" t="n"/>
      <c r="BX90" s="138" t="n"/>
      <c r="BY90" s="138" t="n"/>
      <c r="BZ90" s="138" t="n"/>
      <c r="CA90" s="138" t="n"/>
      <c r="CB90" s="138" t="n"/>
      <c r="CC90" s="138" t="n"/>
      <c r="CD90" s="138" t="n"/>
      <c r="CE90" s="138" t="n"/>
      <c r="CF90" s="139" t="n">
        <v>25</v>
      </c>
    </row>
    <row r="91" ht="13.5" customHeight="1">
      <c r="A91" s="144" t="inlineStr">
        <is>
          <t>1516-104</t>
        </is>
      </c>
      <c r="B91" s="144" t="inlineStr">
        <is>
          <t>有機サニーﾚﾀｽ　1個袋　(富岡・産ﾊﾟ)</t>
        </is>
      </c>
      <c r="C91" s="138" t="inlineStr">
        <is>
          <t>こもの</t>
        </is>
      </c>
      <c r="D91" s="138" t="n"/>
      <c r="E91" s="138" t="n"/>
      <c r="F91" s="138" t="n"/>
      <c r="G91" s="138" t="n"/>
      <c r="H91" s="138" t="n"/>
      <c r="I91" s="138" t="n"/>
      <c r="J91" s="138" t="n"/>
      <c r="K91" s="138" t="n"/>
      <c r="L91" s="138" t="n"/>
      <c r="M91" s="138" t="n"/>
      <c r="N91" s="138" t="n"/>
      <c r="O91" s="138" t="n"/>
      <c r="P91" s="138" t="n"/>
      <c r="Q91" s="138" t="n"/>
      <c r="R91" s="138" t="n"/>
      <c r="S91" s="138" t="n"/>
      <c r="T91" s="138" t="n"/>
      <c r="U91" s="138" t="n"/>
      <c r="V91" s="138" t="n"/>
      <c r="W91" s="138" t="n"/>
      <c r="X91" s="138" t="n"/>
      <c r="Y91" s="138" t="n"/>
      <c r="Z91" s="138" t="n"/>
      <c r="AA91" s="138" t="n"/>
      <c r="AB91" s="138" t="n"/>
      <c r="AC91" s="138" t="n"/>
      <c r="AD91" s="138" t="n"/>
      <c r="AE91" s="138" t="n"/>
      <c r="AF91" s="138" t="n"/>
      <c r="AG91" s="138" t="n"/>
      <c r="AH91" s="138" t="n"/>
      <c r="AI91" s="138" t="n"/>
      <c r="AJ91" s="138" t="n"/>
      <c r="AK91" s="138" t="n"/>
      <c r="AL91" s="138" t="n"/>
      <c r="AM91" s="138" t="n"/>
      <c r="AN91" s="138" t="n"/>
      <c r="AO91" s="138" t="n"/>
      <c r="AP91" s="138" t="n"/>
      <c r="AQ91" s="138" t="n"/>
      <c r="AR91" s="138" t="n"/>
      <c r="AS91" s="138" t="n"/>
      <c r="AT91" s="138" t="n"/>
      <c r="AU91" s="138" t="n"/>
      <c r="AV91" s="138" t="n"/>
      <c r="AW91" s="138" t="n"/>
      <c r="AX91" s="138" t="n"/>
      <c r="AY91" s="138" t="n"/>
      <c r="AZ91" s="138" t="n"/>
      <c r="BA91" s="138" t="n"/>
      <c r="BB91" s="138" t="n"/>
      <c r="BC91" s="138" t="n"/>
      <c r="BD91" s="138" t="n"/>
      <c r="BE91" s="138" t="n"/>
      <c r="BF91" s="138" t="n"/>
      <c r="BG91" s="138" t="n"/>
      <c r="BH91" s="138" t="n"/>
      <c r="BI91" s="138" t="n"/>
      <c r="BJ91" s="138" t="n"/>
      <c r="BK91" s="138" t="n"/>
      <c r="BL91" s="138" t="n"/>
      <c r="BM91" s="138" t="n"/>
      <c r="BN91" s="138" t="n"/>
      <c r="BO91" s="138" t="n"/>
      <c r="BP91" s="138" t="n"/>
      <c r="BQ91" s="138" t="n"/>
      <c r="BR91" s="138" t="n"/>
      <c r="BS91" s="138" t="n"/>
      <c r="BT91" s="138" t="n"/>
      <c r="BU91" s="138" t="n"/>
      <c r="BV91" s="138" t="n"/>
      <c r="BW91" s="138" t="n"/>
      <c r="BX91" s="138" t="n"/>
      <c r="BY91" s="138" t="n"/>
      <c r="BZ91" s="138" t="n"/>
      <c r="CA91" s="138" t="n">
        <v>5</v>
      </c>
      <c r="CB91" s="138" t="n"/>
      <c r="CC91" s="138" t="n"/>
      <c r="CD91" s="138" t="n"/>
      <c r="CE91" s="138" t="n"/>
      <c r="CF91" s="139" t="n">
        <v>5</v>
      </c>
    </row>
    <row r="92" ht="13.5" customHeight="1">
      <c r="A92" s="144" t="inlineStr">
        <is>
          <t>1516-38</t>
        </is>
      </c>
      <c r="B92" s="144" t="inlineStr">
        <is>
          <t>有機サニーﾚﾀｽ　ﾗｯﾌﾟ 1個(ﾌｧｰﾏｰｽﾞ)◇</t>
        </is>
      </c>
      <c r="C92" s="138" t="inlineStr">
        <is>
          <t>こもの</t>
        </is>
      </c>
      <c r="D92" s="138" t="n">
        <v>2</v>
      </c>
      <c r="E92" s="138" t="n">
        <v>2</v>
      </c>
      <c r="F92" s="138" t="n">
        <v>5</v>
      </c>
      <c r="G92" s="138" t="n"/>
      <c r="H92" s="138" t="n"/>
      <c r="I92" s="138" t="n">
        <v>6</v>
      </c>
      <c r="J92" s="138" t="n">
        <v>4</v>
      </c>
      <c r="K92" s="138" t="n">
        <v>5</v>
      </c>
      <c r="L92" s="138" t="n"/>
      <c r="M92" s="138" t="n">
        <v>4</v>
      </c>
      <c r="N92" s="138" t="n">
        <v>3</v>
      </c>
      <c r="O92" s="138" t="n"/>
      <c r="P92" s="138" t="n"/>
      <c r="Q92" s="138" t="n">
        <v>2</v>
      </c>
      <c r="R92" s="138" t="n">
        <v>3</v>
      </c>
      <c r="S92" s="138" t="n">
        <v>4</v>
      </c>
      <c r="T92" s="138" t="n">
        <v>2</v>
      </c>
      <c r="U92" s="138" t="n"/>
      <c r="V92" s="138" t="n"/>
      <c r="W92" s="138" t="n">
        <v>2</v>
      </c>
      <c r="X92" s="138" t="n">
        <v>2</v>
      </c>
      <c r="Y92" s="138" t="n">
        <v>2</v>
      </c>
      <c r="Z92" s="138" t="n"/>
      <c r="AA92" s="138" t="n">
        <v>3</v>
      </c>
      <c r="AB92" s="138" t="n">
        <v>3</v>
      </c>
      <c r="AC92" s="138" t="n">
        <v>3</v>
      </c>
      <c r="AD92" s="138" t="n"/>
      <c r="AE92" s="138" t="n"/>
      <c r="AF92" s="138" t="n">
        <v>7</v>
      </c>
      <c r="AG92" s="138" t="n"/>
      <c r="AH92" s="138" t="n"/>
      <c r="AI92" s="138" t="n"/>
      <c r="AJ92" s="138" t="n">
        <v>2</v>
      </c>
      <c r="AK92" s="138" t="n">
        <v>5</v>
      </c>
      <c r="AL92" s="138" t="n">
        <v>2</v>
      </c>
      <c r="AM92" s="138" t="n">
        <v>2</v>
      </c>
      <c r="AN92" s="138" t="n">
        <v>2</v>
      </c>
      <c r="AO92" s="138" t="n">
        <v>1</v>
      </c>
      <c r="AP92" s="138" t="n"/>
      <c r="AQ92" s="138" t="n"/>
      <c r="AR92" s="138" t="n">
        <v>2</v>
      </c>
      <c r="AS92" s="138" t="n">
        <v>4</v>
      </c>
      <c r="AT92" s="138" t="n">
        <v>1</v>
      </c>
      <c r="AU92" s="138" t="n">
        <v>4</v>
      </c>
      <c r="AV92" s="138" t="n"/>
      <c r="AW92" s="138" t="n"/>
      <c r="AX92" s="138" t="n">
        <v>3</v>
      </c>
      <c r="AY92" s="138" t="n">
        <v>4</v>
      </c>
      <c r="AZ92" s="138" t="n">
        <v>2</v>
      </c>
      <c r="BA92" s="138" t="n">
        <v>2</v>
      </c>
      <c r="BB92" s="138" t="n">
        <v>3</v>
      </c>
      <c r="BC92" s="138" t="n"/>
      <c r="BD92" s="138" t="n">
        <v>4</v>
      </c>
      <c r="BE92" s="138" t="n">
        <v>1</v>
      </c>
      <c r="BF92" s="138" t="n">
        <v>3</v>
      </c>
      <c r="BG92" s="138" t="n"/>
      <c r="BH92" s="138" t="n"/>
      <c r="BI92" s="138" t="n">
        <v>10</v>
      </c>
      <c r="BJ92" s="138" t="n"/>
      <c r="BK92" s="138" t="n"/>
      <c r="BL92" s="138" t="n"/>
      <c r="BM92" s="138" t="n"/>
      <c r="BN92" s="138" t="n"/>
      <c r="BO92" s="138" t="n"/>
      <c r="BP92" s="138" t="n"/>
      <c r="BQ92" s="138" t="n"/>
      <c r="BR92" s="138" t="n"/>
      <c r="BS92" s="138" t="n"/>
      <c r="BT92" s="138" t="n"/>
      <c r="BU92" s="138" t="n"/>
      <c r="BV92" s="138" t="n"/>
      <c r="BW92" s="138" t="n"/>
      <c r="BX92" s="138" t="n">
        <v>6</v>
      </c>
      <c r="BY92" s="138" t="n">
        <v>2</v>
      </c>
      <c r="BZ92" s="138" t="n"/>
      <c r="CA92" s="138" t="n"/>
      <c r="CB92" s="138" t="n"/>
      <c r="CC92" s="138" t="n">
        <v>20</v>
      </c>
      <c r="CD92" s="138" t="n"/>
      <c r="CE92" s="138" t="n">
        <v>8</v>
      </c>
      <c r="CF92" s="139" t="n">
        <v>157</v>
      </c>
    </row>
    <row r="93" ht="13.5" customHeight="1">
      <c r="A93" s="144" t="inlineStr">
        <is>
          <t>1516-39</t>
        </is>
      </c>
      <c r="B93" s="144" t="inlineStr">
        <is>
          <t>■有機サニーレタス裸　10個ｺﾝﾃﾅ(ﾌｧｰﾏｰｽﾞ)</t>
        </is>
      </c>
      <c r="C93" s="138" t="inlineStr">
        <is>
          <t>箱</t>
        </is>
      </c>
      <c r="D93" s="138" t="n"/>
      <c r="E93" s="138" t="n"/>
      <c r="F93" s="138" t="n"/>
      <c r="G93" s="138" t="n"/>
      <c r="H93" s="138" t="n"/>
      <c r="I93" s="138" t="n"/>
      <c r="J93" s="138" t="n"/>
      <c r="K93" s="138" t="n"/>
      <c r="L93" s="138" t="n"/>
      <c r="M93" s="138" t="n"/>
      <c r="N93" s="138" t="n"/>
      <c r="O93" s="138" t="n"/>
      <c r="P93" s="138" t="n"/>
      <c r="Q93" s="138" t="n"/>
      <c r="R93" s="138" t="n"/>
      <c r="S93" s="138" t="n"/>
      <c r="T93" s="138" t="n"/>
      <c r="U93" s="138" t="n"/>
      <c r="V93" s="138" t="n"/>
      <c r="W93" s="138" t="n"/>
      <c r="X93" s="138" t="n"/>
      <c r="Y93" s="138" t="n"/>
      <c r="Z93" s="138" t="n"/>
      <c r="AA93" s="138" t="n"/>
      <c r="AB93" s="138" t="n"/>
      <c r="AC93" s="138" t="n"/>
      <c r="AD93" s="138" t="n"/>
      <c r="AE93" s="138" t="n"/>
      <c r="AF93" s="138" t="n"/>
      <c r="AG93" s="138" t="n"/>
      <c r="AH93" s="138" t="n"/>
      <c r="AI93" s="138" t="n"/>
      <c r="AJ93" s="138" t="n"/>
      <c r="AK93" s="138" t="n"/>
      <c r="AL93" s="138" t="n"/>
      <c r="AM93" s="138" t="n"/>
      <c r="AN93" s="138" t="n"/>
      <c r="AO93" s="138" t="n"/>
      <c r="AP93" s="138" t="n"/>
      <c r="AQ93" s="138" t="n"/>
      <c r="AR93" s="138" t="n"/>
      <c r="AS93" s="138" t="n"/>
      <c r="AT93" s="138" t="n"/>
      <c r="AU93" s="138" t="n"/>
      <c r="AV93" s="138" t="n"/>
      <c r="AW93" s="138" t="n"/>
      <c r="AX93" s="138" t="n"/>
      <c r="AY93" s="138" t="n"/>
      <c r="AZ93" s="138" t="n"/>
      <c r="BA93" s="138" t="n"/>
      <c r="BB93" s="138" t="n"/>
      <c r="BC93" s="138" t="n"/>
      <c r="BD93" s="138" t="n"/>
      <c r="BE93" s="138" t="n"/>
      <c r="BF93" s="138" t="n"/>
      <c r="BG93" s="138" t="n"/>
      <c r="BH93" s="138" t="n"/>
      <c r="BI93" s="138" t="n"/>
      <c r="BJ93" s="138" t="n"/>
      <c r="BK93" s="138" t="n"/>
      <c r="BL93" s="138" t="n"/>
      <c r="BM93" s="138" t="n"/>
      <c r="BN93" s="138" t="n"/>
      <c r="BO93" s="138" t="n"/>
      <c r="BP93" s="138" t="n"/>
      <c r="BQ93" s="138" t="n"/>
      <c r="BR93" s="138" t="n"/>
      <c r="BS93" s="138" t="n"/>
      <c r="BT93" s="138" t="n"/>
      <c r="BU93" s="138" t="n"/>
      <c r="BV93" s="138" t="n"/>
      <c r="BW93" s="138" t="n"/>
      <c r="BX93" s="138" t="n"/>
      <c r="BY93" s="138" t="n"/>
      <c r="BZ93" s="138" t="n"/>
      <c r="CA93" s="138" t="n"/>
      <c r="CB93" s="138" t="n">
        <v>2</v>
      </c>
      <c r="CC93" s="138" t="n"/>
      <c r="CD93" s="138" t="n"/>
      <c r="CE93" s="138" t="n"/>
      <c r="CF93" s="139" t="n">
        <v>2</v>
      </c>
    </row>
    <row r="94" ht="13.5" customHeight="1">
      <c r="A94" s="144" t="inlineStr">
        <is>
          <t>1521-17</t>
        </is>
      </c>
      <c r="B94" s="144" t="inlineStr">
        <is>
          <t>グリーンボール　１個袋(せっせと畑)◇</t>
        </is>
      </c>
      <c r="C94" s="138" t="inlineStr">
        <is>
          <t>こもの</t>
        </is>
      </c>
      <c r="D94" s="138" t="n">
        <v>8</v>
      </c>
      <c r="E94" s="138" t="n"/>
      <c r="F94" s="138" t="n"/>
      <c r="G94" s="138" t="n"/>
      <c r="H94" s="138" t="n"/>
      <c r="I94" s="138" t="n"/>
      <c r="J94" s="138" t="n">
        <v>8</v>
      </c>
      <c r="K94" s="138" t="n"/>
      <c r="L94" s="138" t="n"/>
      <c r="M94" s="138" t="n"/>
      <c r="N94" s="138" t="n"/>
      <c r="O94" s="138" t="n"/>
      <c r="P94" s="138" t="n"/>
      <c r="Q94" s="138" t="n"/>
      <c r="R94" s="138" t="n"/>
      <c r="S94" s="138" t="n"/>
      <c r="T94" s="138" t="n">
        <v>6</v>
      </c>
      <c r="U94" s="138" t="n"/>
      <c r="V94" s="138" t="n"/>
      <c r="W94" s="138" t="n"/>
      <c r="X94" s="138" t="n"/>
      <c r="Y94" s="138" t="n"/>
      <c r="Z94" s="138" t="n"/>
      <c r="AA94" s="138" t="n"/>
      <c r="AB94" s="138" t="n"/>
      <c r="AC94" s="138" t="n"/>
      <c r="AD94" s="138" t="n">
        <v>8</v>
      </c>
      <c r="AE94" s="138" t="n"/>
      <c r="AF94" s="138" t="n"/>
      <c r="AG94" s="138" t="n"/>
      <c r="AH94" s="138" t="n"/>
      <c r="AI94" s="138" t="n">
        <v>1</v>
      </c>
      <c r="AJ94" s="138" t="n"/>
      <c r="AK94" s="138" t="n">
        <v>10</v>
      </c>
      <c r="AL94" s="138" t="n"/>
      <c r="AM94" s="138" t="n">
        <v>2</v>
      </c>
      <c r="AN94" s="138" t="n"/>
      <c r="AO94" s="138" t="n">
        <v>4</v>
      </c>
      <c r="AP94" s="138" t="n"/>
      <c r="AQ94" s="138" t="n"/>
      <c r="AR94" s="138" t="n"/>
      <c r="AS94" s="138" t="n"/>
      <c r="AT94" s="138" t="n"/>
      <c r="AU94" s="138" t="n">
        <v>4</v>
      </c>
      <c r="AV94" s="138" t="n"/>
      <c r="AW94" s="138" t="n"/>
      <c r="AX94" s="138" t="n"/>
      <c r="AY94" s="138" t="n"/>
      <c r="AZ94" s="138" t="n">
        <v>8</v>
      </c>
      <c r="BA94" s="138" t="n"/>
      <c r="BB94" s="138" t="n"/>
      <c r="BC94" s="138" t="n"/>
      <c r="BD94" s="138" t="n"/>
      <c r="BE94" s="138" t="n"/>
      <c r="BF94" s="138" t="n"/>
      <c r="BG94" s="138" t="n"/>
      <c r="BH94" s="138" t="n"/>
      <c r="BI94" s="138" t="n"/>
      <c r="BJ94" s="138" t="n"/>
      <c r="BK94" s="138" t="n"/>
      <c r="BL94" s="138" t="n"/>
      <c r="BM94" s="138" t="n"/>
      <c r="BN94" s="138" t="n"/>
      <c r="BO94" s="138" t="n"/>
      <c r="BP94" s="138" t="n"/>
      <c r="BQ94" s="138" t="n"/>
      <c r="BR94" s="138" t="n"/>
      <c r="BS94" s="138" t="n"/>
      <c r="BT94" s="138" t="n"/>
      <c r="BU94" s="138" t="n"/>
      <c r="BV94" s="138" t="n"/>
      <c r="BW94" s="138" t="n"/>
      <c r="BX94" s="138" t="n"/>
      <c r="BY94" s="138" t="n"/>
      <c r="BZ94" s="138" t="n"/>
      <c r="CA94" s="138" t="n">
        <v>8</v>
      </c>
      <c r="CB94" s="138" t="n"/>
      <c r="CC94" s="138" t="n"/>
      <c r="CD94" s="138" t="n">
        <v>4</v>
      </c>
      <c r="CE94" s="138" t="n"/>
      <c r="CF94" s="139" t="n">
        <v>71</v>
      </c>
    </row>
    <row r="95" ht="13.5" customHeight="1">
      <c r="A95" s="144" t="inlineStr">
        <is>
          <t>1533-150</t>
        </is>
      </c>
      <c r="B95" s="144" t="inlineStr">
        <is>
          <t>有機 玉レタス ﾗｯﾌﾟ 1個(ﾌｧｰﾏｰｽﾞ)◇</t>
        </is>
      </c>
      <c r="C95" s="138" t="inlineStr">
        <is>
          <t>こもの</t>
        </is>
      </c>
      <c r="D95" s="138" t="n">
        <v>2</v>
      </c>
      <c r="E95" s="138" t="n"/>
      <c r="F95" s="138" t="n"/>
      <c r="G95" s="138" t="n"/>
      <c r="H95" s="138" t="n"/>
      <c r="I95" s="138" t="n">
        <v>6</v>
      </c>
      <c r="J95" s="138" t="n">
        <v>5</v>
      </c>
      <c r="K95" s="138" t="n">
        <v>5</v>
      </c>
      <c r="L95" s="138" t="n"/>
      <c r="M95" s="138" t="n">
        <v>6</v>
      </c>
      <c r="N95" s="138" t="n"/>
      <c r="O95" s="138" t="n">
        <v>3</v>
      </c>
      <c r="P95" s="138" t="n">
        <v>2</v>
      </c>
      <c r="Q95" s="138" t="n">
        <v>2</v>
      </c>
      <c r="R95" s="138" t="n">
        <v>3</v>
      </c>
      <c r="S95" s="138" t="n"/>
      <c r="T95" s="138" t="n"/>
      <c r="U95" s="138" t="n">
        <v>2</v>
      </c>
      <c r="V95" s="138" t="n"/>
      <c r="W95" s="138" t="n">
        <v>2</v>
      </c>
      <c r="X95" s="138" t="n">
        <v>2</v>
      </c>
      <c r="Y95" s="138" t="n"/>
      <c r="Z95" s="138" t="n">
        <v>2</v>
      </c>
      <c r="AA95" s="138" t="n">
        <v>3</v>
      </c>
      <c r="AB95" s="138" t="n">
        <v>3</v>
      </c>
      <c r="AC95" s="138" t="n">
        <v>4</v>
      </c>
      <c r="AD95" s="138" t="n">
        <v>2</v>
      </c>
      <c r="AE95" s="138" t="n"/>
      <c r="AF95" s="138" t="n">
        <v>4</v>
      </c>
      <c r="AG95" s="138" t="n">
        <v>3</v>
      </c>
      <c r="AH95" s="138" t="n">
        <v>5</v>
      </c>
      <c r="AI95" s="138" t="n">
        <v>2</v>
      </c>
      <c r="AJ95" s="138" t="n">
        <v>3</v>
      </c>
      <c r="AK95" s="138" t="n">
        <v>5</v>
      </c>
      <c r="AL95" s="138" t="n"/>
      <c r="AM95" s="138" t="n">
        <v>2</v>
      </c>
      <c r="AN95" s="138" t="n">
        <v>2</v>
      </c>
      <c r="AO95" s="138" t="n">
        <v>2</v>
      </c>
      <c r="AP95" s="138" t="n">
        <v>5</v>
      </c>
      <c r="AQ95" s="138" t="n"/>
      <c r="AR95" s="138" t="n"/>
      <c r="AS95" s="138" t="n">
        <v>2</v>
      </c>
      <c r="AT95" s="138" t="n">
        <v>1</v>
      </c>
      <c r="AU95" s="138" t="n">
        <v>4</v>
      </c>
      <c r="AV95" s="138" t="n"/>
      <c r="AW95" s="138" t="n"/>
      <c r="AX95" s="138" t="n">
        <v>4</v>
      </c>
      <c r="AY95" s="138" t="n">
        <v>4</v>
      </c>
      <c r="AZ95" s="138" t="n">
        <v>2</v>
      </c>
      <c r="BA95" s="138" t="n">
        <v>2</v>
      </c>
      <c r="BB95" s="138" t="n">
        <v>4</v>
      </c>
      <c r="BC95" s="138" t="n"/>
      <c r="BD95" s="138" t="n">
        <v>2</v>
      </c>
      <c r="BE95" s="138" t="n">
        <v>1</v>
      </c>
      <c r="BF95" s="138" t="n">
        <v>3</v>
      </c>
      <c r="BG95" s="138" t="n">
        <v>2</v>
      </c>
      <c r="BH95" s="138" t="n"/>
      <c r="BI95" s="138" t="n">
        <v>10</v>
      </c>
      <c r="BJ95" s="138" t="n"/>
      <c r="BK95" s="138" t="n"/>
      <c r="BL95" s="138" t="n"/>
      <c r="BM95" s="138" t="n"/>
      <c r="BN95" s="138" t="n"/>
      <c r="BO95" s="138" t="n"/>
      <c r="BP95" s="138" t="n"/>
      <c r="BQ95" s="138" t="n"/>
      <c r="BR95" s="138" t="n"/>
      <c r="BS95" s="138" t="n"/>
      <c r="BT95" s="138" t="n"/>
      <c r="BU95" s="138" t="n"/>
      <c r="BV95" s="138" t="n">
        <v>4</v>
      </c>
      <c r="BW95" s="138" t="n"/>
      <c r="BX95" s="138" t="n"/>
      <c r="BY95" s="138" t="n"/>
      <c r="BZ95" s="138" t="n"/>
      <c r="CA95" s="138" t="n"/>
      <c r="CB95" s="138" t="n"/>
      <c r="CC95" s="138" t="n"/>
      <c r="CD95" s="138" t="n">
        <v>2</v>
      </c>
      <c r="CE95" s="138" t="n">
        <v>8</v>
      </c>
      <c r="CF95" s="139" t="n">
        <v>142</v>
      </c>
    </row>
    <row r="96" ht="13.5" customHeight="1">
      <c r="A96" s="144" t="inlineStr">
        <is>
          <t>1533-160</t>
        </is>
      </c>
      <c r="B96" s="144" t="inlineStr">
        <is>
          <t>有機レタス ラップ 1個(富岡・産ﾊﾟ)</t>
        </is>
      </c>
      <c r="C96" s="138" t="inlineStr">
        <is>
          <t>こもの</t>
        </is>
      </c>
      <c r="D96" s="138" t="n"/>
      <c r="E96" s="138" t="n"/>
      <c r="F96" s="138" t="n"/>
      <c r="G96" s="138" t="n"/>
      <c r="H96" s="138" t="n"/>
      <c r="I96" s="138" t="n"/>
      <c r="J96" s="138" t="n"/>
      <c r="K96" s="138" t="n"/>
      <c r="L96" s="138" t="n"/>
      <c r="M96" s="138" t="n"/>
      <c r="N96" s="138" t="n"/>
      <c r="O96" s="138" t="n"/>
      <c r="P96" s="138" t="n"/>
      <c r="Q96" s="138" t="n"/>
      <c r="R96" s="138" t="n"/>
      <c r="S96" s="138" t="n"/>
      <c r="T96" s="138" t="n"/>
      <c r="U96" s="138" t="n"/>
      <c r="V96" s="138" t="n"/>
      <c r="W96" s="138" t="n"/>
      <c r="X96" s="138" t="n"/>
      <c r="Y96" s="138" t="n"/>
      <c r="Z96" s="138" t="n"/>
      <c r="AA96" s="138" t="n"/>
      <c r="AB96" s="138" t="n"/>
      <c r="AC96" s="138" t="n"/>
      <c r="AD96" s="138" t="n"/>
      <c r="AE96" s="138" t="n"/>
      <c r="AF96" s="138" t="n"/>
      <c r="AG96" s="138" t="n"/>
      <c r="AH96" s="138" t="n"/>
      <c r="AI96" s="138" t="n"/>
      <c r="AJ96" s="138" t="n"/>
      <c r="AK96" s="138" t="n"/>
      <c r="AL96" s="138" t="n"/>
      <c r="AM96" s="138" t="n"/>
      <c r="AN96" s="138" t="n"/>
      <c r="AO96" s="138" t="n"/>
      <c r="AP96" s="138" t="n"/>
      <c r="AQ96" s="138" t="n"/>
      <c r="AR96" s="138" t="n"/>
      <c r="AS96" s="138" t="n"/>
      <c r="AT96" s="138" t="n"/>
      <c r="AU96" s="138" t="n"/>
      <c r="AV96" s="138" t="n"/>
      <c r="AW96" s="138" t="n"/>
      <c r="AX96" s="138" t="n"/>
      <c r="AY96" s="138" t="n"/>
      <c r="AZ96" s="138" t="n"/>
      <c r="BA96" s="138" t="n"/>
      <c r="BB96" s="138" t="n"/>
      <c r="BC96" s="138" t="n"/>
      <c r="BD96" s="138" t="n"/>
      <c r="BE96" s="138" t="n"/>
      <c r="BF96" s="138" t="n"/>
      <c r="BG96" s="138" t="n"/>
      <c r="BH96" s="138" t="n"/>
      <c r="BI96" s="138" t="n"/>
      <c r="BJ96" s="138" t="n"/>
      <c r="BK96" s="138" t="n"/>
      <c r="BL96" s="138" t="n"/>
      <c r="BM96" s="138" t="n"/>
      <c r="BN96" s="138" t="n"/>
      <c r="BO96" s="138" t="n"/>
      <c r="BP96" s="138" t="n"/>
      <c r="BQ96" s="138" t="n"/>
      <c r="BR96" s="138" t="n"/>
      <c r="BS96" s="138" t="n"/>
      <c r="BT96" s="138" t="n"/>
      <c r="BU96" s="138" t="n"/>
      <c r="BV96" s="138" t="n"/>
      <c r="BW96" s="138" t="n"/>
      <c r="BX96" s="138" t="n"/>
      <c r="BY96" s="138" t="n"/>
      <c r="BZ96" s="138" t="n"/>
      <c r="CA96" s="138" t="n">
        <v>5</v>
      </c>
      <c r="CB96" s="138" t="n"/>
      <c r="CC96" s="138" t="n"/>
      <c r="CD96" s="138" t="n"/>
      <c r="CE96" s="138" t="n"/>
      <c r="CF96" s="139" t="n">
        <v>5</v>
      </c>
    </row>
    <row r="97" ht="13.5" customHeight="1">
      <c r="A97" s="144" t="inlineStr">
        <is>
          <t>1533-249</t>
        </is>
      </c>
      <c r="B97" s="144" t="inlineStr">
        <is>
          <t>■有機レタス 裸 10個ｺﾝﾃﾅ(ﾌｧｰﾏｰｽﾞ)</t>
        </is>
      </c>
      <c r="C97" s="138" t="inlineStr">
        <is>
          <t>箱</t>
        </is>
      </c>
      <c r="D97" s="138" t="n"/>
      <c r="E97" s="138" t="n"/>
      <c r="F97" s="138" t="n"/>
      <c r="G97" s="138" t="n"/>
      <c r="H97" s="138" t="n"/>
      <c r="I97" s="138" t="n"/>
      <c r="J97" s="138" t="n"/>
      <c r="K97" s="138" t="n"/>
      <c r="L97" s="138" t="n"/>
      <c r="M97" s="138" t="n"/>
      <c r="N97" s="138" t="n"/>
      <c r="O97" s="138" t="n"/>
      <c r="P97" s="138" t="n"/>
      <c r="Q97" s="138" t="n"/>
      <c r="R97" s="138" t="n"/>
      <c r="S97" s="138" t="n"/>
      <c r="T97" s="138" t="n"/>
      <c r="U97" s="138" t="n"/>
      <c r="V97" s="138" t="n"/>
      <c r="W97" s="138" t="n"/>
      <c r="X97" s="138" t="n"/>
      <c r="Y97" s="138" t="n"/>
      <c r="Z97" s="138" t="n"/>
      <c r="AA97" s="138" t="n"/>
      <c r="AB97" s="138" t="n"/>
      <c r="AC97" s="138" t="n"/>
      <c r="AD97" s="138" t="n"/>
      <c r="AE97" s="138" t="n"/>
      <c r="AF97" s="138" t="n"/>
      <c r="AG97" s="138" t="n"/>
      <c r="AH97" s="138" t="n"/>
      <c r="AI97" s="138" t="n"/>
      <c r="AJ97" s="138" t="n"/>
      <c r="AK97" s="138" t="n"/>
      <c r="AL97" s="138" t="n"/>
      <c r="AM97" s="138" t="n"/>
      <c r="AN97" s="138" t="n"/>
      <c r="AO97" s="138" t="n"/>
      <c r="AP97" s="138" t="n"/>
      <c r="AQ97" s="138" t="n"/>
      <c r="AR97" s="138" t="n"/>
      <c r="AS97" s="138" t="n"/>
      <c r="AT97" s="138" t="n"/>
      <c r="AU97" s="138" t="n"/>
      <c r="AV97" s="138" t="n"/>
      <c r="AW97" s="138" t="n"/>
      <c r="AX97" s="138" t="n"/>
      <c r="AY97" s="138" t="n"/>
      <c r="AZ97" s="138" t="n"/>
      <c r="BA97" s="138" t="n"/>
      <c r="BB97" s="138" t="n"/>
      <c r="BC97" s="138" t="n"/>
      <c r="BD97" s="138" t="n"/>
      <c r="BE97" s="138" t="n"/>
      <c r="BF97" s="138" t="n"/>
      <c r="BG97" s="138" t="n"/>
      <c r="BH97" s="138" t="n"/>
      <c r="BI97" s="138" t="n"/>
      <c r="BJ97" s="138" t="n"/>
      <c r="BK97" s="138" t="n"/>
      <c r="BL97" s="138" t="n"/>
      <c r="BM97" s="138" t="n"/>
      <c r="BN97" s="138" t="n"/>
      <c r="BO97" s="138" t="n"/>
      <c r="BP97" s="138" t="n"/>
      <c r="BQ97" s="138" t="n"/>
      <c r="BR97" s="138" t="n"/>
      <c r="BS97" s="138" t="n"/>
      <c r="BT97" s="138" t="n"/>
      <c r="BU97" s="138" t="n"/>
      <c r="BV97" s="138" t="n"/>
      <c r="BW97" s="138" t="n"/>
      <c r="BX97" s="138" t="n"/>
      <c r="BY97" s="138" t="n"/>
      <c r="BZ97" s="138" t="n"/>
      <c r="CA97" s="138" t="n"/>
      <c r="CB97" s="138" t="n">
        <v>1</v>
      </c>
      <c r="CC97" s="138" t="n"/>
      <c r="CD97" s="138" t="n"/>
      <c r="CE97" s="138" t="n"/>
      <c r="CF97" s="139" t="n">
        <v>1</v>
      </c>
    </row>
    <row r="98" ht="13.5" customHeight="1">
      <c r="A98" s="144" t="inlineStr">
        <is>
          <t>1543-134</t>
        </is>
      </c>
      <c r="B98" s="144" t="inlineStr">
        <is>
          <t>ブロッコリー1個袋(那須・益子美好)6割・不</t>
        </is>
      </c>
      <c r="C98" s="138" t="inlineStr">
        <is>
          <t>こもの</t>
        </is>
      </c>
      <c r="D98" s="138" t="n">
        <v>8</v>
      </c>
      <c r="E98" s="138" t="n">
        <v>5</v>
      </c>
      <c r="F98" s="138" t="n">
        <v>25</v>
      </c>
      <c r="G98" s="138" t="n"/>
      <c r="H98" s="138" t="n">
        <v>6</v>
      </c>
      <c r="I98" s="138" t="n">
        <v>40</v>
      </c>
      <c r="J98" s="138" t="n"/>
      <c r="K98" s="138" t="n"/>
      <c r="L98" s="138" t="n"/>
      <c r="M98" s="138" t="n"/>
      <c r="N98" s="138" t="n"/>
      <c r="O98" s="138" t="n"/>
      <c r="P98" s="138" t="n"/>
      <c r="Q98" s="138" t="n"/>
      <c r="R98" s="138" t="n"/>
      <c r="S98" s="138" t="n"/>
      <c r="T98" s="138" t="n"/>
      <c r="U98" s="138" t="n"/>
      <c r="V98" s="138" t="n"/>
      <c r="W98" s="138" t="n"/>
      <c r="X98" s="138" t="n"/>
      <c r="Y98" s="138" t="n"/>
      <c r="Z98" s="138" t="n"/>
      <c r="AA98" s="138" t="n"/>
      <c r="AB98" s="138" t="n"/>
      <c r="AC98" s="138" t="n"/>
      <c r="AD98" s="138" t="n"/>
      <c r="AE98" s="138" t="n"/>
      <c r="AF98" s="138" t="n"/>
      <c r="AG98" s="138" t="n"/>
      <c r="AH98" s="138" t="n"/>
      <c r="AI98" s="138" t="n"/>
      <c r="AJ98" s="138" t="n"/>
      <c r="AK98" s="138" t="n">
        <v>15</v>
      </c>
      <c r="AL98" s="138" t="n"/>
      <c r="AM98" s="138" t="n"/>
      <c r="AN98" s="138" t="n"/>
      <c r="AO98" s="138" t="n">
        <v>6</v>
      </c>
      <c r="AP98" s="138" t="n"/>
      <c r="AQ98" s="138" t="n"/>
      <c r="AR98" s="138" t="n"/>
      <c r="AS98" s="138" t="n"/>
      <c r="AT98" s="138" t="n"/>
      <c r="AU98" s="138" t="n"/>
      <c r="AV98" s="138" t="n"/>
      <c r="AW98" s="138" t="n"/>
      <c r="AX98" s="138" t="n"/>
      <c r="AY98" s="138" t="n"/>
      <c r="AZ98" s="138" t="n">
        <v>6</v>
      </c>
      <c r="BA98" s="138" t="n"/>
      <c r="BB98" s="138" t="n"/>
      <c r="BC98" s="138" t="n"/>
      <c r="BD98" s="138" t="n"/>
      <c r="BE98" s="138" t="n"/>
      <c r="BF98" s="138" t="n"/>
      <c r="BG98" s="138" t="n"/>
      <c r="BH98" s="138" t="n"/>
      <c r="BI98" s="138" t="n"/>
      <c r="BJ98" s="138" t="n"/>
      <c r="BK98" s="138" t="n"/>
      <c r="BL98" s="138" t="n"/>
      <c r="BM98" s="138" t="n"/>
      <c r="BN98" s="138" t="n"/>
      <c r="BO98" s="138" t="n"/>
      <c r="BP98" s="138" t="n"/>
      <c r="BQ98" s="138" t="n"/>
      <c r="BR98" s="138" t="n"/>
      <c r="BS98" s="138" t="n"/>
      <c r="BT98" s="138" t="n"/>
      <c r="BU98" s="138" t="n"/>
      <c r="BV98" s="138" t="n"/>
      <c r="BW98" s="138" t="n"/>
      <c r="BX98" s="138" t="n">
        <v>15</v>
      </c>
      <c r="BY98" s="138" t="n"/>
      <c r="BZ98" s="138" t="n"/>
      <c r="CA98" s="138" t="n"/>
      <c r="CB98" s="138" t="n"/>
      <c r="CC98" s="138" t="n">
        <v>20</v>
      </c>
      <c r="CD98" s="138" t="n"/>
      <c r="CE98" s="138" t="n">
        <v>6</v>
      </c>
      <c r="CF98" s="139" t="n">
        <v>152</v>
      </c>
    </row>
    <row r="99" ht="13.5" customHeight="1">
      <c r="A99" s="144" t="inlineStr">
        <is>
          <t>1561-54</t>
        </is>
      </c>
      <c r="B99" s="144" t="inlineStr">
        <is>
          <t>長ねぎ ムキ 300g (さんぶ)不不</t>
        </is>
      </c>
      <c r="C99" s="138" t="inlineStr">
        <is>
          <t>こもの</t>
        </is>
      </c>
      <c r="D99" s="138" t="n"/>
      <c r="E99" s="138" t="n">
        <v>4</v>
      </c>
      <c r="F99" s="138" t="n"/>
      <c r="G99" s="138" t="n"/>
      <c r="H99" s="138" t="n"/>
      <c r="I99" s="138" t="n"/>
      <c r="J99" s="138" t="n"/>
      <c r="K99" s="138" t="n"/>
      <c r="L99" s="138" t="n"/>
      <c r="M99" s="138" t="n"/>
      <c r="N99" s="138" t="n"/>
      <c r="O99" s="138" t="n"/>
      <c r="P99" s="138" t="n">
        <v>2</v>
      </c>
      <c r="Q99" s="138" t="n"/>
      <c r="R99" s="138" t="n"/>
      <c r="S99" s="138" t="n">
        <v>6</v>
      </c>
      <c r="T99" s="138" t="n">
        <v>2</v>
      </c>
      <c r="U99" s="138" t="n"/>
      <c r="V99" s="138" t="n"/>
      <c r="W99" s="138" t="n"/>
      <c r="X99" s="138" t="n">
        <v>4</v>
      </c>
      <c r="Y99" s="138" t="n"/>
      <c r="Z99" s="138" t="n"/>
      <c r="AA99" s="138" t="n"/>
      <c r="AB99" s="138" t="n">
        <v>4</v>
      </c>
      <c r="AC99" s="138" t="n"/>
      <c r="AD99" s="138" t="n">
        <v>4</v>
      </c>
      <c r="AE99" s="138" t="n"/>
      <c r="AF99" s="138" t="n"/>
      <c r="AG99" s="138" t="n"/>
      <c r="AH99" s="138" t="n">
        <v>10</v>
      </c>
      <c r="AI99" s="138" t="n"/>
      <c r="AJ99" s="138" t="n"/>
      <c r="AK99" s="138" t="n"/>
      <c r="AL99" s="138" t="n"/>
      <c r="AM99" s="138" t="n">
        <v>5</v>
      </c>
      <c r="AN99" s="138" t="n"/>
      <c r="AO99" s="138" t="n"/>
      <c r="AP99" s="138" t="n"/>
      <c r="AQ99" s="138" t="n"/>
      <c r="AR99" s="138" t="n"/>
      <c r="AS99" s="138" t="n"/>
      <c r="AT99" s="138" t="n"/>
      <c r="AU99" s="138" t="n">
        <v>6</v>
      </c>
      <c r="AV99" s="138" t="n"/>
      <c r="AW99" s="138" t="n"/>
      <c r="AX99" s="138" t="n"/>
      <c r="AY99" s="138" t="n"/>
      <c r="AZ99" s="138" t="n"/>
      <c r="BA99" s="138" t="n"/>
      <c r="BB99" s="138" t="n"/>
      <c r="BC99" s="138" t="n"/>
      <c r="BD99" s="138" t="n"/>
      <c r="BE99" s="138" t="n"/>
      <c r="BF99" s="138" t="n"/>
      <c r="BG99" s="138" t="n"/>
      <c r="BH99" s="138" t="n"/>
      <c r="BI99" s="138" t="n"/>
      <c r="BJ99" s="138" t="n"/>
      <c r="BK99" s="138" t="n"/>
      <c r="BL99" s="138" t="n"/>
      <c r="BM99" s="138" t="n"/>
      <c r="BN99" s="138" t="n"/>
      <c r="BO99" s="138" t="n"/>
      <c r="BP99" s="138" t="n"/>
      <c r="BQ99" s="138" t="n"/>
      <c r="BR99" s="138" t="n"/>
      <c r="BS99" s="138" t="n"/>
      <c r="BT99" s="138" t="n"/>
      <c r="BU99" s="138" t="n"/>
      <c r="BV99" s="138" t="n"/>
      <c r="BW99" s="138" t="n"/>
      <c r="BX99" s="138" t="n"/>
      <c r="BY99" s="138" t="n"/>
      <c r="BZ99" s="138" t="n"/>
      <c r="CA99" s="138" t="n"/>
      <c r="CB99" s="138" t="n"/>
      <c r="CC99" s="138" t="n"/>
      <c r="CD99" s="138" t="n"/>
      <c r="CE99" s="138" t="n"/>
      <c r="CF99" s="139" t="n">
        <v>47</v>
      </c>
    </row>
    <row r="100" ht="13.5" customHeight="1">
      <c r="A100" s="144" t="inlineStr">
        <is>
          <t>1564-100</t>
        </is>
      </c>
      <c r="B100" s="144" t="inlineStr">
        <is>
          <t>長ねぎ　ﾑｷ ２本袋(ﾊｲﾊｰﾊﾞｰ)◇</t>
        </is>
      </c>
      <c r="C100" s="138" t="inlineStr">
        <is>
          <t>こもの</t>
        </is>
      </c>
      <c r="D100" s="138" t="n">
        <v>3</v>
      </c>
      <c r="E100" s="138" t="n"/>
      <c r="F100" s="138" t="n"/>
      <c r="G100" s="138" t="n">
        <v>6</v>
      </c>
      <c r="H100" s="138" t="n">
        <v>2</v>
      </c>
      <c r="I100" s="138" t="n">
        <v>12</v>
      </c>
      <c r="J100" s="138" t="n">
        <v>15</v>
      </c>
      <c r="K100" s="138" t="n">
        <v>10</v>
      </c>
      <c r="L100" s="138" t="n">
        <v>5</v>
      </c>
      <c r="M100" s="138" t="n">
        <v>10</v>
      </c>
      <c r="N100" s="138" t="n">
        <v>3</v>
      </c>
      <c r="O100" s="138" t="n">
        <v>8</v>
      </c>
      <c r="P100" s="138" t="n"/>
      <c r="Q100" s="138" t="n"/>
      <c r="R100" s="138" t="n">
        <v>6</v>
      </c>
      <c r="S100" s="138" t="n"/>
      <c r="T100" s="138" t="n"/>
      <c r="U100" s="138" t="n">
        <v>4</v>
      </c>
      <c r="V100" s="138" t="n">
        <v>6</v>
      </c>
      <c r="W100" s="138" t="n">
        <v>4</v>
      </c>
      <c r="X100" s="138" t="n"/>
      <c r="Y100" s="138" t="n">
        <v>3</v>
      </c>
      <c r="Z100" s="138" t="n">
        <v>3</v>
      </c>
      <c r="AA100" s="138" t="n">
        <v>6</v>
      </c>
      <c r="AB100" s="138" t="n"/>
      <c r="AC100" s="138" t="n">
        <v>5</v>
      </c>
      <c r="AD100" s="138" t="n"/>
      <c r="AE100" s="138" t="n"/>
      <c r="AF100" s="138" t="n">
        <v>8</v>
      </c>
      <c r="AG100" s="138" t="n">
        <v>8</v>
      </c>
      <c r="AH100" s="138" t="n">
        <v>10</v>
      </c>
      <c r="AI100" s="138" t="n">
        <v>8</v>
      </c>
      <c r="AJ100" s="138" t="n"/>
      <c r="AK100" s="138" t="n">
        <v>15</v>
      </c>
      <c r="AL100" s="138" t="n">
        <v>4</v>
      </c>
      <c r="AM100" s="138" t="n"/>
      <c r="AN100" s="138" t="n">
        <v>6</v>
      </c>
      <c r="AO100" s="138" t="n">
        <v>2</v>
      </c>
      <c r="AP100" s="138" t="n">
        <v>10</v>
      </c>
      <c r="AQ100" s="138" t="n"/>
      <c r="AR100" s="138" t="n">
        <v>3</v>
      </c>
      <c r="AS100" s="138" t="n">
        <v>4</v>
      </c>
      <c r="AT100" s="138" t="n"/>
      <c r="AU100" s="138" t="n"/>
      <c r="AV100" s="138" t="n">
        <v>8</v>
      </c>
      <c r="AW100" s="138" t="n">
        <v>10</v>
      </c>
      <c r="AX100" s="138" t="n">
        <v>7</v>
      </c>
      <c r="AY100" s="138" t="n">
        <v>6</v>
      </c>
      <c r="AZ100" s="138" t="n">
        <v>2</v>
      </c>
      <c r="BA100" s="138" t="n"/>
      <c r="BB100" s="138" t="n">
        <v>4</v>
      </c>
      <c r="BC100" s="138" t="n"/>
      <c r="BD100" s="138" t="n">
        <v>4</v>
      </c>
      <c r="BE100" s="138" t="n">
        <v>2</v>
      </c>
      <c r="BF100" s="138" t="n">
        <v>10</v>
      </c>
      <c r="BG100" s="138" t="n">
        <v>2</v>
      </c>
      <c r="BH100" s="138" t="n">
        <v>30</v>
      </c>
      <c r="BI100" s="138" t="n"/>
      <c r="BJ100" s="138" t="n"/>
      <c r="BK100" s="138" t="n"/>
      <c r="BL100" s="138" t="n"/>
      <c r="BM100" s="138" t="n"/>
      <c r="BN100" s="138" t="n"/>
      <c r="BO100" s="138" t="n"/>
      <c r="BP100" s="138" t="n"/>
      <c r="BQ100" s="138" t="n"/>
      <c r="BR100" s="138" t="n"/>
      <c r="BS100" s="138" t="n"/>
      <c r="BT100" s="138" t="n"/>
      <c r="BU100" s="138" t="n"/>
      <c r="BV100" s="138" t="n">
        <v>6</v>
      </c>
      <c r="BW100" s="138" t="n">
        <v>4</v>
      </c>
      <c r="BX100" s="138" t="n">
        <v>10</v>
      </c>
      <c r="BY100" s="138" t="n">
        <v>3</v>
      </c>
      <c r="BZ100" s="138" t="n"/>
      <c r="CA100" s="138" t="n">
        <v>10</v>
      </c>
      <c r="CB100" s="138" t="n"/>
      <c r="CC100" s="138" t="n"/>
      <c r="CD100" s="138" t="n"/>
      <c r="CE100" s="138" t="n">
        <v>5</v>
      </c>
      <c r="CF100" s="139" t="n">
        <v>312</v>
      </c>
    </row>
    <row r="101" ht="13.5" customHeight="1">
      <c r="A101" s="144" t="inlineStr">
        <is>
          <t>1569-23</t>
        </is>
      </c>
      <c r="B101" s="144" t="inlineStr">
        <is>
          <t>有機長ねぎ　ムキ　300ｇ(よしだ農園)</t>
        </is>
      </c>
      <c r="C101" s="138" t="inlineStr">
        <is>
          <t>こもの</t>
        </is>
      </c>
      <c r="D101" s="138" t="n"/>
      <c r="E101" s="138" t="n"/>
      <c r="F101" s="138" t="n"/>
      <c r="G101" s="138" t="n"/>
      <c r="H101" s="138" t="n"/>
      <c r="I101" s="138" t="n"/>
      <c r="J101" s="138" t="n"/>
      <c r="K101" s="138" t="n"/>
      <c r="L101" s="138" t="n"/>
      <c r="M101" s="138" t="n"/>
      <c r="N101" s="138" t="n"/>
      <c r="O101" s="138" t="n"/>
      <c r="P101" s="138" t="n"/>
      <c r="Q101" s="138" t="n"/>
      <c r="R101" s="138" t="n"/>
      <c r="S101" s="138" t="n"/>
      <c r="T101" s="138" t="n"/>
      <c r="U101" s="138" t="n"/>
      <c r="V101" s="138" t="n"/>
      <c r="W101" s="138" t="n"/>
      <c r="X101" s="138" t="n"/>
      <c r="Y101" s="138" t="n"/>
      <c r="Z101" s="138" t="n"/>
      <c r="AA101" s="138" t="n"/>
      <c r="AB101" s="138" t="n"/>
      <c r="AC101" s="138" t="n"/>
      <c r="AD101" s="138" t="n"/>
      <c r="AE101" s="138" t="n"/>
      <c r="AF101" s="138" t="n"/>
      <c r="AG101" s="138" t="n"/>
      <c r="AH101" s="138" t="n"/>
      <c r="AI101" s="138" t="n"/>
      <c r="AJ101" s="138" t="n"/>
      <c r="AK101" s="138" t="n"/>
      <c r="AL101" s="138" t="n"/>
      <c r="AM101" s="138" t="n"/>
      <c r="AN101" s="138" t="n"/>
      <c r="AO101" s="138" t="n"/>
      <c r="AP101" s="138" t="n"/>
      <c r="AQ101" s="138" t="n"/>
      <c r="AR101" s="138" t="n"/>
      <c r="AS101" s="138" t="n"/>
      <c r="AT101" s="138" t="n"/>
      <c r="AU101" s="138" t="n"/>
      <c r="AV101" s="138" t="n"/>
      <c r="AW101" s="138" t="n"/>
      <c r="AX101" s="138" t="n"/>
      <c r="AY101" s="138" t="n"/>
      <c r="AZ101" s="138" t="n"/>
      <c r="BA101" s="138" t="n"/>
      <c r="BB101" s="138" t="n"/>
      <c r="BC101" s="138" t="n"/>
      <c r="BD101" s="138" t="n"/>
      <c r="BE101" s="138" t="n"/>
      <c r="BF101" s="138" t="n"/>
      <c r="BG101" s="138" t="n"/>
      <c r="BH101" s="138" t="n"/>
      <c r="BI101" s="138" t="n"/>
      <c r="BJ101" s="138" t="n"/>
      <c r="BK101" s="138" t="n"/>
      <c r="BL101" s="138" t="n"/>
      <c r="BM101" s="138" t="n"/>
      <c r="BN101" s="138" t="n"/>
      <c r="BO101" s="138" t="n"/>
      <c r="BP101" s="138" t="n"/>
      <c r="BQ101" s="138" t="n"/>
      <c r="BR101" s="138" t="n"/>
      <c r="BS101" s="138" t="n"/>
      <c r="BT101" s="138" t="n"/>
      <c r="BU101" s="138" t="n"/>
      <c r="BV101" s="138" t="n"/>
      <c r="BW101" s="138" t="n"/>
      <c r="BX101" s="138" t="n"/>
      <c r="BY101" s="138" t="n"/>
      <c r="BZ101" s="138" t="n"/>
      <c r="CA101" s="138" t="n"/>
      <c r="CB101" s="138" t="n"/>
      <c r="CC101" s="138" t="n">
        <v>30</v>
      </c>
      <c r="CD101" s="138" t="n"/>
      <c r="CE101" s="138" t="n"/>
      <c r="CF101" s="139" t="n">
        <v>30</v>
      </c>
    </row>
    <row r="102" ht="13.5" customHeight="1">
      <c r="A102" s="144" t="inlineStr">
        <is>
          <t>1584-39</t>
        </is>
      </c>
      <c r="B102" s="144" t="inlineStr">
        <is>
          <t>有機ロメインﾚﾀｽ ﾗｯﾌﾟ 1個(ﾌｧｰﾏｰｽﾞ)◇</t>
        </is>
      </c>
      <c r="C102" s="138" t="inlineStr">
        <is>
          <t>こもの</t>
        </is>
      </c>
      <c r="D102" s="138" t="n"/>
      <c r="E102" s="138" t="n"/>
      <c r="F102" s="138" t="n"/>
      <c r="G102" s="138" t="n">
        <v>2</v>
      </c>
      <c r="H102" s="138" t="n"/>
      <c r="I102" s="138" t="n"/>
      <c r="J102" s="138" t="n"/>
      <c r="K102" s="138" t="n"/>
      <c r="L102" s="138" t="n">
        <v>3</v>
      </c>
      <c r="M102" s="138" t="n"/>
      <c r="N102" s="138" t="n"/>
      <c r="O102" s="138" t="n"/>
      <c r="P102" s="138" t="n"/>
      <c r="Q102" s="138" t="n"/>
      <c r="R102" s="138" t="n"/>
      <c r="S102" s="138" t="n"/>
      <c r="T102" s="138" t="n"/>
      <c r="U102" s="138" t="n"/>
      <c r="V102" s="138" t="n"/>
      <c r="W102" s="138" t="n">
        <v>2</v>
      </c>
      <c r="X102" s="138" t="n"/>
      <c r="Y102" s="138" t="n"/>
      <c r="Z102" s="138" t="n"/>
      <c r="AA102" s="138" t="n">
        <v>3</v>
      </c>
      <c r="AB102" s="138" t="n"/>
      <c r="AC102" s="138" t="n"/>
      <c r="AD102" s="138" t="n"/>
      <c r="AE102" s="138" t="n">
        <v>2</v>
      </c>
      <c r="AF102" s="138" t="n">
        <v>2</v>
      </c>
      <c r="AG102" s="138" t="n"/>
      <c r="AH102" s="138" t="n"/>
      <c r="AI102" s="138" t="n"/>
      <c r="AJ102" s="138" t="n"/>
      <c r="AK102" s="138" t="n"/>
      <c r="AL102" s="138" t="n"/>
      <c r="AM102" s="138" t="n"/>
      <c r="AN102" s="138" t="n"/>
      <c r="AO102" s="138" t="n"/>
      <c r="AP102" s="138" t="n"/>
      <c r="AQ102" s="138" t="n"/>
      <c r="AR102" s="138" t="n"/>
      <c r="AS102" s="138" t="n"/>
      <c r="AT102" s="138" t="n"/>
      <c r="AU102" s="138" t="n"/>
      <c r="AV102" s="138" t="n"/>
      <c r="AW102" s="138" t="n"/>
      <c r="AX102" s="138" t="n"/>
      <c r="AY102" s="138" t="n"/>
      <c r="AZ102" s="138" t="n"/>
      <c r="BA102" s="138" t="n">
        <v>2</v>
      </c>
      <c r="BB102" s="138" t="n"/>
      <c r="BC102" s="138" t="n"/>
      <c r="BD102" s="138" t="n"/>
      <c r="BE102" s="138" t="n"/>
      <c r="BF102" s="138" t="n">
        <v>2</v>
      </c>
      <c r="BG102" s="138" t="n">
        <v>2</v>
      </c>
      <c r="BH102" s="138" t="n"/>
      <c r="BI102" s="138" t="n"/>
      <c r="BJ102" s="138" t="n"/>
      <c r="BK102" s="138" t="n"/>
      <c r="BL102" s="138" t="n"/>
      <c r="BM102" s="138" t="n"/>
      <c r="BN102" s="138" t="n"/>
      <c r="BO102" s="138" t="n"/>
      <c r="BP102" s="138" t="n"/>
      <c r="BQ102" s="138" t="n"/>
      <c r="BR102" s="138" t="n"/>
      <c r="BS102" s="138" t="n"/>
      <c r="BT102" s="138" t="n"/>
      <c r="BU102" s="138" t="n"/>
      <c r="BV102" s="138" t="n"/>
      <c r="BW102" s="138" t="n"/>
      <c r="BX102" s="138" t="n"/>
      <c r="BY102" s="138" t="n"/>
      <c r="BZ102" s="138" t="n"/>
      <c r="CA102" s="138" t="n">
        <v>7</v>
      </c>
      <c r="CB102" s="138" t="n"/>
      <c r="CC102" s="138" t="n"/>
      <c r="CD102" s="138" t="n"/>
      <c r="CE102" s="138" t="n">
        <v>3</v>
      </c>
      <c r="CF102" s="139" t="n">
        <v>30</v>
      </c>
    </row>
    <row r="103" ht="13.5" customHeight="1">
      <c r="A103" s="144" t="inlineStr">
        <is>
          <t>1588-15</t>
        </is>
      </c>
      <c r="B103" s="144" t="inlineStr">
        <is>
          <t>有機フリルレタス ﾗｯﾌﾟ １個(ﾌｧｰﾏｰｽﾞ)◇</t>
        </is>
      </c>
      <c r="C103" s="138" t="inlineStr">
        <is>
          <t>こもの</t>
        </is>
      </c>
      <c r="D103" s="138" t="n"/>
      <c r="E103" s="138" t="n">
        <v>3</v>
      </c>
      <c r="F103" s="138" t="n"/>
      <c r="G103" s="138" t="n"/>
      <c r="H103" s="138" t="n"/>
      <c r="I103" s="138" t="n">
        <v>4</v>
      </c>
      <c r="J103" s="138" t="n"/>
      <c r="K103" s="138" t="n"/>
      <c r="L103" s="138" t="n"/>
      <c r="M103" s="138" t="n"/>
      <c r="N103" s="138" t="n"/>
      <c r="O103" s="138" t="n"/>
      <c r="P103" s="138" t="n"/>
      <c r="Q103" s="138" t="n"/>
      <c r="R103" s="138" t="n"/>
      <c r="S103" s="138" t="n"/>
      <c r="T103" s="138" t="n"/>
      <c r="U103" s="138" t="n"/>
      <c r="V103" s="138" t="n"/>
      <c r="W103" s="138" t="n"/>
      <c r="X103" s="138" t="n"/>
      <c r="Y103" s="138" t="n"/>
      <c r="Z103" s="138" t="n"/>
      <c r="AA103" s="138" t="n"/>
      <c r="AB103" s="138" t="n"/>
      <c r="AC103" s="138" t="n"/>
      <c r="AD103" s="138" t="n"/>
      <c r="AE103" s="138" t="n"/>
      <c r="AF103" s="138" t="n"/>
      <c r="AG103" s="138" t="n"/>
      <c r="AH103" s="138" t="n"/>
      <c r="AI103" s="138" t="n"/>
      <c r="AJ103" s="138" t="n"/>
      <c r="AK103" s="138" t="n"/>
      <c r="AL103" s="138" t="n"/>
      <c r="AM103" s="138" t="n"/>
      <c r="AN103" s="138" t="n"/>
      <c r="AO103" s="138" t="n"/>
      <c r="AP103" s="138" t="n"/>
      <c r="AQ103" s="138" t="n"/>
      <c r="AR103" s="138" t="n"/>
      <c r="AS103" s="138" t="n"/>
      <c r="AT103" s="138" t="n">
        <v>1</v>
      </c>
      <c r="AU103" s="138" t="n"/>
      <c r="AV103" s="138" t="n"/>
      <c r="AW103" s="138" t="n"/>
      <c r="AX103" s="138" t="n"/>
      <c r="AY103" s="138" t="n"/>
      <c r="AZ103" s="138" t="n"/>
      <c r="BA103" s="138" t="n"/>
      <c r="BB103" s="138" t="n">
        <v>2</v>
      </c>
      <c r="BC103" s="138" t="n"/>
      <c r="BD103" s="138" t="n"/>
      <c r="BE103" s="138" t="n"/>
      <c r="BF103" s="138" t="n">
        <v>3</v>
      </c>
      <c r="BG103" s="138" t="n"/>
      <c r="BH103" s="138" t="n"/>
      <c r="BI103" s="138" t="n"/>
      <c r="BJ103" s="138" t="n"/>
      <c r="BK103" s="138" t="n"/>
      <c r="BL103" s="138" t="n"/>
      <c r="BM103" s="138" t="n"/>
      <c r="BN103" s="138" t="n"/>
      <c r="BO103" s="138" t="n"/>
      <c r="BP103" s="138" t="n"/>
      <c r="BQ103" s="138" t="n"/>
      <c r="BR103" s="138" t="n">
        <v>3</v>
      </c>
      <c r="BS103" s="138" t="n"/>
      <c r="BT103" s="138" t="n"/>
      <c r="BU103" s="138" t="n"/>
      <c r="BV103" s="138" t="n"/>
      <c r="BW103" s="138" t="n"/>
      <c r="BX103" s="138" t="n"/>
      <c r="BY103" s="138" t="n"/>
      <c r="BZ103" s="138" t="n"/>
      <c r="CA103" s="138" t="n"/>
      <c r="CB103" s="138" t="n"/>
      <c r="CC103" s="138" t="n"/>
      <c r="CD103" s="138" t="n"/>
      <c r="CE103" s="138" t="n"/>
      <c r="CF103" s="139" t="n">
        <v>16</v>
      </c>
    </row>
    <row r="104" ht="13.5" customHeight="1">
      <c r="A104" s="144" t="inlineStr">
        <is>
          <t>1588-25</t>
        </is>
      </c>
      <c r="B104" s="144" t="inlineStr">
        <is>
          <t>有機レッドフリルﾚﾀｽ ﾗｯﾌﾟ １個(ﾌｧｰﾏｰｽﾞ)◇</t>
        </is>
      </c>
      <c r="C104" s="138" t="inlineStr">
        <is>
          <t>こもの</t>
        </is>
      </c>
      <c r="D104" s="138" t="n"/>
      <c r="E104" s="138" t="n"/>
      <c r="F104" s="138" t="n"/>
      <c r="G104" s="138" t="n"/>
      <c r="H104" s="138" t="n"/>
      <c r="I104" s="138" t="n"/>
      <c r="J104" s="138" t="n"/>
      <c r="K104" s="138" t="n"/>
      <c r="L104" s="138" t="n"/>
      <c r="M104" s="138" t="n"/>
      <c r="N104" s="138" t="n"/>
      <c r="O104" s="138" t="n"/>
      <c r="P104" s="138" t="n"/>
      <c r="Q104" s="138" t="n"/>
      <c r="R104" s="138" t="n"/>
      <c r="S104" s="138" t="n"/>
      <c r="T104" s="138" t="n"/>
      <c r="U104" s="138" t="n"/>
      <c r="V104" s="138" t="n"/>
      <c r="W104" s="138" t="n"/>
      <c r="X104" s="138" t="n"/>
      <c r="Y104" s="138" t="n"/>
      <c r="Z104" s="138" t="n"/>
      <c r="AA104" s="138" t="n"/>
      <c r="AB104" s="138" t="n"/>
      <c r="AC104" s="138" t="n"/>
      <c r="AD104" s="138" t="n"/>
      <c r="AE104" s="138" t="n"/>
      <c r="AF104" s="138" t="n"/>
      <c r="AG104" s="138" t="n"/>
      <c r="AH104" s="138" t="n"/>
      <c r="AI104" s="138" t="n"/>
      <c r="AJ104" s="138" t="n"/>
      <c r="AK104" s="138" t="n"/>
      <c r="AL104" s="138" t="n"/>
      <c r="AM104" s="138" t="n"/>
      <c r="AN104" s="138" t="n"/>
      <c r="AO104" s="138" t="n"/>
      <c r="AP104" s="138" t="n"/>
      <c r="AQ104" s="138" t="n"/>
      <c r="AR104" s="138" t="n"/>
      <c r="AS104" s="138" t="n"/>
      <c r="AT104" s="138" t="n">
        <v>1</v>
      </c>
      <c r="AU104" s="138" t="n"/>
      <c r="AV104" s="138" t="n"/>
      <c r="AW104" s="138" t="n"/>
      <c r="AX104" s="138" t="n"/>
      <c r="AY104" s="138" t="n"/>
      <c r="AZ104" s="138" t="n"/>
      <c r="BA104" s="138" t="n"/>
      <c r="BB104" s="138" t="n"/>
      <c r="BC104" s="138" t="n"/>
      <c r="BD104" s="138" t="n"/>
      <c r="BE104" s="138" t="n"/>
      <c r="BF104" s="138" t="n">
        <v>3</v>
      </c>
      <c r="BG104" s="138" t="n"/>
      <c r="BH104" s="138" t="n"/>
      <c r="BI104" s="138" t="n"/>
      <c r="BJ104" s="138" t="n"/>
      <c r="BK104" s="138" t="n"/>
      <c r="BL104" s="138" t="n"/>
      <c r="BM104" s="138" t="n"/>
      <c r="BN104" s="138" t="n"/>
      <c r="BO104" s="138" t="n"/>
      <c r="BP104" s="138" t="n"/>
      <c r="BQ104" s="138" t="n"/>
      <c r="BR104" s="138" t="n">
        <v>3</v>
      </c>
      <c r="BS104" s="138" t="n"/>
      <c r="BT104" s="138" t="n"/>
      <c r="BU104" s="138" t="n"/>
      <c r="BV104" s="138" t="n"/>
      <c r="BW104" s="138" t="n"/>
      <c r="BX104" s="138" t="n"/>
      <c r="BY104" s="138" t="n"/>
      <c r="BZ104" s="138" t="n"/>
      <c r="CA104" s="138" t="n"/>
      <c r="CB104" s="138" t="n"/>
      <c r="CC104" s="138" t="n"/>
      <c r="CD104" s="138" t="n">
        <v>4</v>
      </c>
      <c r="CE104" s="138" t="n"/>
      <c r="CF104" s="139" t="n">
        <v>11</v>
      </c>
    </row>
    <row r="105" ht="13.5" customHeight="1">
      <c r="A105" s="144" t="inlineStr">
        <is>
          <t>1589-138</t>
        </is>
      </c>
      <c r="B105" s="144" t="inlineStr">
        <is>
          <t>有機リーフﾚﾀｽ ﾗｯﾌﾟ1個(やさと・産ﾊﾟ)</t>
        </is>
      </c>
      <c r="C105" s="138" t="inlineStr">
        <is>
          <t>こもの</t>
        </is>
      </c>
      <c r="D105" s="138" t="n"/>
      <c r="E105" s="138" t="n"/>
      <c r="F105" s="138" t="n"/>
      <c r="G105" s="138" t="n"/>
      <c r="H105" s="138" t="n"/>
      <c r="I105" s="138" t="n"/>
      <c r="J105" s="138" t="n"/>
      <c r="K105" s="138" t="n">
        <v>5</v>
      </c>
      <c r="L105" s="138" t="n"/>
      <c r="M105" s="138" t="n"/>
      <c r="N105" s="138" t="n"/>
      <c r="O105" s="138" t="n">
        <v>3</v>
      </c>
      <c r="P105" s="138" t="n"/>
      <c r="Q105" s="138" t="n"/>
      <c r="R105" s="138" t="n"/>
      <c r="S105" s="138" t="n">
        <v>3</v>
      </c>
      <c r="T105" s="138" t="n"/>
      <c r="U105" s="138" t="n">
        <v>2</v>
      </c>
      <c r="V105" s="138" t="n"/>
      <c r="W105" s="138" t="n"/>
      <c r="X105" s="138" t="n"/>
      <c r="Y105" s="138" t="n"/>
      <c r="Z105" s="138" t="n"/>
      <c r="AA105" s="138" t="n"/>
      <c r="AB105" s="138" t="n"/>
      <c r="AC105" s="138" t="n"/>
      <c r="AD105" s="138" t="n"/>
      <c r="AE105" s="138" t="n"/>
      <c r="AF105" s="138" t="n">
        <v>3</v>
      </c>
      <c r="AG105" s="138" t="n"/>
      <c r="AH105" s="138" t="n"/>
      <c r="AI105" s="138" t="n"/>
      <c r="AJ105" s="138" t="n"/>
      <c r="AK105" s="138" t="n">
        <v>5</v>
      </c>
      <c r="AL105" s="138" t="n"/>
      <c r="AM105" s="138" t="n"/>
      <c r="AN105" s="138" t="n"/>
      <c r="AO105" s="138" t="n"/>
      <c r="AP105" s="138" t="n">
        <v>5</v>
      </c>
      <c r="AQ105" s="138" t="n"/>
      <c r="AR105" s="138" t="n"/>
      <c r="AS105" s="138" t="n"/>
      <c r="AT105" s="138" t="n"/>
      <c r="AU105" s="138" t="n"/>
      <c r="AV105" s="138" t="n"/>
      <c r="AW105" s="138" t="n"/>
      <c r="AX105" s="138" t="n"/>
      <c r="AY105" s="138" t="n"/>
      <c r="AZ105" s="138" t="n"/>
      <c r="BA105" s="138" t="n">
        <v>2</v>
      </c>
      <c r="BB105" s="138" t="n"/>
      <c r="BC105" s="138" t="n"/>
      <c r="BD105" s="138" t="n"/>
      <c r="BE105" s="138" t="n"/>
      <c r="BF105" s="138" t="n"/>
      <c r="BG105" s="138" t="n"/>
      <c r="BH105" s="138" t="n">
        <v>10</v>
      </c>
      <c r="BI105" s="138" t="n">
        <v>12</v>
      </c>
      <c r="BJ105" s="138" t="n"/>
      <c r="BK105" s="138" t="n"/>
      <c r="BL105" s="138" t="n"/>
      <c r="BM105" s="138" t="n"/>
      <c r="BN105" s="138" t="n"/>
      <c r="BO105" s="138" t="n"/>
      <c r="BP105" s="138" t="n">
        <v>3</v>
      </c>
      <c r="BQ105" s="138" t="n"/>
      <c r="BR105" s="138" t="n"/>
      <c r="BS105" s="138" t="n"/>
      <c r="BT105" s="138" t="n"/>
      <c r="BU105" s="138" t="n"/>
      <c r="BV105" s="138" t="n"/>
      <c r="BW105" s="138" t="n"/>
      <c r="BX105" s="138" t="n">
        <v>6</v>
      </c>
      <c r="BY105" s="138" t="n"/>
      <c r="BZ105" s="138" t="n"/>
      <c r="CA105" s="138" t="n"/>
      <c r="CB105" s="138" t="n">
        <v>20</v>
      </c>
      <c r="CC105" s="138" t="n"/>
      <c r="CD105" s="138" t="n"/>
      <c r="CE105" s="138" t="n"/>
      <c r="CF105" s="139" t="n">
        <v>79</v>
      </c>
    </row>
    <row r="106" ht="13.5" customHeight="1">
      <c r="A106" s="144" t="inlineStr">
        <is>
          <t>1589-57</t>
        </is>
      </c>
      <c r="B106" s="144" t="inlineStr">
        <is>
          <t>有機リーフレタス　ﾗｯﾌﾟ 1個(ﾌｧｰﾏｰｽﾞ)◇</t>
        </is>
      </c>
      <c r="C106" s="138" t="inlineStr">
        <is>
          <t>こもの</t>
        </is>
      </c>
      <c r="D106" s="138" t="n"/>
      <c r="E106" s="138" t="n"/>
      <c r="F106" s="138" t="n"/>
      <c r="G106" s="138" t="n"/>
      <c r="H106" s="138" t="n"/>
      <c r="I106" s="138" t="n"/>
      <c r="J106" s="138" t="n"/>
      <c r="K106" s="138" t="n"/>
      <c r="L106" s="138" t="n"/>
      <c r="M106" s="138" t="n"/>
      <c r="N106" s="138" t="n"/>
      <c r="O106" s="138" t="n"/>
      <c r="P106" s="138" t="n"/>
      <c r="Q106" s="138" t="n"/>
      <c r="R106" s="138" t="n"/>
      <c r="S106" s="138" t="n"/>
      <c r="T106" s="138" t="n"/>
      <c r="U106" s="138" t="n"/>
      <c r="V106" s="138" t="n"/>
      <c r="W106" s="138" t="n"/>
      <c r="X106" s="138" t="n"/>
      <c r="Y106" s="138" t="n"/>
      <c r="Z106" s="138" t="n"/>
      <c r="AA106" s="138" t="n"/>
      <c r="AB106" s="138" t="n"/>
      <c r="AC106" s="138" t="n"/>
      <c r="AD106" s="138" t="n"/>
      <c r="AE106" s="138" t="n"/>
      <c r="AF106" s="138" t="n"/>
      <c r="AG106" s="138" t="n"/>
      <c r="AH106" s="138" t="n"/>
      <c r="AI106" s="138" t="n"/>
      <c r="AJ106" s="138" t="n"/>
      <c r="AK106" s="138" t="n"/>
      <c r="AL106" s="138" t="n"/>
      <c r="AM106" s="138" t="n"/>
      <c r="AN106" s="138" t="n"/>
      <c r="AO106" s="138" t="n"/>
      <c r="AP106" s="138" t="n"/>
      <c r="AQ106" s="138" t="n"/>
      <c r="AR106" s="138" t="n"/>
      <c r="AS106" s="138" t="n"/>
      <c r="AT106" s="138" t="n"/>
      <c r="AU106" s="138" t="n"/>
      <c r="AV106" s="138" t="n"/>
      <c r="AW106" s="138" t="n"/>
      <c r="AX106" s="138" t="n"/>
      <c r="AY106" s="138" t="n"/>
      <c r="AZ106" s="138" t="n"/>
      <c r="BA106" s="138" t="n"/>
      <c r="BB106" s="138" t="n"/>
      <c r="BC106" s="138" t="n"/>
      <c r="BD106" s="138" t="n"/>
      <c r="BE106" s="138" t="n"/>
      <c r="BF106" s="138" t="n"/>
      <c r="BG106" s="138" t="n"/>
      <c r="BH106" s="138" t="n"/>
      <c r="BI106" s="138" t="n"/>
      <c r="BJ106" s="138" t="n"/>
      <c r="BK106" s="138" t="n"/>
      <c r="BL106" s="138" t="n"/>
      <c r="BM106" s="138" t="n"/>
      <c r="BN106" s="138" t="n"/>
      <c r="BO106" s="138" t="n"/>
      <c r="BP106" s="138" t="n"/>
      <c r="BQ106" s="138" t="n"/>
      <c r="BR106" s="138" t="n"/>
      <c r="BS106" s="138" t="n"/>
      <c r="BT106" s="138" t="n"/>
      <c r="BU106" s="138" t="n"/>
      <c r="BV106" s="138" t="n"/>
      <c r="BW106" s="138" t="n"/>
      <c r="BX106" s="138" t="n"/>
      <c r="BY106" s="138" t="n"/>
      <c r="BZ106" s="138" t="n"/>
      <c r="CA106" s="138" t="n"/>
      <c r="CB106" s="138" t="n"/>
      <c r="CC106" s="138" t="n">
        <v>3</v>
      </c>
      <c r="CD106" s="138" t="n"/>
      <c r="CE106" s="138" t="n"/>
      <c r="CF106" s="139" t="n">
        <v>3</v>
      </c>
    </row>
    <row r="107" ht="13.5" customHeight="1">
      <c r="A107" s="144" t="inlineStr">
        <is>
          <t>1593-113</t>
        </is>
      </c>
      <c r="B107" s="144" t="inlineStr">
        <is>
          <t>ミニ白菜　1個袋(せっせと畑)◇不不</t>
        </is>
      </c>
      <c r="C107" s="138" t="inlineStr">
        <is>
          <t>こもの</t>
        </is>
      </c>
      <c r="D107" s="138" t="n">
        <v>2</v>
      </c>
      <c r="E107" s="138" t="n"/>
      <c r="F107" s="138" t="n"/>
      <c r="G107" s="138" t="n">
        <v>2</v>
      </c>
      <c r="H107" s="138" t="n"/>
      <c r="I107" s="138" t="n">
        <v>6</v>
      </c>
      <c r="J107" s="138" t="n">
        <v>4</v>
      </c>
      <c r="K107" s="138" t="n"/>
      <c r="L107" s="138" t="n"/>
      <c r="M107" s="138" t="n"/>
      <c r="N107" s="138" t="n">
        <v>3</v>
      </c>
      <c r="O107" s="138" t="n"/>
      <c r="P107" s="138" t="n"/>
      <c r="Q107" s="138" t="n"/>
      <c r="R107" s="138" t="n"/>
      <c r="S107" s="138" t="n"/>
      <c r="T107" s="138" t="n"/>
      <c r="U107" s="138" t="n"/>
      <c r="V107" s="138" t="n"/>
      <c r="W107" s="138" t="n">
        <v>4</v>
      </c>
      <c r="X107" s="138" t="n"/>
      <c r="Y107" s="138" t="n"/>
      <c r="Z107" s="138" t="n"/>
      <c r="AA107" s="138" t="n"/>
      <c r="AB107" s="138" t="n">
        <v>4</v>
      </c>
      <c r="AC107" s="138" t="n"/>
      <c r="AD107" s="138" t="n"/>
      <c r="AE107" s="138" t="n"/>
      <c r="AF107" s="138" t="n">
        <v>3</v>
      </c>
      <c r="AG107" s="138" t="n"/>
      <c r="AH107" s="138" t="n"/>
      <c r="AI107" s="138" t="n"/>
      <c r="AJ107" s="138" t="n"/>
      <c r="AK107" s="138" t="n"/>
      <c r="AL107" s="138" t="n"/>
      <c r="AM107" s="138" t="n"/>
      <c r="AN107" s="138" t="n"/>
      <c r="AO107" s="138" t="n">
        <v>2</v>
      </c>
      <c r="AP107" s="138" t="n"/>
      <c r="AQ107" s="138" t="n"/>
      <c r="AR107" s="138" t="n"/>
      <c r="AS107" s="138" t="n"/>
      <c r="AT107" s="138" t="n"/>
      <c r="AU107" s="138" t="n"/>
      <c r="AV107" s="138" t="n"/>
      <c r="AW107" s="138" t="n"/>
      <c r="AX107" s="138" t="n"/>
      <c r="AY107" s="138" t="n">
        <v>4</v>
      </c>
      <c r="AZ107" s="138" t="n">
        <v>2</v>
      </c>
      <c r="BA107" s="138" t="n"/>
      <c r="BB107" s="138" t="n"/>
      <c r="BC107" s="138" t="n"/>
      <c r="BD107" s="138" t="n"/>
      <c r="BE107" s="138" t="n"/>
      <c r="BF107" s="138" t="n">
        <v>3</v>
      </c>
      <c r="BG107" s="138" t="n"/>
      <c r="BH107" s="138" t="n"/>
      <c r="BI107" s="138" t="n"/>
      <c r="BJ107" s="138" t="n">
        <v>4</v>
      </c>
      <c r="BK107" s="138" t="n"/>
      <c r="BL107" s="138" t="n"/>
      <c r="BM107" s="138" t="n"/>
      <c r="BN107" s="138" t="n"/>
      <c r="BO107" s="138" t="n"/>
      <c r="BP107" s="138" t="n"/>
      <c r="BQ107" s="138" t="n"/>
      <c r="BR107" s="138" t="n"/>
      <c r="BS107" s="138" t="n"/>
      <c r="BT107" s="138" t="n"/>
      <c r="BU107" s="138" t="n"/>
      <c r="BV107" s="138" t="n">
        <v>8</v>
      </c>
      <c r="BW107" s="138" t="n">
        <v>4</v>
      </c>
      <c r="BX107" s="138" t="n"/>
      <c r="BY107" s="138" t="n"/>
      <c r="BZ107" s="138" t="n"/>
      <c r="CA107" s="138" t="n"/>
      <c r="CB107" s="138" t="n"/>
      <c r="CC107" s="138" t="n">
        <v>10</v>
      </c>
      <c r="CD107" s="138" t="n"/>
      <c r="CE107" s="138" t="n">
        <v>3</v>
      </c>
      <c r="CF107" s="139" t="n">
        <v>68</v>
      </c>
    </row>
    <row r="108" ht="13.5" customHeight="1">
      <c r="A108" s="144" t="inlineStr">
        <is>
          <t>1593-22</t>
        </is>
      </c>
      <c r="B108" s="144" t="inlineStr">
        <is>
          <t>有機ベビー白菜 １個袋 (さんぶ)</t>
        </is>
      </c>
      <c r="C108" s="138" t="inlineStr">
        <is>
          <t>こもの</t>
        </is>
      </c>
      <c r="D108" s="138" t="n"/>
      <c r="E108" s="138" t="n"/>
      <c r="F108" s="138" t="n"/>
      <c r="G108" s="138" t="n"/>
      <c r="H108" s="138" t="n">
        <v>2</v>
      </c>
      <c r="I108" s="138" t="n"/>
      <c r="J108" s="138" t="n"/>
      <c r="K108" s="138" t="n">
        <v>10</v>
      </c>
      <c r="L108" s="138" t="n"/>
      <c r="M108" s="138" t="n"/>
      <c r="N108" s="138" t="n"/>
      <c r="O108" s="138" t="n"/>
      <c r="P108" s="138" t="n"/>
      <c r="Q108" s="138" t="n"/>
      <c r="R108" s="138" t="n">
        <v>3</v>
      </c>
      <c r="S108" s="138" t="n"/>
      <c r="T108" s="138" t="n"/>
      <c r="U108" s="138" t="n"/>
      <c r="V108" s="138" t="n"/>
      <c r="W108" s="138" t="n"/>
      <c r="X108" s="138" t="n"/>
      <c r="Y108" s="138" t="n">
        <v>3</v>
      </c>
      <c r="Z108" s="138" t="n">
        <v>3</v>
      </c>
      <c r="AA108" s="138" t="n"/>
      <c r="AB108" s="138" t="n"/>
      <c r="AC108" s="138" t="n"/>
      <c r="AD108" s="138" t="n">
        <v>4</v>
      </c>
      <c r="AE108" s="138" t="n"/>
      <c r="AF108" s="138" t="n"/>
      <c r="AG108" s="138" t="n">
        <v>3</v>
      </c>
      <c r="AH108" s="138" t="n"/>
      <c r="AI108" s="138" t="n"/>
      <c r="AJ108" s="138" t="n">
        <v>3</v>
      </c>
      <c r="AK108" s="138" t="n">
        <v>8</v>
      </c>
      <c r="AL108" s="138" t="n">
        <v>4</v>
      </c>
      <c r="AM108" s="138" t="n">
        <v>2</v>
      </c>
      <c r="AN108" s="138" t="n"/>
      <c r="AO108" s="138" t="n"/>
      <c r="AP108" s="138" t="n">
        <v>5</v>
      </c>
      <c r="AQ108" s="138" t="n"/>
      <c r="AR108" s="138" t="n">
        <v>2</v>
      </c>
      <c r="AS108" s="138" t="n"/>
      <c r="AT108" s="138" t="n"/>
      <c r="AU108" s="138" t="n">
        <v>4</v>
      </c>
      <c r="AV108" s="138" t="n"/>
      <c r="AW108" s="138" t="n"/>
      <c r="AX108" s="138" t="n"/>
      <c r="AY108" s="138" t="n"/>
      <c r="AZ108" s="138" t="n"/>
      <c r="BA108" s="138" t="n">
        <v>3</v>
      </c>
      <c r="BB108" s="138" t="n">
        <v>3</v>
      </c>
      <c r="BC108" s="138" t="n"/>
      <c r="BD108" s="138" t="n"/>
      <c r="BE108" s="138" t="n">
        <v>1</v>
      </c>
      <c r="BF108" s="138" t="n"/>
      <c r="BG108" s="138" t="n"/>
      <c r="BH108" s="138" t="n"/>
      <c r="BI108" s="138" t="n"/>
      <c r="BJ108" s="138" t="n"/>
      <c r="BK108" s="138" t="n"/>
      <c r="BL108" s="138" t="n"/>
      <c r="BM108" s="138" t="n"/>
      <c r="BN108" s="138" t="n"/>
      <c r="BO108" s="138" t="n"/>
      <c r="BP108" s="138" t="n"/>
      <c r="BQ108" s="138" t="n"/>
      <c r="BR108" s="138" t="n"/>
      <c r="BS108" s="138" t="n"/>
      <c r="BT108" s="138" t="n"/>
      <c r="BU108" s="138" t="n"/>
      <c r="BV108" s="138" t="n"/>
      <c r="BW108" s="138" t="n"/>
      <c r="BX108" s="138" t="n">
        <v>6</v>
      </c>
      <c r="BY108" s="138" t="n"/>
      <c r="BZ108" s="138" t="n"/>
      <c r="CA108" s="138" t="n"/>
      <c r="CB108" s="138" t="n"/>
      <c r="CC108" s="138" t="n"/>
      <c r="CD108" s="138" t="n"/>
      <c r="CE108" s="138" t="n"/>
      <c r="CF108" s="139" t="n">
        <v>69</v>
      </c>
    </row>
    <row r="109" ht="13.5" customHeight="1">
      <c r="A109" s="144" t="inlineStr">
        <is>
          <t>1601-46</t>
        </is>
      </c>
      <c r="B109" s="144" t="inlineStr">
        <is>
          <t>トマト 約350g～(沃土会)◇</t>
        </is>
      </c>
      <c r="C109" s="138" t="inlineStr">
        <is>
          <t>こもの</t>
        </is>
      </c>
      <c r="D109" s="138" t="n"/>
      <c r="E109" s="138" t="n"/>
      <c r="F109" s="138" t="n"/>
      <c r="G109" s="138" t="n"/>
      <c r="H109" s="138" t="n"/>
      <c r="I109" s="138" t="n"/>
      <c r="J109" s="138" t="n"/>
      <c r="K109" s="138" t="n"/>
      <c r="L109" s="138" t="n"/>
      <c r="M109" s="138" t="n"/>
      <c r="N109" s="138" t="n"/>
      <c r="O109" s="138" t="n"/>
      <c r="P109" s="138" t="n"/>
      <c r="Q109" s="138" t="n"/>
      <c r="R109" s="138" t="n"/>
      <c r="S109" s="138" t="n"/>
      <c r="T109" s="138" t="n"/>
      <c r="U109" s="138" t="n"/>
      <c r="V109" s="138" t="n"/>
      <c r="W109" s="138" t="n"/>
      <c r="X109" s="138" t="n"/>
      <c r="Y109" s="138" t="n"/>
      <c r="Z109" s="138" t="n"/>
      <c r="AA109" s="138" t="n"/>
      <c r="AB109" s="138" t="n"/>
      <c r="AC109" s="138" t="n"/>
      <c r="AD109" s="138" t="n"/>
      <c r="AE109" s="138" t="n"/>
      <c r="AF109" s="138" t="n"/>
      <c r="AG109" s="138" t="n"/>
      <c r="AH109" s="138" t="n"/>
      <c r="AI109" s="138" t="n"/>
      <c r="AJ109" s="138" t="n"/>
      <c r="AK109" s="138" t="n"/>
      <c r="AL109" s="138" t="n"/>
      <c r="AM109" s="138" t="n"/>
      <c r="AN109" s="138" t="n"/>
      <c r="AO109" s="138" t="n"/>
      <c r="AP109" s="138" t="n"/>
      <c r="AQ109" s="138" t="n"/>
      <c r="AR109" s="138" t="n"/>
      <c r="AS109" s="138" t="n"/>
      <c r="AT109" s="138" t="n"/>
      <c r="AU109" s="138" t="n"/>
      <c r="AV109" s="138" t="n"/>
      <c r="AW109" s="138" t="n"/>
      <c r="AX109" s="138" t="n"/>
      <c r="AY109" s="138" t="n"/>
      <c r="AZ109" s="138" t="n"/>
      <c r="BA109" s="138" t="n"/>
      <c r="BB109" s="138" t="n"/>
      <c r="BC109" s="138" t="n"/>
      <c r="BD109" s="138" t="n"/>
      <c r="BE109" s="138" t="n"/>
      <c r="BF109" s="138" t="n"/>
      <c r="BG109" s="138" t="n"/>
      <c r="BH109" s="138" t="n"/>
      <c r="BI109" s="138" t="n"/>
      <c r="BJ109" s="138" t="n"/>
      <c r="BK109" s="138" t="n"/>
      <c r="BL109" s="138" t="n"/>
      <c r="BM109" s="138" t="n"/>
      <c r="BN109" s="138" t="n"/>
      <c r="BO109" s="138" t="n"/>
      <c r="BP109" s="138" t="n"/>
      <c r="BQ109" s="138" t="n"/>
      <c r="BR109" s="138" t="n"/>
      <c r="BS109" s="138" t="n"/>
      <c r="BT109" s="138" t="n"/>
      <c r="BU109" s="138" t="n"/>
      <c r="BV109" s="138" t="n"/>
      <c r="BW109" s="138" t="n"/>
      <c r="BX109" s="138" t="n"/>
      <c r="BY109" s="138" t="n"/>
      <c r="BZ109" s="138" t="n"/>
      <c r="CA109" s="138" t="n"/>
      <c r="CB109" s="138" t="n"/>
      <c r="CC109" s="138" t="n">
        <v>10</v>
      </c>
      <c r="CD109" s="138" t="n"/>
      <c r="CE109" s="138" t="n"/>
      <c r="CF109" s="139" t="n">
        <v>10</v>
      </c>
    </row>
    <row r="110" ht="13.5" customHeight="1">
      <c r="A110" s="144" t="inlineStr">
        <is>
          <t>1601-82</t>
        </is>
      </c>
      <c r="B110" s="144" t="inlineStr">
        <is>
          <t>トマト ｽﾀﾝﾄﾞﾊﾞｯｸﾞ約500g(沃土会)◇</t>
        </is>
      </c>
      <c r="C110" s="138" t="inlineStr">
        <is>
          <t>こもの</t>
        </is>
      </c>
      <c r="D110" s="138" t="n"/>
      <c r="E110" s="138" t="n"/>
      <c r="F110" s="138" t="n"/>
      <c r="G110" s="138" t="n"/>
      <c r="H110" s="138" t="n"/>
      <c r="I110" s="138" t="n"/>
      <c r="J110" s="138" t="n"/>
      <c r="K110" s="138" t="n"/>
      <c r="L110" s="138" t="n"/>
      <c r="M110" s="138" t="n"/>
      <c r="N110" s="138" t="n"/>
      <c r="O110" s="138" t="n"/>
      <c r="P110" s="138" t="n"/>
      <c r="Q110" s="138" t="n"/>
      <c r="R110" s="138" t="n"/>
      <c r="S110" s="138" t="n"/>
      <c r="T110" s="138" t="n"/>
      <c r="U110" s="138" t="n"/>
      <c r="V110" s="138" t="n"/>
      <c r="W110" s="138" t="n"/>
      <c r="X110" s="138" t="n"/>
      <c r="Y110" s="138" t="n"/>
      <c r="Z110" s="138" t="n"/>
      <c r="AA110" s="138" t="n"/>
      <c r="AB110" s="138" t="n"/>
      <c r="AC110" s="138" t="n"/>
      <c r="AD110" s="138" t="n"/>
      <c r="AE110" s="138" t="n"/>
      <c r="AF110" s="138" t="n"/>
      <c r="AG110" s="138" t="n"/>
      <c r="AH110" s="138" t="n"/>
      <c r="AI110" s="138" t="n"/>
      <c r="AJ110" s="138" t="n"/>
      <c r="AK110" s="138" t="n"/>
      <c r="AL110" s="138" t="n"/>
      <c r="AM110" s="138" t="n"/>
      <c r="AN110" s="138" t="n"/>
      <c r="AO110" s="138" t="n"/>
      <c r="AP110" s="138" t="n"/>
      <c r="AQ110" s="138" t="n"/>
      <c r="AR110" s="138" t="n"/>
      <c r="AS110" s="138" t="n"/>
      <c r="AT110" s="138" t="n"/>
      <c r="AU110" s="138" t="n"/>
      <c r="AV110" s="138" t="n"/>
      <c r="AW110" s="138" t="n"/>
      <c r="AX110" s="138" t="n"/>
      <c r="AY110" s="138" t="n"/>
      <c r="AZ110" s="138" t="n"/>
      <c r="BA110" s="138" t="n"/>
      <c r="BB110" s="138" t="n"/>
      <c r="BC110" s="138" t="n"/>
      <c r="BD110" s="138" t="n"/>
      <c r="BE110" s="138" t="n"/>
      <c r="BF110" s="138" t="n"/>
      <c r="BG110" s="138" t="n"/>
      <c r="BH110" s="138" t="n"/>
      <c r="BI110" s="138" t="n"/>
      <c r="BJ110" s="138" t="n"/>
      <c r="BK110" s="138" t="n"/>
      <c r="BL110" s="138" t="n"/>
      <c r="BM110" s="138" t="n"/>
      <c r="BN110" s="138" t="n"/>
      <c r="BO110" s="138" t="n"/>
      <c r="BP110" s="138" t="n"/>
      <c r="BQ110" s="138" t="n"/>
      <c r="BR110" s="138" t="n"/>
      <c r="BS110" s="138" t="n"/>
      <c r="BT110" s="138" t="n"/>
      <c r="BU110" s="138" t="n"/>
      <c r="BV110" s="138" t="n"/>
      <c r="BW110" s="138" t="n"/>
      <c r="BX110" s="138" t="n"/>
      <c r="BY110" s="138" t="n"/>
      <c r="BZ110" s="138" t="n"/>
      <c r="CA110" s="138" t="n"/>
      <c r="CB110" s="138" t="n"/>
      <c r="CC110" s="138" t="n"/>
      <c r="CD110" s="138" t="n"/>
      <c r="CE110" s="138" t="n">
        <v>10</v>
      </c>
      <c r="CF110" s="139" t="n">
        <v>10</v>
      </c>
    </row>
    <row r="111" ht="13.5" customHeight="1">
      <c r="A111" s="144" t="inlineStr">
        <is>
          <t>1606-42</t>
        </is>
      </c>
      <c r="B111" s="144" t="inlineStr">
        <is>
          <t>□有機トマト４kg箱 (澤村)</t>
        </is>
      </c>
      <c r="C111" s="138" t="inlineStr">
        <is>
          <t>こもの</t>
        </is>
      </c>
      <c r="D111" s="138" t="n"/>
      <c r="E111" s="138" t="n"/>
      <c r="F111" s="138" t="n"/>
      <c r="G111" s="138" t="n"/>
      <c r="H111" s="138" t="n"/>
      <c r="I111" s="138" t="n"/>
      <c r="J111" s="138" t="n">
        <v>1</v>
      </c>
      <c r="K111" s="138" t="n"/>
      <c r="L111" s="138" t="n"/>
      <c r="M111" s="138" t="n"/>
      <c r="N111" s="138" t="n"/>
      <c r="O111" s="138" t="n"/>
      <c r="P111" s="138" t="n"/>
      <c r="Q111" s="138" t="n"/>
      <c r="R111" s="138" t="n"/>
      <c r="S111" s="138" t="n"/>
      <c r="T111" s="138" t="n"/>
      <c r="U111" s="138" t="n"/>
      <c r="V111" s="138" t="n"/>
      <c r="W111" s="138" t="n"/>
      <c r="X111" s="138" t="n"/>
      <c r="Y111" s="138" t="n"/>
      <c r="Z111" s="138" t="n"/>
      <c r="AA111" s="138" t="n"/>
      <c r="AB111" s="138" t="n"/>
      <c r="AC111" s="138" t="n"/>
      <c r="AD111" s="138" t="n"/>
      <c r="AE111" s="138" t="n"/>
      <c r="AF111" s="138" t="n"/>
      <c r="AG111" s="138" t="n"/>
      <c r="AH111" s="138" t="n"/>
      <c r="AI111" s="138" t="n"/>
      <c r="AJ111" s="138" t="n"/>
      <c r="AK111" s="138" t="n"/>
      <c r="AL111" s="138" t="n"/>
      <c r="AM111" s="138" t="n"/>
      <c r="AN111" s="138" t="n"/>
      <c r="AO111" s="138" t="n"/>
      <c r="AP111" s="138" t="n"/>
      <c r="AQ111" s="138" t="n"/>
      <c r="AR111" s="138" t="n"/>
      <c r="AS111" s="138" t="n"/>
      <c r="AT111" s="138" t="n"/>
      <c r="AU111" s="138" t="n"/>
      <c r="AV111" s="138" t="n"/>
      <c r="AW111" s="138" t="n"/>
      <c r="AX111" s="138" t="n"/>
      <c r="AY111" s="138" t="n"/>
      <c r="AZ111" s="138" t="n"/>
      <c r="BA111" s="138" t="n"/>
      <c r="BB111" s="138" t="n"/>
      <c r="BC111" s="138" t="n"/>
      <c r="BD111" s="138" t="n"/>
      <c r="BE111" s="138" t="n"/>
      <c r="BF111" s="138" t="n"/>
      <c r="BG111" s="138" t="n"/>
      <c r="BH111" s="138" t="n"/>
      <c r="BI111" s="138" t="n"/>
      <c r="BJ111" s="138" t="n"/>
      <c r="BK111" s="138" t="n"/>
      <c r="BL111" s="138" t="n"/>
      <c r="BM111" s="138" t="n"/>
      <c r="BN111" s="138" t="n"/>
      <c r="BO111" s="138" t="n"/>
      <c r="BP111" s="138" t="n"/>
      <c r="BQ111" s="138" t="n"/>
      <c r="BR111" s="138" t="n"/>
      <c r="BS111" s="138" t="n"/>
      <c r="BT111" s="138" t="n"/>
      <c r="BU111" s="138" t="n"/>
      <c r="BV111" s="138" t="n"/>
      <c r="BW111" s="138" t="n"/>
      <c r="BX111" s="138" t="n"/>
      <c r="BY111" s="138" t="n"/>
      <c r="BZ111" s="138" t="n"/>
      <c r="CA111" s="138" t="n"/>
      <c r="CB111" s="138" t="n"/>
      <c r="CC111" s="138" t="n"/>
      <c r="CD111" s="138" t="n"/>
      <c r="CE111" s="138" t="n"/>
      <c r="CF111" s="139" t="n">
        <v>1</v>
      </c>
    </row>
    <row r="112" ht="13.5" customHeight="1">
      <c r="A112" s="144" t="inlineStr">
        <is>
          <t>1606-96</t>
        </is>
      </c>
      <c r="B112" s="144" t="inlineStr">
        <is>
          <t>有機トマト１袋（220ｇ～)(澤村)◇</t>
        </is>
      </c>
      <c r="C112" s="138" t="inlineStr">
        <is>
          <t>こもの</t>
        </is>
      </c>
      <c r="D112" s="138" t="n">
        <v>1</v>
      </c>
      <c r="E112" s="138" t="n"/>
      <c r="F112" s="138" t="n">
        <v>5</v>
      </c>
      <c r="G112" s="138" t="n"/>
      <c r="H112" s="138" t="n"/>
      <c r="I112" s="138" t="n"/>
      <c r="J112" s="138" t="n"/>
      <c r="K112" s="138" t="n"/>
      <c r="L112" s="138" t="n"/>
      <c r="M112" s="138" t="n"/>
      <c r="N112" s="138" t="n"/>
      <c r="O112" s="138" t="n"/>
      <c r="P112" s="138" t="n"/>
      <c r="Q112" s="138" t="n"/>
      <c r="R112" s="138" t="n"/>
      <c r="S112" s="138" t="n"/>
      <c r="T112" s="138" t="n"/>
      <c r="U112" s="138" t="n"/>
      <c r="V112" s="138" t="n"/>
      <c r="W112" s="138" t="n"/>
      <c r="X112" s="138" t="n"/>
      <c r="Y112" s="138" t="n"/>
      <c r="Z112" s="138" t="n"/>
      <c r="AA112" s="138" t="n"/>
      <c r="AB112" s="138" t="n"/>
      <c r="AC112" s="138" t="n"/>
      <c r="AD112" s="138" t="n"/>
      <c r="AE112" s="138" t="n"/>
      <c r="AF112" s="138" t="n"/>
      <c r="AG112" s="138" t="n"/>
      <c r="AH112" s="138" t="n"/>
      <c r="AI112" s="138" t="n"/>
      <c r="AJ112" s="138" t="n"/>
      <c r="AK112" s="138" t="n"/>
      <c r="AL112" s="138" t="n"/>
      <c r="AM112" s="138" t="n"/>
      <c r="AN112" s="138" t="n"/>
      <c r="AO112" s="138" t="n">
        <v>1</v>
      </c>
      <c r="AP112" s="138" t="n"/>
      <c r="AQ112" s="138" t="n"/>
      <c r="AR112" s="138" t="n"/>
      <c r="AS112" s="138" t="n"/>
      <c r="AT112" s="138" t="n"/>
      <c r="AU112" s="138" t="n"/>
      <c r="AV112" s="138" t="n"/>
      <c r="AW112" s="138" t="n"/>
      <c r="AX112" s="138" t="n"/>
      <c r="AY112" s="138" t="n"/>
      <c r="AZ112" s="138" t="n">
        <v>1</v>
      </c>
      <c r="BA112" s="138" t="n"/>
      <c r="BB112" s="138" t="n"/>
      <c r="BC112" s="138" t="n"/>
      <c r="BD112" s="138" t="n"/>
      <c r="BE112" s="138" t="n"/>
      <c r="BF112" s="138" t="n"/>
      <c r="BG112" s="138" t="n"/>
      <c r="BH112" s="138" t="n"/>
      <c r="BI112" s="138" t="n"/>
      <c r="BJ112" s="138" t="n"/>
      <c r="BK112" s="138" t="n"/>
      <c r="BL112" s="138" t="n"/>
      <c r="BM112" s="138" t="n"/>
      <c r="BN112" s="138" t="n"/>
      <c r="BO112" s="138" t="n"/>
      <c r="BP112" s="138" t="n"/>
      <c r="BQ112" s="138" t="n">
        <v>3</v>
      </c>
      <c r="BR112" s="138" t="n"/>
      <c r="BS112" s="138" t="n"/>
      <c r="BT112" s="138" t="n"/>
      <c r="BU112" s="138" t="n"/>
      <c r="BV112" s="138" t="n"/>
      <c r="BW112" s="138" t="n"/>
      <c r="BX112" s="138" t="n"/>
      <c r="BY112" s="138" t="n"/>
      <c r="BZ112" s="138" t="n"/>
      <c r="CA112" s="138" t="n"/>
      <c r="CB112" s="138" t="n"/>
      <c r="CC112" s="138" t="n"/>
      <c r="CD112" s="138" t="n">
        <v>6</v>
      </c>
      <c r="CE112" s="138" t="n"/>
      <c r="CF112" s="139" t="n">
        <v>17</v>
      </c>
    </row>
    <row r="113" ht="13.5" customHeight="1">
      <c r="A113" s="144" t="inlineStr">
        <is>
          <t>1612-24</t>
        </is>
      </c>
      <c r="B113" s="144" t="inlineStr">
        <is>
          <t>□ミニトマト　３kg箱(ｼｪｱｶﾞｰﾃﾞﾝ)</t>
        </is>
      </c>
      <c r="C113" s="138" t="inlineStr">
        <is>
          <t>こもの</t>
        </is>
      </c>
      <c r="D113" s="138" t="n"/>
      <c r="E113" s="138" t="n"/>
      <c r="F113" s="138" t="n"/>
      <c r="G113" s="138" t="n"/>
      <c r="H113" s="138" t="n"/>
      <c r="I113" s="138" t="n"/>
      <c r="J113" s="138" t="n"/>
      <c r="K113" s="138" t="n"/>
      <c r="L113" s="138" t="n"/>
      <c r="M113" s="138" t="n"/>
      <c r="N113" s="138" t="n"/>
      <c r="O113" s="138" t="n"/>
      <c r="P113" s="138" t="n"/>
      <c r="Q113" s="138" t="n"/>
      <c r="R113" s="138" t="n"/>
      <c r="S113" s="138" t="n"/>
      <c r="T113" s="138" t="n">
        <v>1</v>
      </c>
      <c r="U113" s="138" t="n"/>
      <c r="V113" s="138" t="n"/>
      <c r="W113" s="138" t="n"/>
      <c r="X113" s="138" t="n"/>
      <c r="Y113" s="138" t="n"/>
      <c r="Z113" s="138" t="n"/>
      <c r="AA113" s="138" t="n"/>
      <c r="AB113" s="138" t="n"/>
      <c r="AC113" s="138" t="n"/>
      <c r="AD113" s="138" t="n"/>
      <c r="AE113" s="138" t="n"/>
      <c r="AF113" s="138" t="n"/>
      <c r="AG113" s="138" t="n"/>
      <c r="AH113" s="138" t="n"/>
      <c r="AI113" s="138" t="n"/>
      <c r="AJ113" s="138" t="n"/>
      <c r="AK113" s="138" t="n"/>
      <c r="AL113" s="138" t="n">
        <v>1</v>
      </c>
      <c r="AM113" s="138" t="n"/>
      <c r="AN113" s="138" t="n"/>
      <c r="AO113" s="138" t="n"/>
      <c r="AP113" s="138" t="n"/>
      <c r="AQ113" s="138" t="n"/>
      <c r="AR113" s="138" t="n"/>
      <c r="AS113" s="138" t="n"/>
      <c r="AT113" s="138" t="n"/>
      <c r="AU113" s="138" t="n"/>
      <c r="AV113" s="138" t="n"/>
      <c r="AW113" s="138" t="n"/>
      <c r="AX113" s="138" t="n"/>
      <c r="AY113" s="138" t="n"/>
      <c r="AZ113" s="138" t="n"/>
      <c r="BA113" s="138" t="n">
        <v>1</v>
      </c>
      <c r="BB113" s="138" t="n"/>
      <c r="BC113" s="138" t="n"/>
      <c r="BD113" s="138" t="n"/>
      <c r="BE113" s="138" t="n"/>
      <c r="BF113" s="138" t="n"/>
      <c r="BG113" s="138" t="n"/>
      <c r="BH113" s="138" t="n"/>
      <c r="BI113" s="138" t="n"/>
      <c r="BJ113" s="138" t="n"/>
      <c r="BK113" s="138" t="n"/>
      <c r="BL113" s="138" t="n"/>
      <c r="BM113" s="138" t="n"/>
      <c r="BN113" s="138" t="n"/>
      <c r="BO113" s="138" t="n"/>
      <c r="BP113" s="138" t="n"/>
      <c r="BQ113" s="138" t="n"/>
      <c r="BR113" s="138" t="n"/>
      <c r="BS113" s="138" t="n"/>
      <c r="BT113" s="138" t="n"/>
      <c r="BU113" s="138" t="n"/>
      <c r="BV113" s="138" t="n"/>
      <c r="BW113" s="138" t="n"/>
      <c r="BX113" s="138" t="n"/>
      <c r="BY113" s="138" t="n"/>
      <c r="BZ113" s="138" t="n"/>
      <c r="CA113" s="138" t="n"/>
      <c r="CB113" s="138" t="n"/>
      <c r="CC113" s="138" t="n"/>
      <c r="CD113" s="138" t="n"/>
      <c r="CE113" s="138" t="n"/>
      <c r="CF113" s="139" t="n">
        <v>3</v>
      </c>
    </row>
    <row r="114" ht="13.5" customHeight="1">
      <c r="A114" s="144" t="inlineStr">
        <is>
          <t>1612-25</t>
        </is>
      </c>
      <c r="B114" s="144" t="inlineStr">
        <is>
          <t>ミニトマト　150ｇ(ｼｪｱｶﾞｰﾃﾞﾝ)◇</t>
        </is>
      </c>
      <c r="C114" s="138" t="inlineStr">
        <is>
          <t>こもの</t>
        </is>
      </c>
      <c r="D114" s="138" t="n">
        <v>4</v>
      </c>
      <c r="E114" s="138" t="n">
        <v>7</v>
      </c>
      <c r="F114" s="138" t="n"/>
      <c r="G114" s="138" t="n"/>
      <c r="H114" s="138" t="n"/>
      <c r="I114" s="138" t="n"/>
      <c r="J114" s="138" t="n"/>
      <c r="K114" s="138" t="n"/>
      <c r="L114" s="138" t="n"/>
      <c r="M114" s="138" t="n"/>
      <c r="N114" s="138" t="n"/>
      <c r="O114" s="138" t="n"/>
      <c r="P114" s="138" t="n"/>
      <c r="Q114" s="138" t="n"/>
      <c r="R114" s="138" t="n"/>
      <c r="S114" s="138" t="n"/>
      <c r="T114" s="138" t="n"/>
      <c r="U114" s="138" t="n"/>
      <c r="V114" s="138" t="n"/>
      <c r="W114" s="138" t="n"/>
      <c r="X114" s="138" t="n"/>
      <c r="Y114" s="138" t="n"/>
      <c r="Z114" s="138" t="n"/>
      <c r="AA114" s="138" t="n"/>
      <c r="AB114" s="138" t="n"/>
      <c r="AC114" s="138" t="n"/>
      <c r="AD114" s="138" t="n"/>
      <c r="AE114" s="138" t="n"/>
      <c r="AF114" s="138" t="n"/>
      <c r="AG114" s="138" t="n"/>
      <c r="AH114" s="138" t="n"/>
      <c r="AI114" s="138" t="n"/>
      <c r="AJ114" s="138" t="n"/>
      <c r="AK114" s="138" t="n">
        <v>15</v>
      </c>
      <c r="AL114" s="138" t="n"/>
      <c r="AM114" s="138" t="n"/>
      <c r="AN114" s="138" t="n"/>
      <c r="AO114" s="138" t="n">
        <v>2</v>
      </c>
      <c r="AP114" s="138" t="n"/>
      <c r="AQ114" s="138" t="n"/>
      <c r="AR114" s="138" t="n"/>
      <c r="AS114" s="138" t="n">
        <v>10</v>
      </c>
      <c r="AT114" s="138" t="n"/>
      <c r="AU114" s="138" t="n"/>
      <c r="AV114" s="138" t="n"/>
      <c r="AW114" s="138" t="n"/>
      <c r="AX114" s="138" t="n"/>
      <c r="AY114" s="138" t="n"/>
      <c r="AZ114" s="138" t="n">
        <v>4</v>
      </c>
      <c r="BA114" s="138" t="n"/>
      <c r="BB114" s="138" t="n"/>
      <c r="BC114" s="138" t="n"/>
      <c r="BD114" s="138" t="n"/>
      <c r="BE114" s="138" t="n"/>
      <c r="BF114" s="138" t="n"/>
      <c r="BG114" s="138" t="n"/>
      <c r="BH114" s="138" t="n"/>
      <c r="BI114" s="138" t="n"/>
      <c r="BJ114" s="138" t="n"/>
      <c r="BK114" s="138" t="n"/>
      <c r="BL114" s="138" t="n"/>
      <c r="BM114" s="138" t="n"/>
      <c r="BN114" s="138" t="n"/>
      <c r="BO114" s="138" t="n"/>
      <c r="BP114" s="138" t="n"/>
      <c r="BQ114" s="138" t="n"/>
      <c r="BR114" s="138" t="n"/>
      <c r="BS114" s="138" t="n"/>
      <c r="BT114" s="138" t="n"/>
      <c r="BU114" s="138" t="n"/>
      <c r="BV114" s="138" t="n"/>
      <c r="BW114" s="138" t="n"/>
      <c r="BX114" s="138" t="n"/>
      <c r="BY114" s="138" t="n"/>
      <c r="BZ114" s="138" t="n"/>
      <c r="CA114" s="138" t="n"/>
      <c r="CB114" s="138" t="n"/>
      <c r="CC114" s="138" t="n"/>
      <c r="CD114" s="138" t="n">
        <v>9</v>
      </c>
      <c r="CE114" s="138" t="n"/>
      <c r="CF114" s="139" t="n">
        <v>51</v>
      </c>
    </row>
    <row r="115" ht="13.5" customHeight="1">
      <c r="A115" s="144" t="inlineStr">
        <is>
          <t>1614-279</t>
        </is>
      </c>
      <c r="B115" s="144" t="inlineStr">
        <is>
          <t>有機ﾐﾆﾄﾏﾄ「アイコ」150ｇ(肥後あゆみ)◇</t>
        </is>
      </c>
      <c r="C115" s="138" t="inlineStr">
        <is>
          <t>こもの</t>
        </is>
      </c>
      <c r="D115" s="138" t="n"/>
      <c r="E115" s="138" t="n"/>
      <c r="F115" s="138" t="n"/>
      <c r="G115" s="138" t="n"/>
      <c r="H115" s="138" t="n"/>
      <c r="I115" s="138" t="n"/>
      <c r="J115" s="138" t="n"/>
      <c r="K115" s="138" t="n"/>
      <c r="L115" s="138" t="n"/>
      <c r="M115" s="138" t="n"/>
      <c r="N115" s="138" t="n"/>
      <c r="O115" s="138" t="n"/>
      <c r="P115" s="138" t="n"/>
      <c r="Q115" s="138" t="n"/>
      <c r="R115" s="138" t="n"/>
      <c r="S115" s="138" t="n"/>
      <c r="T115" s="138" t="n"/>
      <c r="U115" s="138" t="n"/>
      <c r="V115" s="138" t="n"/>
      <c r="W115" s="138" t="n"/>
      <c r="X115" s="138" t="n"/>
      <c r="Y115" s="138" t="n"/>
      <c r="Z115" s="138" t="n"/>
      <c r="AA115" s="138" t="n"/>
      <c r="AB115" s="138" t="n"/>
      <c r="AC115" s="138" t="n"/>
      <c r="AD115" s="138" t="n"/>
      <c r="AE115" s="138" t="n"/>
      <c r="AF115" s="138" t="n"/>
      <c r="AG115" s="138" t="n"/>
      <c r="AH115" s="138" t="n"/>
      <c r="AI115" s="138" t="n"/>
      <c r="AJ115" s="138" t="n"/>
      <c r="AK115" s="138" t="n"/>
      <c r="AL115" s="138" t="n"/>
      <c r="AM115" s="138" t="n"/>
      <c r="AN115" s="138" t="n"/>
      <c r="AO115" s="138" t="n"/>
      <c r="AP115" s="138" t="n"/>
      <c r="AQ115" s="138" t="n"/>
      <c r="AR115" s="138" t="n"/>
      <c r="AS115" s="138" t="n"/>
      <c r="AT115" s="138" t="n"/>
      <c r="AU115" s="138" t="n"/>
      <c r="AV115" s="138" t="n"/>
      <c r="AW115" s="138" t="n"/>
      <c r="AX115" s="138" t="n"/>
      <c r="AY115" s="138" t="n"/>
      <c r="AZ115" s="138" t="n"/>
      <c r="BA115" s="138" t="n"/>
      <c r="BB115" s="138" t="n"/>
      <c r="BC115" s="138" t="n"/>
      <c r="BD115" s="138" t="n"/>
      <c r="BE115" s="138" t="n"/>
      <c r="BF115" s="138" t="n"/>
      <c r="BG115" s="138" t="n"/>
      <c r="BH115" s="138" t="n"/>
      <c r="BI115" s="138" t="n"/>
      <c r="BJ115" s="138" t="n"/>
      <c r="BK115" s="138" t="n"/>
      <c r="BL115" s="138" t="n"/>
      <c r="BM115" s="138" t="n"/>
      <c r="BN115" s="138" t="n"/>
      <c r="BO115" s="138" t="n"/>
      <c r="BP115" s="138" t="n"/>
      <c r="BQ115" s="138" t="n"/>
      <c r="BR115" s="138" t="n"/>
      <c r="BS115" s="138" t="n"/>
      <c r="BT115" s="138" t="n"/>
      <c r="BU115" s="138" t="n"/>
      <c r="BV115" s="138" t="n"/>
      <c r="BW115" s="138" t="n"/>
      <c r="BX115" s="138" t="n"/>
      <c r="BY115" s="138" t="n"/>
      <c r="BZ115" s="138" t="n"/>
      <c r="CA115" s="138" t="n"/>
      <c r="CB115" s="138" t="n"/>
      <c r="CC115" s="138" t="n"/>
      <c r="CD115" s="138" t="n">
        <v>9</v>
      </c>
      <c r="CE115" s="138" t="n"/>
      <c r="CF115" s="139" t="n">
        <v>9</v>
      </c>
    </row>
    <row r="116" ht="13.5" customHeight="1">
      <c r="A116" s="144" t="inlineStr">
        <is>
          <t>1614-280</t>
        </is>
      </c>
      <c r="B116" s="144" t="inlineStr">
        <is>
          <t>□有機ﾐﾆﾄﾏﾄ「ｱｲｺ」３kg(肥後あゆみ)</t>
        </is>
      </c>
      <c r="C116" s="138" t="inlineStr">
        <is>
          <t>こもの</t>
        </is>
      </c>
      <c r="D116" s="138" t="n"/>
      <c r="E116" s="138" t="n"/>
      <c r="F116" s="138" t="n"/>
      <c r="G116" s="138" t="n"/>
      <c r="H116" s="138" t="n"/>
      <c r="I116" s="138" t="n"/>
      <c r="J116" s="138" t="n"/>
      <c r="K116" s="138" t="n">
        <v>1</v>
      </c>
      <c r="L116" s="138" t="n"/>
      <c r="M116" s="138" t="n"/>
      <c r="N116" s="138" t="n"/>
      <c r="O116" s="138" t="n"/>
      <c r="P116" s="138" t="n"/>
      <c r="Q116" s="138" t="n"/>
      <c r="R116" s="138" t="n"/>
      <c r="S116" s="138" t="n"/>
      <c r="T116" s="138" t="n"/>
      <c r="U116" s="138" t="n"/>
      <c r="V116" s="138" t="n"/>
      <c r="W116" s="138" t="n"/>
      <c r="X116" s="138" t="n"/>
      <c r="Y116" s="138" t="n"/>
      <c r="Z116" s="138" t="n"/>
      <c r="AA116" s="138" t="n"/>
      <c r="AB116" s="138" t="n"/>
      <c r="AC116" s="138" t="n"/>
      <c r="AD116" s="138" t="n"/>
      <c r="AE116" s="138" t="n"/>
      <c r="AF116" s="138" t="n"/>
      <c r="AG116" s="138" t="n"/>
      <c r="AH116" s="138" t="n"/>
      <c r="AI116" s="138" t="n"/>
      <c r="AJ116" s="138" t="n"/>
      <c r="AK116" s="138" t="n"/>
      <c r="AL116" s="138" t="n"/>
      <c r="AM116" s="138" t="n"/>
      <c r="AN116" s="138" t="n"/>
      <c r="AO116" s="138" t="n"/>
      <c r="AP116" s="138" t="n"/>
      <c r="AQ116" s="138" t="n"/>
      <c r="AR116" s="138" t="n"/>
      <c r="AS116" s="138" t="n"/>
      <c r="AT116" s="138" t="n"/>
      <c r="AU116" s="138" t="n"/>
      <c r="AV116" s="138" t="n"/>
      <c r="AW116" s="138" t="n"/>
      <c r="AX116" s="138" t="n"/>
      <c r="AY116" s="138" t="n"/>
      <c r="AZ116" s="138" t="n"/>
      <c r="BA116" s="138" t="n"/>
      <c r="BB116" s="138" t="n"/>
      <c r="BC116" s="138" t="n"/>
      <c r="BD116" s="138" t="n"/>
      <c r="BE116" s="138" t="n"/>
      <c r="BF116" s="138" t="n"/>
      <c r="BG116" s="138" t="n"/>
      <c r="BH116" s="138" t="n"/>
      <c r="BI116" s="138" t="n"/>
      <c r="BJ116" s="138" t="n"/>
      <c r="BK116" s="138" t="n"/>
      <c r="BL116" s="138" t="n"/>
      <c r="BM116" s="138" t="n"/>
      <c r="BN116" s="138" t="n"/>
      <c r="BO116" s="138" t="n"/>
      <c r="BP116" s="138" t="n"/>
      <c r="BQ116" s="138" t="n"/>
      <c r="BR116" s="138" t="n"/>
      <c r="BS116" s="138" t="n"/>
      <c r="BT116" s="138" t="n"/>
      <c r="BU116" s="138" t="n"/>
      <c r="BV116" s="138" t="n"/>
      <c r="BW116" s="138" t="n"/>
      <c r="BX116" s="138" t="n"/>
      <c r="BY116" s="138" t="n"/>
      <c r="BZ116" s="138" t="n"/>
      <c r="CA116" s="138" t="n"/>
      <c r="CB116" s="138" t="n"/>
      <c r="CC116" s="138" t="n"/>
      <c r="CD116" s="138" t="n"/>
      <c r="CE116" s="138" t="n"/>
      <c r="CF116" s="139" t="n">
        <v>1</v>
      </c>
    </row>
    <row r="117" ht="13.5" customHeight="1">
      <c r="A117" s="144" t="inlineStr">
        <is>
          <t>1614-3</t>
        </is>
      </c>
      <c r="B117" s="144" t="inlineStr">
        <is>
          <t>ミニトマト　150ｇ（沃土会）</t>
        </is>
      </c>
      <c r="C117" s="138" t="inlineStr">
        <is>
          <t>こもの</t>
        </is>
      </c>
      <c r="D117" s="138" t="n"/>
      <c r="E117" s="138" t="n"/>
      <c r="F117" s="138" t="n"/>
      <c r="G117" s="138" t="n"/>
      <c r="H117" s="138" t="n"/>
      <c r="I117" s="138" t="n"/>
      <c r="J117" s="138" t="n"/>
      <c r="K117" s="138" t="n"/>
      <c r="L117" s="138" t="n"/>
      <c r="M117" s="138" t="n"/>
      <c r="N117" s="138" t="n"/>
      <c r="O117" s="138" t="n"/>
      <c r="P117" s="138" t="n"/>
      <c r="Q117" s="138" t="n"/>
      <c r="R117" s="138" t="n"/>
      <c r="S117" s="138" t="n"/>
      <c r="T117" s="138" t="n"/>
      <c r="U117" s="138" t="n"/>
      <c r="V117" s="138" t="n"/>
      <c r="W117" s="138" t="n"/>
      <c r="X117" s="138" t="n"/>
      <c r="Y117" s="138" t="n"/>
      <c r="Z117" s="138" t="n"/>
      <c r="AA117" s="138" t="n"/>
      <c r="AB117" s="138" t="n"/>
      <c r="AC117" s="138" t="n"/>
      <c r="AD117" s="138" t="n"/>
      <c r="AE117" s="138" t="n"/>
      <c r="AF117" s="138" t="n"/>
      <c r="AG117" s="138" t="n"/>
      <c r="AH117" s="138" t="n"/>
      <c r="AI117" s="138" t="n"/>
      <c r="AJ117" s="138" t="n"/>
      <c r="AK117" s="138" t="n"/>
      <c r="AL117" s="138" t="n"/>
      <c r="AM117" s="138" t="n"/>
      <c r="AN117" s="138" t="n"/>
      <c r="AO117" s="138" t="n"/>
      <c r="AP117" s="138" t="n"/>
      <c r="AQ117" s="138" t="n"/>
      <c r="AR117" s="138" t="n"/>
      <c r="AS117" s="138" t="n"/>
      <c r="AT117" s="138" t="n"/>
      <c r="AU117" s="138" t="n"/>
      <c r="AV117" s="138" t="n"/>
      <c r="AW117" s="138" t="n"/>
      <c r="AX117" s="138" t="n"/>
      <c r="AY117" s="138" t="n"/>
      <c r="AZ117" s="138" t="n"/>
      <c r="BA117" s="138" t="n"/>
      <c r="BB117" s="138" t="n"/>
      <c r="BC117" s="138" t="n"/>
      <c r="BD117" s="138" t="n"/>
      <c r="BE117" s="138" t="n"/>
      <c r="BF117" s="138" t="n"/>
      <c r="BG117" s="138" t="n"/>
      <c r="BH117" s="138" t="n"/>
      <c r="BI117" s="138" t="n"/>
      <c r="BJ117" s="138" t="n"/>
      <c r="BK117" s="138" t="n"/>
      <c r="BL117" s="138" t="n"/>
      <c r="BM117" s="138" t="n"/>
      <c r="BN117" s="138" t="n"/>
      <c r="BO117" s="138" t="n"/>
      <c r="BP117" s="138" t="n"/>
      <c r="BQ117" s="138" t="n"/>
      <c r="BR117" s="138" t="n"/>
      <c r="BS117" s="138" t="n"/>
      <c r="BT117" s="138" t="n"/>
      <c r="BU117" s="138" t="n"/>
      <c r="BV117" s="138" t="n"/>
      <c r="BW117" s="138" t="n"/>
      <c r="BX117" s="138" t="n"/>
      <c r="BY117" s="138" t="n"/>
      <c r="BZ117" s="138" t="n"/>
      <c r="CA117" s="138" t="n">
        <v>10</v>
      </c>
      <c r="CB117" s="138" t="n"/>
      <c r="CC117" s="138" t="n"/>
      <c r="CD117" s="138" t="n"/>
      <c r="CE117" s="138" t="n">
        <v>10</v>
      </c>
      <c r="CF117" s="139" t="n">
        <v>20</v>
      </c>
    </row>
    <row r="118" ht="13.5" customHeight="1">
      <c r="A118" s="144" t="inlineStr">
        <is>
          <t>1619-68</t>
        </is>
      </c>
      <c r="B118" s="144" t="inlineStr">
        <is>
          <t>きゅうり　２本袋（沃土会）</t>
        </is>
      </c>
      <c r="C118" s="138" t="inlineStr">
        <is>
          <t>こもの</t>
        </is>
      </c>
      <c r="D118" s="138" t="n"/>
      <c r="E118" s="138" t="n"/>
      <c r="F118" s="138" t="n"/>
      <c r="G118" s="138" t="n"/>
      <c r="H118" s="138" t="n"/>
      <c r="I118" s="138" t="n"/>
      <c r="J118" s="138" t="n"/>
      <c r="K118" s="138" t="n"/>
      <c r="L118" s="138" t="n"/>
      <c r="M118" s="138" t="n"/>
      <c r="N118" s="138" t="n"/>
      <c r="O118" s="138" t="n"/>
      <c r="P118" s="138" t="n"/>
      <c r="Q118" s="138" t="n"/>
      <c r="R118" s="138" t="n"/>
      <c r="S118" s="138" t="n"/>
      <c r="T118" s="138" t="n"/>
      <c r="U118" s="138" t="n"/>
      <c r="V118" s="138" t="n"/>
      <c r="W118" s="138" t="n"/>
      <c r="X118" s="138" t="n"/>
      <c r="Y118" s="138" t="n"/>
      <c r="Z118" s="138" t="n"/>
      <c r="AA118" s="138" t="n"/>
      <c r="AB118" s="138" t="n"/>
      <c r="AC118" s="138" t="n"/>
      <c r="AD118" s="138" t="n"/>
      <c r="AE118" s="138" t="n"/>
      <c r="AF118" s="138" t="n"/>
      <c r="AG118" s="138" t="n"/>
      <c r="AH118" s="138" t="n"/>
      <c r="AI118" s="138" t="n"/>
      <c r="AJ118" s="138" t="n"/>
      <c r="AK118" s="138" t="n"/>
      <c r="AL118" s="138" t="n"/>
      <c r="AM118" s="138" t="n"/>
      <c r="AN118" s="138" t="n"/>
      <c r="AO118" s="138" t="n"/>
      <c r="AP118" s="138" t="n"/>
      <c r="AQ118" s="138" t="n"/>
      <c r="AR118" s="138" t="n"/>
      <c r="AS118" s="138" t="n"/>
      <c r="AT118" s="138" t="n"/>
      <c r="AU118" s="138" t="n"/>
      <c r="AV118" s="138" t="n"/>
      <c r="AW118" s="138" t="n"/>
      <c r="AX118" s="138" t="n"/>
      <c r="AY118" s="138" t="n"/>
      <c r="AZ118" s="138" t="n"/>
      <c r="BA118" s="138" t="n"/>
      <c r="BB118" s="138" t="n"/>
      <c r="BC118" s="138" t="n"/>
      <c r="BD118" s="138" t="n"/>
      <c r="BE118" s="138" t="n"/>
      <c r="BF118" s="138" t="n"/>
      <c r="BG118" s="138" t="n"/>
      <c r="BH118" s="138" t="n"/>
      <c r="BI118" s="138" t="n"/>
      <c r="BJ118" s="138" t="n"/>
      <c r="BK118" s="138" t="n"/>
      <c r="BL118" s="138" t="n"/>
      <c r="BM118" s="138" t="n"/>
      <c r="BN118" s="138" t="n"/>
      <c r="BO118" s="138" t="n"/>
      <c r="BP118" s="138" t="n"/>
      <c r="BQ118" s="138" t="n"/>
      <c r="BR118" s="138" t="n"/>
      <c r="BS118" s="138" t="n"/>
      <c r="BT118" s="138" t="n"/>
      <c r="BU118" s="138" t="n"/>
      <c r="BV118" s="138" t="n"/>
      <c r="BW118" s="138" t="n"/>
      <c r="BX118" s="138" t="n"/>
      <c r="BY118" s="138" t="n"/>
      <c r="BZ118" s="138" t="n"/>
      <c r="CA118" s="138" t="n">
        <v>10</v>
      </c>
      <c r="CB118" s="138" t="n"/>
      <c r="CC118" s="138" t="n"/>
      <c r="CD118" s="138" t="n"/>
      <c r="CE118" s="138" t="n"/>
      <c r="CF118" s="139" t="n">
        <v>10</v>
      </c>
    </row>
    <row r="119" ht="13.5" customHeight="1">
      <c r="A119" s="144" t="inlineStr">
        <is>
          <t>1621-64</t>
        </is>
      </c>
      <c r="B119" s="144" t="inlineStr">
        <is>
          <t>□きゅうり 5kg箱(太一興陽石毛)菌5虫8・不</t>
        </is>
      </c>
      <c r="C119" s="138" t="inlineStr">
        <is>
          <t>こもの</t>
        </is>
      </c>
      <c r="D119" s="138" t="n"/>
      <c r="E119" s="138" t="n"/>
      <c r="F119" s="138" t="n"/>
      <c r="G119" s="138" t="n"/>
      <c r="H119" s="138" t="n"/>
      <c r="I119" s="138" t="n"/>
      <c r="J119" s="138" t="n">
        <v>1</v>
      </c>
      <c r="K119" s="138" t="n"/>
      <c r="L119" s="138" t="n"/>
      <c r="M119" s="138" t="n"/>
      <c r="N119" s="138" t="n"/>
      <c r="O119" s="138" t="n"/>
      <c r="P119" s="138" t="n"/>
      <c r="Q119" s="138" t="n"/>
      <c r="R119" s="138" t="n"/>
      <c r="S119" s="138" t="n"/>
      <c r="T119" s="138" t="n"/>
      <c r="U119" s="138" t="n"/>
      <c r="V119" s="138" t="n"/>
      <c r="W119" s="138" t="n"/>
      <c r="X119" s="138" t="n"/>
      <c r="Y119" s="138" t="n"/>
      <c r="Z119" s="138" t="n"/>
      <c r="AA119" s="138" t="n"/>
      <c r="AB119" s="138" t="n"/>
      <c r="AC119" s="138" t="n"/>
      <c r="AD119" s="138" t="n"/>
      <c r="AE119" s="138" t="n"/>
      <c r="AF119" s="138" t="n"/>
      <c r="AG119" s="138" t="n"/>
      <c r="AH119" s="138" t="n"/>
      <c r="AI119" s="138" t="n"/>
      <c r="AJ119" s="138" t="n"/>
      <c r="AK119" s="138" t="n"/>
      <c r="AL119" s="138" t="n"/>
      <c r="AM119" s="138" t="n"/>
      <c r="AN119" s="138" t="n"/>
      <c r="AO119" s="138" t="n"/>
      <c r="AP119" s="138" t="n"/>
      <c r="AQ119" s="138" t="n"/>
      <c r="AR119" s="138" t="n"/>
      <c r="AS119" s="138" t="n"/>
      <c r="AT119" s="138" t="n"/>
      <c r="AU119" s="138" t="n"/>
      <c r="AV119" s="138" t="n"/>
      <c r="AW119" s="138" t="n"/>
      <c r="AX119" s="138" t="n"/>
      <c r="AY119" s="138" t="n"/>
      <c r="AZ119" s="138" t="n"/>
      <c r="BA119" s="138" t="n"/>
      <c r="BB119" s="138" t="n"/>
      <c r="BC119" s="138" t="n"/>
      <c r="BD119" s="138" t="n"/>
      <c r="BE119" s="138" t="n"/>
      <c r="BF119" s="138" t="n"/>
      <c r="BG119" s="138" t="n"/>
      <c r="BH119" s="138" t="n">
        <v>7</v>
      </c>
      <c r="BI119" s="138" t="n"/>
      <c r="BJ119" s="138" t="n"/>
      <c r="BK119" s="138" t="n">
        <v>3</v>
      </c>
      <c r="BL119" s="138" t="n"/>
      <c r="BM119" s="138" t="n"/>
      <c r="BN119" s="138" t="n"/>
      <c r="BO119" s="138" t="n"/>
      <c r="BP119" s="138" t="n"/>
      <c r="BQ119" s="138" t="n"/>
      <c r="BR119" s="138" t="n"/>
      <c r="BS119" s="138" t="n"/>
      <c r="BT119" s="138" t="n"/>
      <c r="BU119" s="138" t="n"/>
      <c r="BV119" s="138" t="n"/>
      <c r="BW119" s="138" t="n"/>
      <c r="BX119" s="138" t="n"/>
      <c r="BY119" s="138" t="n"/>
      <c r="BZ119" s="138" t="n"/>
      <c r="CA119" s="138" t="n"/>
      <c r="CB119" s="138" t="n">
        <v>1</v>
      </c>
      <c r="CC119" s="138" t="n"/>
      <c r="CD119" s="138" t="n"/>
      <c r="CE119" s="138" t="n"/>
      <c r="CF119" s="139" t="n">
        <v>12</v>
      </c>
    </row>
    <row r="120" ht="13.5" customHeight="1">
      <c r="A120" s="144" t="inlineStr">
        <is>
          <t>1621-65</t>
        </is>
      </c>
      <c r="B120" s="144" t="inlineStr">
        <is>
          <t>きゅうり　２本袋(石毛)◇</t>
        </is>
      </c>
      <c r="C120" s="138" t="inlineStr">
        <is>
          <t>こもの</t>
        </is>
      </c>
      <c r="D120" s="138" t="n">
        <v>3</v>
      </c>
      <c r="E120" s="138" t="n">
        <v>8</v>
      </c>
      <c r="F120" s="138" t="n"/>
      <c r="G120" s="138" t="n"/>
      <c r="H120" s="138" t="n"/>
      <c r="I120" s="138" t="n"/>
      <c r="J120" s="138" t="n"/>
      <c r="K120" s="138" t="n"/>
      <c r="L120" s="138" t="n"/>
      <c r="M120" s="138" t="n"/>
      <c r="N120" s="138" t="n"/>
      <c r="O120" s="138" t="n"/>
      <c r="P120" s="138" t="n"/>
      <c r="Q120" s="138" t="n"/>
      <c r="R120" s="138" t="n"/>
      <c r="S120" s="138" t="n"/>
      <c r="T120" s="138" t="n"/>
      <c r="U120" s="138" t="n"/>
      <c r="V120" s="138" t="n"/>
      <c r="W120" s="138" t="n"/>
      <c r="X120" s="138" t="n"/>
      <c r="Y120" s="138" t="n"/>
      <c r="Z120" s="138" t="n"/>
      <c r="AA120" s="138" t="n"/>
      <c r="AB120" s="138" t="n"/>
      <c r="AC120" s="138" t="n"/>
      <c r="AD120" s="138" t="n"/>
      <c r="AE120" s="138" t="n"/>
      <c r="AF120" s="138" t="n"/>
      <c r="AG120" s="138" t="n"/>
      <c r="AH120" s="138" t="n"/>
      <c r="AI120" s="138" t="n"/>
      <c r="AJ120" s="138" t="n"/>
      <c r="AK120" s="138" t="n"/>
      <c r="AL120" s="138" t="n"/>
      <c r="AM120" s="138" t="n"/>
      <c r="AN120" s="138" t="n"/>
      <c r="AO120" s="138" t="n">
        <v>3</v>
      </c>
      <c r="AP120" s="138" t="n"/>
      <c r="AQ120" s="138" t="n"/>
      <c r="AR120" s="138" t="n"/>
      <c r="AS120" s="138" t="n"/>
      <c r="AT120" s="138" t="n"/>
      <c r="AU120" s="138" t="n"/>
      <c r="AV120" s="138" t="n"/>
      <c r="AW120" s="138" t="n"/>
      <c r="AX120" s="138" t="n"/>
      <c r="AY120" s="138" t="n"/>
      <c r="AZ120" s="138" t="n">
        <v>3</v>
      </c>
      <c r="BA120" s="138" t="n"/>
      <c r="BB120" s="138" t="n"/>
      <c r="BC120" s="138" t="n"/>
      <c r="BD120" s="138" t="n"/>
      <c r="BE120" s="138" t="n"/>
      <c r="BF120" s="138" t="n"/>
      <c r="BG120" s="138" t="n"/>
      <c r="BH120" s="138" t="n"/>
      <c r="BI120" s="138" t="n"/>
      <c r="BJ120" s="138" t="n"/>
      <c r="BK120" s="138" t="n"/>
      <c r="BL120" s="138" t="n"/>
      <c r="BM120" s="138" t="n"/>
      <c r="BN120" s="138" t="n"/>
      <c r="BO120" s="138" t="n"/>
      <c r="BP120" s="138" t="n"/>
      <c r="BQ120" s="138" t="n"/>
      <c r="BR120" s="138" t="n"/>
      <c r="BS120" s="138" t="n"/>
      <c r="BT120" s="138" t="n"/>
      <c r="BU120" s="138" t="n"/>
      <c r="BV120" s="138" t="n"/>
      <c r="BW120" s="138" t="n"/>
      <c r="BX120" s="138" t="n"/>
      <c r="BY120" s="138" t="n"/>
      <c r="BZ120" s="138" t="n"/>
      <c r="CA120" s="138" t="n"/>
      <c r="CB120" s="138" t="n"/>
      <c r="CC120" s="138" t="n">
        <v>50</v>
      </c>
      <c r="CD120" s="138" t="n">
        <v>9</v>
      </c>
      <c r="CE120" s="138" t="n">
        <v>15</v>
      </c>
      <c r="CF120" s="139" t="n">
        <v>91</v>
      </c>
    </row>
    <row r="121" ht="13.5" customHeight="1">
      <c r="A121" s="144" t="inlineStr">
        <is>
          <t>1621-73</t>
        </is>
      </c>
      <c r="B121" s="144" t="inlineStr">
        <is>
          <t>きゅうり　３本袋(石毛)◇</t>
        </is>
      </c>
      <c r="C121" s="138" t="inlineStr">
        <is>
          <t>こもの</t>
        </is>
      </c>
      <c r="D121" s="138" t="n"/>
      <c r="E121" s="138" t="n"/>
      <c r="F121" s="138" t="n"/>
      <c r="G121" s="138" t="n"/>
      <c r="H121" s="138" t="n"/>
      <c r="I121" s="138" t="n"/>
      <c r="J121" s="138" t="n"/>
      <c r="K121" s="138" t="n"/>
      <c r="L121" s="138" t="n"/>
      <c r="M121" s="138" t="n"/>
      <c r="N121" s="138" t="n"/>
      <c r="O121" s="138" t="n"/>
      <c r="P121" s="138" t="n"/>
      <c r="Q121" s="138" t="n"/>
      <c r="R121" s="138" t="n"/>
      <c r="S121" s="138" t="n"/>
      <c r="T121" s="138" t="n"/>
      <c r="U121" s="138" t="n"/>
      <c r="V121" s="138" t="n"/>
      <c r="W121" s="138" t="n"/>
      <c r="X121" s="138" t="n"/>
      <c r="Y121" s="138" t="n"/>
      <c r="Z121" s="138" t="n"/>
      <c r="AA121" s="138" t="n"/>
      <c r="AB121" s="138" t="n"/>
      <c r="AC121" s="138" t="n"/>
      <c r="AD121" s="138" t="n"/>
      <c r="AE121" s="138" t="n"/>
      <c r="AF121" s="138" t="n"/>
      <c r="AG121" s="138" t="n"/>
      <c r="AH121" s="138" t="n"/>
      <c r="AI121" s="138" t="n"/>
      <c r="AJ121" s="138" t="n"/>
      <c r="AK121" s="138" t="n"/>
      <c r="AL121" s="138" t="n"/>
      <c r="AM121" s="138" t="n"/>
      <c r="AN121" s="138" t="n"/>
      <c r="AO121" s="138" t="n"/>
      <c r="AP121" s="138" t="n"/>
      <c r="AQ121" s="138" t="n"/>
      <c r="AR121" s="138" t="n"/>
      <c r="AS121" s="138" t="n"/>
      <c r="AT121" s="138" t="n"/>
      <c r="AU121" s="138" t="n"/>
      <c r="AV121" s="138" t="n"/>
      <c r="AW121" s="138" t="n"/>
      <c r="AX121" s="138" t="n"/>
      <c r="AY121" s="138" t="n"/>
      <c r="AZ121" s="138" t="n"/>
      <c r="BA121" s="138" t="n"/>
      <c r="BB121" s="138" t="n"/>
      <c r="BC121" s="138" t="n"/>
      <c r="BD121" s="138" t="n"/>
      <c r="BE121" s="138" t="n"/>
      <c r="BF121" s="138" t="n"/>
      <c r="BG121" s="138" t="n"/>
      <c r="BH121" s="138" t="n"/>
      <c r="BI121" s="138" t="n">
        <v>50</v>
      </c>
      <c r="BJ121" s="138" t="n"/>
      <c r="BK121" s="138" t="n"/>
      <c r="BL121" s="138" t="n"/>
      <c r="BM121" s="138" t="n"/>
      <c r="BN121" s="138" t="n"/>
      <c r="BO121" s="138" t="n"/>
      <c r="BP121" s="138" t="n"/>
      <c r="BQ121" s="138" t="n">
        <v>3</v>
      </c>
      <c r="BR121" s="138" t="n"/>
      <c r="BS121" s="138" t="n"/>
      <c r="BT121" s="138" t="n"/>
      <c r="BU121" s="138" t="n"/>
      <c r="BV121" s="138" t="n"/>
      <c r="BW121" s="138" t="n"/>
      <c r="BX121" s="138" t="n"/>
      <c r="BY121" s="138" t="n"/>
      <c r="BZ121" s="138" t="n"/>
      <c r="CA121" s="138" t="n"/>
      <c r="CB121" s="138" t="n"/>
      <c r="CC121" s="138" t="n"/>
      <c r="CD121" s="138" t="n"/>
      <c r="CE121" s="138" t="n"/>
      <c r="CF121" s="139" t="n">
        <v>53</v>
      </c>
    </row>
    <row r="122" ht="13.5" customHeight="1">
      <c r="A122" s="144" t="inlineStr">
        <is>
          <t>1638-110</t>
        </is>
      </c>
      <c r="B122" s="144" t="inlineStr">
        <is>
          <t>有機なす１袋 (浦部)</t>
        </is>
      </c>
      <c r="C122" s="138" t="inlineStr">
        <is>
          <t>こもの</t>
        </is>
      </c>
      <c r="D122" s="138" t="n"/>
      <c r="E122" s="138" t="n"/>
      <c r="F122" s="138" t="n"/>
      <c r="G122" s="138" t="n"/>
      <c r="H122" s="138" t="n"/>
      <c r="I122" s="138" t="n"/>
      <c r="J122" s="138" t="n"/>
      <c r="K122" s="138" t="n"/>
      <c r="L122" s="138" t="n"/>
      <c r="M122" s="138" t="n"/>
      <c r="N122" s="138" t="n"/>
      <c r="O122" s="138" t="n"/>
      <c r="P122" s="138" t="n"/>
      <c r="Q122" s="138" t="n"/>
      <c r="R122" s="138" t="n"/>
      <c r="S122" s="138" t="n"/>
      <c r="T122" s="138" t="n"/>
      <c r="U122" s="138" t="n"/>
      <c r="V122" s="138" t="n"/>
      <c r="W122" s="138" t="n"/>
      <c r="X122" s="138" t="n"/>
      <c r="Y122" s="138" t="n"/>
      <c r="Z122" s="138" t="n"/>
      <c r="AA122" s="138" t="n"/>
      <c r="AB122" s="138" t="n"/>
      <c r="AC122" s="138" t="n"/>
      <c r="AD122" s="138" t="n"/>
      <c r="AE122" s="138" t="n"/>
      <c r="AF122" s="138" t="n"/>
      <c r="AG122" s="138" t="n"/>
      <c r="AH122" s="138" t="n"/>
      <c r="AI122" s="138" t="n"/>
      <c r="AJ122" s="138" t="n"/>
      <c r="AK122" s="138" t="n"/>
      <c r="AL122" s="138" t="n"/>
      <c r="AM122" s="138" t="n"/>
      <c r="AN122" s="138" t="n"/>
      <c r="AO122" s="138" t="n"/>
      <c r="AP122" s="138" t="n"/>
      <c r="AQ122" s="138" t="n"/>
      <c r="AR122" s="138" t="n"/>
      <c r="AS122" s="138" t="n"/>
      <c r="AT122" s="138" t="n"/>
      <c r="AU122" s="138" t="n"/>
      <c r="AV122" s="138" t="n"/>
      <c r="AW122" s="138" t="n"/>
      <c r="AX122" s="138" t="n"/>
      <c r="AY122" s="138" t="n"/>
      <c r="AZ122" s="138" t="n"/>
      <c r="BA122" s="138" t="n"/>
      <c r="BB122" s="138" t="n"/>
      <c r="BC122" s="138" t="n"/>
      <c r="BD122" s="138" t="n"/>
      <c r="BE122" s="138" t="n"/>
      <c r="BF122" s="138" t="n"/>
      <c r="BG122" s="138" t="n"/>
      <c r="BH122" s="138" t="n"/>
      <c r="BI122" s="138" t="n"/>
      <c r="BJ122" s="138" t="n"/>
      <c r="BK122" s="138" t="n"/>
      <c r="BL122" s="138" t="n"/>
      <c r="BM122" s="138" t="n"/>
      <c r="BN122" s="138" t="n"/>
      <c r="BO122" s="138" t="n"/>
      <c r="BP122" s="138" t="n"/>
      <c r="BQ122" s="138" t="n"/>
      <c r="BR122" s="138" t="n"/>
      <c r="BS122" s="138" t="n"/>
      <c r="BT122" s="138" t="n"/>
      <c r="BU122" s="138" t="n"/>
      <c r="BV122" s="138" t="n"/>
      <c r="BW122" s="138" t="n"/>
      <c r="BX122" s="138" t="n"/>
      <c r="BY122" s="138" t="n"/>
      <c r="BZ122" s="138" t="n"/>
      <c r="CA122" s="138" t="n">
        <v>15</v>
      </c>
      <c r="CB122" s="138" t="n"/>
      <c r="CC122" s="138" t="n"/>
      <c r="CD122" s="138" t="n"/>
      <c r="CE122" s="138" t="n"/>
      <c r="CF122" s="139" t="n">
        <v>15</v>
      </c>
    </row>
    <row r="123" ht="13.5" customHeight="1">
      <c r="A123" s="144" t="inlineStr">
        <is>
          <t>1638-112</t>
        </is>
      </c>
      <c r="B123" s="144" t="inlineStr">
        <is>
          <t>なす　400ｇ(石毛)菌2虫1(=9割減)・不</t>
        </is>
      </c>
      <c r="C123" s="138" t="inlineStr">
        <is>
          <t>こもの</t>
        </is>
      </c>
      <c r="D123" s="138" t="n">
        <v>2</v>
      </c>
      <c r="E123" s="138" t="n">
        <v>4</v>
      </c>
      <c r="F123" s="138" t="n"/>
      <c r="G123" s="138" t="n"/>
      <c r="H123" s="138" t="n"/>
      <c r="I123" s="138" t="n"/>
      <c r="J123" s="138" t="n">
        <v>8</v>
      </c>
      <c r="K123" s="138" t="n"/>
      <c r="L123" s="138" t="n"/>
      <c r="M123" s="138" t="n"/>
      <c r="N123" s="138" t="n"/>
      <c r="O123" s="138" t="n"/>
      <c r="P123" s="138" t="n"/>
      <c r="Q123" s="138" t="n"/>
      <c r="R123" s="138" t="n"/>
      <c r="S123" s="138" t="n"/>
      <c r="T123" s="138" t="n">
        <v>2</v>
      </c>
      <c r="U123" s="138" t="n"/>
      <c r="V123" s="138" t="n"/>
      <c r="W123" s="138" t="n"/>
      <c r="X123" s="138" t="n">
        <v>3</v>
      </c>
      <c r="Y123" s="138" t="n"/>
      <c r="Z123" s="138" t="n"/>
      <c r="AA123" s="138" t="n"/>
      <c r="AB123" s="138" t="n">
        <v>2</v>
      </c>
      <c r="AC123" s="138" t="n"/>
      <c r="AD123" s="138" t="n">
        <v>6</v>
      </c>
      <c r="AE123" s="138" t="n"/>
      <c r="AF123" s="138" t="n">
        <v>8</v>
      </c>
      <c r="AG123" s="138" t="n"/>
      <c r="AH123" s="138" t="n"/>
      <c r="AI123" s="138" t="n"/>
      <c r="AJ123" s="138" t="n"/>
      <c r="AK123" s="138" t="n"/>
      <c r="AL123" s="138" t="n"/>
      <c r="AM123" s="138" t="n"/>
      <c r="AN123" s="138" t="n"/>
      <c r="AO123" s="138" t="n">
        <v>2</v>
      </c>
      <c r="AP123" s="138" t="n"/>
      <c r="AQ123" s="138" t="n"/>
      <c r="AR123" s="138" t="n"/>
      <c r="AS123" s="138" t="n"/>
      <c r="AT123" s="138" t="n"/>
      <c r="AU123" s="138" t="n"/>
      <c r="AV123" s="138" t="n"/>
      <c r="AW123" s="138" t="n"/>
      <c r="AX123" s="138" t="n"/>
      <c r="AY123" s="138" t="n">
        <v>6</v>
      </c>
      <c r="AZ123" s="138" t="n">
        <v>2</v>
      </c>
      <c r="BA123" s="138" t="n"/>
      <c r="BB123" s="138" t="n">
        <v>6</v>
      </c>
      <c r="BC123" s="138" t="n"/>
      <c r="BD123" s="138" t="n"/>
      <c r="BE123" s="138" t="n">
        <v>1</v>
      </c>
      <c r="BF123" s="138" t="n"/>
      <c r="BG123" s="138" t="n"/>
      <c r="BH123" s="138" t="n">
        <v>20</v>
      </c>
      <c r="BI123" s="138" t="n"/>
      <c r="BJ123" s="138" t="n">
        <v>2</v>
      </c>
      <c r="BK123" s="138" t="n"/>
      <c r="BL123" s="138" t="n"/>
      <c r="BM123" s="138" t="n"/>
      <c r="BN123" s="138" t="n"/>
      <c r="BO123" s="138" t="n"/>
      <c r="BP123" s="138" t="n"/>
      <c r="BQ123" s="138" t="n"/>
      <c r="BR123" s="138" t="n"/>
      <c r="BS123" s="138" t="n"/>
      <c r="BT123" s="138" t="n"/>
      <c r="BU123" s="138" t="n"/>
      <c r="BV123" s="138" t="n"/>
      <c r="BW123" s="138" t="n"/>
      <c r="BX123" s="138" t="n"/>
      <c r="BY123" s="138" t="n"/>
      <c r="BZ123" s="138" t="n"/>
      <c r="CA123" s="138" t="n">
        <v>0</v>
      </c>
      <c r="CB123" s="138" t="n"/>
      <c r="CC123" s="138" t="n">
        <v>30</v>
      </c>
      <c r="CD123" s="138" t="n"/>
      <c r="CE123" s="138" t="n">
        <v>10</v>
      </c>
      <c r="CF123" s="139" t="n">
        <v>114</v>
      </c>
    </row>
    <row r="124" ht="13.5" customHeight="1">
      <c r="A124" s="144" t="inlineStr">
        <is>
          <t>1647-2</t>
        </is>
      </c>
      <c r="B124" s="144" t="inlineStr">
        <is>
          <t>中玉とまと 200g (さんぶ)</t>
        </is>
      </c>
      <c r="C124" s="138" t="inlineStr">
        <is>
          <t>こもの</t>
        </is>
      </c>
      <c r="D124" s="138" t="n"/>
      <c r="E124" s="138" t="n"/>
      <c r="F124" s="138" t="n"/>
      <c r="G124" s="138" t="n"/>
      <c r="H124" s="138" t="n"/>
      <c r="I124" s="138" t="n"/>
      <c r="J124" s="138" t="n">
        <v>5</v>
      </c>
      <c r="K124" s="138" t="n"/>
      <c r="L124" s="138" t="n"/>
      <c r="M124" s="138" t="n"/>
      <c r="N124" s="138" t="n"/>
      <c r="O124" s="138" t="n"/>
      <c r="P124" s="138" t="n"/>
      <c r="Q124" s="138" t="n"/>
      <c r="R124" s="138" t="n"/>
      <c r="S124" s="138" t="n">
        <v>10</v>
      </c>
      <c r="T124" s="138" t="n"/>
      <c r="U124" s="138" t="n"/>
      <c r="V124" s="138" t="n"/>
      <c r="W124" s="138" t="n"/>
      <c r="X124" s="138" t="n"/>
      <c r="Y124" s="138" t="n"/>
      <c r="Z124" s="138" t="n"/>
      <c r="AA124" s="138" t="n"/>
      <c r="AB124" s="138" t="n"/>
      <c r="AC124" s="138" t="n"/>
      <c r="AD124" s="138" t="n">
        <v>4</v>
      </c>
      <c r="AE124" s="138" t="n"/>
      <c r="AF124" s="138" t="n">
        <v>3</v>
      </c>
      <c r="AG124" s="138" t="n"/>
      <c r="AH124" s="138" t="n"/>
      <c r="AI124" s="138" t="n"/>
      <c r="AJ124" s="138" t="n"/>
      <c r="AK124" s="138" t="n"/>
      <c r="AL124" s="138" t="n"/>
      <c r="AM124" s="138" t="n"/>
      <c r="AN124" s="138" t="n"/>
      <c r="AO124" s="138" t="n"/>
      <c r="AP124" s="138" t="n"/>
      <c r="AQ124" s="138" t="n"/>
      <c r="AR124" s="138" t="n"/>
      <c r="AS124" s="138" t="n"/>
      <c r="AT124" s="138" t="n">
        <v>1</v>
      </c>
      <c r="AU124" s="138" t="n">
        <v>6</v>
      </c>
      <c r="AV124" s="138" t="n"/>
      <c r="AW124" s="138" t="n"/>
      <c r="AX124" s="138" t="n">
        <v>4</v>
      </c>
      <c r="AY124" s="138" t="n">
        <v>7</v>
      </c>
      <c r="AZ124" s="138" t="n"/>
      <c r="BA124" s="138" t="n"/>
      <c r="BB124" s="138" t="n"/>
      <c r="BC124" s="138" t="n"/>
      <c r="BD124" s="138" t="n"/>
      <c r="BE124" s="138" t="n">
        <v>1</v>
      </c>
      <c r="BF124" s="138" t="n"/>
      <c r="BG124" s="138" t="n"/>
      <c r="BH124" s="138" t="n"/>
      <c r="BI124" s="138" t="n"/>
      <c r="BJ124" s="138" t="n"/>
      <c r="BK124" s="138" t="n"/>
      <c r="BL124" s="138" t="n"/>
      <c r="BM124" s="138" t="n"/>
      <c r="BN124" s="138" t="n"/>
      <c r="BO124" s="138" t="n"/>
      <c r="BP124" s="138" t="n"/>
      <c r="BQ124" s="138" t="n"/>
      <c r="BR124" s="138" t="n"/>
      <c r="BS124" s="138" t="n"/>
      <c r="BT124" s="138" t="n"/>
      <c r="BU124" s="138" t="n"/>
      <c r="BV124" s="138" t="n"/>
      <c r="BW124" s="138" t="n"/>
      <c r="BX124" s="138" t="n"/>
      <c r="BY124" s="138" t="n"/>
      <c r="BZ124" s="138" t="n"/>
      <c r="CA124" s="138" t="n"/>
      <c r="CB124" s="138" t="n"/>
      <c r="CC124" s="138" t="n"/>
      <c r="CD124" s="138" t="n"/>
      <c r="CE124" s="138" t="n"/>
      <c r="CF124" s="139" t="n">
        <v>41</v>
      </c>
    </row>
    <row r="125" ht="13.5" customHeight="1">
      <c r="A125" s="144" t="inlineStr">
        <is>
          <t>1647-50</t>
        </is>
      </c>
      <c r="B125" s="144" t="inlineStr">
        <is>
          <t>中玉トマト 250g (沃土会)</t>
        </is>
      </c>
      <c r="C125" s="138" t="inlineStr">
        <is>
          <t>こもの</t>
        </is>
      </c>
      <c r="D125" s="138" t="n"/>
      <c r="E125" s="138" t="n"/>
      <c r="F125" s="138" t="n"/>
      <c r="G125" s="138" t="n"/>
      <c r="H125" s="138" t="n"/>
      <c r="I125" s="138" t="n"/>
      <c r="J125" s="138" t="n"/>
      <c r="K125" s="138" t="n"/>
      <c r="L125" s="138" t="n"/>
      <c r="M125" s="138" t="n"/>
      <c r="N125" s="138" t="n"/>
      <c r="O125" s="138" t="n"/>
      <c r="P125" s="138" t="n"/>
      <c r="Q125" s="138" t="n"/>
      <c r="R125" s="138" t="n"/>
      <c r="S125" s="138" t="n"/>
      <c r="T125" s="138" t="n"/>
      <c r="U125" s="138" t="n"/>
      <c r="V125" s="138" t="n"/>
      <c r="W125" s="138" t="n"/>
      <c r="X125" s="138" t="n"/>
      <c r="Y125" s="138" t="n"/>
      <c r="Z125" s="138" t="n"/>
      <c r="AA125" s="138" t="n"/>
      <c r="AB125" s="138" t="n"/>
      <c r="AC125" s="138" t="n"/>
      <c r="AD125" s="138" t="n"/>
      <c r="AE125" s="138" t="n"/>
      <c r="AF125" s="138" t="n"/>
      <c r="AG125" s="138" t="n"/>
      <c r="AH125" s="138" t="n"/>
      <c r="AI125" s="138" t="n"/>
      <c r="AJ125" s="138" t="n"/>
      <c r="AK125" s="138" t="n"/>
      <c r="AL125" s="138" t="n"/>
      <c r="AM125" s="138" t="n"/>
      <c r="AN125" s="138" t="n"/>
      <c r="AO125" s="138" t="n"/>
      <c r="AP125" s="138" t="n"/>
      <c r="AQ125" s="138" t="n"/>
      <c r="AR125" s="138" t="n"/>
      <c r="AS125" s="138" t="n"/>
      <c r="AT125" s="138" t="n"/>
      <c r="AU125" s="138" t="n"/>
      <c r="AV125" s="138" t="n"/>
      <c r="AW125" s="138" t="n"/>
      <c r="AX125" s="138" t="n"/>
      <c r="AY125" s="138" t="n"/>
      <c r="AZ125" s="138" t="n"/>
      <c r="BA125" s="138" t="n"/>
      <c r="BB125" s="138" t="n"/>
      <c r="BC125" s="138" t="n"/>
      <c r="BD125" s="138" t="n"/>
      <c r="BE125" s="138" t="n"/>
      <c r="BF125" s="138" t="n"/>
      <c r="BG125" s="138" t="n"/>
      <c r="BH125" s="138" t="n"/>
      <c r="BI125" s="138" t="n"/>
      <c r="BJ125" s="138" t="n"/>
      <c r="BK125" s="138" t="n"/>
      <c r="BL125" s="138" t="n"/>
      <c r="BM125" s="138" t="n"/>
      <c r="BN125" s="138" t="n"/>
      <c r="BO125" s="138" t="n"/>
      <c r="BP125" s="138" t="n"/>
      <c r="BQ125" s="138" t="n"/>
      <c r="BR125" s="138" t="n"/>
      <c r="BS125" s="138" t="n"/>
      <c r="BT125" s="138" t="n"/>
      <c r="BU125" s="138" t="n"/>
      <c r="BV125" s="138" t="n"/>
      <c r="BW125" s="138" t="n"/>
      <c r="BX125" s="138" t="n"/>
      <c r="BY125" s="138" t="n"/>
      <c r="BZ125" s="138" t="n"/>
      <c r="CA125" s="138" t="n">
        <v>10</v>
      </c>
      <c r="CB125" s="138" t="n"/>
      <c r="CC125" s="138" t="n">
        <v>4</v>
      </c>
      <c r="CD125" s="138" t="n"/>
      <c r="CE125" s="138" t="n">
        <v>6</v>
      </c>
      <c r="CF125" s="139" t="n">
        <v>20</v>
      </c>
    </row>
    <row r="126" ht="13.5" customHeight="1">
      <c r="A126" s="144" t="inlineStr">
        <is>
          <t>1654-75</t>
        </is>
      </c>
      <c r="B126" s="144" t="inlineStr">
        <is>
          <t>有機ピーマン　150g（SOHﾌｧｰﾑ）◇</t>
        </is>
      </c>
      <c r="C126" s="138" t="inlineStr">
        <is>
          <t>こもの</t>
        </is>
      </c>
      <c r="D126" s="138" t="n">
        <v>5</v>
      </c>
      <c r="E126" s="138" t="n">
        <v>5</v>
      </c>
      <c r="F126" s="138" t="n"/>
      <c r="G126" s="138" t="n"/>
      <c r="H126" s="138" t="n"/>
      <c r="I126" s="138" t="n"/>
      <c r="J126" s="138" t="n">
        <v>10</v>
      </c>
      <c r="K126" s="138" t="n"/>
      <c r="L126" s="138" t="n"/>
      <c r="M126" s="138" t="n"/>
      <c r="N126" s="138" t="n">
        <v>4</v>
      </c>
      <c r="O126" s="138" t="n"/>
      <c r="P126" s="138" t="n">
        <v>5</v>
      </c>
      <c r="Q126" s="138" t="n"/>
      <c r="R126" s="138" t="n">
        <v>10</v>
      </c>
      <c r="S126" s="138" t="n"/>
      <c r="T126" s="138" t="n"/>
      <c r="U126" s="138" t="n">
        <v>4</v>
      </c>
      <c r="V126" s="138" t="n">
        <v>6</v>
      </c>
      <c r="W126" s="138" t="n">
        <v>6</v>
      </c>
      <c r="X126" s="138" t="n">
        <v>4</v>
      </c>
      <c r="Y126" s="138" t="n">
        <v>5</v>
      </c>
      <c r="Z126" s="138" t="n">
        <v>6</v>
      </c>
      <c r="AA126" s="138" t="n"/>
      <c r="AB126" s="138" t="n">
        <v>4</v>
      </c>
      <c r="AC126" s="138" t="n">
        <v>5</v>
      </c>
      <c r="AD126" s="138" t="n">
        <v>8</v>
      </c>
      <c r="AE126" s="138" t="n"/>
      <c r="AF126" s="138" t="n">
        <v>10</v>
      </c>
      <c r="AG126" s="138" t="n">
        <v>5</v>
      </c>
      <c r="AH126" s="138" t="n"/>
      <c r="AI126" s="138" t="n"/>
      <c r="AJ126" s="138" t="n">
        <v>6</v>
      </c>
      <c r="AK126" s="138" t="n"/>
      <c r="AL126" s="138" t="n"/>
      <c r="AM126" s="138" t="n"/>
      <c r="AN126" s="138" t="n"/>
      <c r="AO126" s="138" t="n">
        <v>4</v>
      </c>
      <c r="AP126" s="138" t="n"/>
      <c r="AQ126" s="138" t="n"/>
      <c r="AR126" s="138" t="n"/>
      <c r="AS126" s="138" t="n">
        <v>5</v>
      </c>
      <c r="AT126" s="138" t="n">
        <v>5</v>
      </c>
      <c r="AU126" s="138" t="n"/>
      <c r="AV126" s="138" t="n"/>
      <c r="AW126" s="138" t="n">
        <v>10</v>
      </c>
      <c r="AX126" s="138" t="n">
        <v>12</v>
      </c>
      <c r="AY126" s="138" t="n"/>
      <c r="AZ126" s="138" t="n">
        <v>5</v>
      </c>
      <c r="BA126" s="138" t="n"/>
      <c r="BB126" s="138" t="n">
        <v>6</v>
      </c>
      <c r="BC126" s="138" t="n"/>
      <c r="BD126" s="138" t="n">
        <v>5</v>
      </c>
      <c r="BE126" s="138" t="n">
        <v>2</v>
      </c>
      <c r="BF126" s="138" t="n"/>
      <c r="BG126" s="138" t="n">
        <v>6</v>
      </c>
      <c r="BH126" s="138" t="n"/>
      <c r="BI126" s="138" t="n"/>
      <c r="BJ126" s="138" t="n">
        <v>4</v>
      </c>
      <c r="BK126" s="138" t="n"/>
      <c r="BL126" s="138" t="n"/>
      <c r="BM126" s="138" t="n"/>
      <c r="BN126" s="138" t="n"/>
      <c r="BO126" s="138" t="n"/>
      <c r="BP126" s="138" t="n"/>
      <c r="BQ126" s="138" t="n"/>
      <c r="BR126" s="138" t="n"/>
      <c r="BS126" s="138" t="n"/>
      <c r="BT126" s="138" t="n"/>
      <c r="BU126" s="138" t="n"/>
      <c r="BV126" s="138" t="n"/>
      <c r="BW126" s="138" t="n">
        <v>6</v>
      </c>
      <c r="BX126" s="138" t="n"/>
      <c r="BY126" s="138" t="n"/>
      <c r="BZ126" s="138" t="n"/>
      <c r="CA126" s="138" t="n"/>
      <c r="CB126" s="138" t="n"/>
      <c r="CC126" s="138" t="n">
        <v>40</v>
      </c>
      <c r="CD126" s="138" t="n"/>
      <c r="CE126" s="138" t="n">
        <v>10</v>
      </c>
      <c r="CF126" s="139" t="n">
        <v>228</v>
      </c>
    </row>
    <row r="127" ht="13.5" customHeight="1">
      <c r="A127" s="144" t="inlineStr">
        <is>
          <t>1660-5</t>
        </is>
      </c>
      <c r="B127" s="144" t="inlineStr">
        <is>
          <t>イエローミニトマト　150ｇ(沃土会)</t>
        </is>
      </c>
      <c r="C127" s="138" t="inlineStr">
        <is>
          <t>こもの</t>
        </is>
      </c>
      <c r="D127" s="138" t="n"/>
      <c r="E127" s="138" t="n"/>
      <c r="F127" s="138" t="n"/>
      <c r="G127" s="138" t="n"/>
      <c r="H127" s="138" t="n">
        <v>2</v>
      </c>
      <c r="I127" s="138" t="n"/>
      <c r="J127" s="138" t="n"/>
      <c r="K127" s="138" t="n">
        <v>10</v>
      </c>
      <c r="L127" s="138" t="n"/>
      <c r="M127" s="138" t="n"/>
      <c r="N127" s="138" t="n"/>
      <c r="O127" s="138" t="n"/>
      <c r="P127" s="138" t="n"/>
      <c r="Q127" s="138" t="n"/>
      <c r="R127" s="138" t="n"/>
      <c r="S127" s="138" t="n"/>
      <c r="T127" s="138" t="n"/>
      <c r="U127" s="138" t="n"/>
      <c r="V127" s="138" t="n"/>
      <c r="W127" s="138" t="n"/>
      <c r="X127" s="138" t="n"/>
      <c r="Y127" s="138" t="n"/>
      <c r="Z127" s="138" t="n"/>
      <c r="AA127" s="138" t="n"/>
      <c r="AB127" s="138" t="n"/>
      <c r="AC127" s="138" t="n"/>
      <c r="AD127" s="138" t="n"/>
      <c r="AE127" s="138" t="n"/>
      <c r="AF127" s="138" t="n"/>
      <c r="AG127" s="138" t="n"/>
      <c r="AH127" s="138" t="n"/>
      <c r="AI127" s="138" t="n"/>
      <c r="AJ127" s="138" t="n"/>
      <c r="AK127" s="138" t="n"/>
      <c r="AL127" s="138" t="n"/>
      <c r="AM127" s="138" t="n"/>
      <c r="AN127" s="138" t="n"/>
      <c r="AO127" s="138" t="n"/>
      <c r="AP127" s="138" t="n"/>
      <c r="AQ127" s="138" t="n"/>
      <c r="AR127" s="138" t="n"/>
      <c r="AS127" s="138" t="n"/>
      <c r="AT127" s="138" t="n"/>
      <c r="AU127" s="138" t="n"/>
      <c r="AV127" s="138" t="n"/>
      <c r="AW127" s="138" t="n"/>
      <c r="AX127" s="138" t="n"/>
      <c r="AY127" s="138" t="n"/>
      <c r="AZ127" s="138" t="n"/>
      <c r="BA127" s="138" t="n"/>
      <c r="BB127" s="138" t="n"/>
      <c r="BC127" s="138" t="n"/>
      <c r="BD127" s="138" t="n"/>
      <c r="BE127" s="138" t="n"/>
      <c r="BF127" s="138" t="n"/>
      <c r="BG127" s="138" t="n"/>
      <c r="BH127" s="138" t="n"/>
      <c r="BI127" s="138" t="n"/>
      <c r="BJ127" s="138" t="n"/>
      <c r="BK127" s="138" t="n"/>
      <c r="BL127" s="138" t="n"/>
      <c r="BM127" s="138" t="n"/>
      <c r="BN127" s="138" t="n"/>
      <c r="BO127" s="138" t="n"/>
      <c r="BP127" s="138" t="n"/>
      <c r="BQ127" s="138" t="n"/>
      <c r="BR127" s="138" t="n"/>
      <c r="BS127" s="138" t="n"/>
      <c r="BT127" s="138" t="n"/>
      <c r="BU127" s="138" t="n"/>
      <c r="BV127" s="138" t="n"/>
      <c r="BW127" s="138" t="n"/>
      <c r="BX127" s="138" t="n"/>
      <c r="BY127" s="138" t="n"/>
      <c r="BZ127" s="138" t="n"/>
      <c r="CA127" s="138" t="n"/>
      <c r="CB127" s="138" t="n"/>
      <c r="CC127" s="138" t="n">
        <v>5</v>
      </c>
      <c r="CD127" s="138" t="n"/>
      <c r="CE127" s="138" t="n"/>
      <c r="CF127" s="139" t="n">
        <v>17</v>
      </c>
    </row>
    <row r="128" ht="13.5" customHeight="1">
      <c r="A128" s="144" t="inlineStr">
        <is>
          <t>1661-15</t>
        </is>
      </c>
      <c r="B128" s="144" t="inlineStr">
        <is>
          <t>パプリカ　１個袋200ｇ(高生連)</t>
        </is>
      </c>
      <c r="C128" s="138" t="inlineStr">
        <is>
          <t>こもの</t>
        </is>
      </c>
      <c r="D128" s="138" t="n"/>
      <c r="E128" s="138" t="n"/>
      <c r="F128" s="138" t="n"/>
      <c r="G128" s="138" t="n"/>
      <c r="H128" s="138" t="n"/>
      <c r="I128" s="138" t="n"/>
      <c r="J128" s="138" t="n"/>
      <c r="K128" s="138" t="n"/>
      <c r="L128" s="138" t="n"/>
      <c r="M128" s="138" t="n"/>
      <c r="N128" s="138" t="n"/>
      <c r="O128" s="138" t="n"/>
      <c r="P128" s="138" t="n"/>
      <c r="Q128" s="138" t="n"/>
      <c r="R128" s="138" t="n"/>
      <c r="S128" s="138" t="n"/>
      <c r="T128" s="138" t="n"/>
      <c r="U128" s="138" t="n"/>
      <c r="V128" s="138" t="n"/>
      <c r="W128" s="138" t="n"/>
      <c r="X128" s="138" t="n"/>
      <c r="Y128" s="138" t="n"/>
      <c r="Z128" s="138" t="n"/>
      <c r="AA128" s="138" t="n"/>
      <c r="AB128" s="138" t="n"/>
      <c r="AC128" s="138" t="n"/>
      <c r="AD128" s="138" t="n"/>
      <c r="AE128" s="138" t="n"/>
      <c r="AF128" s="138" t="n"/>
      <c r="AG128" s="138" t="n"/>
      <c r="AH128" s="138" t="n"/>
      <c r="AI128" s="138" t="n"/>
      <c r="AJ128" s="138" t="n"/>
      <c r="AK128" s="138" t="n"/>
      <c r="AL128" s="138" t="n"/>
      <c r="AM128" s="138" t="n"/>
      <c r="AN128" s="138" t="n"/>
      <c r="AO128" s="138" t="n"/>
      <c r="AP128" s="138" t="n"/>
      <c r="AQ128" s="138" t="n"/>
      <c r="AR128" s="138" t="n"/>
      <c r="AS128" s="138" t="n"/>
      <c r="AT128" s="138" t="n"/>
      <c r="AU128" s="138" t="n"/>
      <c r="AV128" s="138" t="n"/>
      <c r="AW128" s="138" t="n"/>
      <c r="AX128" s="138" t="n"/>
      <c r="AY128" s="138" t="n"/>
      <c r="AZ128" s="138" t="n"/>
      <c r="BA128" s="138" t="n"/>
      <c r="BB128" s="138" t="n"/>
      <c r="BC128" s="138" t="n"/>
      <c r="BD128" s="138" t="n"/>
      <c r="BE128" s="138" t="n"/>
      <c r="BF128" s="138" t="n"/>
      <c r="BG128" s="138" t="n"/>
      <c r="BH128" s="138" t="n"/>
      <c r="BI128" s="138" t="n"/>
      <c r="BJ128" s="138" t="n"/>
      <c r="BK128" s="138" t="n"/>
      <c r="BL128" s="138" t="n"/>
      <c r="BM128" s="138" t="n"/>
      <c r="BN128" s="138" t="n"/>
      <c r="BO128" s="138" t="n"/>
      <c r="BP128" s="138" t="n"/>
      <c r="BQ128" s="138" t="n"/>
      <c r="BR128" s="138" t="n"/>
      <c r="BS128" s="138" t="n"/>
      <c r="BT128" s="138" t="n"/>
      <c r="BU128" s="138" t="n"/>
      <c r="BV128" s="138" t="n"/>
      <c r="BW128" s="138" t="n"/>
      <c r="BX128" s="138" t="n"/>
      <c r="BY128" s="138" t="n"/>
      <c r="BZ128" s="138" t="n"/>
      <c r="CA128" s="138" t="n">
        <v>5</v>
      </c>
      <c r="CB128" s="138" t="n"/>
      <c r="CC128" s="138" t="n"/>
      <c r="CD128" s="138" t="n"/>
      <c r="CE128" s="138" t="n">
        <v>3</v>
      </c>
      <c r="CF128" s="139" t="n">
        <v>8</v>
      </c>
    </row>
    <row r="129" ht="13.5" customHeight="1">
      <c r="A129" s="144" t="inlineStr">
        <is>
          <t>1684-94</t>
        </is>
      </c>
      <c r="B129" s="144" t="inlineStr">
        <is>
          <t>スイートコーン　１本袋(高生連)</t>
        </is>
      </c>
      <c r="C129" s="138" t="inlineStr">
        <is>
          <t>こもの</t>
        </is>
      </c>
      <c r="D129" s="138" t="n"/>
      <c r="E129" s="138" t="n"/>
      <c r="F129" s="138" t="n"/>
      <c r="G129" s="138" t="n"/>
      <c r="H129" s="138" t="n"/>
      <c r="I129" s="138" t="n"/>
      <c r="J129" s="138" t="n"/>
      <c r="K129" s="138" t="n"/>
      <c r="L129" s="138" t="n"/>
      <c r="M129" s="138" t="n"/>
      <c r="N129" s="138" t="n"/>
      <c r="O129" s="138" t="n"/>
      <c r="P129" s="138" t="n"/>
      <c r="Q129" s="138" t="n"/>
      <c r="R129" s="138" t="n"/>
      <c r="S129" s="138" t="n"/>
      <c r="T129" s="138" t="n"/>
      <c r="U129" s="138" t="n"/>
      <c r="V129" s="138" t="n"/>
      <c r="W129" s="138" t="n"/>
      <c r="X129" s="138" t="n"/>
      <c r="Y129" s="138" t="n"/>
      <c r="Z129" s="138" t="n"/>
      <c r="AA129" s="138" t="n"/>
      <c r="AB129" s="138" t="n"/>
      <c r="AC129" s="138" t="n"/>
      <c r="AD129" s="138" t="n"/>
      <c r="AE129" s="138" t="n"/>
      <c r="AF129" s="138" t="n"/>
      <c r="AG129" s="138" t="n"/>
      <c r="AH129" s="138" t="n"/>
      <c r="AI129" s="138" t="n"/>
      <c r="AJ129" s="138" t="n"/>
      <c r="AK129" s="138" t="n"/>
      <c r="AL129" s="138" t="n"/>
      <c r="AM129" s="138" t="n"/>
      <c r="AN129" s="138" t="n"/>
      <c r="AO129" s="138" t="n"/>
      <c r="AP129" s="138" t="n"/>
      <c r="AQ129" s="138" t="n"/>
      <c r="AR129" s="138" t="n"/>
      <c r="AS129" s="138" t="n"/>
      <c r="AT129" s="138" t="n"/>
      <c r="AU129" s="138" t="n"/>
      <c r="AV129" s="138" t="n"/>
      <c r="AW129" s="138" t="n"/>
      <c r="AX129" s="138" t="n"/>
      <c r="AY129" s="138" t="n"/>
      <c r="AZ129" s="138" t="n"/>
      <c r="BA129" s="138" t="n"/>
      <c r="BB129" s="138" t="n"/>
      <c r="BC129" s="138" t="n"/>
      <c r="BD129" s="138" t="n"/>
      <c r="BE129" s="138" t="n"/>
      <c r="BF129" s="138" t="n"/>
      <c r="BG129" s="138" t="n"/>
      <c r="BH129" s="138" t="n"/>
      <c r="BI129" s="138" t="n"/>
      <c r="BJ129" s="138" t="n"/>
      <c r="BK129" s="138" t="n"/>
      <c r="BL129" s="138" t="n"/>
      <c r="BM129" s="138" t="n"/>
      <c r="BN129" s="138" t="n"/>
      <c r="BO129" s="138" t="n"/>
      <c r="BP129" s="138" t="n"/>
      <c r="BQ129" s="138" t="n"/>
      <c r="BR129" s="138" t="n"/>
      <c r="BS129" s="138" t="n"/>
      <c r="BT129" s="138" t="n"/>
      <c r="BU129" s="138" t="n"/>
      <c r="BV129" s="138" t="n"/>
      <c r="BW129" s="138" t="n"/>
      <c r="BX129" s="138" t="n"/>
      <c r="BY129" s="138" t="n"/>
      <c r="BZ129" s="138" t="n"/>
      <c r="CA129" s="138" t="n">
        <v>0</v>
      </c>
      <c r="CB129" s="138" t="n"/>
      <c r="CC129" s="138" t="n"/>
      <c r="CD129" s="138" t="n"/>
      <c r="CE129" s="138" t="n"/>
      <c r="CF129" s="139" t="n">
        <v>0</v>
      </c>
    </row>
    <row r="130" ht="13.5" customHeight="1">
      <c r="A130" s="144" t="inlineStr">
        <is>
          <t>1707-103</t>
        </is>
      </c>
      <c r="B130" s="144" t="inlineStr">
        <is>
          <t>有機ズッキーニ緑 １本袋(キテレツ)◇</t>
        </is>
      </c>
      <c r="C130" s="138" t="inlineStr">
        <is>
          <t>こもの</t>
        </is>
      </c>
      <c r="D130" s="138" t="n">
        <v>3</v>
      </c>
      <c r="E130" s="138" t="n">
        <v>2</v>
      </c>
      <c r="F130" s="138" t="n">
        <v>10</v>
      </c>
      <c r="G130" s="138" t="n">
        <v>4</v>
      </c>
      <c r="H130" s="138" t="n">
        <v>2</v>
      </c>
      <c r="I130" s="138" t="n"/>
      <c r="J130" s="138" t="n">
        <v>8</v>
      </c>
      <c r="K130" s="138" t="n">
        <v>10</v>
      </c>
      <c r="L130" s="138" t="n"/>
      <c r="M130" s="138" t="n"/>
      <c r="N130" s="138" t="n"/>
      <c r="O130" s="138" t="n"/>
      <c r="P130" s="138" t="n"/>
      <c r="Q130" s="138" t="n"/>
      <c r="R130" s="138" t="n"/>
      <c r="S130" s="138" t="n"/>
      <c r="T130" s="138" t="n"/>
      <c r="U130" s="138" t="n">
        <v>4</v>
      </c>
      <c r="V130" s="138" t="n"/>
      <c r="W130" s="138" t="n"/>
      <c r="X130" s="138" t="n"/>
      <c r="Y130" s="138" t="n"/>
      <c r="Z130" s="138" t="n"/>
      <c r="AA130" s="138" t="n"/>
      <c r="AB130" s="138" t="n"/>
      <c r="AC130" s="138" t="n">
        <v>5</v>
      </c>
      <c r="AD130" s="138" t="n"/>
      <c r="AE130" s="138" t="n"/>
      <c r="AF130" s="138" t="n"/>
      <c r="AG130" s="138" t="n"/>
      <c r="AH130" s="138" t="n">
        <v>8</v>
      </c>
      <c r="AI130" s="138" t="n"/>
      <c r="AJ130" s="138" t="n"/>
      <c r="AK130" s="138" t="n"/>
      <c r="AL130" s="138" t="n">
        <v>3</v>
      </c>
      <c r="AM130" s="138" t="n"/>
      <c r="AN130" s="138" t="n"/>
      <c r="AO130" s="138" t="n">
        <v>2</v>
      </c>
      <c r="AP130" s="138" t="n"/>
      <c r="AQ130" s="138" t="n"/>
      <c r="AR130" s="138" t="n"/>
      <c r="AS130" s="138" t="n"/>
      <c r="AT130" s="138" t="n"/>
      <c r="AU130" s="138" t="n">
        <v>5</v>
      </c>
      <c r="AV130" s="138" t="n">
        <v>6</v>
      </c>
      <c r="AW130" s="138" t="n"/>
      <c r="AX130" s="138" t="n"/>
      <c r="AY130" s="138" t="n"/>
      <c r="AZ130" s="138" t="n">
        <v>2</v>
      </c>
      <c r="BA130" s="138" t="n">
        <v>5</v>
      </c>
      <c r="BB130" s="138" t="n"/>
      <c r="BC130" s="138" t="n"/>
      <c r="BD130" s="138" t="n"/>
      <c r="BE130" s="138" t="n">
        <v>1</v>
      </c>
      <c r="BF130" s="138" t="n">
        <v>2</v>
      </c>
      <c r="BG130" s="138" t="n"/>
      <c r="BH130" s="138" t="n"/>
      <c r="BI130" s="138" t="n"/>
      <c r="BJ130" s="138" t="n"/>
      <c r="BK130" s="138" t="n"/>
      <c r="BL130" s="138" t="n"/>
      <c r="BM130" s="138" t="n"/>
      <c r="BN130" s="138" t="n"/>
      <c r="BO130" s="138" t="n"/>
      <c r="BP130" s="138" t="n"/>
      <c r="BQ130" s="138" t="n"/>
      <c r="BR130" s="138" t="n"/>
      <c r="BS130" s="138" t="n"/>
      <c r="BT130" s="138" t="n"/>
      <c r="BU130" s="138" t="n"/>
      <c r="BV130" s="138" t="n"/>
      <c r="BW130" s="138" t="n">
        <v>8</v>
      </c>
      <c r="BX130" s="138" t="n"/>
      <c r="BY130" s="138" t="n"/>
      <c r="BZ130" s="138" t="n"/>
      <c r="CA130" s="138" t="n"/>
      <c r="CB130" s="138" t="n"/>
      <c r="CC130" s="138" t="n"/>
      <c r="CD130" s="138" t="n">
        <v>6</v>
      </c>
      <c r="CE130" s="138" t="n">
        <v>10</v>
      </c>
      <c r="CF130" s="139" t="n">
        <v>106</v>
      </c>
    </row>
    <row r="131" ht="13.5" customHeight="1">
      <c r="A131" s="144" t="inlineStr">
        <is>
          <t>1707-127</t>
        </is>
      </c>
      <c r="B131" s="144" t="inlineStr">
        <is>
          <t>ズッキーニ １本袋（沃土会)不不</t>
        </is>
      </c>
      <c r="C131" s="138" t="inlineStr">
        <is>
          <t>こもの</t>
        </is>
      </c>
      <c r="D131" s="138" t="n"/>
      <c r="E131" s="138" t="n"/>
      <c r="F131" s="138" t="n"/>
      <c r="G131" s="138" t="n"/>
      <c r="H131" s="138" t="n"/>
      <c r="I131" s="138" t="n"/>
      <c r="J131" s="138" t="n"/>
      <c r="K131" s="138" t="n"/>
      <c r="L131" s="138" t="n"/>
      <c r="M131" s="138" t="n"/>
      <c r="N131" s="138" t="n"/>
      <c r="O131" s="138" t="n"/>
      <c r="P131" s="138" t="n"/>
      <c r="Q131" s="138" t="n"/>
      <c r="R131" s="138" t="n"/>
      <c r="S131" s="138" t="n"/>
      <c r="T131" s="138" t="n"/>
      <c r="U131" s="138" t="n"/>
      <c r="V131" s="138" t="n"/>
      <c r="W131" s="138" t="n"/>
      <c r="X131" s="138" t="n"/>
      <c r="Y131" s="138" t="n"/>
      <c r="Z131" s="138" t="n"/>
      <c r="AA131" s="138" t="n"/>
      <c r="AB131" s="138" t="n"/>
      <c r="AC131" s="138" t="n"/>
      <c r="AD131" s="138" t="n"/>
      <c r="AE131" s="138" t="n"/>
      <c r="AF131" s="138" t="n"/>
      <c r="AG131" s="138" t="n"/>
      <c r="AH131" s="138" t="n"/>
      <c r="AI131" s="138" t="n"/>
      <c r="AJ131" s="138" t="n"/>
      <c r="AK131" s="138" t="n"/>
      <c r="AL131" s="138" t="n"/>
      <c r="AM131" s="138" t="n"/>
      <c r="AN131" s="138" t="n"/>
      <c r="AO131" s="138" t="n"/>
      <c r="AP131" s="138" t="n"/>
      <c r="AQ131" s="138" t="n"/>
      <c r="AR131" s="138" t="n"/>
      <c r="AS131" s="138" t="n"/>
      <c r="AT131" s="138" t="n"/>
      <c r="AU131" s="138" t="n"/>
      <c r="AV131" s="138" t="n"/>
      <c r="AW131" s="138" t="n"/>
      <c r="AX131" s="138" t="n"/>
      <c r="AY131" s="138" t="n"/>
      <c r="AZ131" s="138" t="n"/>
      <c r="BA131" s="138" t="n"/>
      <c r="BB131" s="138" t="n"/>
      <c r="BC131" s="138" t="n"/>
      <c r="BD131" s="138" t="n"/>
      <c r="BE131" s="138" t="n"/>
      <c r="BF131" s="138" t="n"/>
      <c r="BG131" s="138" t="n"/>
      <c r="BH131" s="138" t="n"/>
      <c r="BI131" s="138" t="n"/>
      <c r="BJ131" s="138" t="n"/>
      <c r="BK131" s="138" t="n"/>
      <c r="BL131" s="138" t="n"/>
      <c r="BM131" s="138" t="n"/>
      <c r="BN131" s="138" t="n"/>
      <c r="BO131" s="138" t="n"/>
      <c r="BP131" s="138" t="n"/>
      <c r="BQ131" s="138" t="n"/>
      <c r="BR131" s="138" t="n"/>
      <c r="BS131" s="138" t="n"/>
      <c r="BT131" s="138" t="n"/>
      <c r="BU131" s="138" t="n"/>
      <c r="BV131" s="138" t="n"/>
      <c r="BW131" s="138" t="n"/>
      <c r="BX131" s="138" t="n"/>
      <c r="BY131" s="138" t="n"/>
      <c r="BZ131" s="138" t="n"/>
      <c r="CA131" s="138" t="n">
        <v>10</v>
      </c>
      <c r="CB131" s="138" t="n"/>
      <c r="CC131" s="138" t="n"/>
      <c r="CD131" s="138" t="n"/>
      <c r="CE131" s="138" t="n"/>
      <c r="CF131" s="139" t="n">
        <v>10</v>
      </c>
    </row>
    <row r="132" ht="13.5" customHeight="1">
      <c r="A132" s="144" t="inlineStr">
        <is>
          <t>1720-22</t>
        </is>
      </c>
      <c r="B132" s="144" t="inlineStr">
        <is>
          <t>枝豆　200g袋（さんぶ）</t>
        </is>
      </c>
      <c r="C132" s="138" t="inlineStr">
        <is>
          <t>こもの</t>
        </is>
      </c>
      <c r="D132" s="138" t="n"/>
      <c r="E132" s="138" t="n"/>
      <c r="F132" s="138" t="n"/>
      <c r="G132" s="138" t="n"/>
      <c r="H132" s="138" t="n"/>
      <c r="I132" s="138" t="n"/>
      <c r="J132" s="138" t="n"/>
      <c r="K132" s="138" t="n"/>
      <c r="L132" s="138" t="n"/>
      <c r="M132" s="138" t="n"/>
      <c r="N132" s="138" t="n"/>
      <c r="O132" s="138" t="n"/>
      <c r="P132" s="138" t="n"/>
      <c r="Q132" s="138" t="n"/>
      <c r="R132" s="138" t="n"/>
      <c r="S132" s="138" t="n"/>
      <c r="T132" s="138" t="n"/>
      <c r="U132" s="138" t="n"/>
      <c r="V132" s="138" t="n"/>
      <c r="W132" s="138" t="n"/>
      <c r="X132" s="138" t="n"/>
      <c r="Y132" s="138" t="n"/>
      <c r="Z132" s="138" t="n"/>
      <c r="AA132" s="138" t="n"/>
      <c r="AB132" s="138" t="n"/>
      <c r="AC132" s="138" t="n"/>
      <c r="AD132" s="138" t="n"/>
      <c r="AE132" s="138" t="n"/>
      <c r="AF132" s="138" t="n"/>
      <c r="AG132" s="138" t="n"/>
      <c r="AH132" s="138" t="n"/>
      <c r="AI132" s="138" t="n"/>
      <c r="AJ132" s="138" t="n"/>
      <c r="AK132" s="138" t="n"/>
      <c r="AL132" s="138" t="n"/>
      <c r="AM132" s="138" t="n"/>
      <c r="AN132" s="138" t="n"/>
      <c r="AO132" s="138" t="n"/>
      <c r="AP132" s="138" t="n"/>
      <c r="AQ132" s="138" t="n"/>
      <c r="AR132" s="138" t="n"/>
      <c r="AS132" s="138" t="n"/>
      <c r="AT132" s="138" t="n"/>
      <c r="AU132" s="138" t="n"/>
      <c r="AV132" s="138" t="n"/>
      <c r="AW132" s="138" t="n"/>
      <c r="AX132" s="138" t="n"/>
      <c r="AY132" s="138" t="n"/>
      <c r="AZ132" s="138" t="n"/>
      <c r="BA132" s="138" t="n"/>
      <c r="BB132" s="138" t="n"/>
      <c r="BC132" s="138" t="n"/>
      <c r="BD132" s="138" t="n"/>
      <c r="BE132" s="138" t="n"/>
      <c r="BF132" s="138" t="n"/>
      <c r="BG132" s="138" t="n"/>
      <c r="BH132" s="138" t="n"/>
      <c r="BI132" s="138" t="n"/>
      <c r="BJ132" s="138" t="n"/>
      <c r="BK132" s="138" t="n"/>
      <c r="BL132" s="138" t="n"/>
      <c r="BM132" s="138" t="n"/>
      <c r="BN132" s="138" t="n"/>
      <c r="BO132" s="138" t="n"/>
      <c r="BP132" s="138" t="n"/>
      <c r="BQ132" s="138" t="n"/>
      <c r="BR132" s="138" t="n"/>
      <c r="BS132" s="138" t="n"/>
      <c r="BT132" s="138" t="n"/>
      <c r="BU132" s="138" t="n"/>
      <c r="BV132" s="138" t="n"/>
      <c r="BW132" s="138" t="n"/>
      <c r="BX132" s="138" t="n"/>
      <c r="BY132" s="138" t="n"/>
      <c r="BZ132" s="138" t="n"/>
      <c r="CA132" s="138" t="n">
        <v>10</v>
      </c>
      <c r="CB132" s="138" t="n"/>
      <c r="CC132" s="138" t="n"/>
      <c r="CD132" s="138" t="n"/>
      <c r="CE132" s="138" t="n">
        <v>0</v>
      </c>
      <c r="CF132" s="139" t="n">
        <v>10</v>
      </c>
    </row>
    <row r="133" ht="13.5" customHeight="1">
      <c r="A133" s="144" t="inlineStr">
        <is>
          <t>1804-1</t>
        </is>
      </c>
      <c r="B133" s="144" t="inlineStr">
        <is>
          <t>しめじほぐし(ｶｯﾄぶなしめじ)　500ｇ(ﾐｽｽﾞ)</t>
        </is>
      </c>
      <c r="C133" s="138" t="inlineStr">
        <is>
          <t>こもの</t>
        </is>
      </c>
      <c r="D133" s="138" t="n"/>
      <c r="E133" s="138" t="n"/>
      <c r="F133" s="138" t="n"/>
      <c r="G133" s="138" t="n"/>
      <c r="H133" s="138" t="n"/>
      <c r="I133" s="138" t="n"/>
      <c r="J133" s="138" t="n"/>
      <c r="K133" s="138" t="n"/>
      <c r="L133" s="138" t="n"/>
      <c r="M133" s="138" t="n"/>
      <c r="N133" s="138" t="n"/>
      <c r="O133" s="138" t="n"/>
      <c r="P133" s="138" t="n"/>
      <c r="Q133" s="138" t="n"/>
      <c r="R133" s="138" t="n"/>
      <c r="S133" s="138" t="n"/>
      <c r="T133" s="138" t="n"/>
      <c r="U133" s="138" t="n"/>
      <c r="V133" s="138" t="n"/>
      <c r="W133" s="138" t="n"/>
      <c r="X133" s="138" t="n"/>
      <c r="Y133" s="138" t="n"/>
      <c r="Z133" s="138" t="n"/>
      <c r="AA133" s="138" t="n"/>
      <c r="AB133" s="138" t="n"/>
      <c r="AC133" s="138" t="n"/>
      <c r="AD133" s="138" t="n"/>
      <c r="AE133" s="138" t="n"/>
      <c r="AF133" s="138" t="n"/>
      <c r="AG133" s="138" t="n"/>
      <c r="AH133" s="138" t="n"/>
      <c r="AI133" s="138" t="n"/>
      <c r="AJ133" s="138" t="n"/>
      <c r="AK133" s="138" t="n"/>
      <c r="AL133" s="138" t="n"/>
      <c r="AM133" s="138" t="n"/>
      <c r="AN133" s="138" t="n"/>
      <c r="AO133" s="138" t="n"/>
      <c r="AP133" s="138" t="n"/>
      <c r="AQ133" s="138" t="n"/>
      <c r="AR133" s="138" t="n"/>
      <c r="AS133" s="138" t="n"/>
      <c r="AT133" s="138" t="n"/>
      <c r="AU133" s="138" t="n"/>
      <c r="AV133" s="138" t="n"/>
      <c r="AW133" s="138" t="n"/>
      <c r="AX133" s="138" t="n"/>
      <c r="AY133" s="138" t="n"/>
      <c r="AZ133" s="138" t="n"/>
      <c r="BA133" s="138" t="n"/>
      <c r="BB133" s="138" t="n"/>
      <c r="BC133" s="138" t="n"/>
      <c r="BD133" s="138" t="n"/>
      <c r="BE133" s="138" t="n"/>
      <c r="BF133" s="138" t="n"/>
      <c r="BG133" s="138" t="n"/>
      <c r="BH133" s="138" t="n"/>
      <c r="BI133" s="138" t="n"/>
      <c r="BJ133" s="138" t="n"/>
      <c r="BK133" s="138" t="n"/>
      <c r="BL133" s="138" t="n">
        <v>2</v>
      </c>
      <c r="BM133" s="138" t="n">
        <v>1</v>
      </c>
      <c r="BN133" s="138" t="n">
        <v>2</v>
      </c>
      <c r="BO133" s="138" t="n">
        <v>1</v>
      </c>
      <c r="BP133" s="138" t="n"/>
      <c r="BQ133" s="138" t="n"/>
      <c r="BR133" s="138" t="n"/>
      <c r="BS133" s="138" t="n"/>
      <c r="BT133" s="138" t="n"/>
      <c r="BU133" s="138" t="n"/>
      <c r="BV133" s="138" t="n"/>
      <c r="BW133" s="138" t="n"/>
      <c r="BX133" s="138" t="n"/>
      <c r="BY133" s="138" t="n"/>
      <c r="BZ133" s="138" t="n"/>
      <c r="CA133" s="138" t="n"/>
      <c r="CB133" s="138" t="n"/>
      <c r="CC133" s="138" t="n"/>
      <c r="CD133" s="138" t="n"/>
      <c r="CE133" s="138" t="n"/>
      <c r="CF133" s="139" t="n">
        <v>6</v>
      </c>
    </row>
    <row r="134" ht="13.5" customHeight="1">
      <c r="A134" s="144" t="inlineStr">
        <is>
          <t>1804-5</t>
        </is>
      </c>
      <c r="B134" s="144" t="inlineStr">
        <is>
          <t>ｶｯﾄぶなしめじ 90ｇ(ﾐｽｽﾞ)</t>
        </is>
      </c>
      <c r="C134" s="138" t="inlineStr">
        <is>
          <t>こもの</t>
        </is>
      </c>
      <c r="D134" s="138" t="n"/>
      <c r="E134" s="138" t="n">
        <v>4</v>
      </c>
      <c r="F134" s="138" t="n"/>
      <c r="G134" s="138" t="n"/>
      <c r="H134" s="138" t="n"/>
      <c r="I134" s="138" t="n"/>
      <c r="J134" s="138" t="n">
        <v>4</v>
      </c>
      <c r="K134" s="138" t="n">
        <v>5</v>
      </c>
      <c r="L134" s="138" t="n">
        <v>5</v>
      </c>
      <c r="M134" s="138" t="n"/>
      <c r="N134" s="138" t="n">
        <v>3</v>
      </c>
      <c r="O134" s="138" t="n">
        <v>3</v>
      </c>
      <c r="P134" s="138" t="n">
        <v>4</v>
      </c>
      <c r="Q134" s="138" t="n">
        <v>5</v>
      </c>
      <c r="R134" s="138" t="n">
        <v>5</v>
      </c>
      <c r="S134" s="138" t="n"/>
      <c r="T134" s="138" t="n"/>
      <c r="U134" s="138" t="n"/>
      <c r="V134" s="138" t="n"/>
      <c r="W134" s="138" t="n"/>
      <c r="X134" s="138" t="n">
        <v>2</v>
      </c>
      <c r="Y134" s="138" t="n">
        <v>3</v>
      </c>
      <c r="Z134" s="138" t="n">
        <v>4</v>
      </c>
      <c r="AA134" s="138" t="n">
        <v>2</v>
      </c>
      <c r="AB134" s="138" t="n">
        <v>4</v>
      </c>
      <c r="AC134" s="138" t="n">
        <v>5</v>
      </c>
      <c r="AD134" s="138" t="n">
        <v>4</v>
      </c>
      <c r="AE134" s="138" t="n">
        <v>3</v>
      </c>
      <c r="AF134" s="138" t="n">
        <v>4</v>
      </c>
      <c r="AG134" s="138" t="n"/>
      <c r="AH134" s="138" t="n">
        <v>4</v>
      </c>
      <c r="AI134" s="138" t="n"/>
      <c r="AJ134" s="138" t="n">
        <v>5</v>
      </c>
      <c r="AK134" s="138" t="n">
        <v>5</v>
      </c>
      <c r="AL134" s="138" t="n">
        <v>10</v>
      </c>
      <c r="AM134" s="138" t="n"/>
      <c r="AN134" s="138" t="n">
        <v>6</v>
      </c>
      <c r="AO134" s="138" t="n"/>
      <c r="AP134" s="138" t="n"/>
      <c r="AQ134" s="138" t="n"/>
      <c r="AR134" s="138" t="n">
        <v>3</v>
      </c>
      <c r="AS134" s="138" t="n">
        <v>4</v>
      </c>
      <c r="AT134" s="138" t="n"/>
      <c r="AU134" s="138" t="n"/>
      <c r="AV134" s="138" t="n">
        <v>4</v>
      </c>
      <c r="AW134" s="138" t="n"/>
      <c r="AX134" s="138" t="n">
        <v>6</v>
      </c>
      <c r="AY134" s="138" t="n">
        <v>5</v>
      </c>
      <c r="AZ134" s="138" t="n"/>
      <c r="BA134" s="138" t="n">
        <v>2</v>
      </c>
      <c r="BB134" s="138" t="n">
        <v>4</v>
      </c>
      <c r="BC134" s="138" t="n"/>
      <c r="BD134" s="138" t="n">
        <v>4</v>
      </c>
      <c r="BE134" s="138" t="n">
        <v>1</v>
      </c>
      <c r="BF134" s="138" t="n">
        <v>7</v>
      </c>
      <c r="BG134" s="138" t="n"/>
      <c r="BH134" s="138" t="n"/>
      <c r="BI134" s="138" t="n"/>
      <c r="BJ134" s="138" t="n"/>
      <c r="BK134" s="138" t="n"/>
      <c r="BL134" s="138" t="n"/>
      <c r="BM134" s="138" t="n"/>
      <c r="BN134" s="138" t="n"/>
      <c r="BO134" s="138" t="n"/>
      <c r="BP134" s="138" t="n"/>
      <c r="BQ134" s="138" t="n"/>
      <c r="BR134" s="138" t="n"/>
      <c r="BS134" s="138" t="n"/>
      <c r="BT134" s="138" t="n"/>
      <c r="BU134" s="138" t="n"/>
      <c r="BV134" s="138" t="n"/>
      <c r="BW134" s="138" t="n">
        <v>4</v>
      </c>
      <c r="BX134" s="138" t="n"/>
      <c r="BY134" s="138" t="n"/>
      <c r="BZ134" s="138" t="n"/>
      <c r="CA134" s="138" t="n"/>
      <c r="CB134" s="138" t="n"/>
      <c r="CC134" s="138" t="n">
        <v>10</v>
      </c>
      <c r="CD134" s="138" t="n">
        <v>6</v>
      </c>
      <c r="CE134" s="138" t="n"/>
      <c r="CF134" s="139" t="n">
        <v>159</v>
      </c>
    </row>
    <row r="135" ht="13.5" customHeight="1">
      <c r="A135" s="144" t="inlineStr">
        <is>
          <t>1806-2</t>
        </is>
      </c>
      <c r="B135" s="144" t="inlineStr">
        <is>
          <t>ぶなクイーン　１００ｇ(ﾐｽｽﾞ)</t>
        </is>
      </c>
      <c r="C135" s="138" t="inlineStr">
        <is>
          <t>こもの</t>
        </is>
      </c>
      <c r="D135" s="138" t="n"/>
      <c r="E135" s="138" t="n"/>
      <c r="F135" s="138" t="n">
        <v>5</v>
      </c>
      <c r="G135" s="138" t="n"/>
      <c r="H135" s="138" t="n"/>
      <c r="I135" s="138" t="n"/>
      <c r="J135" s="138" t="n"/>
      <c r="K135" s="138" t="n"/>
      <c r="L135" s="138" t="n"/>
      <c r="M135" s="138" t="n"/>
      <c r="N135" s="138" t="n"/>
      <c r="O135" s="138" t="n"/>
      <c r="P135" s="138" t="n"/>
      <c r="Q135" s="138" t="n"/>
      <c r="R135" s="138" t="n"/>
      <c r="S135" s="138" t="n"/>
      <c r="T135" s="138" t="n"/>
      <c r="U135" s="138" t="n"/>
      <c r="V135" s="138" t="n"/>
      <c r="W135" s="138" t="n"/>
      <c r="X135" s="138" t="n"/>
      <c r="Y135" s="138" t="n"/>
      <c r="Z135" s="138" t="n"/>
      <c r="AA135" s="138" t="n"/>
      <c r="AB135" s="138" t="n"/>
      <c r="AC135" s="138" t="n"/>
      <c r="AD135" s="138" t="n"/>
      <c r="AE135" s="138" t="n"/>
      <c r="AF135" s="138" t="n"/>
      <c r="AG135" s="138" t="n"/>
      <c r="AH135" s="138" t="n"/>
      <c r="AI135" s="138" t="n"/>
      <c r="AJ135" s="138" t="n"/>
      <c r="AK135" s="138" t="n"/>
      <c r="AL135" s="138" t="n"/>
      <c r="AM135" s="138" t="n"/>
      <c r="AN135" s="138" t="n"/>
      <c r="AO135" s="138" t="n"/>
      <c r="AP135" s="138" t="n"/>
      <c r="AQ135" s="138" t="n"/>
      <c r="AR135" s="138" t="n"/>
      <c r="AS135" s="138" t="n"/>
      <c r="AT135" s="138" t="n"/>
      <c r="AU135" s="138" t="n"/>
      <c r="AV135" s="138" t="n"/>
      <c r="AW135" s="138" t="n"/>
      <c r="AX135" s="138" t="n"/>
      <c r="AY135" s="138" t="n"/>
      <c r="AZ135" s="138" t="n"/>
      <c r="BA135" s="138" t="n"/>
      <c r="BB135" s="138" t="n"/>
      <c r="BC135" s="138" t="n"/>
      <c r="BD135" s="138" t="n"/>
      <c r="BE135" s="138" t="n"/>
      <c r="BF135" s="138" t="n"/>
      <c r="BG135" s="138" t="n"/>
      <c r="BH135" s="138" t="n"/>
      <c r="BI135" s="138" t="n"/>
      <c r="BJ135" s="138" t="n"/>
      <c r="BK135" s="138" t="n"/>
      <c r="BL135" s="138" t="n"/>
      <c r="BM135" s="138" t="n"/>
      <c r="BN135" s="138" t="n"/>
      <c r="BO135" s="138" t="n"/>
      <c r="BP135" s="138" t="n"/>
      <c r="BQ135" s="138" t="n"/>
      <c r="BR135" s="138" t="n"/>
      <c r="BS135" s="138" t="n"/>
      <c r="BT135" s="138" t="n"/>
      <c r="BU135" s="138" t="n"/>
      <c r="BV135" s="138" t="n"/>
      <c r="BW135" s="138" t="n"/>
      <c r="BX135" s="138" t="n"/>
      <c r="BY135" s="138" t="n"/>
      <c r="BZ135" s="138" t="n"/>
      <c r="CA135" s="138" t="n"/>
      <c r="CB135" s="138" t="n"/>
      <c r="CC135" s="138" t="n">
        <v>3</v>
      </c>
      <c r="CD135" s="138" t="n"/>
      <c r="CE135" s="138" t="n"/>
      <c r="CF135" s="139" t="n">
        <v>8</v>
      </c>
    </row>
    <row r="136" ht="13.5" customHeight="1">
      <c r="A136" s="144" t="inlineStr">
        <is>
          <t>1807-55</t>
        </is>
      </c>
      <c r="B136" s="144" t="inlineStr">
        <is>
          <t>有機生しいたけ(菌床)100gﾄﾚｰ(太洋社)</t>
        </is>
      </c>
      <c r="C136" s="138" t="inlineStr">
        <is>
          <t>こもの</t>
        </is>
      </c>
      <c r="D136" s="138" t="n"/>
      <c r="E136" s="138" t="n">
        <v>2</v>
      </c>
      <c r="F136" s="138" t="n"/>
      <c r="G136" s="138" t="n"/>
      <c r="H136" s="138" t="n"/>
      <c r="I136" s="138" t="n"/>
      <c r="J136" s="138" t="n">
        <v>2</v>
      </c>
      <c r="K136" s="138" t="n"/>
      <c r="L136" s="138" t="n"/>
      <c r="M136" s="138" t="n"/>
      <c r="N136" s="138" t="n"/>
      <c r="O136" s="138" t="n"/>
      <c r="P136" s="138" t="n"/>
      <c r="Q136" s="138" t="n"/>
      <c r="R136" s="138" t="n">
        <v>3</v>
      </c>
      <c r="S136" s="138" t="n"/>
      <c r="T136" s="138" t="n"/>
      <c r="U136" s="138" t="n"/>
      <c r="V136" s="138" t="n"/>
      <c r="W136" s="138" t="n"/>
      <c r="X136" s="138" t="n">
        <v>3</v>
      </c>
      <c r="Y136" s="138" t="n"/>
      <c r="Z136" s="138" t="n"/>
      <c r="AA136" s="138" t="n"/>
      <c r="AB136" s="138" t="n"/>
      <c r="AC136" s="138" t="n"/>
      <c r="AD136" s="138" t="n"/>
      <c r="AE136" s="138" t="n"/>
      <c r="AF136" s="138" t="n"/>
      <c r="AG136" s="138" t="n"/>
      <c r="AH136" s="138" t="n"/>
      <c r="AI136" s="138" t="n"/>
      <c r="AJ136" s="138" t="n"/>
      <c r="AK136" s="138" t="n">
        <v>5</v>
      </c>
      <c r="AL136" s="138" t="n"/>
      <c r="AM136" s="138" t="n"/>
      <c r="AN136" s="138" t="n"/>
      <c r="AO136" s="138" t="n"/>
      <c r="AP136" s="138" t="n"/>
      <c r="AQ136" s="138" t="n"/>
      <c r="AR136" s="138" t="n"/>
      <c r="AS136" s="138" t="n"/>
      <c r="AT136" s="138" t="n"/>
      <c r="AU136" s="138" t="n"/>
      <c r="AV136" s="138" t="n"/>
      <c r="AW136" s="138" t="n"/>
      <c r="AX136" s="138" t="n"/>
      <c r="AY136" s="138" t="n"/>
      <c r="AZ136" s="138" t="n"/>
      <c r="BA136" s="138" t="n"/>
      <c r="BB136" s="138" t="n"/>
      <c r="BC136" s="138" t="n"/>
      <c r="BD136" s="138" t="n"/>
      <c r="BE136" s="138" t="n"/>
      <c r="BF136" s="138" t="n"/>
      <c r="BG136" s="138" t="n"/>
      <c r="BH136" s="138" t="n"/>
      <c r="BI136" s="138" t="n"/>
      <c r="BJ136" s="138" t="n"/>
      <c r="BK136" s="138" t="n"/>
      <c r="BL136" s="138" t="n"/>
      <c r="BM136" s="138" t="n"/>
      <c r="BN136" s="138" t="n"/>
      <c r="BO136" s="138" t="n"/>
      <c r="BP136" s="138" t="n"/>
      <c r="BQ136" s="138" t="n"/>
      <c r="BR136" s="138" t="n"/>
      <c r="BS136" s="138" t="n"/>
      <c r="BT136" s="138" t="n"/>
      <c r="BU136" s="138" t="n"/>
      <c r="BV136" s="138" t="n"/>
      <c r="BW136" s="138" t="n"/>
      <c r="BX136" s="138" t="n"/>
      <c r="BY136" s="138" t="n">
        <v>2</v>
      </c>
      <c r="BZ136" s="138" t="n"/>
      <c r="CA136" s="138" t="n"/>
      <c r="CB136" s="138" t="n"/>
      <c r="CC136" s="138" t="n">
        <v>3</v>
      </c>
      <c r="CD136" s="138" t="n"/>
      <c r="CE136" s="138" t="n">
        <v>4</v>
      </c>
      <c r="CF136" s="139" t="n">
        <v>24</v>
      </c>
    </row>
    <row r="137" ht="13.5" customHeight="1">
      <c r="A137" s="144" t="inlineStr">
        <is>
          <t>1807-56</t>
        </is>
      </c>
      <c r="B137" s="144" t="inlineStr">
        <is>
          <t>有機生しいたけ(菌床)不揃200g袋(太洋社)</t>
        </is>
      </c>
      <c r="C137" s="138" t="inlineStr">
        <is>
          <t>こもの</t>
        </is>
      </c>
      <c r="D137" s="138" t="n"/>
      <c r="E137" s="138" t="n"/>
      <c r="F137" s="138" t="n">
        <v>3</v>
      </c>
      <c r="G137" s="138" t="n"/>
      <c r="H137" s="138" t="n"/>
      <c r="I137" s="138" t="n"/>
      <c r="J137" s="138" t="n"/>
      <c r="K137" s="138" t="n"/>
      <c r="L137" s="138" t="n"/>
      <c r="M137" s="138" t="n"/>
      <c r="N137" s="138" t="n"/>
      <c r="O137" s="138" t="n"/>
      <c r="P137" s="138" t="n"/>
      <c r="Q137" s="138" t="n"/>
      <c r="R137" s="138" t="n"/>
      <c r="S137" s="138" t="n"/>
      <c r="T137" s="138" t="n"/>
      <c r="U137" s="138" t="n"/>
      <c r="V137" s="138" t="n"/>
      <c r="W137" s="138" t="n"/>
      <c r="X137" s="138" t="n"/>
      <c r="Y137" s="138" t="n"/>
      <c r="Z137" s="138" t="n"/>
      <c r="AA137" s="138" t="n"/>
      <c r="AB137" s="138" t="n"/>
      <c r="AC137" s="138" t="n"/>
      <c r="AD137" s="138" t="n">
        <v>2</v>
      </c>
      <c r="AE137" s="138" t="n"/>
      <c r="AF137" s="138" t="n">
        <v>2</v>
      </c>
      <c r="AG137" s="138" t="n"/>
      <c r="AH137" s="138" t="n"/>
      <c r="AI137" s="138" t="n"/>
      <c r="AJ137" s="138" t="n"/>
      <c r="AK137" s="138" t="n">
        <v>3</v>
      </c>
      <c r="AL137" s="138" t="n"/>
      <c r="AM137" s="138" t="n">
        <v>1</v>
      </c>
      <c r="AN137" s="138" t="n"/>
      <c r="AO137" s="138" t="n"/>
      <c r="AP137" s="138" t="n">
        <v>3</v>
      </c>
      <c r="AQ137" s="138" t="n"/>
      <c r="AR137" s="138" t="n"/>
      <c r="AS137" s="138" t="n"/>
      <c r="AT137" s="138" t="n"/>
      <c r="AU137" s="138" t="n"/>
      <c r="AV137" s="138" t="n"/>
      <c r="AW137" s="138" t="n"/>
      <c r="AX137" s="138" t="n"/>
      <c r="AY137" s="138" t="n"/>
      <c r="AZ137" s="138" t="n"/>
      <c r="BA137" s="138" t="n"/>
      <c r="BB137" s="138" t="n"/>
      <c r="BC137" s="138" t="n"/>
      <c r="BD137" s="138" t="n">
        <v>3</v>
      </c>
      <c r="BE137" s="138" t="n"/>
      <c r="BF137" s="138" t="n"/>
      <c r="BG137" s="138" t="n"/>
      <c r="BH137" s="138" t="n"/>
      <c r="BI137" s="138" t="n"/>
      <c r="BJ137" s="138" t="n"/>
      <c r="BK137" s="138" t="n"/>
      <c r="BL137" s="138" t="n"/>
      <c r="BM137" s="138" t="n"/>
      <c r="BN137" s="138" t="n"/>
      <c r="BO137" s="138" t="n"/>
      <c r="BP137" s="138" t="n"/>
      <c r="BQ137" s="138" t="n"/>
      <c r="BR137" s="138" t="n"/>
      <c r="BS137" s="138" t="n"/>
      <c r="BT137" s="138" t="n"/>
      <c r="BU137" s="138" t="n"/>
      <c r="BV137" s="138" t="n"/>
      <c r="BW137" s="138" t="n"/>
      <c r="BX137" s="138" t="n"/>
      <c r="BY137" s="138" t="n"/>
      <c r="BZ137" s="138" t="n"/>
      <c r="CA137" s="138" t="n"/>
      <c r="CB137" s="138" t="n"/>
      <c r="CC137" s="138" t="n">
        <v>10</v>
      </c>
      <c r="CD137" s="138" t="n"/>
      <c r="CE137" s="138" t="n"/>
      <c r="CF137" s="139" t="n">
        <v>27</v>
      </c>
    </row>
    <row r="138" ht="13.5" customHeight="1">
      <c r="A138" s="144" t="inlineStr">
        <is>
          <t>1807-57</t>
        </is>
      </c>
      <c r="B138" s="144" t="inlineStr">
        <is>
          <t>有機生ｼｲﾀｹ(菌床)100gﾄﾚｰ×5(太洋社)東一</t>
        </is>
      </c>
      <c r="C138" s="138" t="inlineStr">
        <is>
          <t>こもの</t>
        </is>
      </c>
      <c r="D138" s="138" t="n"/>
      <c r="E138" s="138" t="n"/>
      <c r="F138" s="138" t="n"/>
      <c r="G138" s="138" t="n"/>
      <c r="H138" s="138" t="n"/>
      <c r="I138" s="138" t="n"/>
      <c r="J138" s="138" t="n"/>
      <c r="K138" s="138" t="n"/>
      <c r="L138" s="138" t="n"/>
      <c r="M138" s="138" t="n"/>
      <c r="N138" s="138" t="n"/>
      <c r="O138" s="138" t="n"/>
      <c r="P138" s="138" t="n"/>
      <c r="Q138" s="138" t="n"/>
      <c r="R138" s="138" t="n"/>
      <c r="S138" s="138" t="n"/>
      <c r="T138" s="138" t="n"/>
      <c r="U138" s="138" t="n"/>
      <c r="V138" s="138" t="n"/>
      <c r="W138" s="138" t="n"/>
      <c r="X138" s="138" t="n"/>
      <c r="Y138" s="138" t="n"/>
      <c r="Z138" s="138" t="n"/>
      <c r="AA138" s="138" t="n"/>
      <c r="AB138" s="138" t="n"/>
      <c r="AC138" s="138" t="n"/>
      <c r="AD138" s="138" t="n"/>
      <c r="AE138" s="138" t="n"/>
      <c r="AF138" s="138" t="n"/>
      <c r="AG138" s="138" t="n"/>
      <c r="AH138" s="138" t="n"/>
      <c r="AI138" s="138" t="n"/>
      <c r="AJ138" s="138" t="n"/>
      <c r="AK138" s="138" t="n"/>
      <c r="AL138" s="138" t="n"/>
      <c r="AM138" s="138" t="n"/>
      <c r="AN138" s="138" t="n"/>
      <c r="AO138" s="138" t="n"/>
      <c r="AP138" s="138" t="n"/>
      <c r="AQ138" s="138" t="n"/>
      <c r="AR138" s="138" t="n"/>
      <c r="AS138" s="138" t="n"/>
      <c r="AT138" s="138" t="n"/>
      <c r="AU138" s="138" t="n"/>
      <c r="AV138" s="138" t="n"/>
      <c r="AW138" s="138" t="n"/>
      <c r="AX138" s="138" t="n"/>
      <c r="AY138" s="138" t="n"/>
      <c r="AZ138" s="138" t="n"/>
      <c r="BA138" s="138" t="n"/>
      <c r="BB138" s="138" t="n"/>
      <c r="BC138" s="138" t="n">
        <v>1</v>
      </c>
      <c r="BD138" s="138" t="n"/>
      <c r="BE138" s="138" t="n"/>
      <c r="BF138" s="138" t="n"/>
      <c r="BG138" s="138" t="n"/>
      <c r="BH138" s="138" t="n"/>
      <c r="BI138" s="138" t="n"/>
      <c r="BJ138" s="138" t="n"/>
      <c r="BK138" s="138" t="n"/>
      <c r="BL138" s="138" t="n"/>
      <c r="BM138" s="138" t="n"/>
      <c r="BN138" s="138" t="n"/>
      <c r="BO138" s="138" t="n"/>
      <c r="BP138" s="138" t="n"/>
      <c r="BQ138" s="138" t="n"/>
      <c r="BR138" s="138" t="n"/>
      <c r="BS138" s="138" t="n"/>
      <c r="BT138" s="138" t="n"/>
      <c r="BU138" s="138" t="n"/>
      <c r="BV138" s="138" t="n"/>
      <c r="BW138" s="138" t="n"/>
      <c r="BX138" s="138" t="n"/>
      <c r="BY138" s="138" t="n"/>
      <c r="BZ138" s="138" t="n"/>
      <c r="CA138" s="138" t="n"/>
      <c r="CB138" s="138" t="n"/>
      <c r="CC138" s="138" t="n"/>
      <c r="CD138" s="138" t="n"/>
      <c r="CE138" s="138" t="n"/>
      <c r="CF138" s="139" t="n">
        <v>1</v>
      </c>
    </row>
    <row r="139" ht="13.5" customHeight="1">
      <c r="A139" s="144" t="inlineStr">
        <is>
          <t>1812</t>
        </is>
      </c>
      <c r="B139" s="144" t="inlineStr">
        <is>
          <t>えのき茸 １００ｇ(ﾐｽｽﾞ)</t>
        </is>
      </c>
      <c r="C139" s="138" t="inlineStr">
        <is>
          <t>こもの</t>
        </is>
      </c>
      <c r="D139" s="138" t="n"/>
      <c r="E139" s="138" t="n"/>
      <c r="F139" s="138" t="n">
        <v>10</v>
      </c>
      <c r="G139" s="138" t="n">
        <v>2</v>
      </c>
      <c r="H139" s="138" t="n"/>
      <c r="I139" s="138" t="n"/>
      <c r="J139" s="138" t="n"/>
      <c r="K139" s="138" t="n">
        <v>5</v>
      </c>
      <c r="L139" s="138" t="n"/>
      <c r="M139" s="138" t="n"/>
      <c r="N139" s="138" t="n"/>
      <c r="O139" s="138" t="n"/>
      <c r="P139" s="138" t="n"/>
      <c r="Q139" s="138" t="n"/>
      <c r="R139" s="138" t="n"/>
      <c r="S139" s="138" t="n"/>
      <c r="T139" s="138" t="n">
        <v>3</v>
      </c>
      <c r="U139" s="138" t="n"/>
      <c r="V139" s="138" t="n"/>
      <c r="W139" s="138" t="n">
        <v>2</v>
      </c>
      <c r="X139" s="138" t="n"/>
      <c r="Y139" s="138" t="n">
        <v>3</v>
      </c>
      <c r="Z139" s="138" t="n"/>
      <c r="AA139" s="138" t="n"/>
      <c r="AB139" s="138" t="n"/>
      <c r="AC139" s="138" t="n">
        <v>4</v>
      </c>
      <c r="AD139" s="138" t="n"/>
      <c r="AE139" s="138" t="n">
        <v>2</v>
      </c>
      <c r="AF139" s="138" t="n"/>
      <c r="AG139" s="138" t="n"/>
      <c r="AH139" s="138" t="n"/>
      <c r="AI139" s="138" t="n"/>
      <c r="AJ139" s="138" t="n"/>
      <c r="AK139" s="138" t="n">
        <v>5</v>
      </c>
      <c r="AL139" s="138" t="n"/>
      <c r="AM139" s="138" t="n">
        <v>4</v>
      </c>
      <c r="AN139" s="138" t="n"/>
      <c r="AO139" s="138" t="n"/>
      <c r="AP139" s="138" t="n"/>
      <c r="AQ139" s="138" t="n"/>
      <c r="AR139" s="138" t="n">
        <v>3</v>
      </c>
      <c r="AS139" s="138" t="n">
        <v>4</v>
      </c>
      <c r="AT139" s="138" t="n"/>
      <c r="AU139" s="138" t="n"/>
      <c r="AV139" s="138" t="n">
        <v>6</v>
      </c>
      <c r="AW139" s="138" t="n"/>
      <c r="AX139" s="138" t="n"/>
      <c r="AY139" s="138" t="n">
        <v>8</v>
      </c>
      <c r="AZ139" s="138" t="n"/>
      <c r="BA139" s="138" t="n">
        <v>2</v>
      </c>
      <c r="BB139" s="138" t="n"/>
      <c r="BC139" s="138" t="n"/>
      <c r="BD139" s="138" t="n"/>
      <c r="BE139" s="138" t="n"/>
      <c r="BF139" s="138" t="n">
        <v>5</v>
      </c>
      <c r="BG139" s="138" t="n"/>
      <c r="BH139" s="138" t="n"/>
      <c r="BI139" s="138" t="n"/>
      <c r="BJ139" s="138" t="n"/>
      <c r="BK139" s="138" t="n"/>
      <c r="BL139" s="138" t="n"/>
      <c r="BM139" s="138" t="n"/>
      <c r="BN139" s="138" t="n"/>
      <c r="BO139" s="138" t="n"/>
      <c r="BP139" s="138" t="n"/>
      <c r="BQ139" s="138" t="n"/>
      <c r="BR139" s="138" t="n"/>
      <c r="BS139" s="138" t="n"/>
      <c r="BT139" s="138" t="n"/>
      <c r="BU139" s="138" t="n"/>
      <c r="BV139" s="138" t="n"/>
      <c r="BW139" s="138" t="n"/>
      <c r="BX139" s="138" t="n"/>
      <c r="BY139" s="138" t="n"/>
      <c r="BZ139" s="138" t="n"/>
      <c r="CA139" s="138" t="n"/>
      <c r="CB139" s="138" t="n"/>
      <c r="CC139" s="138" t="n">
        <v>10</v>
      </c>
      <c r="CD139" s="138" t="n"/>
      <c r="CE139" s="138" t="n"/>
      <c r="CF139" s="139" t="n">
        <v>78</v>
      </c>
    </row>
    <row r="140" ht="13.5" customHeight="1">
      <c r="A140" s="144" t="inlineStr">
        <is>
          <t>1820</t>
        </is>
      </c>
      <c r="B140" s="144" t="inlineStr">
        <is>
          <t>一株なめこ １７０ｇ(ﾐｽｽﾞ)</t>
        </is>
      </c>
      <c r="C140" s="138" t="inlineStr">
        <is>
          <t>こもの</t>
        </is>
      </c>
      <c r="D140" s="138" t="n"/>
      <c r="E140" s="138" t="n"/>
      <c r="F140" s="138" t="n"/>
      <c r="G140" s="138" t="n"/>
      <c r="H140" s="138" t="n"/>
      <c r="I140" s="138" t="n"/>
      <c r="J140" s="138" t="n"/>
      <c r="K140" s="138" t="n"/>
      <c r="L140" s="138" t="n">
        <v>3</v>
      </c>
      <c r="M140" s="138" t="n"/>
      <c r="N140" s="138" t="n"/>
      <c r="O140" s="138" t="n"/>
      <c r="P140" s="138" t="n"/>
      <c r="Q140" s="138" t="n"/>
      <c r="R140" s="138" t="n"/>
      <c r="S140" s="138" t="n"/>
      <c r="T140" s="138" t="n"/>
      <c r="U140" s="138" t="n"/>
      <c r="V140" s="138" t="n"/>
      <c r="W140" s="138" t="n"/>
      <c r="X140" s="138" t="n"/>
      <c r="Y140" s="138" t="n"/>
      <c r="Z140" s="138" t="n"/>
      <c r="AA140" s="138" t="n"/>
      <c r="AB140" s="138" t="n"/>
      <c r="AC140" s="138" t="n"/>
      <c r="AD140" s="138" t="n"/>
      <c r="AE140" s="138" t="n"/>
      <c r="AF140" s="138" t="n"/>
      <c r="AG140" s="138" t="n"/>
      <c r="AH140" s="138" t="n"/>
      <c r="AI140" s="138" t="n"/>
      <c r="AJ140" s="138" t="n"/>
      <c r="AK140" s="138" t="n"/>
      <c r="AL140" s="138" t="n"/>
      <c r="AM140" s="138" t="n"/>
      <c r="AN140" s="138" t="n"/>
      <c r="AO140" s="138" t="n"/>
      <c r="AP140" s="138" t="n"/>
      <c r="AQ140" s="138" t="n"/>
      <c r="AR140" s="138" t="n"/>
      <c r="AS140" s="138" t="n"/>
      <c r="AT140" s="138" t="n"/>
      <c r="AU140" s="138" t="n"/>
      <c r="AV140" s="138" t="n"/>
      <c r="AW140" s="138" t="n"/>
      <c r="AX140" s="138" t="n"/>
      <c r="AY140" s="138" t="n"/>
      <c r="AZ140" s="138" t="n">
        <v>2</v>
      </c>
      <c r="BA140" s="138" t="n"/>
      <c r="BB140" s="138" t="n"/>
      <c r="BC140" s="138" t="n"/>
      <c r="BD140" s="138" t="n"/>
      <c r="BE140" s="138" t="n"/>
      <c r="BF140" s="138" t="n"/>
      <c r="BG140" s="138" t="n"/>
      <c r="BH140" s="138" t="n"/>
      <c r="BI140" s="138" t="n"/>
      <c r="BJ140" s="138" t="n"/>
      <c r="BK140" s="138" t="n"/>
      <c r="BL140" s="138" t="n"/>
      <c r="BM140" s="138" t="n"/>
      <c r="BN140" s="138" t="n"/>
      <c r="BO140" s="138" t="n"/>
      <c r="BP140" s="138" t="n"/>
      <c r="BQ140" s="138" t="n"/>
      <c r="BR140" s="138" t="n"/>
      <c r="BS140" s="138" t="n"/>
      <c r="BT140" s="138" t="n"/>
      <c r="BU140" s="138" t="n"/>
      <c r="BV140" s="138" t="n"/>
      <c r="BW140" s="138" t="n"/>
      <c r="BX140" s="138" t="n"/>
      <c r="BY140" s="138" t="n"/>
      <c r="BZ140" s="138" t="n"/>
      <c r="CA140" s="138" t="n"/>
      <c r="CB140" s="138" t="n"/>
      <c r="CC140" s="138" t="n"/>
      <c r="CD140" s="138" t="n"/>
      <c r="CE140" s="138" t="n"/>
      <c r="CF140" s="139" t="n">
        <v>5</v>
      </c>
    </row>
    <row r="141" ht="13.5" customHeight="1">
      <c r="A141" s="144" t="inlineStr">
        <is>
          <t>1820-5</t>
        </is>
      </c>
      <c r="B141" s="144" t="inlineStr">
        <is>
          <t>小粒なめこ 100ｇ(熊谷)</t>
        </is>
      </c>
      <c r="C141" s="138" t="inlineStr">
        <is>
          <t>こもの</t>
        </is>
      </c>
      <c r="D141" s="138" t="n"/>
      <c r="E141" s="138" t="n">
        <v>2</v>
      </c>
      <c r="F141" s="138" t="n"/>
      <c r="G141" s="138" t="n"/>
      <c r="H141" s="138" t="n"/>
      <c r="I141" s="138" t="n"/>
      <c r="J141" s="138" t="n">
        <v>4</v>
      </c>
      <c r="K141" s="138" t="n"/>
      <c r="L141" s="138" t="n"/>
      <c r="M141" s="138" t="n"/>
      <c r="N141" s="138" t="n"/>
      <c r="O141" s="138" t="n"/>
      <c r="P141" s="138" t="n"/>
      <c r="Q141" s="138" t="n"/>
      <c r="R141" s="138" t="n"/>
      <c r="S141" s="138" t="n"/>
      <c r="T141" s="138" t="n"/>
      <c r="U141" s="138" t="n"/>
      <c r="V141" s="138" t="n"/>
      <c r="W141" s="138" t="n"/>
      <c r="X141" s="138" t="n"/>
      <c r="Y141" s="138" t="n"/>
      <c r="Z141" s="138" t="n"/>
      <c r="AA141" s="138" t="n"/>
      <c r="AB141" s="138" t="n"/>
      <c r="AC141" s="138" t="n"/>
      <c r="AD141" s="138" t="n"/>
      <c r="AE141" s="138" t="n"/>
      <c r="AF141" s="138" t="n"/>
      <c r="AG141" s="138" t="n"/>
      <c r="AH141" s="138" t="n"/>
      <c r="AI141" s="138" t="n"/>
      <c r="AJ141" s="138" t="n"/>
      <c r="AK141" s="138" t="n"/>
      <c r="AL141" s="138" t="n"/>
      <c r="AM141" s="138" t="n"/>
      <c r="AN141" s="138" t="n"/>
      <c r="AO141" s="138" t="n"/>
      <c r="AP141" s="138" t="n"/>
      <c r="AQ141" s="138" t="n"/>
      <c r="AR141" s="138" t="n"/>
      <c r="AS141" s="138" t="n"/>
      <c r="AT141" s="138" t="n"/>
      <c r="AU141" s="138" t="n"/>
      <c r="AV141" s="138" t="n"/>
      <c r="AW141" s="138" t="n"/>
      <c r="AX141" s="138" t="n"/>
      <c r="AY141" s="138" t="n"/>
      <c r="AZ141" s="138" t="n"/>
      <c r="BA141" s="138" t="n"/>
      <c r="BB141" s="138" t="n"/>
      <c r="BC141" s="138" t="n"/>
      <c r="BD141" s="138" t="n"/>
      <c r="BE141" s="138" t="n"/>
      <c r="BF141" s="138" t="n"/>
      <c r="BG141" s="138" t="n"/>
      <c r="BH141" s="138" t="n"/>
      <c r="BI141" s="138" t="n"/>
      <c r="BJ141" s="138" t="n"/>
      <c r="BK141" s="138" t="n"/>
      <c r="BL141" s="138" t="n"/>
      <c r="BM141" s="138" t="n"/>
      <c r="BN141" s="138" t="n"/>
      <c r="BO141" s="138" t="n"/>
      <c r="BP141" s="138" t="n"/>
      <c r="BQ141" s="138" t="n"/>
      <c r="BR141" s="138" t="n"/>
      <c r="BS141" s="138" t="n"/>
      <c r="BT141" s="138" t="n"/>
      <c r="BU141" s="138" t="n"/>
      <c r="BV141" s="138" t="n"/>
      <c r="BW141" s="138" t="n"/>
      <c r="BX141" s="138" t="n"/>
      <c r="BY141" s="138" t="n"/>
      <c r="BZ141" s="138" t="n"/>
      <c r="CA141" s="138" t="n"/>
      <c r="CB141" s="138" t="n"/>
      <c r="CC141" s="138" t="n">
        <v>10</v>
      </c>
      <c r="CD141" s="138" t="n"/>
      <c r="CE141" s="138" t="n"/>
      <c r="CF141" s="139" t="n">
        <v>16</v>
      </c>
    </row>
    <row r="142" ht="13.5" customHeight="1">
      <c r="A142" s="144" t="inlineStr">
        <is>
          <t>1821-2</t>
        </is>
      </c>
      <c r="B142" s="144" t="inlineStr">
        <is>
          <t>エリンギ 100g (ミスズ)</t>
        </is>
      </c>
      <c r="C142" s="138" t="inlineStr">
        <is>
          <t>こもの</t>
        </is>
      </c>
      <c r="D142" s="138" t="n"/>
      <c r="E142" s="138" t="n">
        <v>1</v>
      </c>
      <c r="F142" s="138" t="n">
        <v>5</v>
      </c>
      <c r="G142" s="138" t="n"/>
      <c r="H142" s="138" t="n"/>
      <c r="I142" s="138" t="n">
        <v>3</v>
      </c>
      <c r="J142" s="138" t="n">
        <v>4</v>
      </c>
      <c r="K142" s="138" t="n"/>
      <c r="L142" s="138" t="n"/>
      <c r="M142" s="138" t="n"/>
      <c r="N142" s="138" t="n"/>
      <c r="O142" s="138" t="n"/>
      <c r="P142" s="138" t="n"/>
      <c r="Q142" s="138" t="n"/>
      <c r="R142" s="138" t="n">
        <v>2</v>
      </c>
      <c r="S142" s="138" t="n"/>
      <c r="T142" s="138" t="n">
        <v>2</v>
      </c>
      <c r="U142" s="138" t="n">
        <v>2</v>
      </c>
      <c r="V142" s="138" t="n"/>
      <c r="W142" s="138" t="n"/>
      <c r="X142" s="138" t="n"/>
      <c r="Y142" s="138" t="n"/>
      <c r="Z142" s="138" t="n"/>
      <c r="AA142" s="138" t="n"/>
      <c r="AB142" s="138" t="n"/>
      <c r="AC142" s="138" t="n"/>
      <c r="AD142" s="138" t="n"/>
      <c r="AE142" s="138" t="n"/>
      <c r="AF142" s="138" t="n"/>
      <c r="AG142" s="138" t="n"/>
      <c r="AH142" s="138" t="n">
        <v>2</v>
      </c>
      <c r="AI142" s="138" t="n"/>
      <c r="AJ142" s="138" t="n"/>
      <c r="AK142" s="138" t="n"/>
      <c r="AL142" s="138" t="n"/>
      <c r="AM142" s="138" t="n"/>
      <c r="AN142" s="138" t="n"/>
      <c r="AO142" s="138" t="n"/>
      <c r="AP142" s="138" t="n"/>
      <c r="AQ142" s="138" t="n"/>
      <c r="AR142" s="138" t="n"/>
      <c r="AS142" s="138" t="n">
        <v>2</v>
      </c>
      <c r="AT142" s="138" t="n"/>
      <c r="AU142" s="138" t="n"/>
      <c r="AV142" s="138" t="n">
        <v>2</v>
      </c>
      <c r="AW142" s="138" t="n">
        <v>2</v>
      </c>
      <c r="AX142" s="138" t="n">
        <v>2</v>
      </c>
      <c r="AY142" s="138" t="n"/>
      <c r="AZ142" s="138" t="n"/>
      <c r="BA142" s="138" t="n"/>
      <c r="BB142" s="138" t="n"/>
      <c r="BC142" s="138" t="n"/>
      <c r="BD142" s="138" t="n"/>
      <c r="BE142" s="138" t="n">
        <v>1</v>
      </c>
      <c r="BF142" s="138" t="n">
        <v>2</v>
      </c>
      <c r="BG142" s="138" t="n"/>
      <c r="BH142" s="138" t="n"/>
      <c r="BI142" s="138" t="n"/>
      <c r="BJ142" s="138" t="n"/>
      <c r="BK142" s="138" t="n"/>
      <c r="BL142" s="138" t="n"/>
      <c r="BM142" s="138" t="n"/>
      <c r="BN142" s="138" t="n"/>
      <c r="BO142" s="138" t="n"/>
      <c r="BP142" s="138" t="n"/>
      <c r="BQ142" s="138" t="n"/>
      <c r="BR142" s="138" t="n"/>
      <c r="BS142" s="138" t="n"/>
      <c r="BT142" s="138" t="n"/>
      <c r="BU142" s="138" t="n"/>
      <c r="BV142" s="138" t="n"/>
      <c r="BW142" s="138" t="n"/>
      <c r="BX142" s="138" t="n"/>
      <c r="BY142" s="138" t="n"/>
      <c r="BZ142" s="138" t="n"/>
      <c r="CA142" s="138" t="n"/>
      <c r="CB142" s="138" t="n"/>
      <c r="CC142" s="138" t="n">
        <v>2</v>
      </c>
      <c r="CD142" s="138" t="n"/>
      <c r="CE142" s="138" t="n"/>
      <c r="CF142" s="139" t="n">
        <v>34</v>
      </c>
    </row>
    <row r="143" ht="13.5" customHeight="1">
      <c r="A143" s="144" t="inlineStr">
        <is>
          <t>1823-2</t>
        </is>
      </c>
      <c r="B143" s="144" t="inlineStr">
        <is>
          <t>有機おかひじき 70gﾊﾟｯｸ (寺島)</t>
        </is>
      </c>
      <c r="C143" s="138" t="inlineStr">
        <is>
          <t>こもの</t>
        </is>
      </c>
      <c r="D143" s="138" t="n"/>
      <c r="E143" s="138" t="n"/>
      <c r="F143" s="138" t="n">
        <v>3</v>
      </c>
      <c r="G143" s="138" t="n"/>
      <c r="H143" s="138" t="n"/>
      <c r="I143" s="138" t="n"/>
      <c r="J143" s="138" t="n">
        <v>2</v>
      </c>
      <c r="K143" s="138" t="n"/>
      <c r="L143" s="138" t="n"/>
      <c r="M143" s="138" t="n"/>
      <c r="N143" s="138" t="n"/>
      <c r="O143" s="138" t="n"/>
      <c r="P143" s="138" t="n"/>
      <c r="Q143" s="138" t="n"/>
      <c r="R143" s="138" t="n"/>
      <c r="S143" s="138" t="n"/>
      <c r="T143" s="138" t="n"/>
      <c r="U143" s="138" t="n"/>
      <c r="V143" s="138" t="n"/>
      <c r="W143" s="138" t="n"/>
      <c r="X143" s="138" t="n"/>
      <c r="Y143" s="138" t="n"/>
      <c r="Z143" s="138" t="n"/>
      <c r="AA143" s="138" t="n"/>
      <c r="AB143" s="138" t="n"/>
      <c r="AC143" s="138" t="n"/>
      <c r="AD143" s="138" t="n"/>
      <c r="AE143" s="138" t="n"/>
      <c r="AF143" s="138" t="n"/>
      <c r="AG143" s="138" t="n"/>
      <c r="AH143" s="138" t="n"/>
      <c r="AI143" s="138" t="n"/>
      <c r="AJ143" s="138" t="n"/>
      <c r="AK143" s="138" t="n">
        <v>3</v>
      </c>
      <c r="AL143" s="138" t="n"/>
      <c r="AM143" s="138" t="n"/>
      <c r="AN143" s="138" t="n"/>
      <c r="AO143" s="138" t="n"/>
      <c r="AP143" s="138" t="n">
        <v>3</v>
      </c>
      <c r="AQ143" s="138" t="n"/>
      <c r="AR143" s="138" t="n"/>
      <c r="AS143" s="138" t="n"/>
      <c r="AT143" s="138" t="n">
        <v>1</v>
      </c>
      <c r="AU143" s="138" t="n"/>
      <c r="AV143" s="138" t="n"/>
      <c r="AW143" s="138" t="n"/>
      <c r="AX143" s="138" t="n"/>
      <c r="AY143" s="138" t="n"/>
      <c r="AZ143" s="138" t="n"/>
      <c r="BA143" s="138" t="n"/>
      <c r="BB143" s="138" t="n">
        <v>2</v>
      </c>
      <c r="BC143" s="138" t="n"/>
      <c r="BD143" s="138" t="n"/>
      <c r="BE143" s="138" t="n"/>
      <c r="BF143" s="138" t="n"/>
      <c r="BG143" s="138" t="n"/>
      <c r="BH143" s="138" t="n"/>
      <c r="BI143" s="138" t="n"/>
      <c r="BJ143" s="138" t="n"/>
      <c r="BK143" s="138" t="n"/>
      <c r="BL143" s="138" t="n"/>
      <c r="BM143" s="138" t="n"/>
      <c r="BN143" s="138" t="n"/>
      <c r="BO143" s="138" t="n"/>
      <c r="BP143" s="138" t="n"/>
      <c r="BQ143" s="138" t="n"/>
      <c r="BR143" s="138" t="n">
        <v>2</v>
      </c>
      <c r="BS143" s="138" t="n"/>
      <c r="BT143" s="138" t="n"/>
      <c r="BU143" s="138" t="n"/>
      <c r="BV143" s="138" t="n"/>
      <c r="BW143" s="138" t="n"/>
      <c r="BX143" s="138" t="n"/>
      <c r="BY143" s="138" t="n"/>
      <c r="BZ143" s="138" t="n"/>
      <c r="CA143" s="138" t="n"/>
      <c r="CB143" s="138" t="n">
        <v>10</v>
      </c>
      <c r="CC143" s="138" t="n">
        <v>2</v>
      </c>
      <c r="CD143" s="138" t="n"/>
      <c r="CE143" s="138" t="n"/>
      <c r="CF143" s="139" t="n">
        <v>28</v>
      </c>
    </row>
    <row r="144" ht="13.5" customHeight="1">
      <c r="A144" s="144" t="inlineStr">
        <is>
          <t>1824-2</t>
        </is>
      </c>
      <c r="B144" s="144" t="inlineStr">
        <is>
          <t>有機パセリ 30g袋 (大地と自然)</t>
        </is>
      </c>
      <c r="C144" s="138" t="inlineStr">
        <is>
          <t>こもの</t>
        </is>
      </c>
      <c r="D144" s="138" t="n">
        <v>2</v>
      </c>
      <c r="E144" s="138" t="n">
        <v>1</v>
      </c>
      <c r="F144" s="138" t="n"/>
      <c r="G144" s="138" t="n">
        <v>2</v>
      </c>
      <c r="H144" s="138" t="n"/>
      <c r="I144" s="138" t="n">
        <v>3</v>
      </c>
      <c r="J144" s="138" t="n">
        <v>2</v>
      </c>
      <c r="K144" s="138" t="n">
        <v>2</v>
      </c>
      <c r="L144" s="138" t="n"/>
      <c r="M144" s="138" t="n"/>
      <c r="N144" s="138" t="n"/>
      <c r="O144" s="138" t="n"/>
      <c r="P144" s="138" t="n"/>
      <c r="Q144" s="138" t="n"/>
      <c r="R144" s="138" t="n"/>
      <c r="S144" s="138" t="n"/>
      <c r="T144" s="138" t="n"/>
      <c r="U144" s="138" t="n"/>
      <c r="V144" s="138" t="n"/>
      <c r="W144" s="138" t="n"/>
      <c r="X144" s="138" t="n"/>
      <c r="Y144" s="138" t="n"/>
      <c r="Z144" s="138" t="n"/>
      <c r="AA144" s="138" t="n"/>
      <c r="AB144" s="138" t="n"/>
      <c r="AC144" s="138" t="n"/>
      <c r="AD144" s="138" t="n"/>
      <c r="AE144" s="138" t="n"/>
      <c r="AF144" s="138" t="n"/>
      <c r="AG144" s="138" t="n"/>
      <c r="AH144" s="138" t="n"/>
      <c r="AI144" s="138" t="n"/>
      <c r="AJ144" s="138" t="n"/>
      <c r="AK144" s="138" t="n"/>
      <c r="AL144" s="138" t="n"/>
      <c r="AM144" s="138" t="n"/>
      <c r="AN144" s="138" t="n"/>
      <c r="AO144" s="138" t="n"/>
      <c r="AP144" s="138" t="n"/>
      <c r="AQ144" s="138" t="n"/>
      <c r="AR144" s="138" t="n"/>
      <c r="AS144" s="138" t="n"/>
      <c r="AT144" s="138" t="n"/>
      <c r="AU144" s="138" t="n"/>
      <c r="AV144" s="138" t="n"/>
      <c r="AW144" s="138" t="n"/>
      <c r="AX144" s="138" t="n"/>
      <c r="AY144" s="138" t="n"/>
      <c r="AZ144" s="138" t="n"/>
      <c r="BA144" s="138" t="n"/>
      <c r="BB144" s="138" t="n"/>
      <c r="BC144" s="138" t="n"/>
      <c r="BD144" s="138" t="n"/>
      <c r="BE144" s="138" t="n"/>
      <c r="BF144" s="138" t="n"/>
      <c r="BG144" s="138" t="n"/>
      <c r="BH144" s="138" t="n"/>
      <c r="BI144" s="138" t="n"/>
      <c r="BJ144" s="138" t="n">
        <v>1</v>
      </c>
      <c r="BK144" s="138" t="n"/>
      <c r="BL144" s="138" t="n"/>
      <c r="BM144" s="138" t="n"/>
      <c r="BN144" s="138" t="n"/>
      <c r="BO144" s="138" t="n"/>
      <c r="BP144" s="138" t="n"/>
      <c r="BQ144" s="138" t="n"/>
      <c r="BR144" s="138" t="n"/>
      <c r="BS144" s="138" t="n"/>
      <c r="BT144" s="138" t="n"/>
      <c r="BU144" s="138" t="n"/>
      <c r="BV144" s="138" t="n">
        <v>4</v>
      </c>
      <c r="BW144" s="138" t="n"/>
      <c r="BX144" s="138" t="n">
        <v>3</v>
      </c>
      <c r="BY144" s="138" t="n"/>
      <c r="BZ144" s="138" t="n"/>
      <c r="CA144" s="138" t="n"/>
      <c r="CB144" s="138" t="n"/>
      <c r="CC144" s="138" t="n">
        <v>2</v>
      </c>
      <c r="CD144" s="138" t="n"/>
      <c r="CE144" s="138" t="n"/>
      <c r="CF144" s="139" t="n">
        <v>22</v>
      </c>
    </row>
    <row r="145" ht="13.5" customHeight="1">
      <c r="A145" s="144" t="inlineStr">
        <is>
          <t>1835-4</t>
        </is>
      </c>
      <c r="B145" s="144" t="inlineStr">
        <is>
          <t>□小ねぎ 100ｇ×20入(伊藤昇)7割減・5割減</t>
        </is>
      </c>
      <c r="C145" s="138" t="inlineStr">
        <is>
          <t>こもの</t>
        </is>
      </c>
      <c r="D145" s="138" t="n"/>
      <c r="E145" s="138" t="n"/>
      <c r="F145" s="138" t="n"/>
      <c r="G145" s="138" t="n"/>
      <c r="H145" s="138" t="n"/>
      <c r="I145" s="138" t="n"/>
      <c r="J145" s="138" t="n"/>
      <c r="K145" s="138" t="n"/>
      <c r="L145" s="138" t="n"/>
      <c r="M145" s="138" t="n"/>
      <c r="N145" s="138" t="n"/>
      <c r="O145" s="138" t="n"/>
      <c r="P145" s="138" t="n"/>
      <c r="Q145" s="138" t="n"/>
      <c r="R145" s="138" t="n"/>
      <c r="S145" s="138" t="n"/>
      <c r="T145" s="138" t="n"/>
      <c r="U145" s="138" t="n"/>
      <c r="V145" s="138" t="n"/>
      <c r="W145" s="138" t="n"/>
      <c r="X145" s="138" t="n"/>
      <c r="Y145" s="138" t="n"/>
      <c r="Z145" s="138" t="n"/>
      <c r="AA145" s="138" t="n"/>
      <c r="AB145" s="138" t="n"/>
      <c r="AC145" s="138" t="n"/>
      <c r="AD145" s="138" t="n"/>
      <c r="AE145" s="138" t="n"/>
      <c r="AF145" s="138" t="n"/>
      <c r="AG145" s="138" t="n"/>
      <c r="AH145" s="138" t="n"/>
      <c r="AI145" s="138" t="n"/>
      <c r="AJ145" s="138" t="n"/>
      <c r="AK145" s="138" t="n"/>
      <c r="AL145" s="138" t="n"/>
      <c r="AM145" s="138" t="n"/>
      <c r="AN145" s="138" t="n"/>
      <c r="AO145" s="138" t="n"/>
      <c r="AP145" s="138" t="n"/>
      <c r="AQ145" s="138" t="n"/>
      <c r="AR145" s="138" t="n"/>
      <c r="AS145" s="138" t="n"/>
      <c r="AT145" s="138" t="n"/>
      <c r="AU145" s="138" t="n"/>
      <c r="AV145" s="138" t="n"/>
      <c r="AW145" s="138" t="n"/>
      <c r="AX145" s="138" t="n"/>
      <c r="AY145" s="138" t="n"/>
      <c r="AZ145" s="138" t="n"/>
      <c r="BA145" s="138" t="n"/>
      <c r="BB145" s="138" t="n"/>
      <c r="BC145" s="138" t="n"/>
      <c r="BD145" s="138" t="n"/>
      <c r="BE145" s="138" t="n"/>
      <c r="BF145" s="138" t="n"/>
      <c r="BG145" s="138" t="n"/>
      <c r="BH145" s="138" t="n">
        <v>1</v>
      </c>
      <c r="BI145" s="138" t="n">
        <v>1</v>
      </c>
      <c r="BJ145" s="138" t="n"/>
      <c r="BK145" s="138" t="n"/>
      <c r="BL145" s="138" t="n"/>
      <c r="BM145" s="138" t="n"/>
      <c r="BN145" s="138" t="n"/>
      <c r="BO145" s="138" t="n"/>
      <c r="BP145" s="138" t="n"/>
      <c r="BQ145" s="138" t="n"/>
      <c r="BR145" s="138" t="n"/>
      <c r="BS145" s="138" t="n"/>
      <c r="BT145" s="138" t="n"/>
      <c r="BU145" s="138" t="n"/>
      <c r="BV145" s="138" t="n"/>
      <c r="BW145" s="138" t="n"/>
      <c r="BX145" s="138" t="n"/>
      <c r="BY145" s="138" t="n"/>
      <c r="BZ145" s="138" t="n"/>
      <c r="CA145" s="138" t="n"/>
      <c r="CB145" s="138" t="n"/>
      <c r="CC145" s="138" t="n"/>
      <c r="CD145" s="138" t="n"/>
      <c r="CE145" s="138" t="n"/>
      <c r="CF145" s="139" t="n">
        <v>2</v>
      </c>
    </row>
    <row r="146" ht="13.5" customHeight="1">
      <c r="A146" s="144" t="inlineStr">
        <is>
          <t>1838-12</t>
        </is>
      </c>
      <c r="B146" s="144" t="inlineStr">
        <is>
          <t>有機青ねぎ 100ｇ (大地と自然)</t>
        </is>
      </c>
      <c r="C146" s="138" t="inlineStr">
        <is>
          <t>こもの</t>
        </is>
      </c>
      <c r="D146" s="138" t="n"/>
      <c r="E146" s="138" t="n"/>
      <c r="F146" s="138" t="n"/>
      <c r="G146" s="138" t="n"/>
      <c r="H146" s="138" t="n"/>
      <c r="I146" s="138" t="n"/>
      <c r="J146" s="138" t="n"/>
      <c r="K146" s="138" t="n"/>
      <c r="L146" s="138" t="n"/>
      <c r="M146" s="138" t="n"/>
      <c r="N146" s="138" t="n"/>
      <c r="O146" s="138" t="n"/>
      <c r="P146" s="138" t="n"/>
      <c r="Q146" s="138" t="n"/>
      <c r="R146" s="138" t="n"/>
      <c r="S146" s="138" t="n"/>
      <c r="T146" s="138" t="n"/>
      <c r="U146" s="138" t="n"/>
      <c r="V146" s="138" t="n"/>
      <c r="W146" s="138" t="n"/>
      <c r="X146" s="138" t="n"/>
      <c r="Y146" s="138" t="n"/>
      <c r="Z146" s="138" t="n"/>
      <c r="AA146" s="138" t="n"/>
      <c r="AB146" s="138" t="n"/>
      <c r="AC146" s="138" t="n"/>
      <c r="AD146" s="138" t="n"/>
      <c r="AE146" s="138" t="n"/>
      <c r="AF146" s="138" t="n"/>
      <c r="AG146" s="138" t="n"/>
      <c r="AH146" s="138" t="n"/>
      <c r="AI146" s="138" t="n"/>
      <c r="AJ146" s="138" t="n"/>
      <c r="AK146" s="138" t="n"/>
      <c r="AL146" s="138" t="n"/>
      <c r="AM146" s="138" t="n"/>
      <c r="AN146" s="138" t="n"/>
      <c r="AO146" s="138" t="n"/>
      <c r="AP146" s="138" t="n"/>
      <c r="AQ146" s="138" t="n"/>
      <c r="AR146" s="138" t="n"/>
      <c r="AS146" s="138" t="n"/>
      <c r="AT146" s="138" t="n"/>
      <c r="AU146" s="138" t="n"/>
      <c r="AV146" s="138" t="n"/>
      <c r="AW146" s="138" t="n"/>
      <c r="AX146" s="138" t="n"/>
      <c r="AY146" s="138" t="n"/>
      <c r="AZ146" s="138" t="n"/>
      <c r="BA146" s="138" t="n"/>
      <c r="BB146" s="138" t="n"/>
      <c r="BC146" s="138" t="n"/>
      <c r="BD146" s="138" t="n"/>
      <c r="BE146" s="138" t="n"/>
      <c r="BF146" s="138" t="n"/>
      <c r="BG146" s="138" t="n"/>
      <c r="BH146" s="138" t="n"/>
      <c r="BI146" s="138" t="n"/>
      <c r="BJ146" s="138" t="n"/>
      <c r="BK146" s="138" t="n"/>
      <c r="BL146" s="138" t="n"/>
      <c r="BM146" s="138" t="n"/>
      <c r="BN146" s="138" t="n"/>
      <c r="BO146" s="138" t="n"/>
      <c r="BP146" s="138" t="n"/>
      <c r="BQ146" s="138" t="n"/>
      <c r="BR146" s="138" t="n"/>
      <c r="BS146" s="138" t="n"/>
      <c r="BT146" s="138" t="n"/>
      <c r="BU146" s="138" t="n"/>
      <c r="BV146" s="138" t="n">
        <v>4</v>
      </c>
      <c r="BW146" s="138" t="n">
        <v>2</v>
      </c>
      <c r="BX146" s="138" t="n"/>
      <c r="BY146" s="138" t="n"/>
      <c r="BZ146" s="138" t="n"/>
      <c r="CA146" s="138" t="n"/>
      <c r="CB146" s="138" t="n"/>
      <c r="CC146" s="138" t="n">
        <v>6</v>
      </c>
      <c r="CD146" s="138" t="n">
        <v>4</v>
      </c>
      <c r="CE146" s="138" t="n">
        <v>3</v>
      </c>
      <c r="CF146" s="139" t="n">
        <v>19</v>
      </c>
    </row>
    <row r="147" ht="13.5" customHeight="1">
      <c r="A147" s="144" t="inlineStr">
        <is>
          <t>1840-14</t>
        </is>
      </c>
      <c r="B147" s="144" t="inlineStr">
        <is>
          <t>有機にら 100ｇ (北総)</t>
        </is>
      </c>
      <c r="C147" s="138" t="inlineStr">
        <is>
          <t>こもの</t>
        </is>
      </c>
      <c r="D147" s="138" t="n"/>
      <c r="E147" s="138" t="n">
        <v>3</v>
      </c>
      <c r="F147" s="138" t="n"/>
      <c r="G147" s="138" t="n"/>
      <c r="H147" s="138" t="n"/>
      <c r="I147" s="138" t="n"/>
      <c r="J147" s="138" t="n"/>
      <c r="K147" s="138" t="n"/>
      <c r="L147" s="138" t="n"/>
      <c r="M147" s="138" t="n"/>
      <c r="N147" s="138" t="n"/>
      <c r="O147" s="138" t="n"/>
      <c r="P147" s="138" t="n"/>
      <c r="Q147" s="138" t="n"/>
      <c r="R147" s="138" t="n"/>
      <c r="S147" s="138" t="n"/>
      <c r="T147" s="138" t="n"/>
      <c r="U147" s="138" t="n"/>
      <c r="V147" s="138" t="n"/>
      <c r="W147" s="138" t="n"/>
      <c r="X147" s="138" t="n"/>
      <c r="Y147" s="138" t="n"/>
      <c r="Z147" s="138" t="n"/>
      <c r="AA147" s="138" t="n"/>
      <c r="AB147" s="138" t="n"/>
      <c r="AC147" s="138" t="n"/>
      <c r="AD147" s="138" t="n"/>
      <c r="AE147" s="138" t="n"/>
      <c r="AF147" s="138" t="n">
        <v>10</v>
      </c>
      <c r="AG147" s="138" t="n"/>
      <c r="AH147" s="138" t="n"/>
      <c r="AI147" s="138" t="n"/>
      <c r="AJ147" s="138" t="n"/>
      <c r="AK147" s="138" t="n"/>
      <c r="AL147" s="138" t="n"/>
      <c r="AM147" s="138" t="n"/>
      <c r="AN147" s="138" t="n"/>
      <c r="AO147" s="138" t="n"/>
      <c r="AP147" s="138" t="n"/>
      <c r="AQ147" s="138" t="n"/>
      <c r="AR147" s="138" t="n"/>
      <c r="AS147" s="138" t="n"/>
      <c r="AT147" s="138" t="n"/>
      <c r="AU147" s="138" t="n"/>
      <c r="AV147" s="138" t="n"/>
      <c r="AW147" s="138" t="n"/>
      <c r="AX147" s="138" t="n"/>
      <c r="AY147" s="138" t="n"/>
      <c r="AZ147" s="138" t="n"/>
      <c r="BA147" s="138" t="n"/>
      <c r="BB147" s="138" t="n"/>
      <c r="BC147" s="138" t="n"/>
      <c r="BD147" s="138" t="n"/>
      <c r="BE147" s="138" t="n"/>
      <c r="BF147" s="138" t="n"/>
      <c r="BG147" s="138" t="n"/>
      <c r="BH147" s="138" t="n"/>
      <c r="BI147" s="138" t="n"/>
      <c r="BJ147" s="138" t="n">
        <v>3</v>
      </c>
      <c r="BK147" s="138" t="n"/>
      <c r="BL147" s="138" t="n"/>
      <c r="BM147" s="138" t="n"/>
      <c r="BN147" s="138" t="n"/>
      <c r="BO147" s="138" t="n"/>
      <c r="BP147" s="138" t="n"/>
      <c r="BQ147" s="138" t="n"/>
      <c r="BR147" s="138" t="n"/>
      <c r="BS147" s="138" t="n"/>
      <c r="BT147" s="138" t="n"/>
      <c r="BU147" s="138" t="n"/>
      <c r="BV147" s="138" t="n">
        <v>6</v>
      </c>
      <c r="BW147" s="138" t="n">
        <v>2</v>
      </c>
      <c r="BX147" s="138" t="n">
        <v>8</v>
      </c>
      <c r="BY147" s="138" t="n"/>
      <c r="BZ147" s="138" t="n"/>
      <c r="CA147" s="138" t="n"/>
      <c r="CB147" s="138" t="n"/>
      <c r="CC147" s="138" t="n"/>
      <c r="CD147" s="138" t="n"/>
      <c r="CE147" s="138" t="n">
        <v>3</v>
      </c>
      <c r="CF147" s="139" t="n">
        <v>35</v>
      </c>
    </row>
    <row r="148" ht="13.5" customHeight="1">
      <c r="A148" s="144" t="inlineStr">
        <is>
          <t>1840-4</t>
        </is>
      </c>
      <c r="B148" s="144" t="inlineStr">
        <is>
          <t>有機にら 100ｇ (大地と自然)</t>
        </is>
      </c>
      <c r="C148" s="138" t="inlineStr">
        <is>
          <t>こもの</t>
        </is>
      </c>
      <c r="D148" s="138" t="n"/>
      <c r="E148" s="138" t="n"/>
      <c r="F148" s="138" t="n"/>
      <c r="G148" s="138" t="n"/>
      <c r="H148" s="138" t="n"/>
      <c r="I148" s="138" t="n"/>
      <c r="J148" s="138" t="n"/>
      <c r="K148" s="138" t="n"/>
      <c r="L148" s="138" t="n"/>
      <c r="M148" s="138" t="n"/>
      <c r="N148" s="138" t="n"/>
      <c r="O148" s="138" t="n"/>
      <c r="P148" s="138" t="n"/>
      <c r="Q148" s="138" t="n"/>
      <c r="R148" s="138" t="n"/>
      <c r="S148" s="138" t="n"/>
      <c r="T148" s="138" t="n"/>
      <c r="U148" s="138" t="n"/>
      <c r="V148" s="138" t="n"/>
      <c r="W148" s="138" t="n"/>
      <c r="X148" s="138" t="n"/>
      <c r="Y148" s="138" t="n"/>
      <c r="Z148" s="138" t="n"/>
      <c r="AA148" s="138" t="n"/>
      <c r="AB148" s="138" t="n"/>
      <c r="AC148" s="138" t="n"/>
      <c r="AD148" s="138" t="n"/>
      <c r="AE148" s="138" t="n"/>
      <c r="AF148" s="138" t="n"/>
      <c r="AG148" s="138" t="n"/>
      <c r="AH148" s="138" t="n"/>
      <c r="AI148" s="138" t="n"/>
      <c r="AJ148" s="138" t="n"/>
      <c r="AK148" s="138" t="n"/>
      <c r="AL148" s="138" t="n"/>
      <c r="AM148" s="138" t="n"/>
      <c r="AN148" s="138" t="n"/>
      <c r="AO148" s="138" t="n"/>
      <c r="AP148" s="138" t="n"/>
      <c r="AQ148" s="138" t="n"/>
      <c r="AR148" s="138" t="n"/>
      <c r="AS148" s="138" t="n"/>
      <c r="AT148" s="138" t="n"/>
      <c r="AU148" s="138" t="n"/>
      <c r="AV148" s="138" t="n"/>
      <c r="AW148" s="138" t="n"/>
      <c r="AX148" s="138" t="n"/>
      <c r="AY148" s="138" t="n"/>
      <c r="AZ148" s="138" t="n"/>
      <c r="BA148" s="138" t="n"/>
      <c r="BB148" s="138" t="n"/>
      <c r="BC148" s="138" t="n"/>
      <c r="BD148" s="138" t="n"/>
      <c r="BE148" s="138" t="n"/>
      <c r="BF148" s="138" t="n"/>
      <c r="BG148" s="138" t="n"/>
      <c r="BH148" s="138" t="n">
        <v>10</v>
      </c>
      <c r="BI148" s="138" t="n">
        <v>10</v>
      </c>
      <c r="BJ148" s="138" t="n"/>
      <c r="BK148" s="138" t="n"/>
      <c r="BL148" s="138" t="n"/>
      <c r="BM148" s="138" t="n"/>
      <c r="BN148" s="138" t="n"/>
      <c r="BO148" s="138" t="n"/>
      <c r="BP148" s="138" t="n"/>
      <c r="BQ148" s="138" t="n"/>
      <c r="BR148" s="138" t="n"/>
      <c r="BS148" s="138" t="n"/>
      <c r="BT148" s="138" t="n"/>
      <c r="BU148" s="138" t="n"/>
      <c r="BV148" s="138" t="n"/>
      <c r="BW148" s="138" t="n"/>
      <c r="BX148" s="138" t="n"/>
      <c r="BY148" s="138" t="n"/>
      <c r="BZ148" s="138" t="n"/>
      <c r="CA148" s="138" t="n"/>
      <c r="CB148" s="138" t="n"/>
      <c r="CC148" s="138" t="n">
        <v>4</v>
      </c>
      <c r="CD148" s="138" t="n"/>
      <c r="CE148" s="138" t="n"/>
      <c r="CF148" s="139" t="n">
        <v>24</v>
      </c>
    </row>
    <row r="149" ht="13.5" customHeight="1">
      <c r="A149" s="144" t="inlineStr">
        <is>
          <t>1856-85</t>
        </is>
      </c>
      <c r="B149" s="144" t="inlineStr">
        <is>
          <t>にんにく　1玉(せっせと畑)◇</t>
        </is>
      </c>
      <c r="C149" s="138" t="inlineStr">
        <is>
          <t>こもの</t>
        </is>
      </c>
      <c r="D149" s="138" t="n">
        <v>3</v>
      </c>
      <c r="E149" s="138" t="n"/>
      <c r="F149" s="138" t="n"/>
      <c r="G149" s="138" t="n"/>
      <c r="H149" s="138" t="n"/>
      <c r="I149" s="138" t="n"/>
      <c r="J149" s="138" t="n">
        <v>12</v>
      </c>
      <c r="K149" s="138" t="n"/>
      <c r="L149" s="138" t="n"/>
      <c r="M149" s="138" t="n"/>
      <c r="N149" s="138" t="n"/>
      <c r="O149" s="138" t="n"/>
      <c r="P149" s="138" t="n"/>
      <c r="Q149" s="138" t="n"/>
      <c r="R149" s="138" t="n"/>
      <c r="S149" s="138" t="n">
        <v>5</v>
      </c>
      <c r="T149" s="138" t="n"/>
      <c r="U149" s="138" t="n">
        <v>5</v>
      </c>
      <c r="V149" s="138" t="n"/>
      <c r="W149" s="138" t="n"/>
      <c r="X149" s="138" t="n">
        <v>6</v>
      </c>
      <c r="Y149" s="138" t="n"/>
      <c r="Z149" s="138" t="n"/>
      <c r="AA149" s="138" t="n"/>
      <c r="AB149" s="138" t="n"/>
      <c r="AC149" s="138" t="n"/>
      <c r="AD149" s="138" t="n"/>
      <c r="AE149" s="138" t="n"/>
      <c r="AF149" s="138" t="n"/>
      <c r="AG149" s="138" t="n"/>
      <c r="AH149" s="138" t="n">
        <v>10</v>
      </c>
      <c r="AI149" s="138" t="n"/>
      <c r="AJ149" s="138" t="n"/>
      <c r="AK149" s="138" t="n"/>
      <c r="AL149" s="138" t="n"/>
      <c r="AM149" s="138" t="n"/>
      <c r="AN149" s="138" t="n"/>
      <c r="AO149" s="138" t="n">
        <v>2</v>
      </c>
      <c r="AP149" s="138" t="n"/>
      <c r="AQ149" s="138" t="n"/>
      <c r="AR149" s="138" t="n">
        <v>3</v>
      </c>
      <c r="AS149" s="138" t="n"/>
      <c r="AT149" s="138" t="n">
        <v>4</v>
      </c>
      <c r="AU149" s="138" t="n"/>
      <c r="AV149" s="138" t="n"/>
      <c r="AW149" s="138" t="n"/>
      <c r="AX149" s="138" t="n"/>
      <c r="AY149" s="138" t="n"/>
      <c r="AZ149" s="138" t="n">
        <v>2</v>
      </c>
      <c r="BA149" s="138" t="n"/>
      <c r="BB149" s="138" t="n"/>
      <c r="BC149" s="138" t="n"/>
      <c r="BD149" s="138" t="n"/>
      <c r="BE149" s="138" t="n"/>
      <c r="BF149" s="138" t="n"/>
      <c r="BG149" s="138" t="n"/>
      <c r="BH149" s="138" t="n"/>
      <c r="BI149" s="138" t="n"/>
      <c r="BJ149" s="138" t="n">
        <v>5</v>
      </c>
      <c r="BK149" s="138" t="n"/>
      <c r="BL149" s="138" t="n"/>
      <c r="BM149" s="138" t="n"/>
      <c r="BN149" s="138" t="n"/>
      <c r="BO149" s="138" t="n"/>
      <c r="BP149" s="138" t="n"/>
      <c r="BQ149" s="138" t="n"/>
      <c r="BR149" s="138" t="n"/>
      <c r="BS149" s="138" t="n"/>
      <c r="BT149" s="138" t="n"/>
      <c r="BU149" s="138" t="n"/>
      <c r="BV149" s="138" t="n"/>
      <c r="BW149" s="138" t="n"/>
      <c r="BX149" s="138" t="n"/>
      <c r="BY149" s="138" t="n"/>
      <c r="BZ149" s="138" t="n"/>
      <c r="CA149" s="138" t="n"/>
      <c r="CB149" s="138" t="n"/>
      <c r="CC149" s="138" t="n">
        <v>12</v>
      </c>
      <c r="CD149" s="138" t="n"/>
      <c r="CE149" s="138" t="n">
        <v>3</v>
      </c>
      <c r="CF149" s="139" t="n">
        <v>72</v>
      </c>
    </row>
    <row r="150" ht="13.5" customHeight="1">
      <c r="A150" s="144" t="inlineStr">
        <is>
          <t>1857-29</t>
        </is>
      </c>
      <c r="B150" s="144" t="inlineStr">
        <is>
          <t>有機しょうが　100g袋 (夢有民・産ﾊﾟ)</t>
        </is>
      </c>
      <c r="C150" s="138" t="inlineStr">
        <is>
          <t>こもの</t>
        </is>
      </c>
      <c r="D150" s="138" t="n"/>
      <c r="E150" s="138" t="n"/>
      <c r="F150" s="138" t="n"/>
      <c r="G150" s="138" t="n"/>
      <c r="H150" s="138" t="n"/>
      <c r="I150" s="138" t="n"/>
      <c r="J150" s="138" t="n"/>
      <c r="K150" s="138" t="n">
        <v>10</v>
      </c>
      <c r="L150" s="138" t="n"/>
      <c r="M150" s="138" t="n"/>
      <c r="N150" s="138" t="n"/>
      <c r="O150" s="138" t="n"/>
      <c r="P150" s="138" t="n"/>
      <c r="Q150" s="138" t="n">
        <v>5</v>
      </c>
      <c r="R150" s="138" t="n">
        <v>8</v>
      </c>
      <c r="S150" s="138" t="n"/>
      <c r="T150" s="138" t="n"/>
      <c r="U150" s="138" t="n"/>
      <c r="V150" s="138" t="n">
        <v>8</v>
      </c>
      <c r="W150" s="138" t="n"/>
      <c r="X150" s="138" t="n">
        <v>6</v>
      </c>
      <c r="Y150" s="138" t="n"/>
      <c r="Z150" s="138" t="n"/>
      <c r="AA150" s="138" t="n"/>
      <c r="AB150" s="138" t="n">
        <v>8</v>
      </c>
      <c r="AC150" s="138" t="n"/>
      <c r="AD150" s="138" t="n">
        <v>10</v>
      </c>
      <c r="AE150" s="138" t="n"/>
      <c r="AF150" s="138" t="n"/>
      <c r="AG150" s="138" t="n">
        <v>6</v>
      </c>
      <c r="AH150" s="138" t="n"/>
      <c r="AI150" s="138" t="n"/>
      <c r="AJ150" s="138" t="n"/>
      <c r="AK150" s="138" t="n">
        <v>10</v>
      </c>
      <c r="AL150" s="138" t="n"/>
      <c r="AM150" s="138" t="n"/>
      <c r="AN150" s="138" t="n">
        <v>10</v>
      </c>
      <c r="AO150" s="138" t="n"/>
      <c r="AP150" s="138" t="n"/>
      <c r="AQ150" s="138" t="n"/>
      <c r="AR150" s="138" t="n"/>
      <c r="AS150" s="138" t="n"/>
      <c r="AT150" s="138" t="n"/>
      <c r="AU150" s="138" t="n">
        <v>10</v>
      </c>
      <c r="AV150" s="138" t="n">
        <v>10</v>
      </c>
      <c r="AW150" s="138" t="n">
        <v>10</v>
      </c>
      <c r="AX150" s="138" t="n"/>
      <c r="AY150" s="138" t="n">
        <v>10</v>
      </c>
      <c r="AZ150" s="138" t="n"/>
      <c r="BA150" s="138" t="n">
        <v>10</v>
      </c>
      <c r="BB150" s="138" t="n"/>
      <c r="BC150" s="138" t="n"/>
      <c r="BD150" s="138" t="n"/>
      <c r="BE150" s="138" t="n"/>
      <c r="BF150" s="138" t="n">
        <v>4</v>
      </c>
      <c r="BG150" s="138" t="n">
        <v>4</v>
      </c>
      <c r="BH150" s="138" t="n"/>
      <c r="BI150" s="138" t="n"/>
      <c r="BJ150" s="138" t="n">
        <v>4</v>
      </c>
      <c r="BK150" s="138" t="n"/>
      <c r="BL150" s="138" t="n"/>
      <c r="BM150" s="138" t="n"/>
      <c r="BN150" s="138" t="n"/>
      <c r="BO150" s="138" t="n"/>
      <c r="BP150" s="138" t="n"/>
      <c r="BQ150" s="138" t="n"/>
      <c r="BR150" s="138" t="n"/>
      <c r="BS150" s="138" t="n"/>
      <c r="BT150" s="138" t="n"/>
      <c r="BU150" s="138" t="n"/>
      <c r="BV150" s="138" t="n"/>
      <c r="BW150" s="138" t="n"/>
      <c r="BX150" s="138" t="n"/>
      <c r="BY150" s="138" t="n">
        <v>4</v>
      </c>
      <c r="BZ150" s="138" t="n"/>
      <c r="CA150" s="138" t="n"/>
      <c r="CB150" s="138" t="n"/>
      <c r="CC150" s="138" t="n">
        <v>10</v>
      </c>
      <c r="CD150" s="138" t="n"/>
      <c r="CE150" s="138" t="n">
        <v>2</v>
      </c>
      <c r="CF150" s="139" t="n">
        <v>159</v>
      </c>
    </row>
    <row r="151" ht="13.5" customHeight="1">
      <c r="A151" s="144" t="inlineStr">
        <is>
          <t>1868-21</t>
        </is>
      </c>
      <c r="B151" s="144" t="inlineStr">
        <is>
          <t>有機生きくらげ(菌床) 50ｇ(太洋社)</t>
        </is>
      </c>
      <c r="C151" s="138" t="inlineStr">
        <is>
          <t>こもの</t>
        </is>
      </c>
      <c r="D151" s="138" t="n"/>
      <c r="E151" s="138" t="n"/>
      <c r="F151" s="138" t="n"/>
      <c r="G151" s="138" t="n"/>
      <c r="H151" s="138" t="n"/>
      <c r="I151" s="138" t="n"/>
      <c r="J151" s="138" t="n">
        <v>2</v>
      </c>
      <c r="K151" s="138" t="n">
        <v>5</v>
      </c>
      <c r="L151" s="138" t="n"/>
      <c r="M151" s="138" t="n"/>
      <c r="N151" s="138" t="n"/>
      <c r="O151" s="138" t="n"/>
      <c r="P151" s="138" t="n"/>
      <c r="Q151" s="138" t="n"/>
      <c r="R151" s="138" t="n"/>
      <c r="S151" s="138" t="n"/>
      <c r="T151" s="138" t="n"/>
      <c r="U151" s="138" t="n"/>
      <c r="V151" s="138" t="n"/>
      <c r="W151" s="138" t="n"/>
      <c r="X151" s="138" t="n"/>
      <c r="Y151" s="138" t="n"/>
      <c r="Z151" s="138" t="n"/>
      <c r="AA151" s="138" t="n"/>
      <c r="AB151" s="138" t="n"/>
      <c r="AC151" s="138" t="n"/>
      <c r="AD151" s="138" t="n"/>
      <c r="AE151" s="138" t="n"/>
      <c r="AF151" s="138" t="n"/>
      <c r="AG151" s="138" t="n"/>
      <c r="AH151" s="138" t="n"/>
      <c r="AI151" s="138" t="n"/>
      <c r="AJ151" s="138" t="n"/>
      <c r="AK151" s="138" t="n"/>
      <c r="AL151" s="138" t="n"/>
      <c r="AM151" s="138" t="n"/>
      <c r="AN151" s="138" t="n"/>
      <c r="AO151" s="138" t="n"/>
      <c r="AP151" s="138" t="n"/>
      <c r="AQ151" s="138" t="n"/>
      <c r="AR151" s="138" t="n"/>
      <c r="AS151" s="138" t="n"/>
      <c r="AT151" s="138" t="n"/>
      <c r="AU151" s="138" t="n"/>
      <c r="AV151" s="138" t="n"/>
      <c r="AW151" s="138" t="n"/>
      <c r="AX151" s="138" t="n">
        <v>2</v>
      </c>
      <c r="AY151" s="138" t="n"/>
      <c r="AZ151" s="138" t="n"/>
      <c r="BA151" s="138" t="n">
        <v>2</v>
      </c>
      <c r="BB151" s="138" t="n"/>
      <c r="BC151" s="138" t="n"/>
      <c r="BD151" s="138" t="n"/>
      <c r="BE151" s="138" t="n"/>
      <c r="BF151" s="138" t="n">
        <v>2</v>
      </c>
      <c r="BG151" s="138" t="n"/>
      <c r="BH151" s="138" t="n"/>
      <c r="BI151" s="138" t="n"/>
      <c r="BJ151" s="138" t="n"/>
      <c r="BK151" s="138" t="n"/>
      <c r="BL151" s="138" t="n"/>
      <c r="BM151" s="138" t="n"/>
      <c r="BN151" s="138" t="n"/>
      <c r="BO151" s="138" t="n"/>
      <c r="BP151" s="138" t="n"/>
      <c r="BQ151" s="138" t="n"/>
      <c r="BR151" s="138" t="n"/>
      <c r="BS151" s="138" t="n"/>
      <c r="BT151" s="138" t="n"/>
      <c r="BU151" s="138" t="n"/>
      <c r="BV151" s="138" t="n"/>
      <c r="BW151" s="138" t="n"/>
      <c r="BX151" s="138" t="n"/>
      <c r="BY151" s="138" t="n"/>
      <c r="BZ151" s="138" t="n"/>
      <c r="CA151" s="138" t="n"/>
      <c r="CB151" s="138" t="n"/>
      <c r="CC151" s="138" t="n">
        <v>10</v>
      </c>
      <c r="CD151" s="138" t="n"/>
      <c r="CE151" s="138" t="n"/>
      <c r="CF151" s="139" t="n">
        <v>23</v>
      </c>
    </row>
    <row r="152" ht="13.5" customHeight="1">
      <c r="A152" s="144" t="inlineStr">
        <is>
          <t>1869-1</t>
        </is>
      </c>
      <c r="B152" s="144" t="inlineStr">
        <is>
          <t>有機パクチー　30ｇ（わ～ふぁ）</t>
        </is>
      </c>
      <c r="C152" s="138" t="inlineStr">
        <is>
          <t>こもの</t>
        </is>
      </c>
      <c r="D152" s="138" t="n">
        <v>2</v>
      </c>
      <c r="E152" s="138" t="n"/>
      <c r="F152" s="138" t="n"/>
      <c r="G152" s="138" t="n">
        <v>2</v>
      </c>
      <c r="H152" s="138" t="n"/>
      <c r="I152" s="138" t="n"/>
      <c r="J152" s="138" t="n">
        <v>2</v>
      </c>
      <c r="K152" s="138" t="n"/>
      <c r="L152" s="138" t="n">
        <v>5</v>
      </c>
      <c r="M152" s="138" t="n">
        <v>5</v>
      </c>
      <c r="N152" s="138" t="n"/>
      <c r="O152" s="138" t="n">
        <v>2</v>
      </c>
      <c r="P152" s="138" t="n"/>
      <c r="Q152" s="138" t="n"/>
      <c r="R152" s="138" t="n"/>
      <c r="S152" s="138" t="n"/>
      <c r="T152" s="138" t="n"/>
      <c r="U152" s="138" t="n"/>
      <c r="V152" s="138" t="n"/>
      <c r="W152" s="138" t="n">
        <v>3</v>
      </c>
      <c r="X152" s="138" t="n">
        <v>2</v>
      </c>
      <c r="Y152" s="138" t="n"/>
      <c r="Z152" s="138" t="n"/>
      <c r="AA152" s="138" t="n"/>
      <c r="AB152" s="138" t="n"/>
      <c r="AC152" s="138" t="n"/>
      <c r="AD152" s="138" t="n"/>
      <c r="AE152" s="138" t="n"/>
      <c r="AF152" s="138" t="n"/>
      <c r="AG152" s="138" t="n">
        <v>5</v>
      </c>
      <c r="AH152" s="138" t="n">
        <v>3</v>
      </c>
      <c r="AI152" s="138" t="n"/>
      <c r="AJ152" s="138" t="n"/>
      <c r="AK152" s="138" t="n">
        <v>4</v>
      </c>
      <c r="AL152" s="138" t="n"/>
      <c r="AM152" s="138" t="n"/>
      <c r="AN152" s="138" t="n"/>
      <c r="AO152" s="138" t="n"/>
      <c r="AP152" s="138" t="n"/>
      <c r="AQ152" s="138" t="n"/>
      <c r="AR152" s="138" t="n">
        <v>2</v>
      </c>
      <c r="AS152" s="138" t="n">
        <v>4</v>
      </c>
      <c r="AT152" s="138" t="n"/>
      <c r="AU152" s="138" t="n"/>
      <c r="AV152" s="138" t="n"/>
      <c r="AW152" s="138" t="n"/>
      <c r="AX152" s="138" t="n"/>
      <c r="AY152" s="138" t="n"/>
      <c r="AZ152" s="138" t="n"/>
      <c r="BA152" s="138" t="n"/>
      <c r="BB152" s="138" t="n">
        <v>2</v>
      </c>
      <c r="BC152" s="138" t="n"/>
      <c r="BD152" s="138" t="n">
        <v>3</v>
      </c>
      <c r="BE152" s="138" t="n"/>
      <c r="BF152" s="138" t="n"/>
      <c r="BG152" s="138" t="n"/>
      <c r="BH152" s="138" t="n"/>
      <c r="BI152" s="138" t="n"/>
      <c r="BJ152" s="138" t="n">
        <v>2</v>
      </c>
      <c r="BK152" s="138" t="n"/>
      <c r="BL152" s="138" t="n"/>
      <c r="BM152" s="138" t="n"/>
      <c r="BN152" s="138" t="n"/>
      <c r="BO152" s="138" t="n"/>
      <c r="BP152" s="138" t="n"/>
      <c r="BQ152" s="138" t="n"/>
      <c r="BR152" s="138" t="n"/>
      <c r="BS152" s="138" t="n"/>
      <c r="BT152" s="138" t="n"/>
      <c r="BU152" s="138" t="n"/>
      <c r="BV152" s="138" t="n"/>
      <c r="BW152" s="138" t="n"/>
      <c r="BX152" s="138" t="n">
        <v>8</v>
      </c>
      <c r="BY152" s="138" t="n"/>
      <c r="BZ152" s="138" t="n"/>
      <c r="CA152" s="138" t="n"/>
      <c r="CB152" s="138" t="n"/>
      <c r="CC152" s="138" t="n">
        <v>2</v>
      </c>
      <c r="CD152" s="138" t="n"/>
      <c r="CE152" s="138" t="n">
        <v>2</v>
      </c>
      <c r="CF152" s="139" t="n">
        <v>60</v>
      </c>
    </row>
    <row r="153" ht="13.5" customHeight="1">
      <c r="A153" s="144" t="inlineStr">
        <is>
          <t>1869-9</t>
        </is>
      </c>
      <c r="B153" s="144" t="inlineStr">
        <is>
          <t>有機パクチー　30ｇ×５(わ～ふぁ)東一</t>
        </is>
      </c>
      <c r="C153" s="138" t="inlineStr">
        <is>
          <t>こもの</t>
        </is>
      </c>
      <c r="D153" s="138" t="n"/>
      <c r="E153" s="138" t="n"/>
      <c r="F153" s="138" t="n"/>
      <c r="G153" s="138" t="n"/>
      <c r="H153" s="138" t="n"/>
      <c r="I153" s="138" t="n"/>
      <c r="J153" s="138" t="n"/>
      <c r="K153" s="138" t="n"/>
      <c r="L153" s="138" t="n"/>
      <c r="M153" s="138" t="n"/>
      <c r="N153" s="138" t="n"/>
      <c r="O153" s="138" t="n"/>
      <c r="P153" s="138" t="n"/>
      <c r="Q153" s="138" t="n"/>
      <c r="R153" s="138" t="n"/>
      <c r="S153" s="138" t="n"/>
      <c r="T153" s="138" t="n"/>
      <c r="U153" s="138" t="n"/>
      <c r="V153" s="138" t="n"/>
      <c r="W153" s="138" t="n"/>
      <c r="X153" s="138" t="n"/>
      <c r="Y153" s="138" t="n"/>
      <c r="Z153" s="138" t="n"/>
      <c r="AA153" s="138" t="n"/>
      <c r="AB153" s="138" t="n"/>
      <c r="AC153" s="138" t="n"/>
      <c r="AD153" s="138" t="n"/>
      <c r="AE153" s="138" t="n"/>
      <c r="AF153" s="138" t="n"/>
      <c r="AG153" s="138" t="n"/>
      <c r="AH153" s="138" t="n"/>
      <c r="AI153" s="138" t="n"/>
      <c r="AJ153" s="138" t="n"/>
      <c r="AK153" s="138" t="n"/>
      <c r="AL153" s="138" t="n"/>
      <c r="AM153" s="138" t="n"/>
      <c r="AN153" s="138" t="n"/>
      <c r="AO153" s="138" t="n"/>
      <c r="AP153" s="138" t="n"/>
      <c r="AQ153" s="138" t="n"/>
      <c r="AR153" s="138" t="n"/>
      <c r="AS153" s="138" t="n"/>
      <c r="AT153" s="138" t="n"/>
      <c r="AU153" s="138" t="n"/>
      <c r="AV153" s="138" t="n"/>
      <c r="AW153" s="138" t="n"/>
      <c r="AX153" s="138" t="n"/>
      <c r="AY153" s="138" t="n"/>
      <c r="AZ153" s="138" t="n"/>
      <c r="BA153" s="138" t="n"/>
      <c r="BB153" s="138" t="n"/>
      <c r="BC153" s="138" t="n">
        <v>1</v>
      </c>
      <c r="BD153" s="138" t="n"/>
      <c r="BE153" s="138" t="n"/>
      <c r="BF153" s="138" t="n"/>
      <c r="BG153" s="138" t="n"/>
      <c r="BH153" s="138" t="n"/>
      <c r="BI153" s="138" t="n"/>
      <c r="BJ153" s="138" t="n"/>
      <c r="BK153" s="138" t="n"/>
      <c r="BL153" s="138" t="n"/>
      <c r="BM153" s="138" t="n"/>
      <c r="BN153" s="138" t="n"/>
      <c r="BO153" s="138" t="n"/>
      <c r="BP153" s="138" t="n"/>
      <c r="BQ153" s="138" t="n"/>
      <c r="BR153" s="138" t="n"/>
      <c r="BS153" s="138" t="n"/>
      <c r="BT153" s="138" t="n"/>
      <c r="BU153" s="138" t="n"/>
      <c r="BV153" s="138" t="n"/>
      <c r="BW153" s="138" t="n"/>
      <c r="BX153" s="138" t="n"/>
      <c r="BY153" s="138" t="n"/>
      <c r="BZ153" s="138" t="n"/>
      <c r="CA153" s="138" t="n"/>
      <c r="CB153" s="138" t="n"/>
      <c r="CC153" s="138" t="n"/>
      <c r="CD153" s="138" t="n"/>
      <c r="CE153" s="138" t="n"/>
      <c r="CF153" s="139" t="n">
        <v>1</v>
      </c>
    </row>
    <row r="154" ht="13.5" customHeight="1">
      <c r="A154" s="144" t="inlineStr">
        <is>
          <t>1875-15</t>
        </is>
      </c>
      <c r="B154" s="144" t="inlineStr">
        <is>
          <t>有機ラディッシュ　4～6玉袋(やさと)</t>
        </is>
      </c>
      <c r="C154" s="138" t="inlineStr">
        <is>
          <t>こもの</t>
        </is>
      </c>
      <c r="D154" s="138" t="n"/>
      <c r="E154" s="138" t="n"/>
      <c r="F154" s="138" t="n"/>
      <c r="G154" s="138" t="n"/>
      <c r="H154" s="138" t="n"/>
      <c r="I154" s="138" t="n"/>
      <c r="J154" s="138" t="n"/>
      <c r="K154" s="138" t="n"/>
      <c r="L154" s="138" t="n"/>
      <c r="M154" s="138" t="n">
        <v>3</v>
      </c>
      <c r="N154" s="138" t="n"/>
      <c r="O154" s="138" t="n"/>
      <c r="P154" s="138" t="n"/>
      <c r="Q154" s="138" t="n"/>
      <c r="R154" s="138" t="n"/>
      <c r="S154" s="138" t="n"/>
      <c r="T154" s="138" t="n"/>
      <c r="U154" s="138" t="n"/>
      <c r="V154" s="138" t="n"/>
      <c r="W154" s="138" t="n"/>
      <c r="X154" s="138" t="n"/>
      <c r="Y154" s="138" t="n"/>
      <c r="Z154" s="138" t="n"/>
      <c r="AA154" s="138" t="n"/>
      <c r="AB154" s="138" t="n"/>
      <c r="AC154" s="138" t="n"/>
      <c r="AD154" s="138" t="n"/>
      <c r="AE154" s="138" t="n"/>
      <c r="AF154" s="138" t="n"/>
      <c r="AG154" s="138" t="n"/>
      <c r="AH154" s="138" t="n"/>
      <c r="AI154" s="138" t="n"/>
      <c r="AJ154" s="138" t="n"/>
      <c r="AK154" s="138" t="n"/>
      <c r="AL154" s="138" t="n"/>
      <c r="AM154" s="138" t="n"/>
      <c r="AN154" s="138" t="n"/>
      <c r="AO154" s="138" t="n"/>
      <c r="AP154" s="138" t="n">
        <v>5</v>
      </c>
      <c r="AQ154" s="138" t="n"/>
      <c r="AR154" s="138" t="n"/>
      <c r="AS154" s="138" t="n"/>
      <c r="AT154" s="138" t="n"/>
      <c r="AU154" s="138" t="n"/>
      <c r="AV154" s="138" t="n"/>
      <c r="AW154" s="138" t="n"/>
      <c r="AX154" s="138" t="n"/>
      <c r="AY154" s="138" t="n"/>
      <c r="AZ154" s="138" t="n"/>
      <c r="BA154" s="138" t="n"/>
      <c r="BB154" s="138" t="n"/>
      <c r="BC154" s="138" t="n"/>
      <c r="BD154" s="138" t="n"/>
      <c r="BE154" s="138" t="n"/>
      <c r="BF154" s="138" t="n"/>
      <c r="BG154" s="138" t="n"/>
      <c r="BH154" s="138" t="n"/>
      <c r="BI154" s="138" t="n"/>
      <c r="BJ154" s="138" t="n"/>
      <c r="BK154" s="138" t="n"/>
      <c r="BL154" s="138" t="n"/>
      <c r="BM154" s="138" t="n"/>
      <c r="BN154" s="138" t="n"/>
      <c r="BO154" s="138" t="n"/>
      <c r="BP154" s="138" t="n"/>
      <c r="BQ154" s="138" t="n"/>
      <c r="BR154" s="138" t="n"/>
      <c r="BS154" s="138" t="n"/>
      <c r="BT154" s="138" t="n"/>
      <c r="BU154" s="138" t="n"/>
      <c r="BV154" s="138" t="n"/>
      <c r="BW154" s="138" t="n"/>
      <c r="BX154" s="138" t="n"/>
      <c r="BY154" s="138" t="n"/>
      <c r="BZ154" s="138" t="n"/>
      <c r="CA154" s="138" t="n"/>
      <c r="CB154" s="138" t="n"/>
      <c r="CC154" s="138" t="n">
        <v>4</v>
      </c>
      <c r="CD154" s="138" t="n"/>
      <c r="CE154" s="138" t="n"/>
      <c r="CF154" s="139" t="n">
        <v>12</v>
      </c>
    </row>
    <row r="155" ht="13.5" customHeight="1">
      <c r="A155" s="144" t="inlineStr">
        <is>
          <t>1881-8</t>
        </is>
      </c>
      <c r="B155" s="144" t="inlineStr">
        <is>
          <t>有機たかのつめ(唐辛子) 8g袋 (吉水)</t>
        </is>
      </c>
      <c r="C155" s="138" t="inlineStr">
        <is>
          <t>こもの</t>
        </is>
      </c>
      <c r="D155" s="138" t="n"/>
      <c r="E155" s="138" t="n"/>
      <c r="F155" s="138" t="n"/>
      <c r="G155" s="138" t="n"/>
      <c r="H155" s="138" t="n"/>
      <c r="I155" s="138" t="n">
        <v>5</v>
      </c>
      <c r="J155" s="138" t="n"/>
      <c r="K155" s="138" t="n"/>
      <c r="L155" s="138" t="n"/>
      <c r="M155" s="138" t="n"/>
      <c r="N155" s="138" t="n"/>
      <c r="O155" s="138" t="n"/>
      <c r="P155" s="138" t="n"/>
      <c r="Q155" s="138" t="n"/>
      <c r="R155" s="138" t="n"/>
      <c r="S155" s="138" t="n"/>
      <c r="T155" s="138" t="n"/>
      <c r="U155" s="138" t="n"/>
      <c r="V155" s="138" t="n"/>
      <c r="W155" s="138" t="n"/>
      <c r="X155" s="138" t="n"/>
      <c r="Y155" s="138" t="n"/>
      <c r="Z155" s="138" t="n"/>
      <c r="AA155" s="138" t="n"/>
      <c r="AB155" s="138" t="n"/>
      <c r="AC155" s="138" t="n"/>
      <c r="AD155" s="138" t="n"/>
      <c r="AE155" s="138" t="n"/>
      <c r="AF155" s="138" t="n"/>
      <c r="AG155" s="138" t="n"/>
      <c r="AH155" s="138" t="n"/>
      <c r="AI155" s="138" t="n"/>
      <c r="AJ155" s="138" t="n"/>
      <c r="AK155" s="138" t="n"/>
      <c r="AL155" s="138" t="n"/>
      <c r="AM155" s="138" t="n"/>
      <c r="AN155" s="138" t="n"/>
      <c r="AO155" s="138" t="n"/>
      <c r="AP155" s="138" t="n"/>
      <c r="AQ155" s="138" t="n"/>
      <c r="AR155" s="138" t="n"/>
      <c r="AS155" s="138" t="n"/>
      <c r="AT155" s="138" t="n"/>
      <c r="AU155" s="138" t="n"/>
      <c r="AV155" s="138" t="n"/>
      <c r="AW155" s="138" t="n"/>
      <c r="AX155" s="138" t="n"/>
      <c r="AY155" s="138" t="n"/>
      <c r="AZ155" s="138" t="n"/>
      <c r="BA155" s="138" t="n"/>
      <c r="BB155" s="138" t="n"/>
      <c r="BC155" s="138" t="n"/>
      <c r="BD155" s="138" t="n"/>
      <c r="BE155" s="138" t="n"/>
      <c r="BF155" s="138" t="n"/>
      <c r="BG155" s="138" t="n"/>
      <c r="BH155" s="138" t="n"/>
      <c r="BI155" s="138" t="n"/>
      <c r="BJ155" s="138" t="n"/>
      <c r="BK155" s="138" t="n"/>
      <c r="BL155" s="138" t="n"/>
      <c r="BM155" s="138" t="n"/>
      <c r="BN155" s="138" t="n"/>
      <c r="BO155" s="138" t="n"/>
      <c r="BP155" s="138" t="n"/>
      <c r="BQ155" s="138" t="n"/>
      <c r="BR155" s="138" t="n"/>
      <c r="BS155" s="138" t="n"/>
      <c r="BT155" s="138" t="n"/>
      <c r="BU155" s="138" t="n"/>
      <c r="BV155" s="138" t="n"/>
      <c r="BW155" s="138" t="n"/>
      <c r="BX155" s="138" t="n"/>
      <c r="BY155" s="138" t="n"/>
      <c r="BZ155" s="138" t="n"/>
      <c r="CA155" s="138" t="n"/>
      <c r="CB155" s="138" t="n"/>
      <c r="CC155" s="138" t="n"/>
      <c r="CD155" s="138" t="n"/>
      <c r="CE155" s="138" t="n"/>
      <c r="CF155" s="139" t="n">
        <v>5</v>
      </c>
    </row>
    <row r="156" ht="13.5" customHeight="1">
      <c r="A156" s="144" t="inlineStr">
        <is>
          <t>1881-9</t>
        </is>
      </c>
      <c r="B156" s="144" t="inlineStr">
        <is>
          <t>有機たかのつめ(唐辛子)8g袋×10(吉水)東一</t>
        </is>
      </c>
      <c r="C156" s="138" t="inlineStr">
        <is>
          <t>こもの</t>
        </is>
      </c>
      <c r="D156" s="138" t="n"/>
      <c r="E156" s="138" t="n"/>
      <c r="F156" s="138" t="n"/>
      <c r="G156" s="138" t="n"/>
      <c r="H156" s="138" t="n"/>
      <c r="I156" s="138" t="n"/>
      <c r="J156" s="138" t="n"/>
      <c r="K156" s="138" t="n"/>
      <c r="L156" s="138" t="n"/>
      <c r="M156" s="138" t="n"/>
      <c r="N156" s="138" t="n"/>
      <c r="O156" s="138" t="n"/>
      <c r="P156" s="138" t="n"/>
      <c r="Q156" s="138" t="n"/>
      <c r="R156" s="138" t="n"/>
      <c r="S156" s="138" t="n"/>
      <c r="T156" s="138" t="n"/>
      <c r="U156" s="138" t="n"/>
      <c r="V156" s="138" t="n"/>
      <c r="W156" s="138" t="n"/>
      <c r="X156" s="138" t="n"/>
      <c r="Y156" s="138" t="n"/>
      <c r="Z156" s="138" t="n"/>
      <c r="AA156" s="138" t="n"/>
      <c r="AB156" s="138" t="n"/>
      <c r="AC156" s="138" t="n"/>
      <c r="AD156" s="138" t="n"/>
      <c r="AE156" s="138" t="n"/>
      <c r="AF156" s="138" t="n"/>
      <c r="AG156" s="138" t="n"/>
      <c r="AH156" s="138" t="n"/>
      <c r="AI156" s="138" t="n"/>
      <c r="AJ156" s="138" t="n"/>
      <c r="AK156" s="138" t="n"/>
      <c r="AL156" s="138" t="n"/>
      <c r="AM156" s="138" t="n"/>
      <c r="AN156" s="138" t="n"/>
      <c r="AO156" s="138" t="n"/>
      <c r="AP156" s="138" t="n"/>
      <c r="AQ156" s="138" t="n"/>
      <c r="AR156" s="138" t="n"/>
      <c r="AS156" s="138" t="n"/>
      <c r="AT156" s="138" t="n"/>
      <c r="AU156" s="138" t="n"/>
      <c r="AV156" s="138" t="n"/>
      <c r="AW156" s="138" t="n"/>
      <c r="AX156" s="138" t="n"/>
      <c r="AY156" s="138" t="n"/>
      <c r="AZ156" s="138" t="n"/>
      <c r="BA156" s="138" t="n"/>
      <c r="BB156" s="138" t="n"/>
      <c r="BC156" s="138" t="n">
        <v>1</v>
      </c>
      <c r="BD156" s="138" t="n"/>
      <c r="BE156" s="138" t="n"/>
      <c r="BF156" s="138" t="n"/>
      <c r="BG156" s="138" t="n"/>
      <c r="BH156" s="138" t="n"/>
      <c r="BI156" s="138" t="n"/>
      <c r="BJ156" s="138" t="n"/>
      <c r="BK156" s="138" t="n"/>
      <c r="BL156" s="138" t="n"/>
      <c r="BM156" s="138" t="n"/>
      <c r="BN156" s="138" t="n"/>
      <c r="BO156" s="138" t="n"/>
      <c r="BP156" s="138" t="n"/>
      <c r="BQ156" s="138" t="n"/>
      <c r="BR156" s="138" t="n"/>
      <c r="BS156" s="138" t="n"/>
      <c r="BT156" s="138" t="n"/>
      <c r="BU156" s="138" t="n"/>
      <c r="BV156" s="138" t="n"/>
      <c r="BW156" s="138" t="n"/>
      <c r="BX156" s="138" t="n"/>
      <c r="BY156" s="138" t="n"/>
      <c r="BZ156" s="138" t="n"/>
      <c r="CA156" s="138" t="n"/>
      <c r="CB156" s="138" t="n"/>
      <c r="CC156" s="138" t="n"/>
      <c r="CD156" s="138" t="n"/>
      <c r="CE156" s="138" t="n"/>
      <c r="CF156" s="139" t="n">
        <v>1</v>
      </c>
    </row>
    <row r="157" ht="13.5" customHeight="1">
      <c r="A157" s="144" t="inlineStr">
        <is>
          <t>1883-15</t>
        </is>
      </c>
      <c r="B157" s="144" t="inlineStr">
        <is>
          <t>有機ｻﾗﾀﾞﾍﾞﾋﾞｰﾐｯｸｽ 40gﾊﾟｯｸ (わ～ふぁ)</t>
        </is>
      </c>
      <c r="C157" s="138" t="inlineStr">
        <is>
          <t>こもの</t>
        </is>
      </c>
      <c r="D157" s="138" t="n"/>
      <c r="E157" s="138" t="n">
        <v>3</v>
      </c>
      <c r="F157" s="138" t="n">
        <v>3</v>
      </c>
      <c r="G157" s="138" t="n"/>
      <c r="H157" s="138" t="n"/>
      <c r="I157" s="138" t="n"/>
      <c r="J157" s="138" t="n"/>
      <c r="K157" s="138" t="n"/>
      <c r="L157" s="138" t="n"/>
      <c r="M157" s="138" t="n"/>
      <c r="N157" s="138" t="n"/>
      <c r="O157" s="138" t="n"/>
      <c r="P157" s="138" t="n"/>
      <c r="Q157" s="138" t="n"/>
      <c r="R157" s="138" t="n"/>
      <c r="S157" s="138" t="n">
        <v>4</v>
      </c>
      <c r="T157" s="138" t="n"/>
      <c r="U157" s="138" t="n"/>
      <c r="V157" s="138" t="n"/>
      <c r="W157" s="138" t="n">
        <v>2</v>
      </c>
      <c r="X157" s="138" t="n"/>
      <c r="Y157" s="138" t="n"/>
      <c r="Z157" s="138" t="n"/>
      <c r="AA157" s="138" t="n"/>
      <c r="AB157" s="138" t="n"/>
      <c r="AC157" s="138" t="n"/>
      <c r="AD157" s="138" t="n"/>
      <c r="AE157" s="138" t="n"/>
      <c r="AF157" s="138" t="n"/>
      <c r="AG157" s="138" t="n"/>
      <c r="AH157" s="138" t="n"/>
      <c r="AI157" s="138" t="n"/>
      <c r="AJ157" s="138" t="n"/>
      <c r="AK157" s="138" t="n">
        <v>15</v>
      </c>
      <c r="AL157" s="138" t="n"/>
      <c r="AM157" s="138" t="n"/>
      <c r="AN157" s="138" t="n"/>
      <c r="AO157" s="138" t="n"/>
      <c r="AP157" s="138" t="n"/>
      <c r="AQ157" s="138" t="n"/>
      <c r="AR157" s="138" t="n"/>
      <c r="AS157" s="138" t="n"/>
      <c r="AT157" s="138" t="n">
        <v>2</v>
      </c>
      <c r="AU157" s="138" t="n"/>
      <c r="AV157" s="138" t="n"/>
      <c r="AW157" s="138" t="n">
        <v>5</v>
      </c>
      <c r="AX157" s="138" t="n"/>
      <c r="AY157" s="138" t="n"/>
      <c r="AZ157" s="138" t="n"/>
      <c r="BA157" s="138" t="n"/>
      <c r="BB157" s="138" t="n"/>
      <c r="BC157" s="138" t="n"/>
      <c r="BD157" s="138" t="n"/>
      <c r="BE157" s="138" t="n"/>
      <c r="BF157" s="138" t="n"/>
      <c r="BG157" s="138" t="n"/>
      <c r="BH157" s="138" t="n"/>
      <c r="BI157" s="138" t="n">
        <v>20</v>
      </c>
      <c r="BJ157" s="138" t="n">
        <v>4</v>
      </c>
      <c r="BK157" s="138" t="n"/>
      <c r="BL157" s="138" t="n"/>
      <c r="BM157" s="138" t="n"/>
      <c r="BN157" s="138" t="n"/>
      <c r="BO157" s="138" t="n"/>
      <c r="BP157" s="138" t="n"/>
      <c r="BQ157" s="138" t="n"/>
      <c r="BR157" s="138" t="n"/>
      <c r="BS157" s="138" t="n"/>
      <c r="BT157" s="138" t="n"/>
      <c r="BU157" s="138" t="n"/>
      <c r="BV157" s="138" t="n"/>
      <c r="BW157" s="138" t="n"/>
      <c r="BX157" s="138" t="n"/>
      <c r="BY157" s="138" t="n"/>
      <c r="BZ157" s="138" t="n"/>
      <c r="CA157" s="138" t="n"/>
      <c r="CB157" s="138" t="n"/>
      <c r="CC157" s="138" t="n">
        <v>4</v>
      </c>
      <c r="CD157" s="138" t="n"/>
      <c r="CE157" s="138" t="n"/>
      <c r="CF157" s="139" t="n">
        <v>62</v>
      </c>
    </row>
    <row r="158" ht="13.5" customHeight="1">
      <c r="A158" s="144" t="inlineStr">
        <is>
          <t>1883-55</t>
        </is>
      </c>
      <c r="B158" s="144" t="inlineStr">
        <is>
          <t>有機ﾍﾞﾋﾞｰﾘｰﾌ 30gﾊﾟｯｸ (HATAKE)</t>
        </is>
      </c>
      <c r="C158" s="138" t="inlineStr">
        <is>
          <t>こもの</t>
        </is>
      </c>
      <c r="D158" s="138" t="n">
        <v>2</v>
      </c>
      <c r="E158" s="138" t="n"/>
      <c r="F158" s="138" t="n"/>
      <c r="G158" s="138" t="n"/>
      <c r="H158" s="138" t="n"/>
      <c r="I158" s="138" t="n"/>
      <c r="J158" s="138" t="n"/>
      <c r="K158" s="138" t="n"/>
      <c r="L158" s="138" t="n"/>
      <c r="M158" s="138" t="n"/>
      <c r="N158" s="138" t="n"/>
      <c r="O158" s="138" t="n"/>
      <c r="P158" s="138" t="n"/>
      <c r="Q158" s="138" t="n"/>
      <c r="R158" s="138" t="n"/>
      <c r="S158" s="138" t="n"/>
      <c r="T158" s="138" t="n"/>
      <c r="U158" s="138" t="n"/>
      <c r="V158" s="138" t="n"/>
      <c r="W158" s="138" t="n"/>
      <c r="X158" s="138" t="n"/>
      <c r="Y158" s="138" t="n"/>
      <c r="Z158" s="138" t="n"/>
      <c r="AA158" s="138" t="n"/>
      <c r="AB158" s="138" t="n"/>
      <c r="AC158" s="138" t="n"/>
      <c r="AD158" s="138" t="n"/>
      <c r="AE158" s="138" t="n"/>
      <c r="AF158" s="138" t="n"/>
      <c r="AG158" s="138" t="n"/>
      <c r="AH158" s="138" t="n"/>
      <c r="AI158" s="138" t="n"/>
      <c r="AJ158" s="138" t="n"/>
      <c r="AK158" s="138" t="n"/>
      <c r="AL158" s="138" t="n"/>
      <c r="AM158" s="138" t="n"/>
      <c r="AN158" s="138" t="n"/>
      <c r="AO158" s="138" t="n"/>
      <c r="AP158" s="138" t="n"/>
      <c r="AQ158" s="138" t="n"/>
      <c r="AR158" s="138" t="n"/>
      <c r="AS158" s="138" t="n"/>
      <c r="AT158" s="138" t="n"/>
      <c r="AU158" s="138" t="n"/>
      <c r="AV158" s="138" t="n"/>
      <c r="AW158" s="138" t="n"/>
      <c r="AX158" s="138" t="n"/>
      <c r="AY158" s="138" t="n"/>
      <c r="AZ158" s="138" t="n"/>
      <c r="BA158" s="138" t="n"/>
      <c r="BB158" s="138" t="n"/>
      <c r="BC158" s="138" t="n"/>
      <c r="BD158" s="138" t="n"/>
      <c r="BE158" s="138" t="n"/>
      <c r="BF158" s="138" t="n"/>
      <c r="BG158" s="138" t="n"/>
      <c r="BH158" s="138" t="n"/>
      <c r="BI158" s="138" t="n"/>
      <c r="BJ158" s="138" t="n"/>
      <c r="BK158" s="138" t="n"/>
      <c r="BL158" s="138" t="n"/>
      <c r="BM158" s="138" t="n"/>
      <c r="BN158" s="138" t="n"/>
      <c r="BO158" s="138" t="n"/>
      <c r="BP158" s="138" t="n"/>
      <c r="BQ158" s="138" t="n"/>
      <c r="BR158" s="138" t="n"/>
      <c r="BS158" s="138" t="n"/>
      <c r="BT158" s="138" t="n"/>
      <c r="BU158" s="138" t="n"/>
      <c r="BV158" s="138" t="n"/>
      <c r="BW158" s="138" t="n"/>
      <c r="BX158" s="138" t="n"/>
      <c r="BY158" s="138" t="n"/>
      <c r="BZ158" s="138" t="n"/>
      <c r="CA158" s="138" t="n"/>
      <c r="CB158" s="138" t="n"/>
      <c r="CC158" s="138" t="n"/>
      <c r="CD158" s="138" t="n"/>
      <c r="CE158" s="138" t="n"/>
      <c r="CF158" s="139" t="n">
        <v>2</v>
      </c>
    </row>
    <row r="159" ht="13.5" customHeight="1">
      <c r="A159" s="144" t="inlineStr">
        <is>
          <t>1883-56</t>
        </is>
      </c>
      <c r="B159" s="144" t="inlineStr">
        <is>
          <t>有機ベビーリーフ　大袋　500ｇ(HATAKE)</t>
        </is>
      </c>
      <c r="C159" s="138" t="inlineStr">
        <is>
          <t>こもの</t>
        </is>
      </c>
      <c r="D159" s="138" t="n"/>
      <c r="E159" s="138" t="n"/>
      <c r="F159" s="138" t="n"/>
      <c r="G159" s="138" t="n"/>
      <c r="H159" s="138" t="n"/>
      <c r="I159" s="138" t="n"/>
      <c r="J159" s="138" t="n"/>
      <c r="K159" s="138" t="n"/>
      <c r="L159" s="138" t="n"/>
      <c r="M159" s="138" t="n"/>
      <c r="N159" s="138" t="n"/>
      <c r="O159" s="138" t="n"/>
      <c r="P159" s="138" t="n"/>
      <c r="Q159" s="138" t="n"/>
      <c r="R159" s="138" t="n"/>
      <c r="S159" s="138" t="n"/>
      <c r="T159" s="138" t="n"/>
      <c r="U159" s="138" t="n"/>
      <c r="V159" s="138" t="n"/>
      <c r="W159" s="138" t="n"/>
      <c r="X159" s="138" t="n"/>
      <c r="Y159" s="138" t="n"/>
      <c r="Z159" s="138" t="n"/>
      <c r="AA159" s="138" t="n"/>
      <c r="AB159" s="138" t="n"/>
      <c r="AC159" s="138" t="n"/>
      <c r="AD159" s="138" t="n"/>
      <c r="AE159" s="138" t="n"/>
      <c r="AF159" s="138" t="n"/>
      <c r="AG159" s="138" t="n"/>
      <c r="AH159" s="138" t="n"/>
      <c r="AI159" s="138" t="n"/>
      <c r="AJ159" s="138" t="n"/>
      <c r="AK159" s="138" t="n"/>
      <c r="AL159" s="138" t="n"/>
      <c r="AM159" s="138" t="n"/>
      <c r="AN159" s="138" t="n"/>
      <c r="AO159" s="138" t="n"/>
      <c r="AP159" s="138" t="n"/>
      <c r="AQ159" s="138" t="n"/>
      <c r="AR159" s="138" t="n"/>
      <c r="AS159" s="138" t="n"/>
      <c r="AT159" s="138" t="n"/>
      <c r="AU159" s="138" t="n"/>
      <c r="AV159" s="138" t="n"/>
      <c r="AW159" s="138" t="n"/>
      <c r="AX159" s="138" t="n"/>
      <c r="AY159" s="138" t="n"/>
      <c r="AZ159" s="138" t="n"/>
      <c r="BA159" s="138" t="n"/>
      <c r="BB159" s="138" t="n"/>
      <c r="BC159" s="138" t="n"/>
      <c r="BD159" s="138" t="n"/>
      <c r="BE159" s="138" t="n"/>
      <c r="BF159" s="138" t="n"/>
      <c r="BG159" s="138" t="n"/>
      <c r="BH159" s="138" t="n"/>
      <c r="BI159" s="138" t="n"/>
      <c r="BJ159" s="138" t="n"/>
      <c r="BK159" s="138" t="n"/>
      <c r="BL159" s="138" t="n"/>
      <c r="BM159" s="138" t="n"/>
      <c r="BN159" s="138" t="n"/>
      <c r="BO159" s="138" t="n"/>
      <c r="BP159" s="138" t="n"/>
      <c r="BQ159" s="138" t="n"/>
      <c r="BR159" s="138" t="n"/>
      <c r="BS159" s="138" t="n"/>
      <c r="BT159" s="138" t="n"/>
      <c r="BU159" s="138" t="n"/>
      <c r="BV159" s="138" t="n">
        <v>2</v>
      </c>
      <c r="BW159" s="138" t="n"/>
      <c r="BX159" s="138" t="n">
        <v>2</v>
      </c>
      <c r="BY159" s="138" t="n"/>
      <c r="BZ159" s="138" t="n"/>
      <c r="CA159" s="138" t="n"/>
      <c r="CB159" s="138" t="n"/>
      <c r="CC159" s="138" t="n"/>
      <c r="CD159" s="138" t="n"/>
      <c r="CE159" s="138" t="n"/>
      <c r="CF159" s="139" t="n">
        <v>4</v>
      </c>
    </row>
    <row r="160" ht="13.5" customHeight="1">
      <c r="A160" s="144" t="inlineStr">
        <is>
          <t>1883-61</t>
        </is>
      </c>
      <c r="B160" s="144" t="inlineStr">
        <is>
          <t>有機ｻﾗﾀﾞﾍﾞﾋﾞｰﾐｯｸｽ 大袋250g(わ～ふぁ)</t>
        </is>
      </c>
      <c r="C160" s="138" t="inlineStr">
        <is>
          <t>こもの</t>
        </is>
      </c>
      <c r="D160" s="138" t="n"/>
      <c r="E160" s="138" t="n"/>
      <c r="F160" s="138" t="n"/>
      <c r="G160" s="138" t="n"/>
      <c r="H160" s="138" t="n"/>
      <c r="I160" s="138" t="n"/>
      <c r="J160" s="138" t="n"/>
      <c r="K160" s="138" t="n"/>
      <c r="L160" s="138" t="n"/>
      <c r="M160" s="138" t="n"/>
      <c r="N160" s="138" t="n"/>
      <c r="O160" s="138" t="n"/>
      <c r="P160" s="138" t="n"/>
      <c r="Q160" s="138" t="n"/>
      <c r="R160" s="138" t="n"/>
      <c r="S160" s="138" t="n"/>
      <c r="T160" s="138" t="n"/>
      <c r="U160" s="138" t="n"/>
      <c r="V160" s="138" t="n"/>
      <c r="W160" s="138" t="n"/>
      <c r="X160" s="138" t="n"/>
      <c r="Y160" s="138" t="n"/>
      <c r="Z160" s="138" t="n"/>
      <c r="AA160" s="138" t="n"/>
      <c r="AB160" s="138" t="n"/>
      <c r="AC160" s="138" t="n"/>
      <c r="AD160" s="138" t="n"/>
      <c r="AE160" s="138" t="n"/>
      <c r="AF160" s="138" t="n"/>
      <c r="AG160" s="138" t="n"/>
      <c r="AH160" s="138" t="n"/>
      <c r="AI160" s="138" t="n"/>
      <c r="AJ160" s="138" t="n"/>
      <c r="AK160" s="138" t="n"/>
      <c r="AL160" s="138" t="n"/>
      <c r="AM160" s="138" t="n"/>
      <c r="AN160" s="138" t="n"/>
      <c r="AO160" s="138" t="n"/>
      <c r="AP160" s="138" t="n"/>
      <c r="AQ160" s="138" t="n"/>
      <c r="AR160" s="138" t="n"/>
      <c r="AS160" s="138" t="n"/>
      <c r="AT160" s="138" t="n"/>
      <c r="AU160" s="138" t="n"/>
      <c r="AV160" s="138" t="n"/>
      <c r="AW160" s="138" t="n"/>
      <c r="AX160" s="138" t="n"/>
      <c r="AY160" s="138" t="n"/>
      <c r="AZ160" s="138" t="n"/>
      <c r="BA160" s="138" t="n"/>
      <c r="BB160" s="138" t="n"/>
      <c r="BC160" s="138" t="n"/>
      <c r="BD160" s="138" t="n"/>
      <c r="BE160" s="138" t="n"/>
      <c r="BF160" s="138" t="n"/>
      <c r="BG160" s="138" t="n"/>
      <c r="BH160" s="138" t="n"/>
      <c r="BI160" s="138" t="n"/>
      <c r="BJ160" s="138" t="n"/>
      <c r="BK160" s="138" t="n"/>
      <c r="BL160" s="138" t="n"/>
      <c r="BM160" s="138" t="n"/>
      <c r="BN160" s="138" t="n"/>
      <c r="BO160" s="138" t="n"/>
      <c r="BP160" s="138" t="n"/>
      <c r="BQ160" s="138" t="n"/>
      <c r="BR160" s="138" t="n"/>
      <c r="BS160" s="138" t="n"/>
      <c r="BT160" s="138" t="n"/>
      <c r="BU160" s="138" t="n"/>
      <c r="BV160" s="138" t="n"/>
      <c r="BW160" s="138" t="n"/>
      <c r="BX160" s="138" t="n"/>
      <c r="BY160" s="138" t="n"/>
      <c r="BZ160" s="138" t="n"/>
      <c r="CA160" s="138" t="n"/>
      <c r="CB160" s="138" t="n">
        <v>14</v>
      </c>
      <c r="CC160" s="138" t="n"/>
      <c r="CD160" s="138" t="n"/>
      <c r="CE160" s="138" t="n"/>
      <c r="CF160" s="139" t="n">
        <v>14</v>
      </c>
    </row>
    <row r="161" ht="13.5" customHeight="1">
      <c r="A161" s="144" t="inlineStr">
        <is>
          <t>1889-15</t>
        </is>
      </c>
      <c r="B161" s="144" t="inlineStr">
        <is>
          <t>有機大葉 １０枚ﾊﾟｯｸ (矢澤園芸)</t>
        </is>
      </c>
      <c r="C161" s="138" t="inlineStr">
        <is>
          <t>こもの</t>
        </is>
      </c>
      <c r="D161" s="138" t="n"/>
      <c r="E161" s="138" t="n">
        <v>3</v>
      </c>
      <c r="F161" s="138" t="n"/>
      <c r="G161" s="138" t="n">
        <v>4</v>
      </c>
      <c r="H161" s="138" t="n">
        <v>2</v>
      </c>
      <c r="I161" s="138" t="n">
        <v>10</v>
      </c>
      <c r="J161" s="138" t="n">
        <v>15</v>
      </c>
      <c r="K161" s="138" t="n"/>
      <c r="L161" s="138" t="n"/>
      <c r="M161" s="138" t="n"/>
      <c r="N161" s="138" t="n"/>
      <c r="O161" s="138" t="n"/>
      <c r="P161" s="138" t="n">
        <v>2</v>
      </c>
      <c r="Q161" s="138" t="n">
        <v>2</v>
      </c>
      <c r="R161" s="138" t="n"/>
      <c r="S161" s="138" t="n"/>
      <c r="T161" s="138" t="n">
        <v>2</v>
      </c>
      <c r="U161" s="138" t="n">
        <v>4</v>
      </c>
      <c r="V161" s="138" t="n"/>
      <c r="W161" s="138" t="n"/>
      <c r="X161" s="138" t="n">
        <v>3</v>
      </c>
      <c r="Y161" s="138" t="n"/>
      <c r="Z161" s="138" t="n">
        <v>5</v>
      </c>
      <c r="AA161" s="138" t="n">
        <v>3</v>
      </c>
      <c r="AB161" s="138" t="n">
        <v>6</v>
      </c>
      <c r="AC161" s="138" t="n"/>
      <c r="AD161" s="138" t="n"/>
      <c r="AE161" s="138" t="n">
        <v>3</v>
      </c>
      <c r="AF161" s="138" t="n">
        <v>4</v>
      </c>
      <c r="AG161" s="138" t="n"/>
      <c r="AH161" s="138" t="n">
        <v>5</v>
      </c>
      <c r="AI161" s="138" t="n"/>
      <c r="AJ161" s="138" t="n"/>
      <c r="AK161" s="138" t="n">
        <v>10</v>
      </c>
      <c r="AL161" s="138" t="n"/>
      <c r="AM161" s="138" t="n"/>
      <c r="AN161" s="138" t="n"/>
      <c r="AO161" s="138" t="n"/>
      <c r="AP161" s="138" t="n"/>
      <c r="AQ161" s="138" t="n"/>
      <c r="AR161" s="138" t="n"/>
      <c r="AS161" s="138" t="n"/>
      <c r="AT161" s="138" t="n"/>
      <c r="AU161" s="138" t="n">
        <v>5</v>
      </c>
      <c r="AV161" s="138" t="n"/>
      <c r="AW161" s="138" t="n">
        <v>8</v>
      </c>
      <c r="AX161" s="138" t="n">
        <v>5</v>
      </c>
      <c r="AY161" s="138" t="n"/>
      <c r="AZ161" s="138" t="n"/>
      <c r="BA161" s="138" t="n"/>
      <c r="BB161" s="138" t="n"/>
      <c r="BC161" s="138" t="n"/>
      <c r="BD161" s="138" t="n"/>
      <c r="BE161" s="138" t="n"/>
      <c r="BF161" s="138" t="n"/>
      <c r="BG161" s="138" t="n"/>
      <c r="BH161" s="138" t="n"/>
      <c r="BI161" s="138" t="n">
        <v>20</v>
      </c>
      <c r="BJ161" s="138" t="n">
        <v>3</v>
      </c>
      <c r="BK161" s="138" t="n"/>
      <c r="BL161" s="138" t="n"/>
      <c r="BM161" s="138" t="n"/>
      <c r="BN161" s="138" t="n"/>
      <c r="BO161" s="138" t="n"/>
      <c r="BP161" s="138" t="n"/>
      <c r="BQ161" s="138" t="n"/>
      <c r="BR161" s="138" t="n"/>
      <c r="BS161" s="138" t="n"/>
      <c r="BT161" s="138" t="n"/>
      <c r="BU161" s="138" t="n"/>
      <c r="BV161" s="138" t="n"/>
      <c r="BW161" s="138" t="n"/>
      <c r="BX161" s="138" t="n"/>
      <c r="BY161" s="138" t="n"/>
      <c r="BZ161" s="138" t="n"/>
      <c r="CA161" s="138" t="n"/>
      <c r="CB161" s="138" t="n"/>
      <c r="CC161" s="138" t="n">
        <v>5</v>
      </c>
      <c r="CD161" s="138" t="n"/>
      <c r="CE161" s="138" t="n">
        <v>3</v>
      </c>
      <c r="CF161" s="139" t="n">
        <v>132</v>
      </c>
    </row>
    <row r="162" ht="13.5" customHeight="1">
      <c r="A162" s="144" t="inlineStr">
        <is>
          <t>1889-16</t>
        </is>
      </c>
      <c r="B162" s="144" t="inlineStr">
        <is>
          <t>有機大葉 １ﾊﾟｯｸ×10入(矢澤園芸)東一</t>
        </is>
      </c>
      <c r="C162" s="138" t="inlineStr">
        <is>
          <t>こもの</t>
        </is>
      </c>
      <c r="D162" s="138" t="n"/>
      <c r="E162" s="138" t="n"/>
      <c r="F162" s="138" t="n"/>
      <c r="G162" s="138" t="n"/>
      <c r="H162" s="138" t="n"/>
      <c r="I162" s="138" t="n"/>
      <c r="J162" s="138" t="n"/>
      <c r="K162" s="138" t="n"/>
      <c r="L162" s="138" t="n"/>
      <c r="M162" s="138" t="n"/>
      <c r="N162" s="138" t="n"/>
      <c r="O162" s="138" t="n"/>
      <c r="P162" s="138" t="n"/>
      <c r="Q162" s="138" t="n"/>
      <c r="R162" s="138" t="n"/>
      <c r="S162" s="138" t="n"/>
      <c r="T162" s="138" t="n"/>
      <c r="U162" s="138" t="n"/>
      <c r="V162" s="138" t="n"/>
      <c r="W162" s="138" t="n"/>
      <c r="X162" s="138" t="n"/>
      <c r="Y162" s="138" t="n"/>
      <c r="Z162" s="138" t="n"/>
      <c r="AA162" s="138" t="n"/>
      <c r="AB162" s="138" t="n"/>
      <c r="AC162" s="138" t="n"/>
      <c r="AD162" s="138" t="n"/>
      <c r="AE162" s="138" t="n"/>
      <c r="AF162" s="138" t="n"/>
      <c r="AG162" s="138" t="n"/>
      <c r="AH162" s="138" t="n"/>
      <c r="AI162" s="138" t="n"/>
      <c r="AJ162" s="138" t="n"/>
      <c r="AK162" s="138" t="n"/>
      <c r="AL162" s="138" t="n"/>
      <c r="AM162" s="138" t="n"/>
      <c r="AN162" s="138" t="n"/>
      <c r="AO162" s="138" t="n"/>
      <c r="AP162" s="138" t="n"/>
      <c r="AQ162" s="138" t="n"/>
      <c r="AR162" s="138" t="n"/>
      <c r="AS162" s="138" t="n"/>
      <c r="AT162" s="138" t="n"/>
      <c r="AU162" s="138" t="n"/>
      <c r="AV162" s="138" t="n"/>
      <c r="AW162" s="138" t="n"/>
      <c r="AX162" s="138" t="n"/>
      <c r="AY162" s="138" t="n"/>
      <c r="AZ162" s="138" t="n"/>
      <c r="BA162" s="138" t="n"/>
      <c r="BB162" s="138" t="n"/>
      <c r="BC162" s="138" t="n">
        <v>1</v>
      </c>
      <c r="BD162" s="138" t="n"/>
      <c r="BE162" s="138" t="n"/>
      <c r="BF162" s="138" t="n"/>
      <c r="BG162" s="138" t="n"/>
      <c r="BH162" s="138" t="n"/>
      <c r="BI162" s="138" t="n"/>
      <c r="BJ162" s="138" t="n"/>
      <c r="BK162" s="138" t="n"/>
      <c r="BL162" s="138" t="n"/>
      <c r="BM162" s="138" t="n"/>
      <c r="BN162" s="138" t="n"/>
      <c r="BO162" s="138" t="n"/>
      <c r="BP162" s="138" t="n"/>
      <c r="BQ162" s="138" t="n"/>
      <c r="BR162" s="138" t="n"/>
      <c r="BS162" s="138" t="n"/>
      <c r="BT162" s="138" t="n"/>
      <c r="BU162" s="138" t="n"/>
      <c r="BV162" s="138" t="n"/>
      <c r="BW162" s="138" t="n"/>
      <c r="BX162" s="138" t="n"/>
      <c r="BY162" s="138" t="n"/>
      <c r="BZ162" s="138" t="n"/>
      <c r="CA162" s="138" t="n"/>
      <c r="CB162" s="138" t="n"/>
      <c r="CC162" s="138" t="n"/>
      <c r="CD162" s="138" t="n"/>
      <c r="CE162" s="138" t="n"/>
      <c r="CF162" s="139" t="n">
        <v>1</v>
      </c>
    </row>
    <row r="163" ht="13.5" customHeight="1">
      <c r="A163" s="144" t="inlineStr">
        <is>
          <t>1898-12</t>
        </is>
      </c>
      <c r="B163" s="144" t="inlineStr">
        <is>
          <t>有機ブラウンﾏｯｼｭﾙｰﾑ 150ｇﾍﾞﾋﾞｰﾍﾞﾗ(舟形)</t>
        </is>
      </c>
      <c r="C163" s="138" t="inlineStr">
        <is>
          <t>こもの</t>
        </is>
      </c>
      <c r="D163" s="138" t="n"/>
      <c r="E163" s="138" t="n"/>
      <c r="F163" s="138" t="n"/>
      <c r="G163" s="138" t="n"/>
      <c r="H163" s="138" t="n"/>
      <c r="I163" s="138" t="n"/>
      <c r="J163" s="138" t="n">
        <v>0</v>
      </c>
      <c r="K163" s="138" t="n"/>
      <c r="L163" s="138" t="n"/>
      <c r="M163" s="138" t="n"/>
      <c r="N163" s="138" t="n"/>
      <c r="O163" s="138" t="n"/>
      <c r="P163" s="138" t="n"/>
      <c r="Q163" s="138" t="n"/>
      <c r="R163" s="138" t="n"/>
      <c r="S163" s="138" t="n"/>
      <c r="T163" s="138" t="n"/>
      <c r="U163" s="138" t="n"/>
      <c r="V163" s="138" t="n"/>
      <c r="W163" s="138" t="n"/>
      <c r="X163" s="138" t="n"/>
      <c r="Y163" s="138" t="n"/>
      <c r="Z163" s="138" t="n"/>
      <c r="AA163" s="138" t="n"/>
      <c r="AB163" s="138" t="n"/>
      <c r="AC163" s="138" t="n"/>
      <c r="AD163" s="138" t="n"/>
      <c r="AE163" s="138" t="n"/>
      <c r="AF163" s="138" t="n"/>
      <c r="AG163" s="138" t="n"/>
      <c r="AH163" s="138" t="n"/>
      <c r="AI163" s="138" t="n"/>
      <c r="AJ163" s="138" t="n"/>
      <c r="AK163" s="138" t="n"/>
      <c r="AL163" s="138" t="n"/>
      <c r="AM163" s="138" t="n"/>
      <c r="AN163" s="138" t="n"/>
      <c r="AO163" s="138" t="n"/>
      <c r="AP163" s="138" t="n"/>
      <c r="AQ163" s="138" t="n"/>
      <c r="AR163" s="138" t="n"/>
      <c r="AS163" s="138" t="n"/>
      <c r="AT163" s="138" t="n"/>
      <c r="AU163" s="138" t="n"/>
      <c r="AV163" s="138" t="n"/>
      <c r="AW163" s="138" t="n"/>
      <c r="AX163" s="138" t="n"/>
      <c r="AY163" s="138" t="n"/>
      <c r="AZ163" s="138" t="n"/>
      <c r="BA163" s="138" t="n"/>
      <c r="BB163" s="138" t="n"/>
      <c r="BC163" s="138" t="n"/>
      <c r="BD163" s="138" t="n"/>
      <c r="BE163" s="138" t="n"/>
      <c r="BF163" s="138" t="n"/>
      <c r="BG163" s="138" t="n"/>
      <c r="BH163" s="138" t="n"/>
      <c r="BI163" s="138" t="n"/>
      <c r="BJ163" s="138" t="n"/>
      <c r="BK163" s="138" t="n"/>
      <c r="BL163" s="138" t="n"/>
      <c r="BM163" s="138" t="n"/>
      <c r="BN163" s="138" t="n"/>
      <c r="BO163" s="138" t="n"/>
      <c r="BP163" s="138" t="n"/>
      <c r="BQ163" s="138" t="n"/>
      <c r="BR163" s="138" t="n"/>
      <c r="BS163" s="138" t="n"/>
      <c r="BT163" s="138" t="n"/>
      <c r="BU163" s="138" t="n"/>
      <c r="BV163" s="138" t="n"/>
      <c r="BW163" s="138" t="n"/>
      <c r="BX163" s="138" t="n"/>
      <c r="BY163" s="138" t="n"/>
      <c r="BZ163" s="138" t="n"/>
      <c r="CA163" s="138" t="n"/>
      <c r="CB163" s="138" t="n"/>
      <c r="CC163" s="138" t="n"/>
      <c r="CD163" s="138" t="n"/>
      <c r="CE163" s="138" t="n"/>
      <c r="CF163" s="139" t="n">
        <v>0</v>
      </c>
    </row>
    <row r="164" ht="13.5" customHeight="1">
      <c r="A164" s="144" t="inlineStr">
        <is>
          <t>1898-3</t>
        </is>
      </c>
      <c r="B164" s="144" t="inlineStr">
        <is>
          <t>有機ホワイトマッシュルーム 70g(舟形)</t>
        </is>
      </c>
      <c r="C164" s="138" t="inlineStr">
        <is>
          <t>こもの</t>
        </is>
      </c>
      <c r="D164" s="138" t="n"/>
      <c r="E164" s="138" t="n"/>
      <c r="F164" s="138" t="n"/>
      <c r="G164" s="138" t="n"/>
      <c r="H164" s="138" t="n"/>
      <c r="I164" s="138" t="n"/>
      <c r="J164" s="138" t="n"/>
      <c r="K164" s="138" t="n"/>
      <c r="L164" s="138" t="n"/>
      <c r="M164" s="138" t="n">
        <v>2</v>
      </c>
      <c r="N164" s="138" t="n"/>
      <c r="O164" s="138" t="n"/>
      <c r="P164" s="138" t="n"/>
      <c r="Q164" s="138" t="n"/>
      <c r="R164" s="138" t="n"/>
      <c r="S164" s="138" t="n"/>
      <c r="T164" s="138" t="n"/>
      <c r="U164" s="138" t="n"/>
      <c r="V164" s="138" t="n"/>
      <c r="W164" s="138" t="n"/>
      <c r="X164" s="138" t="n"/>
      <c r="Y164" s="138" t="n"/>
      <c r="Z164" s="138" t="n"/>
      <c r="AA164" s="138" t="n"/>
      <c r="AB164" s="138" t="n"/>
      <c r="AC164" s="138" t="n"/>
      <c r="AD164" s="138" t="n"/>
      <c r="AE164" s="138" t="n"/>
      <c r="AF164" s="138" t="n"/>
      <c r="AG164" s="138" t="n"/>
      <c r="AH164" s="138" t="n"/>
      <c r="AI164" s="138" t="n"/>
      <c r="AJ164" s="138" t="n"/>
      <c r="AK164" s="138" t="n"/>
      <c r="AL164" s="138" t="n"/>
      <c r="AM164" s="138" t="n"/>
      <c r="AN164" s="138" t="n"/>
      <c r="AO164" s="138" t="n"/>
      <c r="AP164" s="138" t="n"/>
      <c r="AQ164" s="138" t="n"/>
      <c r="AR164" s="138" t="n"/>
      <c r="AS164" s="138" t="n"/>
      <c r="AT164" s="138" t="n"/>
      <c r="AU164" s="138" t="n"/>
      <c r="AV164" s="138" t="n"/>
      <c r="AW164" s="138" t="n">
        <v>2</v>
      </c>
      <c r="AX164" s="138" t="n"/>
      <c r="AY164" s="138" t="n">
        <v>2</v>
      </c>
      <c r="AZ164" s="138" t="n"/>
      <c r="BA164" s="138" t="n"/>
      <c r="BB164" s="138" t="n">
        <v>2</v>
      </c>
      <c r="BC164" s="138" t="n"/>
      <c r="BD164" s="138" t="n"/>
      <c r="BE164" s="138" t="n"/>
      <c r="BF164" s="138" t="n"/>
      <c r="BG164" s="138" t="n"/>
      <c r="BH164" s="138" t="n">
        <v>5</v>
      </c>
      <c r="BI164" s="138" t="n">
        <v>10</v>
      </c>
      <c r="BJ164" s="138" t="n"/>
      <c r="BK164" s="138" t="n"/>
      <c r="BL164" s="138" t="n"/>
      <c r="BM164" s="138" t="n"/>
      <c r="BN164" s="138" t="n"/>
      <c r="BO164" s="138" t="n"/>
      <c r="BP164" s="138" t="n"/>
      <c r="BQ164" s="138" t="n"/>
      <c r="BR164" s="138" t="n"/>
      <c r="BS164" s="138" t="n"/>
      <c r="BT164" s="138" t="n"/>
      <c r="BU164" s="138" t="n"/>
      <c r="BV164" s="138" t="n"/>
      <c r="BW164" s="138" t="n"/>
      <c r="BX164" s="138" t="n"/>
      <c r="BY164" s="138" t="n"/>
      <c r="BZ164" s="138" t="n"/>
      <c r="CA164" s="138" t="n"/>
      <c r="CB164" s="138" t="n"/>
      <c r="CC164" s="138" t="n">
        <v>4</v>
      </c>
      <c r="CD164" s="138" t="n"/>
      <c r="CE164" s="138" t="n"/>
      <c r="CF164" s="139" t="n">
        <v>27</v>
      </c>
    </row>
    <row r="165" ht="13.5" customHeight="1">
      <c r="A165" s="144" t="inlineStr">
        <is>
          <t>1898-5</t>
        </is>
      </c>
      <c r="B165" s="144" t="inlineStr">
        <is>
          <t>有機ブラウンマッシュルーム 70g(舟形)</t>
        </is>
      </c>
      <c r="C165" s="138" t="inlineStr">
        <is>
          <t>こもの</t>
        </is>
      </c>
      <c r="D165" s="138" t="n"/>
      <c r="E165" s="138" t="n">
        <v>1</v>
      </c>
      <c r="F165" s="138" t="n"/>
      <c r="G165" s="138" t="n"/>
      <c r="H165" s="138" t="n">
        <v>1</v>
      </c>
      <c r="I165" s="138" t="n">
        <v>3</v>
      </c>
      <c r="J165" s="138" t="n">
        <v>4</v>
      </c>
      <c r="K165" s="138" t="n">
        <v>2</v>
      </c>
      <c r="L165" s="138" t="n"/>
      <c r="M165" s="138" t="n">
        <v>2</v>
      </c>
      <c r="N165" s="138" t="n"/>
      <c r="O165" s="138" t="n"/>
      <c r="P165" s="138" t="n"/>
      <c r="Q165" s="138" t="n"/>
      <c r="R165" s="138" t="n">
        <v>3</v>
      </c>
      <c r="S165" s="138" t="n">
        <v>3</v>
      </c>
      <c r="T165" s="138" t="n"/>
      <c r="U165" s="138" t="n"/>
      <c r="V165" s="138" t="n"/>
      <c r="W165" s="138" t="n">
        <v>2</v>
      </c>
      <c r="X165" s="138" t="n"/>
      <c r="Y165" s="138" t="n"/>
      <c r="Z165" s="138" t="n"/>
      <c r="AA165" s="138" t="n"/>
      <c r="AB165" s="138" t="n"/>
      <c r="AC165" s="138" t="n"/>
      <c r="AD165" s="138" t="n"/>
      <c r="AE165" s="138" t="n"/>
      <c r="AF165" s="138" t="n"/>
      <c r="AG165" s="138" t="n"/>
      <c r="AH165" s="138" t="n">
        <v>3</v>
      </c>
      <c r="AI165" s="138" t="n"/>
      <c r="AJ165" s="138" t="n"/>
      <c r="AK165" s="138" t="n"/>
      <c r="AL165" s="138" t="n"/>
      <c r="AM165" s="138" t="n"/>
      <c r="AN165" s="138" t="n"/>
      <c r="AO165" s="138" t="n"/>
      <c r="AP165" s="138" t="n"/>
      <c r="AQ165" s="138" t="n"/>
      <c r="AR165" s="138" t="n"/>
      <c r="AS165" s="138" t="n"/>
      <c r="AT165" s="138" t="n"/>
      <c r="AU165" s="138" t="n"/>
      <c r="AV165" s="138" t="n"/>
      <c r="AW165" s="138" t="n">
        <v>2</v>
      </c>
      <c r="AX165" s="138" t="n">
        <v>4</v>
      </c>
      <c r="AY165" s="138" t="n"/>
      <c r="AZ165" s="138" t="n"/>
      <c r="BA165" s="138" t="n"/>
      <c r="BB165" s="138" t="n">
        <v>2</v>
      </c>
      <c r="BC165" s="138" t="n"/>
      <c r="BD165" s="138" t="n"/>
      <c r="BE165" s="138" t="n"/>
      <c r="BF165" s="138" t="n"/>
      <c r="BG165" s="138" t="n"/>
      <c r="BH165" s="138" t="n">
        <v>5</v>
      </c>
      <c r="BI165" s="138" t="n">
        <v>10</v>
      </c>
      <c r="BJ165" s="138" t="n">
        <v>2</v>
      </c>
      <c r="BK165" s="138" t="n"/>
      <c r="BL165" s="138" t="n"/>
      <c r="BM165" s="138" t="n"/>
      <c r="BN165" s="138" t="n"/>
      <c r="BO165" s="138" t="n"/>
      <c r="BP165" s="138" t="n"/>
      <c r="BQ165" s="138" t="n"/>
      <c r="BR165" s="138" t="n"/>
      <c r="BS165" s="138" t="n"/>
      <c r="BT165" s="138" t="n"/>
      <c r="BU165" s="138" t="n"/>
      <c r="BV165" s="138" t="n"/>
      <c r="BW165" s="138" t="n"/>
      <c r="BX165" s="138" t="n"/>
      <c r="BY165" s="138" t="n"/>
      <c r="BZ165" s="138" t="n"/>
      <c r="CA165" s="138" t="n"/>
      <c r="CB165" s="138" t="n"/>
      <c r="CC165" s="138" t="n">
        <v>2</v>
      </c>
      <c r="CD165" s="138" t="n"/>
      <c r="CE165" s="138" t="n"/>
      <c r="CF165" s="139" t="n">
        <v>51</v>
      </c>
    </row>
    <row r="166" ht="13.5" customHeight="1">
      <c r="A166" s="144" t="inlineStr">
        <is>
          <t>2206</t>
        </is>
      </c>
      <c r="B166" s="144" t="inlineStr">
        <is>
          <t>■浅間とり牧場の自然卵　１０ｋｇ　Ｌ</t>
        </is>
      </c>
      <c r="C166" s="138" t="inlineStr">
        <is>
          <t>箱</t>
        </is>
      </c>
      <c r="D166" s="138" t="n"/>
      <c r="E166" s="138" t="n"/>
      <c r="F166" s="138" t="n"/>
      <c r="G166" s="138" t="n">
        <v>1</v>
      </c>
      <c r="H166" s="138" t="n"/>
      <c r="I166" s="138" t="n">
        <v>1</v>
      </c>
      <c r="J166" s="138" t="n"/>
      <c r="K166" s="138" t="n"/>
      <c r="L166" s="138" t="n"/>
      <c r="M166" s="138" t="n"/>
      <c r="N166" s="138" t="n"/>
      <c r="O166" s="138" t="n"/>
      <c r="P166" s="138" t="n"/>
      <c r="Q166" s="138" t="n"/>
      <c r="R166" s="138" t="n"/>
      <c r="S166" s="138" t="n"/>
      <c r="T166" s="138" t="n"/>
      <c r="U166" s="138" t="n"/>
      <c r="V166" s="138" t="n"/>
      <c r="W166" s="138" t="n"/>
      <c r="X166" s="138" t="n"/>
      <c r="Y166" s="138" t="n"/>
      <c r="Z166" s="138" t="n"/>
      <c r="AA166" s="138" t="n"/>
      <c r="AB166" s="138" t="n"/>
      <c r="AC166" s="138" t="n"/>
      <c r="AD166" s="138" t="n"/>
      <c r="AE166" s="138" t="n"/>
      <c r="AF166" s="138" t="n"/>
      <c r="AG166" s="138" t="n"/>
      <c r="AH166" s="138" t="n"/>
      <c r="AI166" s="138" t="n"/>
      <c r="AJ166" s="138" t="n"/>
      <c r="AK166" s="138" t="n"/>
      <c r="AL166" s="138" t="n"/>
      <c r="AM166" s="138" t="n"/>
      <c r="AN166" s="138" t="n"/>
      <c r="AO166" s="138" t="n"/>
      <c r="AP166" s="138" t="n"/>
      <c r="AQ166" s="138" t="n"/>
      <c r="AR166" s="138" t="n"/>
      <c r="AS166" s="138" t="n"/>
      <c r="AT166" s="138" t="n"/>
      <c r="AU166" s="138" t="n"/>
      <c r="AV166" s="138" t="n"/>
      <c r="AW166" s="138" t="n"/>
      <c r="AX166" s="138" t="n"/>
      <c r="AY166" s="138" t="n"/>
      <c r="AZ166" s="138" t="n"/>
      <c r="BA166" s="138" t="n"/>
      <c r="BB166" s="138" t="n"/>
      <c r="BC166" s="138" t="n"/>
      <c r="BD166" s="138" t="n"/>
      <c r="BE166" s="138" t="n"/>
      <c r="BF166" s="138" t="n"/>
      <c r="BG166" s="138" t="n"/>
      <c r="BH166" s="138" t="n"/>
      <c r="BI166" s="138" t="n"/>
      <c r="BJ166" s="138" t="n"/>
      <c r="BK166" s="138" t="n"/>
      <c r="BL166" s="138" t="n"/>
      <c r="BM166" s="138" t="n"/>
      <c r="BN166" s="138" t="n"/>
      <c r="BO166" s="138" t="n"/>
      <c r="BP166" s="138" t="n"/>
      <c r="BQ166" s="138" t="n"/>
      <c r="BR166" s="138" t="n"/>
      <c r="BS166" s="138" t="n"/>
      <c r="BT166" s="138" t="n"/>
      <c r="BU166" s="138" t="n"/>
      <c r="BV166" s="138" t="n"/>
      <c r="BW166" s="138" t="n"/>
      <c r="BX166" s="138" t="n"/>
      <c r="BY166" s="138" t="n"/>
      <c r="BZ166" s="138" t="n"/>
      <c r="CA166" s="138" t="n"/>
      <c r="CB166" s="138" t="n"/>
      <c r="CC166" s="138" t="n">
        <v>1</v>
      </c>
      <c r="CD166" s="138" t="n">
        <v>1</v>
      </c>
      <c r="CE166" s="138" t="n"/>
      <c r="CF166" s="139" t="n">
        <v>4</v>
      </c>
    </row>
    <row r="167" ht="13.5" customHeight="1">
      <c r="A167" s="144" t="inlineStr">
        <is>
          <t>2210-1</t>
        </is>
      </c>
      <c r="B167" s="144" t="inlineStr">
        <is>
          <t>■卵「もみじ」Ｌ 10㎏(大松)</t>
        </is>
      </c>
      <c r="C167" s="138" t="inlineStr">
        <is>
          <t>箱</t>
        </is>
      </c>
      <c r="D167" s="138" t="n"/>
      <c r="E167" s="138" t="n"/>
      <c r="F167" s="138" t="n"/>
      <c r="G167" s="138" t="n"/>
      <c r="H167" s="138" t="n"/>
      <c r="I167" s="138" t="n"/>
      <c r="J167" s="138" t="n"/>
      <c r="K167" s="138" t="n"/>
      <c r="L167" s="138" t="n"/>
      <c r="M167" s="138" t="n"/>
      <c r="N167" s="138" t="n"/>
      <c r="O167" s="138" t="n"/>
      <c r="P167" s="138" t="n"/>
      <c r="Q167" s="138" t="n"/>
      <c r="R167" s="138" t="n"/>
      <c r="S167" s="138" t="n"/>
      <c r="T167" s="138" t="n"/>
      <c r="U167" s="138" t="n"/>
      <c r="V167" s="138" t="n"/>
      <c r="W167" s="138" t="n"/>
      <c r="X167" s="138" t="n"/>
      <c r="Y167" s="138" t="n"/>
      <c r="Z167" s="138" t="n"/>
      <c r="AA167" s="138" t="n"/>
      <c r="AB167" s="138" t="n"/>
      <c r="AC167" s="138" t="n"/>
      <c r="AD167" s="138" t="n"/>
      <c r="AE167" s="138" t="n"/>
      <c r="AF167" s="138" t="n"/>
      <c r="AG167" s="138" t="n"/>
      <c r="AH167" s="138" t="n"/>
      <c r="AI167" s="138" t="n"/>
      <c r="AJ167" s="138" t="n"/>
      <c r="AK167" s="138" t="n"/>
      <c r="AL167" s="138" t="n"/>
      <c r="AM167" s="138" t="n"/>
      <c r="AN167" s="138" t="n"/>
      <c r="AO167" s="138" t="n"/>
      <c r="AP167" s="138" t="n"/>
      <c r="AQ167" s="138" t="n"/>
      <c r="AR167" s="138" t="n"/>
      <c r="AS167" s="138" t="n"/>
      <c r="AT167" s="138" t="n"/>
      <c r="AU167" s="138" t="n"/>
      <c r="AV167" s="138" t="n"/>
      <c r="AW167" s="138" t="n"/>
      <c r="AX167" s="138" t="n"/>
      <c r="AY167" s="138" t="n"/>
      <c r="AZ167" s="138" t="n"/>
      <c r="BA167" s="138" t="n"/>
      <c r="BB167" s="138" t="n"/>
      <c r="BC167" s="138" t="n"/>
      <c r="BD167" s="138" t="n"/>
      <c r="BE167" s="138" t="n"/>
      <c r="BF167" s="138" t="n"/>
      <c r="BG167" s="138" t="n"/>
      <c r="BH167" s="138" t="n"/>
      <c r="BI167" s="138" t="n"/>
      <c r="BJ167" s="138" t="n"/>
      <c r="BK167" s="138" t="n"/>
      <c r="BL167" s="138" t="n"/>
      <c r="BM167" s="138" t="n"/>
      <c r="BN167" s="138" t="n"/>
      <c r="BO167" s="138" t="n"/>
      <c r="BP167" s="138" t="n"/>
      <c r="BQ167" s="138" t="n"/>
      <c r="BR167" s="138" t="n"/>
      <c r="BS167" s="138" t="n"/>
      <c r="BT167" s="138" t="n"/>
      <c r="BU167" s="138" t="n">
        <v>1</v>
      </c>
      <c r="BV167" s="138" t="n"/>
      <c r="BW167" s="138" t="n"/>
      <c r="BX167" s="138" t="n"/>
      <c r="BY167" s="138" t="n"/>
      <c r="BZ167" s="138" t="n"/>
      <c r="CA167" s="138" t="n"/>
      <c r="CB167" s="138" t="n"/>
      <c r="CC167" s="138" t="n"/>
      <c r="CD167" s="138" t="n"/>
      <c r="CE167" s="138" t="n"/>
      <c r="CF167" s="139" t="n">
        <v>1</v>
      </c>
    </row>
    <row r="168" ht="13.5" customHeight="1">
      <c r="A168" s="144" t="inlineStr">
        <is>
          <t>2210-2</t>
        </is>
      </c>
      <c r="B168" s="144" t="inlineStr">
        <is>
          <t>■卵「もみじ」Ｍ 10㎏(大松)</t>
        </is>
      </c>
      <c r="C168" s="138" t="inlineStr">
        <is>
          <t>箱</t>
        </is>
      </c>
      <c r="D168" s="138" t="n"/>
      <c r="E168" s="138" t="n"/>
      <c r="F168" s="138" t="n"/>
      <c r="G168" s="138" t="n"/>
      <c r="H168" s="138" t="n"/>
      <c r="I168" s="138" t="n"/>
      <c r="J168" s="138" t="n"/>
      <c r="K168" s="138" t="n"/>
      <c r="L168" s="138" t="n"/>
      <c r="M168" s="138" t="n"/>
      <c r="N168" s="138" t="n"/>
      <c r="O168" s="138" t="n"/>
      <c r="P168" s="138" t="n"/>
      <c r="Q168" s="138" t="n"/>
      <c r="R168" s="138" t="n"/>
      <c r="S168" s="138" t="n"/>
      <c r="T168" s="138" t="n"/>
      <c r="U168" s="138" t="n"/>
      <c r="V168" s="138" t="n"/>
      <c r="W168" s="138" t="n"/>
      <c r="X168" s="138" t="n"/>
      <c r="Y168" s="138" t="n"/>
      <c r="Z168" s="138" t="n"/>
      <c r="AA168" s="138" t="n"/>
      <c r="AB168" s="138" t="n"/>
      <c r="AC168" s="138" t="n"/>
      <c r="AD168" s="138" t="n"/>
      <c r="AE168" s="138" t="n"/>
      <c r="AF168" s="138" t="n"/>
      <c r="AG168" s="138" t="n"/>
      <c r="AH168" s="138" t="n"/>
      <c r="AI168" s="138" t="n"/>
      <c r="AJ168" s="138" t="n"/>
      <c r="AK168" s="138" t="n"/>
      <c r="AL168" s="138" t="n"/>
      <c r="AM168" s="138" t="n"/>
      <c r="AN168" s="138" t="n"/>
      <c r="AO168" s="138" t="n"/>
      <c r="AP168" s="138" t="n"/>
      <c r="AQ168" s="138" t="n"/>
      <c r="AR168" s="138" t="n"/>
      <c r="AS168" s="138" t="n"/>
      <c r="AT168" s="138" t="n"/>
      <c r="AU168" s="138" t="n"/>
      <c r="AV168" s="138" t="n"/>
      <c r="AW168" s="138" t="n"/>
      <c r="AX168" s="138" t="n"/>
      <c r="AY168" s="138" t="n"/>
      <c r="AZ168" s="138" t="n"/>
      <c r="BA168" s="138" t="n"/>
      <c r="BB168" s="138" t="n"/>
      <c r="BC168" s="138" t="n"/>
      <c r="BD168" s="138" t="n"/>
      <c r="BE168" s="138" t="n"/>
      <c r="BF168" s="138" t="n"/>
      <c r="BG168" s="138" t="n"/>
      <c r="BH168" s="138" t="n"/>
      <c r="BI168" s="138" t="n"/>
      <c r="BJ168" s="138" t="n"/>
      <c r="BK168" s="138" t="n"/>
      <c r="BL168" s="138" t="n"/>
      <c r="BM168" s="138" t="n"/>
      <c r="BN168" s="138" t="n"/>
      <c r="BO168" s="138" t="n"/>
      <c r="BP168" s="138" t="n"/>
      <c r="BQ168" s="138" t="n"/>
      <c r="BR168" s="138" t="n"/>
      <c r="BS168" s="138" t="n">
        <v>1</v>
      </c>
      <c r="BT168" s="138" t="n">
        <v>1</v>
      </c>
      <c r="BU168" s="138" t="n"/>
      <c r="BV168" s="138" t="n"/>
      <c r="BW168" s="138" t="n"/>
      <c r="BX168" s="138" t="n"/>
      <c r="BY168" s="138" t="n"/>
      <c r="BZ168" s="138" t="n"/>
      <c r="CA168" s="138" t="n"/>
      <c r="CB168" s="138" t="n"/>
      <c r="CC168" s="138" t="n"/>
      <c r="CD168" s="138" t="n"/>
      <c r="CE168" s="138" t="n"/>
      <c r="CF168" s="139" t="n">
        <v>2</v>
      </c>
    </row>
    <row r="169" ht="13.5" customHeight="1">
      <c r="A169" s="144" t="inlineStr">
        <is>
          <t>2392-15</t>
        </is>
      </c>
      <c r="B169" s="144" t="inlineStr">
        <is>
          <t>ひきわりカップ　30ｇ×２ｐ</t>
        </is>
      </c>
      <c r="C169" s="138" t="n"/>
      <c r="D169" s="138" t="n"/>
      <c r="E169" s="138" t="n"/>
      <c r="F169" s="138" t="n"/>
      <c r="G169" s="138" t="n"/>
      <c r="H169" s="138" t="n"/>
      <c r="I169" s="138" t="n"/>
      <c r="J169" s="138" t="n"/>
      <c r="K169" s="138" t="n"/>
      <c r="L169" s="138" t="n"/>
      <c r="M169" s="138" t="n"/>
      <c r="N169" s="138" t="n"/>
      <c r="O169" s="138" t="n"/>
      <c r="P169" s="138" t="n"/>
      <c r="Q169" s="138" t="n"/>
      <c r="R169" s="138" t="n"/>
      <c r="S169" s="138" t="n"/>
      <c r="T169" s="138" t="n"/>
      <c r="U169" s="138" t="n"/>
      <c r="V169" s="138" t="n"/>
      <c r="W169" s="138" t="n"/>
      <c r="X169" s="138" t="n"/>
      <c r="Y169" s="138" t="n"/>
      <c r="Z169" s="138" t="n"/>
      <c r="AA169" s="138" t="n"/>
      <c r="AB169" s="138" t="n"/>
      <c r="AC169" s="138" t="n"/>
      <c r="AD169" s="138" t="n"/>
      <c r="AE169" s="138" t="n"/>
      <c r="AF169" s="138" t="n"/>
      <c r="AG169" s="138" t="n"/>
      <c r="AH169" s="138" t="n"/>
      <c r="AI169" s="138" t="n"/>
      <c r="AJ169" s="138" t="n"/>
      <c r="AK169" s="138" t="n"/>
      <c r="AL169" s="138" t="n"/>
      <c r="AM169" s="138" t="n"/>
      <c r="AN169" s="138" t="n"/>
      <c r="AO169" s="138" t="n"/>
      <c r="AP169" s="138" t="n"/>
      <c r="AQ169" s="138" t="n"/>
      <c r="AR169" s="138" t="n"/>
      <c r="AS169" s="138" t="n"/>
      <c r="AT169" s="138" t="n"/>
      <c r="AU169" s="138" t="n"/>
      <c r="AV169" s="138" t="n"/>
      <c r="AW169" s="138" t="n"/>
      <c r="AX169" s="138" t="n"/>
      <c r="AY169" s="138" t="n"/>
      <c r="AZ169" s="138" t="n"/>
      <c r="BA169" s="138" t="n"/>
      <c r="BB169" s="138" t="n"/>
      <c r="BC169" s="138" t="n"/>
      <c r="BD169" s="138" t="n"/>
      <c r="BE169" s="138" t="n"/>
      <c r="BF169" s="138" t="n"/>
      <c r="BG169" s="138" t="n"/>
      <c r="BH169" s="138" t="n"/>
      <c r="BI169" s="138" t="n"/>
      <c r="BJ169" s="138" t="n"/>
      <c r="BK169" s="138" t="n"/>
      <c r="BL169" s="138" t="n"/>
      <c r="BM169" s="138" t="n"/>
      <c r="BN169" s="138" t="n"/>
      <c r="BO169" s="138" t="n"/>
      <c r="BP169" s="138" t="n"/>
      <c r="BQ169" s="138" t="n"/>
      <c r="BR169" s="138" t="n"/>
      <c r="BS169" s="138" t="n"/>
      <c r="BT169" s="138" t="n"/>
      <c r="BU169" s="138" t="n"/>
      <c r="BV169" s="138" t="n"/>
      <c r="BW169" s="138" t="n"/>
      <c r="BX169" s="138" t="n"/>
      <c r="BY169" s="138" t="n"/>
      <c r="BZ169" s="138" t="n"/>
      <c r="CA169" s="138" t="n"/>
      <c r="CB169" s="138" t="n"/>
      <c r="CC169" s="138" t="n">
        <v>6</v>
      </c>
      <c r="CD169" s="138" t="n"/>
      <c r="CE169" s="138" t="n"/>
      <c r="CF169" s="139" t="n">
        <v>6</v>
      </c>
    </row>
    <row r="170" ht="13.5" customHeight="1">
      <c r="A170" s="144" t="inlineStr">
        <is>
          <t>2392-20</t>
        </is>
      </c>
      <c r="B170" s="144" t="inlineStr">
        <is>
          <t>十勝の息吹　小粒　40ｇ×２ｐ</t>
        </is>
      </c>
      <c r="C170" s="138" t="n"/>
      <c r="D170" s="138" t="n"/>
      <c r="E170" s="138" t="n"/>
      <c r="F170" s="138" t="n"/>
      <c r="G170" s="138" t="n"/>
      <c r="H170" s="138" t="n"/>
      <c r="I170" s="138" t="n"/>
      <c r="J170" s="138" t="n"/>
      <c r="K170" s="138" t="n"/>
      <c r="L170" s="138" t="n"/>
      <c r="M170" s="138" t="n"/>
      <c r="N170" s="138" t="n"/>
      <c r="O170" s="138" t="n"/>
      <c r="P170" s="138" t="n"/>
      <c r="Q170" s="138" t="n"/>
      <c r="R170" s="138" t="n"/>
      <c r="S170" s="138" t="n"/>
      <c r="T170" s="138" t="n"/>
      <c r="U170" s="138" t="n"/>
      <c r="V170" s="138" t="n"/>
      <c r="W170" s="138" t="n"/>
      <c r="X170" s="138" t="n"/>
      <c r="Y170" s="138" t="n"/>
      <c r="Z170" s="138" t="n"/>
      <c r="AA170" s="138" t="n"/>
      <c r="AB170" s="138" t="n"/>
      <c r="AC170" s="138" t="n"/>
      <c r="AD170" s="138" t="n"/>
      <c r="AE170" s="138" t="n"/>
      <c r="AF170" s="138" t="n"/>
      <c r="AG170" s="138" t="n"/>
      <c r="AH170" s="138" t="n"/>
      <c r="AI170" s="138" t="n"/>
      <c r="AJ170" s="138" t="n"/>
      <c r="AK170" s="138" t="n"/>
      <c r="AL170" s="138" t="n"/>
      <c r="AM170" s="138" t="n"/>
      <c r="AN170" s="138" t="n"/>
      <c r="AO170" s="138" t="n"/>
      <c r="AP170" s="138" t="n"/>
      <c r="AQ170" s="138" t="n"/>
      <c r="AR170" s="138" t="n"/>
      <c r="AS170" s="138" t="n"/>
      <c r="AT170" s="138" t="n"/>
      <c r="AU170" s="138" t="n"/>
      <c r="AV170" s="138" t="n"/>
      <c r="AW170" s="138" t="n"/>
      <c r="AX170" s="138" t="n"/>
      <c r="AY170" s="138" t="n"/>
      <c r="AZ170" s="138" t="n"/>
      <c r="BA170" s="138" t="n"/>
      <c r="BB170" s="138" t="n"/>
      <c r="BC170" s="138" t="n"/>
      <c r="BD170" s="138" t="n"/>
      <c r="BE170" s="138" t="n"/>
      <c r="BF170" s="138" t="n"/>
      <c r="BG170" s="138" t="n"/>
      <c r="BH170" s="138" t="n"/>
      <c r="BI170" s="138" t="n"/>
      <c r="BJ170" s="138" t="n"/>
      <c r="BK170" s="138" t="n"/>
      <c r="BL170" s="138" t="n"/>
      <c r="BM170" s="138" t="n"/>
      <c r="BN170" s="138" t="n"/>
      <c r="BO170" s="138" t="n"/>
      <c r="BP170" s="138" t="n"/>
      <c r="BQ170" s="138" t="n"/>
      <c r="BR170" s="138" t="n"/>
      <c r="BS170" s="138" t="n"/>
      <c r="BT170" s="138" t="n"/>
      <c r="BU170" s="138" t="n"/>
      <c r="BV170" s="138" t="n"/>
      <c r="BW170" s="138" t="n"/>
      <c r="BX170" s="138" t="n"/>
      <c r="BY170" s="138" t="n"/>
      <c r="BZ170" s="138" t="n"/>
      <c r="CA170" s="138" t="n"/>
      <c r="CB170" s="138" t="n"/>
      <c r="CC170" s="138" t="n">
        <v>18</v>
      </c>
      <c r="CD170" s="138" t="n"/>
      <c r="CE170" s="138" t="n"/>
      <c r="CF170" s="139" t="n">
        <v>18</v>
      </c>
    </row>
    <row r="171" ht="13.5" customHeight="1">
      <c r="A171" s="144" t="inlineStr">
        <is>
          <t>2392-21</t>
        </is>
      </c>
      <c r="B171" s="144" t="inlineStr">
        <is>
          <t>十勝の息吹　大粒　40ｇ×２ｐ</t>
        </is>
      </c>
      <c r="C171" s="138" t="n"/>
      <c r="D171" s="138" t="n"/>
      <c r="E171" s="138" t="n"/>
      <c r="F171" s="138" t="n"/>
      <c r="G171" s="138" t="n"/>
      <c r="H171" s="138" t="n"/>
      <c r="I171" s="138" t="n"/>
      <c r="J171" s="138" t="n"/>
      <c r="K171" s="138" t="n"/>
      <c r="L171" s="138" t="n"/>
      <c r="M171" s="138" t="n"/>
      <c r="N171" s="138" t="n"/>
      <c r="O171" s="138" t="n"/>
      <c r="P171" s="138" t="n"/>
      <c r="Q171" s="138" t="n"/>
      <c r="R171" s="138" t="n"/>
      <c r="S171" s="138" t="n"/>
      <c r="T171" s="138" t="n"/>
      <c r="U171" s="138" t="n"/>
      <c r="V171" s="138" t="n"/>
      <c r="W171" s="138" t="n"/>
      <c r="X171" s="138" t="n"/>
      <c r="Y171" s="138" t="n"/>
      <c r="Z171" s="138" t="n"/>
      <c r="AA171" s="138" t="n"/>
      <c r="AB171" s="138" t="n"/>
      <c r="AC171" s="138" t="n"/>
      <c r="AD171" s="138" t="n"/>
      <c r="AE171" s="138" t="n"/>
      <c r="AF171" s="138" t="n"/>
      <c r="AG171" s="138" t="n"/>
      <c r="AH171" s="138" t="n"/>
      <c r="AI171" s="138" t="n"/>
      <c r="AJ171" s="138" t="n"/>
      <c r="AK171" s="138" t="n"/>
      <c r="AL171" s="138" t="n"/>
      <c r="AM171" s="138" t="n"/>
      <c r="AN171" s="138" t="n"/>
      <c r="AO171" s="138" t="n"/>
      <c r="AP171" s="138" t="n"/>
      <c r="AQ171" s="138" t="n"/>
      <c r="AR171" s="138" t="n"/>
      <c r="AS171" s="138" t="n"/>
      <c r="AT171" s="138" t="n"/>
      <c r="AU171" s="138" t="n"/>
      <c r="AV171" s="138" t="n"/>
      <c r="AW171" s="138" t="n"/>
      <c r="AX171" s="138" t="n"/>
      <c r="AY171" s="138" t="n"/>
      <c r="AZ171" s="138" t="n"/>
      <c r="BA171" s="138" t="n"/>
      <c r="BB171" s="138" t="n"/>
      <c r="BC171" s="138" t="n"/>
      <c r="BD171" s="138" t="n"/>
      <c r="BE171" s="138" t="n"/>
      <c r="BF171" s="138" t="n"/>
      <c r="BG171" s="138" t="n"/>
      <c r="BH171" s="138" t="n"/>
      <c r="BI171" s="138" t="n"/>
      <c r="BJ171" s="138" t="n"/>
      <c r="BK171" s="138" t="n"/>
      <c r="BL171" s="138" t="n"/>
      <c r="BM171" s="138" t="n"/>
      <c r="BN171" s="138" t="n"/>
      <c r="BO171" s="138" t="n"/>
      <c r="BP171" s="138" t="n"/>
      <c r="BQ171" s="138" t="n"/>
      <c r="BR171" s="138" t="n"/>
      <c r="BS171" s="138" t="n"/>
      <c r="BT171" s="138" t="n"/>
      <c r="BU171" s="138" t="n"/>
      <c r="BV171" s="138" t="n"/>
      <c r="BW171" s="138" t="n"/>
      <c r="BX171" s="138" t="n"/>
      <c r="BY171" s="138" t="n"/>
      <c r="BZ171" s="138" t="n"/>
      <c r="CA171" s="138" t="n"/>
      <c r="CB171" s="138" t="n"/>
      <c r="CC171" s="138" t="n">
        <v>4</v>
      </c>
      <c r="CD171" s="138" t="n"/>
      <c r="CE171" s="138" t="n"/>
      <c r="CF171" s="139" t="n">
        <v>4</v>
      </c>
    </row>
    <row r="172" ht="13.5" customHeight="1">
      <c r="A172" s="144" t="inlineStr">
        <is>
          <t>2392-22</t>
        </is>
      </c>
      <c r="B172" s="144" t="inlineStr">
        <is>
          <t>十勝の息吹　ひきわり　40ｇ×２ｐ</t>
        </is>
      </c>
      <c r="C172" s="138" t="n"/>
      <c r="D172" s="138" t="n"/>
      <c r="E172" s="138" t="n"/>
      <c r="F172" s="138" t="n"/>
      <c r="G172" s="138" t="n"/>
      <c r="H172" s="138" t="n"/>
      <c r="I172" s="138" t="n"/>
      <c r="J172" s="138" t="n"/>
      <c r="K172" s="138" t="n"/>
      <c r="L172" s="138" t="n"/>
      <c r="M172" s="138" t="n"/>
      <c r="N172" s="138" t="n"/>
      <c r="O172" s="138" t="n"/>
      <c r="P172" s="138" t="n"/>
      <c r="Q172" s="138" t="n"/>
      <c r="R172" s="138" t="n"/>
      <c r="S172" s="138" t="n"/>
      <c r="T172" s="138" t="n"/>
      <c r="U172" s="138" t="n"/>
      <c r="V172" s="138" t="n"/>
      <c r="W172" s="138" t="n"/>
      <c r="X172" s="138" t="n"/>
      <c r="Y172" s="138" t="n"/>
      <c r="Z172" s="138" t="n"/>
      <c r="AA172" s="138" t="n"/>
      <c r="AB172" s="138" t="n"/>
      <c r="AC172" s="138" t="n"/>
      <c r="AD172" s="138" t="n"/>
      <c r="AE172" s="138" t="n"/>
      <c r="AF172" s="138" t="n"/>
      <c r="AG172" s="138" t="n"/>
      <c r="AH172" s="138" t="n"/>
      <c r="AI172" s="138" t="n"/>
      <c r="AJ172" s="138" t="n"/>
      <c r="AK172" s="138" t="n"/>
      <c r="AL172" s="138" t="n"/>
      <c r="AM172" s="138" t="n"/>
      <c r="AN172" s="138" t="n"/>
      <c r="AO172" s="138" t="n"/>
      <c r="AP172" s="138" t="n"/>
      <c r="AQ172" s="138" t="n"/>
      <c r="AR172" s="138" t="n"/>
      <c r="AS172" s="138" t="n"/>
      <c r="AT172" s="138" t="n"/>
      <c r="AU172" s="138" t="n"/>
      <c r="AV172" s="138" t="n"/>
      <c r="AW172" s="138" t="n"/>
      <c r="AX172" s="138" t="n"/>
      <c r="AY172" s="138" t="n"/>
      <c r="AZ172" s="138" t="n"/>
      <c r="BA172" s="138" t="n"/>
      <c r="BB172" s="138" t="n"/>
      <c r="BC172" s="138" t="n"/>
      <c r="BD172" s="138" t="n"/>
      <c r="BE172" s="138" t="n"/>
      <c r="BF172" s="138" t="n"/>
      <c r="BG172" s="138" t="n"/>
      <c r="BH172" s="138" t="n"/>
      <c r="BI172" s="138" t="n"/>
      <c r="BJ172" s="138" t="n"/>
      <c r="BK172" s="138" t="n"/>
      <c r="BL172" s="138" t="n"/>
      <c r="BM172" s="138" t="n"/>
      <c r="BN172" s="138" t="n"/>
      <c r="BO172" s="138" t="n"/>
      <c r="BP172" s="138" t="n"/>
      <c r="BQ172" s="138" t="n"/>
      <c r="BR172" s="138" t="n"/>
      <c r="BS172" s="138" t="n"/>
      <c r="BT172" s="138" t="n"/>
      <c r="BU172" s="138" t="n"/>
      <c r="BV172" s="138" t="n"/>
      <c r="BW172" s="138" t="n"/>
      <c r="BX172" s="138" t="n"/>
      <c r="BY172" s="138" t="n"/>
      <c r="BZ172" s="138" t="n"/>
      <c r="CA172" s="138" t="n"/>
      <c r="CB172" s="138" t="n"/>
      <c r="CC172" s="138" t="n">
        <v>8</v>
      </c>
      <c r="CD172" s="138" t="n"/>
      <c r="CE172" s="138" t="n"/>
      <c r="CF172" s="139" t="n">
        <v>8</v>
      </c>
    </row>
    <row r="173" ht="13.5" customHeight="1">
      <c r="A173" s="144" t="inlineStr">
        <is>
          <t>2392-29</t>
        </is>
      </c>
      <c r="B173" s="144" t="inlineStr">
        <is>
          <t>有機納豆　日本の農　40ｇ×2</t>
        </is>
      </c>
      <c r="C173" s="138" t="n"/>
      <c r="D173" s="138" t="n"/>
      <c r="E173" s="138" t="n"/>
      <c r="F173" s="138" t="n"/>
      <c r="G173" s="138" t="n"/>
      <c r="H173" s="138" t="n"/>
      <c r="I173" s="138" t="n"/>
      <c r="J173" s="138" t="n"/>
      <c r="K173" s="138" t="n"/>
      <c r="L173" s="138" t="n"/>
      <c r="M173" s="138" t="n"/>
      <c r="N173" s="138" t="n"/>
      <c r="O173" s="138" t="n"/>
      <c r="P173" s="138" t="n"/>
      <c r="Q173" s="138" t="n"/>
      <c r="R173" s="138" t="n"/>
      <c r="S173" s="138" t="n"/>
      <c r="T173" s="138" t="n"/>
      <c r="U173" s="138" t="n"/>
      <c r="V173" s="138" t="n"/>
      <c r="W173" s="138" t="n"/>
      <c r="X173" s="138" t="n"/>
      <c r="Y173" s="138" t="n"/>
      <c r="Z173" s="138" t="n"/>
      <c r="AA173" s="138" t="n"/>
      <c r="AB173" s="138" t="n"/>
      <c r="AC173" s="138" t="n"/>
      <c r="AD173" s="138" t="n"/>
      <c r="AE173" s="138" t="n"/>
      <c r="AF173" s="138" t="n"/>
      <c r="AG173" s="138" t="n"/>
      <c r="AH173" s="138" t="n"/>
      <c r="AI173" s="138" t="n"/>
      <c r="AJ173" s="138" t="n"/>
      <c r="AK173" s="138" t="n"/>
      <c r="AL173" s="138" t="n"/>
      <c r="AM173" s="138" t="n"/>
      <c r="AN173" s="138" t="n"/>
      <c r="AO173" s="138" t="n"/>
      <c r="AP173" s="138" t="n"/>
      <c r="AQ173" s="138" t="n"/>
      <c r="AR173" s="138" t="n"/>
      <c r="AS173" s="138" t="n"/>
      <c r="AT173" s="138" t="n"/>
      <c r="AU173" s="138" t="n"/>
      <c r="AV173" s="138" t="n"/>
      <c r="AW173" s="138" t="n"/>
      <c r="AX173" s="138" t="n"/>
      <c r="AY173" s="138" t="n"/>
      <c r="AZ173" s="138" t="n"/>
      <c r="BA173" s="138" t="n"/>
      <c r="BB173" s="138" t="n"/>
      <c r="BC173" s="138" t="n"/>
      <c r="BD173" s="138" t="n"/>
      <c r="BE173" s="138" t="n"/>
      <c r="BF173" s="138" t="n"/>
      <c r="BG173" s="138" t="n"/>
      <c r="BH173" s="138" t="n"/>
      <c r="BI173" s="138" t="n"/>
      <c r="BJ173" s="138" t="n"/>
      <c r="BK173" s="138" t="n"/>
      <c r="BL173" s="138" t="n"/>
      <c r="BM173" s="138" t="n"/>
      <c r="BN173" s="138" t="n"/>
      <c r="BO173" s="138" t="n"/>
      <c r="BP173" s="138" t="n"/>
      <c r="BQ173" s="138" t="n"/>
      <c r="BR173" s="138" t="n"/>
      <c r="BS173" s="138" t="n"/>
      <c r="BT173" s="138" t="n"/>
      <c r="BU173" s="138" t="n"/>
      <c r="BV173" s="138" t="n"/>
      <c r="BW173" s="138" t="n"/>
      <c r="BX173" s="138" t="n"/>
      <c r="BY173" s="138" t="n"/>
      <c r="BZ173" s="138" t="n"/>
      <c r="CA173" s="138" t="n"/>
      <c r="CB173" s="138" t="n"/>
      <c r="CC173" s="138" t="n">
        <v>4</v>
      </c>
      <c r="CD173" s="138" t="n"/>
      <c r="CE173" s="138" t="n"/>
      <c r="CF173" s="139" t="n">
        <v>4</v>
      </c>
    </row>
    <row r="174" ht="13.5" customHeight="1">
      <c r="A174" s="144" t="inlineStr">
        <is>
          <t>2392-31</t>
        </is>
      </c>
      <c r="B174" s="144" t="inlineStr">
        <is>
          <t>有機ひきわりカップ２　みのり　20ｇ×2</t>
        </is>
      </c>
      <c r="C174" s="138" t="n"/>
      <c r="D174" s="138" t="n"/>
      <c r="E174" s="138" t="n"/>
      <c r="F174" s="138" t="n"/>
      <c r="G174" s="138" t="n"/>
      <c r="H174" s="138" t="n"/>
      <c r="I174" s="138" t="n"/>
      <c r="J174" s="138" t="n"/>
      <c r="K174" s="138" t="n"/>
      <c r="L174" s="138" t="n"/>
      <c r="M174" s="138" t="n"/>
      <c r="N174" s="138" t="n"/>
      <c r="O174" s="138" t="n"/>
      <c r="P174" s="138" t="n"/>
      <c r="Q174" s="138" t="n"/>
      <c r="R174" s="138" t="n"/>
      <c r="S174" s="138" t="n"/>
      <c r="T174" s="138" t="n"/>
      <c r="U174" s="138" t="n"/>
      <c r="V174" s="138" t="n"/>
      <c r="W174" s="138" t="n"/>
      <c r="X174" s="138" t="n"/>
      <c r="Y174" s="138" t="n"/>
      <c r="Z174" s="138" t="n"/>
      <c r="AA174" s="138" t="n"/>
      <c r="AB174" s="138" t="n"/>
      <c r="AC174" s="138" t="n"/>
      <c r="AD174" s="138" t="n"/>
      <c r="AE174" s="138" t="n"/>
      <c r="AF174" s="138" t="n"/>
      <c r="AG174" s="138" t="n"/>
      <c r="AH174" s="138" t="n"/>
      <c r="AI174" s="138" t="n"/>
      <c r="AJ174" s="138" t="n"/>
      <c r="AK174" s="138" t="n"/>
      <c r="AL174" s="138" t="n"/>
      <c r="AM174" s="138" t="n"/>
      <c r="AN174" s="138" t="n"/>
      <c r="AO174" s="138" t="n"/>
      <c r="AP174" s="138" t="n"/>
      <c r="AQ174" s="138" t="n"/>
      <c r="AR174" s="138" t="n"/>
      <c r="AS174" s="138" t="n"/>
      <c r="AT174" s="138" t="n"/>
      <c r="AU174" s="138" t="n"/>
      <c r="AV174" s="138" t="n"/>
      <c r="AW174" s="138" t="n"/>
      <c r="AX174" s="138" t="n"/>
      <c r="AY174" s="138" t="n"/>
      <c r="AZ174" s="138" t="n"/>
      <c r="BA174" s="138" t="n"/>
      <c r="BB174" s="138" t="n"/>
      <c r="BC174" s="138" t="n"/>
      <c r="BD174" s="138" t="n"/>
      <c r="BE174" s="138" t="n"/>
      <c r="BF174" s="138" t="n"/>
      <c r="BG174" s="138" t="n"/>
      <c r="BH174" s="138" t="n"/>
      <c r="BI174" s="138" t="n"/>
      <c r="BJ174" s="138" t="n"/>
      <c r="BK174" s="138" t="n"/>
      <c r="BL174" s="138" t="n"/>
      <c r="BM174" s="138" t="n"/>
      <c r="BN174" s="138" t="n"/>
      <c r="BO174" s="138" t="n"/>
      <c r="BP174" s="138" t="n"/>
      <c r="BQ174" s="138" t="n"/>
      <c r="BR174" s="138" t="n"/>
      <c r="BS174" s="138" t="n"/>
      <c r="BT174" s="138" t="n"/>
      <c r="BU174" s="138" t="n"/>
      <c r="BV174" s="138" t="n"/>
      <c r="BW174" s="138" t="n"/>
      <c r="BX174" s="138" t="n"/>
      <c r="BY174" s="138" t="n"/>
      <c r="BZ174" s="138" t="n"/>
      <c r="CA174" s="138" t="n"/>
      <c r="CB174" s="138" t="n"/>
      <c r="CC174" s="138" t="n">
        <v>2</v>
      </c>
      <c r="CD174" s="138" t="n"/>
      <c r="CE174" s="138" t="n"/>
      <c r="CF174" s="139" t="n">
        <v>2</v>
      </c>
    </row>
    <row r="175" ht="13.5" customHeight="1">
      <c r="A175" s="144" t="inlineStr">
        <is>
          <t>2392-32</t>
        </is>
      </c>
      <c r="B175" s="144" t="inlineStr">
        <is>
          <t>丸大豆てんぺ(Sﾊﾟｯｸ１個組)　100ｇ</t>
        </is>
      </c>
      <c r="C175" s="138" t="n"/>
      <c r="D175" s="138" t="n"/>
      <c r="E175" s="138" t="n"/>
      <c r="F175" s="138" t="n"/>
      <c r="G175" s="138" t="n"/>
      <c r="H175" s="138" t="n"/>
      <c r="I175" s="138" t="n"/>
      <c r="J175" s="138" t="n"/>
      <c r="K175" s="138" t="n"/>
      <c r="L175" s="138" t="n"/>
      <c r="M175" s="138" t="n"/>
      <c r="N175" s="138" t="n"/>
      <c r="O175" s="138" t="n"/>
      <c r="P175" s="138" t="n"/>
      <c r="Q175" s="138" t="n"/>
      <c r="R175" s="138" t="n"/>
      <c r="S175" s="138" t="n"/>
      <c r="T175" s="138" t="n"/>
      <c r="U175" s="138" t="n"/>
      <c r="V175" s="138" t="n"/>
      <c r="W175" s="138" t="n"/>
      <c r="X175" s="138" t="n"/>
      <c r="Y175" s="138" t="n"/>
      <c r="Z175" s="138" t="n"/>
      <c r="AA175" s="138" t="n"/>
      <c r="AB175" s="138" t="n"/>
      <c r="AC175" s="138" t="n"/>
      <c r="AD175" s="138" t="n"/>
      <c r="AE175" s="138" t="n"/>
      <c r="AF175" s="138" t="n"/>
      <c r="AG175" s="138" t="n"/>
      <c r="AH175" s="138" t="n"/>
      <c r="AI175" s="138" t="n"/>
      <c r="AJ175" s="138" t="n"/>
      <c r="AK175" s="138" t="n"/>
      <c r="AL175" s="138" t="n"/>
      <c r="AM175" s="138" t="n"/>
      <c r="AN175" s="138" t="n"/>
      <c r="AO175" s="138" t="n"/>
      <c r="AP175" s="138" t="n"/>
      <c r="AQ175" s="138" t="n"/>
      <c r="AR175" s="138" t="n"/>
      <c r="AS175" s="138" t="n"/>
      <c r="AT175" s="138" t="n"/>
      <c r="AU175" s="138" t="n"/>
      <c r="AV175" s="138" t="n"/>
      <c r="AW175" s="138" t="n"/>
      <c r="AX175" s="138" t="n"/>
      <c r="AY175" s="138" t="n"/>
      <c r="AZ175" s="138" t="n"/>
      <c r="BA175" s="138" t="n"/>
      <c r="BB175" s="138" t="n"/>
      <c r="BC175" s="138" t="n"/>
      <c r="BD175" s="138" t="n"/>
      <c r="BE175" s="138" t="n"/>
      <c r="BF175" s="138" t="n"/>
      <c r="BG175" s="138" t="n"/>
      <c r="BH175" s="138" t="n"/>
      <c r="BI175" s="138" t="n"/>
      <c r="BJ175" s="138" t="n"/>
      <c r="BK175" s="138" t="n"/>
      <c r="BL175" s="138" t="n"/>
      <c r="BM175" s="138" t="n"/>
      <c r="BN175" s="138" t="n"/>
      <c r="BO175" s="138" t="n"/>
      <c r="BP175" s="138" t="n"/>
      <c r="BQ175" s="138" t="n"/>
      <c r="BR175" s="138" t="n"/>
      <c r="BS175" s="138" t="n"/>
      <c r="BT175" s="138" t="n"/>
      <c r="BU175" s="138" t="n"/>
      <c r="BV175" s="138" t="n"/>
      <c r="BW175" s="138" t="n"/>
      <c r="BX175" s="138" t="n"/>
      <c r="BY175" s="138" t="n"/>
      <c r="BZ175" s="138" t="n"/>
      <c r="CA175" s="138" t="n"/>
      <c r="CB175" s="138" t="n"/>
      <c r="CC175" s="138" t="n">
        <v>0</v>
      </c>
      <c r="CD175" s="138" t="n"/>
      <c r="CE175" s="138" t="n"/>
      <c r="CF175" s="139" t="n">
        <v>0</v>
      </c>
    </row>
    <row r="176" ht="13.5" customHeight="1">
      <c r="A176" s="144" t="inlineStr">
        <is>
          <t>4011</t>
        </is>
      </c>
      <c r="B176" s="144" t="inlineStr">
        <is>
          <t>運賃(税抜)</t>
        </is>
      </c>
      <c r="C176" s="138" t="n"/>
      <c r="D176" s="138" t="n"/>
      <c r="E176" s="138" t="n"/>
      <c r="F176" s="138" t="n"/>
      <c r="G176" s="138" t="n"/>
      <c r="H176" s="138" t="n"/>
      <c r="I176" s="138" t="n"/>
      <c r="J176" s="138" t="n"/>
      <c r="K176" s="138" t="n">
        <v>1</v>
      </c>
      <c r="L176" s="138" t="n"/>
      <c r="M176" s="138" t="n"/>
      <c r="N176" s="138" t="n"/>
      <c r="O176" s="138" t="n">
        <v>1</v>
      </c>
      <c r="P176" s="138" t="n"/>
      <c r="Q176" s="138" t="n"/>
      <c r="R176" s="138" t="n"/>
      <c r="S176" s="138" t="n"/>
      <c r="T176" s="138" t="n"/>
      <c r="U176" s="138" t="n"/>
      <c r="V176" s="138" t="n"/>
      <c r="W176" s="138" t="n"/>
      <c r="X176" s="138" t="n"/>
      <c r="Y176" s="138" t="n"/>
      <c r="Z176" s="138" t="n"/>
      <c r="AA176" s="138" t="n"/>
      <c r="AB176" s="138" t="n"/>
      <c r="AC176" s="138" t="n"/>
      <c r="AD176" s="138" t="n"/>
      <c r="AE176" s="138" t="n"/>
      <c r="AF176" s="138" t="n"/>
      <c r="AG176" s="138" t="n"/>
      <c r="AH176" s="138" t="n"/>
      <c r="AI176" s="138" t="n"/>
      <c r="AJ176" s="138" t="n"/>
      <c r="AK176" s="138" t="n">
        <v>2</v>
      </c>
      <c r="AL176" s="138" t="n"/>
      <c r="AM176" s="138" t="n">
        <v>1</v>
      </c>
      <c r="AN176" s="138" t="n"/>
      <c r="AO176" s="138" t="n"/>
      <c r="AP176" s="138" t="n"/>
      <c r="AQ176" s="138" t="n"/>
      <c r="AR176" s="138" t="n"/>
      <c r="AS176" s="138" t="n"/>
      <c r="AT176" s="138" t="n"/>
      <c r="AU176" s="138" t="n"/>
      <c r="AV176" s="138" t="n"/>
      <c r="AW176" s="138" t="n"/>
      <c r="AX176" s="138" t="n"/>
      <c r="AY176" s="138" t="n"/>
      <c r="AZ176" s="138" t="n"/>
      <c r="BA176" s="138" t="n"/>
      <c r="BB176" s="138" t="n"/>
      <c r="BC176" s="138" t="n"/>
      <c r="BD176" s="138" t="n"/>
      <c r="BE176" s="138" t="n"/>
      <c r="BF176" s="138" t="n"/>
      <c r="BG176" s="138" t="n"/>
      <c r="BH176" s="138" t="n"/>
      <c r="BI176" s="138" t="n">
        <v>2</v>
      </c>
      <c r="BJ176" s="138" t="n"/>
      <c r="BK176" s="138" t="n"/>
      <c r="BL176" s="138" t="n"/>
      <c r="BM176" s="138" t="n"/>
      <c r="BN176" s="138" t="n"/>
      <c r="BO176" s="138" t="n"/>
      <c r="BP176" s="138" t="n"/>
      <c r="BQ176" s="138" t="n"/>
      <c r="BR176" s="138" t="n"/>
      <c r="BS176" s="138" t="n"/>
      <c r="BT176" s="138" t="n"/>
      <c r="BU176" s="138" t="n"/>
      <c r="BV176" s="138" t="n"/>
      <c r="BW176" s="138" t="n"/>
      <c r="BX176" s="138" t="n"/>
      <c r="BY176" s="138" t="n"/>
      <c r="BZ176" s="138" t="n"/>
      <c r="CA176" s="138" t="n"/>
      <c r="CB176" s="138" t="n"/>
      <c r="CC176" s="138" t="n"/>
      <c r="CD176" s="138" t="n"/>
      <c r="CE176" s="138" t="n"/>
      <c r="CF176" s="139" t="n">
        <v>7</v>
      </c>
    </row>
    <row r="177" ht="13.5" customHeight="1">
      <c r="A177" s="144" t="inlineStr">
        <is>
          <t>5301-7</t>
        </is>
      </c>
      <c r="B177" s="144" t="inlineStr">
        <is>
          <t>もみしそ 300g(ﾊﾟﾝﾄﾞﾗ)</t>
        </is>
      </c>
      <c r="C177" s="138" t="inlineStr">
        <is>
          <t>こもの</t>
        </is>
      </c>
      <c r="D177" s="138" t="n"/>
      <c r="E177" s="138" t="n"/>
      <c r="F177" s="138" t="n"/>
      <c r="G177" s="138" t="n"/>
      <c r="H177" s="138" t="n"/>
      <c r="I177" s="138" t="n"/>
      <c r="J177" s="138" t="n"/>
      <c r="K177" s="138" t="n"/>
      <c r="L177" s="138" t="n"/>
      <c r="M177" s="138" t="n"/>
      <c r="N177" s="138" t="n"/>
      <c r="O177" s="138" t="n"/>
      <c r="P177" s="138" t="n"/>
      <c r="Q177" s="138" t="n"/>
      <c r="R177" s="138" t="n"/>
      <c r="S177" s="138" t="n"/>
      <c r="T177" s="138" t="n"/>
      <c r="U177" s="138" t="n"/>
      <c r="V177" s="138" t="n"/>
      <c r="W177" s="138" t="n"/>
      <c r="X177" s="138" t="n"/>
      <c r="Y177" s="138" t="n"/>
      <c r="Z177" s="138" t="n"/>
      <c r="AA177" s="138" t="n"/>
      <c r="AB177" s="138" t="n"/>
      <c r="AC177" s="138" t="n"/>
      <c r="AD177" s="138" t="n"/>
      <c r="AE177" s="138" t="n"/>
      <c r="AF177" s="138" t="n"/>
      <c r="AG177" s="138" t="n"/>
      <c r="AH177" s="138" t="n"/>
      <c r="AI177" s="138" t="n"/>
      <c r="AJ177" s="138" t="n"/>
      <c r="AK177" s="138" t="n"/>
      <c r="AL177" s="138" t="n"/>
      <c r="AM177" s="138" t="n"/>
      <c r="AN177" s="138" t="n"/>
      <c r="AO177" s="138" t="n"/>
      <c r="AP177" s="138" t="n"/>
      <c r="AQ177" s="138" t="n"/>
      <c r="AR177" s="138" t="n"/>
      <c r="AS177" s="138" t="n"/>
      <c r="AT177" s="138" t="n"/>
      <c r="AU177" s="138" t="n"/>
      <c r="AV177" s="138" t="n"/>
      <c r="AW177" s="138" t="n"/>
      <c r="AX177" s="138" t="n"/>
      <c r="AY177" s="138" t="n"/>
      <c r="AZ177" s="138" t="n"/>
      <c r="BA177" s="138" t="n"/>
      <c r="BB177" s="138" t="n"/>
      <c r="BC177" s="138" t="n"/>
      <c r="BD177" s="138" t="n"/>
      <c r="BE177" s="138" t="n"/>
      <c r="BF177" s="138" t="n"/>
      <c r="BG177" s="138" t="n"/>
      <c r="BH177" s="138" t="n"/>
      <c r="BI177" s="138" t="n"/>
      <c r="BJ177" s="138" t="n"/>
      <c r="BK177" s="138" t="n"/>
      <c r="BL177" s="138" t="n"/>
      <c r="BM177" s="138" t="n"/>
      <c r="BN177" s="138" t="n"/>
      <c r="BO177" s="138" t="n"/>
      <c r="BP177" s="138" t="n"/>
      <c r="BQ177" s="138" t="n"/>
      <c r="BR177" s="138" t="n"/>
      <c r="BS177" s="138" t="n"/>
      <c r="BT177" s="138" t="n"/>
      <c r="BU177" s="138" t="n"/>
      <c r="BV177" s="138" t="n"/>
      <c r="BW177" s="138" t="n">
        <v>8</v>
      </c>
      <c r="BX177" s="138" t="n">
        <v>3</v>
      </c>
      <c r="BY177" s="138" t="n"/>
      <c r="BZ177" s="138" t="n"/>
      <c r="CA177" s="138" t="n"/>
      <c r="CB177" s="138" t="n"/>
      <c r="CC177" s="138" t="n">
        <v>3</v>
      </c>
      <c r="CD177" s="138" t="n"/>
      <c r="CE177" s="138" t="n"/>
      <c r="CF177" s="139" t="n">
        <v>14</v>
      </c>
    </row>
    <row r="178" ht="13.5" customHeight="1">
      <c r="A178" s="145" t="inlineStr">
        <is>
          <t>総計</t>
        </is>
      </c>
      <c r="B178" s="147" t="n"/>
      <c r="C178" s="141" t="n"/>
      <c r="D178" s="166" t="n">
        <v>81</v>
      </c>
      <c r="E178" s="166" t="n">
        <v>79</v>
      </c>
      <c r="F178" s="166" t="n">
        <v>106</v>
      </c>
      <c r="G178" s="166" t="n">
        <v>37</v>
      </c>
      <c r="H178" s="166" t="n">
        <v>21</v>
      </c>
      <c r="I178" s="166" t="n">
        <v>124</v>
      </c>
      <c r="J178" s="166" t="n">
        <v>158</v>
      </c>
      <c r="K178" s="166" t="n">
        <v>92</v>
      </c>
      <c r="L178" s="166" t="n">
        <v>31</v>
      </c>
      <c r="M178" s="166" t="n">
        <v>52</v>
      </c>
      <c r="N178" s="166" t="n">
        <v>32</v>
      </c>
      <c r="O178" s="166" t="n">
        <v>27</v>
      </c>
      <c r="P178" s="166" t="n">
        <v>18</v>
      </c>
      <c r="Q178" s="166" t="n">
        <v>16</v>
      </c>
      <c r="R178" s="166" t="n">
        <v>87</v>
      </c>
      <c r="S178" s="166" t="n">
        <v>56</v>
      </c>
      <c r="T178" s="166" t="n">
        <v>20</v>
      </c>
      <c r="U178" s="166" t="n">
        <v>47</v>
      </c>
      <c r="V178" s="166" t="n">
        <v>24</v>
      </c>
      <c r="W178" s="166" t="n">
        <v>45</v>
      </c>
      <c r="X178" s="166" t="n">
        <v>56</v>
      </c>
      <c r="Y178" s="166" t="n">
        <v>26</v>
      </c>
      <c r="Z178" s="166" t="n">
        <v>42</v>
      </c>
      <c r="AA178" s="166" t="n">
        <v>36</v>
      </c>
      <c r="AB178" s="166" t="n">
        <v>40</v>
      </c>
      <c r="AC178" s="166" t="n">
        <v>43</v>
      </c>
      <c r="AD178" s="166" t="n">
        <v>58</v>
      </c>
      <c r="AE178" s="166" t="n">
        <v>15</v>
      </c>
      <c r="AF178" s="166" t="n">
        <v>83</v>
      </c>
      <c r="AG178" s="166" t="n">
        <v>39</v>
      </c>
      <c r="AH178" s="166" t="n">
        <v>71</v>
      </c>
      <c r="AI178" s="166" t="n">
        <v>18</v>
      </c>
      <c r="AJ178" s="166" t="n">
        <v>19</v>
      </c>
      <c r="AK178" s="166" t="n">
        <v>208</v>
      </c>
      <c r="AL178" s="166" t="n">
        <v>63</v>
      </c>
      <c r="AM178" s="166" t="n">
        <v>22</v>
      </c>
      <c r="AN178" s="166" t="n">
        <v>34</v>
      </c>
      <c r="AO178" s="166" t="n">
        <v>60</v>
      </c>
      <c r="AP178" s="166" t="n">
        <v>47</v>
      </c>
      <c r="AQ178" s="166" t="n">
        <v>1</v>
      </c>
      <c r="AR178" s="166" t="n">
        <v>37</v>
      </c>
      <c r="AS178" s="166" t="n">
        <v>52</v>
      </c>
      <c r="AT178" s="166" t="n">
        <v>19</v>
      </c>
      <c r="AU178" s="166" t="n">
        <v>49</v>
      </c>
      <c r="AV178" s="166" t="n">
        <v>45</v>
      </c>
      <c r="AW178" s="166" t="n">
        <v>67</v>
      </c>
      <c r="AX178" s="166" t="n">
        <v>97</v>
      </c>
      <c r="AY178" s="166" t="n">
        <v>62</v>
      </c>
      <c r="AZ178" s="166" t="n">
        <v>66</v>
      </c>
      <c r="BA178" s="166" t="n">
        <v>41</v>
      </c>
      <c r="BB178" s="166" t="n">
        <v>62</v>
      </c>
      <c r="BC178" s="166" t="n">
        <v>22</v>
      </c>
      <c r="BD178" s="166" t="n">
        <v>30</v>
      </c>
      <c r="BE178" s="166" t="n">
        <v>24</v>
      </c>
      <c r="BF178" s="166" t="n">
        <v>81</v>
      </c>
      <c r="BG178" s="166" t="n">
        <v>26</v>
      </c>
      <c r="BH178" s="166" t="n">
        <v>165</v>
      </c>
      <c r="BI178" s="166" t="n">
        <v>211</v>
      </c>
      <c r="BJ178" s="166" t="n">
        <v>48</v>
      </c>
      <c r="BK178" s="166" t="n">
        <v>3</v>
      </c>
      <c r="BL178" s="166" t="n">
        <v>3</v>
      </c>
      <c r="BM178" s="166" t="n">
        <v>1</v>
      </c>
      <c r="BN178" s="166" t="n">
        <v>2</v>
      </c>
      <c r="BO178" s="166" t="n">
        <v>2</v>
      </c>
      <c r="BP178" s="166" t="n">
        <v>5</v>
      </c>
      <c r="BQ178" s="166" t="n">
        <v>13</v>
      </c>
      <c r="BR178" s="166" t="n">
        <v>19</v>
      </c>
      <c r="BS178" s="166" t="n">
        <v>1</v>
      </c>
      <c r="BT178" s="166" t="n">
        <v>1</v>
      </c>
      <c r="BU178" s="166" t="n">
        <v>1</v>
      </c>
      <c r="BV178" s="166" t="n">
        <v>89</v>
      </c>
      <c r="BW178" s="166" t="n">
        <v>50</v>
      </c>
      <c r="BX178" s="166" t="n">
        <v>137</v>
      </c>
      <c r="BY178" s="166" t="n">
        <v>14</v>
      </c>
      <c r="BZ178" s="166" t="n">
        <v>2</v>
      </c>
      <c r="CA178" s="166" t="n">
        <v>164</v>
      </c>
      <c r="CB178" s="166" t="n">
        <v>75</v>
      </c>
      <c r="CC178" s="166" t="n">
        <v>671</v>
      </c>
      <c r="CD178" s="166" t="n">
        <v>112</v>
      </c>
      <c r="CE178" s="166" t="n">
        <v>221</v>
      </c>
      <c r="CF178" s="167" t="n">
        <v>4924</v>
      </c>
    </row>
    <row r="179" ht="13.5" customHeight="1">
      <c r="D179" s="22" t="n"/>
    </row>
    <row r="180" ht="13.5" customHeight="1">
      <c r="D180" s="22" t="n"/>
    </row>
    <row r="181" ht="13.5" customHeight="1">
      <c r="D181" s="22" t="n"/>
    </row>
    <row r="182" ht="13.5" customHeight="1">
      <c r="D182" s="22" t="n"/>
    </row>
    <row r="183" ht="13.5" customHeight="1">
      <c r="D183" s="22" t="n"/>
    </row>
    <row r="184" ht="13.5" customHeight="1">
      <c r="D184" s="22" t="n"/>
    </row>
    <row r="185" ht="13.5" customHeight="1">
      <c r="D185" s="22" t="n"/>
    </row>
    <row r="186" ht="13.5" customHeight="1">
      <c r="D186" s="22" t="n"/>
    </row>
    <row r="187" ht="13.5" customHeight="1">
      <c r="D187" s="22" t="n"/>
    </row>
    <row r="188" ht="13.5" customHeight="1">
      <c r="D188" s="22" t="n"/>
    </row>
    <row r="189" ht="13.5" customHeight="1">
      <c r="D189" s="22" t="n"/>
    </row>
    <row r="190" ht="13.5" customHeight="1">
      <c r="D190" s="22" t="n"/>
    </row>
    <row r="191" ht="13.5" customHeight="1">
      <c r="D191" s="22" t="n"/>
    </row>
    <row r="192" ht="13.5" customHeight="1">
      <c r="D192" s="22" t="n"/>
    </row>
    <row r="193" ht="13.5" customHeight="1">
      <c r="D193" s="22" t="n"/>
    </row>
    <row r="194" ht="13.5" customHeight="1">
      <c r="D194" s="22" t="n"/>
    </row>
    <row r="195" ht="13.5" customHeight="1">
      <c r="D195" s="22" t="n"/>
    </row>
    <row r="196" ht="13.5" customHeight="1">
      <c r="D196" s="22" t="n"/>
    </row>
    <row r="197" ht="13.5" customHeight="1">
      <c r="D197" s="22" t="n"/>
    </row>
    <row r="198" ht="13.5" customHeight="1">
      <c r="D198" s="22" t="n"/>
    </row>
    <row r="199" ht="13.5" customHeight="1">
      <c r="D199" s="22" t="n"/>
    </row>
    <row r="200" ht="13.5" customHeight="1">
      <c r="D200" s="22" t="n"/>
    </row>
    <row r="201" ht="13.5" customHeight="1">
      <c r="D201" s="22" t="n"/>
    </row>
    <row r="202" ht="13.5" customHeight="1">
      <c r="D202" s="22" t="n"/>
    </row>
    <row r="203" ht="13.5" customHeight="1">
      <c r="D203" s="22" t="n"/>
    </row>
    <row r="204" ht="13.5" customHeight="1">
      <c r="D204" s="22" t="n"/>
    </row>
    <row r="205" ht="13.5" customHeight="1">
      <c r="D205" s="22" t="n"/>
    </row>
    <row r="206" ht="13.5" customHeight="1">
      <c r="D206" s="22" t="n"/>
    </row>
    <row r="207" ht="13.5" customHeight="1">
      <c r="D207" s="22" t="n"/>
    </row>
    <row r="208" ht="13.5" customHeight="1">
      <c r="D208" s="22" t="n"/>
    </row>
    <row r="209" ht="13.5" customHeight="1">
      <c r="D209" s="22" t="n"/>
    </row>
    <row r="210" ht="13.5" customHeight="1">
      <c r="D210" s="22" t="n"/>
    </row>
    <row r="211" ht="13.5" customHeight="1">
      <c r="D211" s="22" t="n"/>
    </row>
    <row r="212" ht="13.5" customHeight="1">
      <c r="D212" s="22" t="n"/>
    </row>
    <row r="213" ht="13.5" customHeight="1">
      <c r="D213" s="22" t="n"/>
    </row>
    <row r="214" ht="13.5" customHeight="1">
      <c r="D214" s="22" t="n"/>
    </row>
    <row r="215" ht="13.5" customHeight="1">
      <c r="D215" s="22" t="n"/>
    </row>
    <row r="216" ht="13.5" customHeight="1">
      <c r="D216" s="22" t="n"/>
    </row>
    <row r="217" ht="13.5" customHeight="1">
      <c r="D217" s="22" t="n"/>
    </row>
    <row r="218" ht="13.5" customHeight="1">
      <c r="D218" s="22" t="n"/>
    </row>
    <row r="219" ht="13.5" customHeight="1">
      <c r="D219" s="22" t="n"/>
    </row>
    <row r="220" ht="13.5" customHeight="1">
      <c r="D220" s="22" t="n"/>
    </row>
    <row r="221" ht="13.5" customHeight="1">
      <c r="D221" s="22" t="n"/>
    </row>
    <row r="222" ht="13.5" customHeight="1">
      <c r="D222" s="22" t="n"/>
    </row>
    <row r="223" ht="13.5" customHeight="1">
      <c r="D223" s="22" t="n"/>
    </row>
    <row r="224" ht="13.5" customHeight="1">
      <c r="D224" s="22" t="n"/>
    </row>
    <row r="225" ht="13.5" customHeight="1">
      <c r="D225" s="22" t="n"/>
    </row>
    <row r="226" ht="13.5" customHeight="1">
      <c r="D226" s="22" t="n"/>
    </row>
    <row r="227" ht="13.5" customHeight="1">
      <c r="D227" s="22" t="n"/>
    </row>
    <row r="228" ht="13.5" customHeight="1">
      <c r="D228" s="22" t="n"/>
    </row>
    <row r="229" ht="13.5" customHeight="1">
      <c r="D229" s="22" t="n"/>
    </row>
    <row r="230" ht="13.5" customHeight="1">
      <c r="D230" s="22" t="n"/>
    </row>
    <row r="231" ht="13.5" customHeight="1">
      <c r="D231" s="22" t="n"/>
    </row>
    <row r="232" ht="13.5" customHeight="1">
      <c r="D232" s="22" t="n"/>
    </row>
    <row r="233" ht="13.5" customHeight="1">
      <c r="D233" s="22" t="n"/>
    </row>
    <row r="234" ht="13.5" customHeight="1">
      <c r="D234" s="22" t="n"/>
    </row>
    <row r="235" ht="13.5" customHeight="1">
      <c r="D235" s="22" t="n"/>
    </row>
    <row r="236" ht="13.5" customHeight="1">
      <c r="D236" s="22" t="n"/>
    </row>
    <row r="237" ht="13.5" customHeight="1">
      <c r="D237" s="22" t="n"/>
    </row>
    <row r="238" ht="13.5" customHeight="1">
      <c r="D238" s="22" t="n"/>
    </row>
    <row r="239" ht="13.5" customHeight="1">
      <c r="D239" s="22" t="n"/>
    </row>
    <row r="240" ht="13.5" customHeight="1">
      <c r="D240" s="22" t="n"/>
    </row>
    <row r="241" ht="13.5" customHeight="1">
      <c r="D241" s="22" t="n"/>
    </row>
    <row r="242" ht="13.5" customHeight="1">
      <c r="D242" s="22" t="n"/>
    </row>
    <row r="243" ht="13.5" customHeight="1">
      <c r="D243" s="22" t="n"/>
    </row>
    <row r="244" ht="13.5" customHeight="1">
      <c r="D244" s="22" t="n"/>
    </row>
    <row r="245" ht="13.5" customHeight="1">
      <c r="D245" s="22" t="n"/>
    </row>
    <row r="246" ht="13.5" customHeight="1">
      <c r="D246" s="22" t="n"/>
    </row>
    <row r="247" ht="13.5" customHeight="1">
      <c r="D247" s="22" t="n"/>
    </row>
    <row r="248" ht="13.5" customHeight="1">
      <c r="D248" s="22" t="n"/>
    </row>
    <row r="249" ht="13.5" customHeight="1">
      <c r="D249" s="22" t="n"/>
    </row>
    <row r="250" ht="13.5" customHeight="1">
      <c r="D250" s="22" t="n"/>
    </row>
    <row r="251" ht="13.5" customHeight="1">
      <c r="D251" s="22" t="n"/>
    </row>
    <row r="252" ht="13.5" customHeight="1">
      <c r="D252" s="22" t="n"/>
    </row>
    <row r="253" ht="13.5" customHeight="1">
      <c r="D253" s="22" t="n"/>
    </row>
    <row r="254" ht="13.5" customHeight="1">
      <c r="D254" s="22" t="n"/>
    </row>
    <row r="255" ht="13.5" customHeight="1">
      <c r="D255" s="22" t="n"/>
    </row>
    <row r="256" ht="13.5" customHeight="1">
      <c r="D256" s="22" t="n"/>
    </row>
    <row r="257" ht="13.5" customHeight="1">
      <c r="D257" s="22" t="n"/>
    </row>
    <row r="258" ht="13.5" customHeight="1">
      <c r="D258" s="22" t="n"/>
    </row>
    <row r="259" ht="13.5" customHeight="1">
      <c r="D259" s="22" t="n"/>
    </row>
    <row r="260" ht="13.5" customHeight="1">
      <c r="D260" s="22" t="n"/>
    </row>
    <row r="261" ht="13.5" customHeight="1">
      <c r="D261" s="22" t="n"/>
    </row>
    <row r="262" ht="13.5" customHeight="1">
      <c r="D262" s="22" t="n"/>
    </row>
    <row r="263" ht="13.5" customHeight="1">
      <c r="D263" s="22" t="n"/>
    </row>
    <row r="264" ht="13.5" customHeight="1">
      <c r="D264" s="22" t="n"/>
    </row>
    <row r="265" ht="13.5" customHeight="1">
      <c r="D265" s="22" t="n"/>
    </row>
    <row r="266" ht="13.5" customHeight="1">
      <c r="D266" s="22" t="n"/>
    </row>
    <row r="267" ht="13.5" customHeight="1">
      <c r="D267" s="22" t="n"/>
    </row>
    <row r="268" ht="13.5" customHeight="1">
      <c r="D268" s="22" t="n"/>
    </row>
    <row r="269" ht="13.5" customHeight="1">
      <c r="D269" s="22" t="n"/>
    </row>
    <row r="270" ht="13.5" customHeight="1">
      <c r="D270" s="22" t="n"/>
    </row>
    <row r="271" ht="13.5" customHeight="1">
      <c r="D271" s="22" t="n"/>
    </row>
    <row r="272" ht="13.5" customHeight="1">
      <c r="D272" s="22" t="n"/>
    </row>
    <row r="273" ht="13.5" customHeight="1">
      <c r="D273" s="22" t="n"/>
    </row>
    <row r="274" ht="13.5" customHeight="1">
      <c r="D274" s="22" t="n"/>
    </row>
    <row r="275" ht="13.5" customHeight="1">
      <c r="D275" s="22" t="n"/>
    </row>
    <row r="276" ht="13.5" customHeight="1">
      <c r="D276" s="22" t="n"/>
    </row>
    <row r="277" ht="13.5" customHeight="1">
      <c r="D277" s="22" t="n"/>
    </row>
    <row r="278" ht="13.5" customHeight="1">
      <c r="D278" s="22" t="n"/>
    </row>
    <row r="279" ht="13.5" customHeight="1">
      <c r="D279" s="22" t="n"/>
    </row>
    <row r="280" ht="13.5" customHeight="1">
      <c r="D280" s="22" t="n"/>
    </row>
    <row r="281" ht="13.5" customHeight="1">
      <c r="D281" s="22" t="n"/>
    </row>
    <row r="282" ht="13.5" customHeight="1">
      <c r="D282" s="22" t="n"/>
    </row>
    <row r="283" ht="13.5" customHeight="1">
      <c r="D283" s="22" t="n"/>
    </row>
    <row r="284" ht="13.5" customHeight="1">
      <c r="D284" s="22" t="n"/>
    </row>
    <row r="285" ht="13.5" customHeight="1">
      <c r="D285" s="22" t="n"/>
    </row>
    <row r="286" ht="13.5" customHeight="1">
      <c r="D286" s="22" t="n"/>
    </row>
    <row r="287" ht="13.5" customHeight="1">
      <c r="D287" s="22" t="n"/>
    </row>
    <row r="288" ht="13.5" customHeight="1">
      <c r="D288" s="22" t="n"/>
    </row>
    <row r="289" ht="13.5" customHeight="1">
      <c r="D289" s="22" t="n"/>
    </row>
    <row r="290" ht="13.5" customHeight="1">
      <c r="D290" s="22" t="n"/>
    </row>
    <row r="291" ht="13.5" customHeight="1">
      <c r="D291" s="22" t="n"/>
    </row>
    <row r="292" ht="13.5" customHeight="1">
      <c r="D292" s="22" t="n"/>
    </row>
    <row r="293" ht="13.5" customHeight="1">
      <c r="D293" s="22" t="n"/>
    </row>
    <row r="294" ht="13.5" customHeight="1">
      <c r="D294" s="22" t="n"/>
    </row>
    <row r="295" ht="13.5" customHeight="1">
      <c r="D295" s="22" t="n"/>
    </row>
    <row r="296" ht="13.5" customHeight="1">
      <c r="D296" s="22" t="n"/>
    </row>
    <row r="297" ht="13.5" customHeight="1">
      <c r="D297" s="22" t="n"/>
    </row>
    <row r="298" ht="13.5" customHeight="1">
      <c r="D298" s="22" t="n"/>
    </row>
    <row r="299" ht="13.5" customHeight="1">
      <c r="D299" s="22" t="n"/>
    </row>
    <row r="300" ht="13.5" customHeight="1">
      <c r="D300" s="22" t="n"/>
    </row>
    <row r="301" ht="13.5" customHeight="1">
      <c r="D301" s="22" t="n"/>
    </row>
    <row r="302" ht="13.5" customHeight="1">
      <c r="D302" s="22" t="n"/>
    </row>
    <row r="303" ht="13.5" customHeight="1">
      <c r="D303" s="22" t="n"/>
    </row>
    <row r="304" ht="13.5" customHeight="1">
      <c r="D304" s="22" t="n"/>
    </row>
    <row r="305" ht="13.5" customHeight="1">
      <c r="D305" s="22" t="n"/>
    </row>
    <row r="306" ht="13.5" customHeight="1">
      <c r="D306" s="22" t="n"/>
    </row>
    <row r="307" ht="13.5" customHeight="1">
      <c r="D307" s="22" t="n"/>
    </row>
    <row r="308" ht="13.5" customHeight="1">
      <c r="D308" s="22" t="n"/>
    </row>
    <row r="309" ht="13.5" customHeight="1">
      <c r="D309" s="22" t="n"/>
    </row>
    <row r="310" ht="13.5" customHeight="1">
      <c r="D310" s="22" t="n"/>
    </row>
    <row r="311" ht="13.5" customHeight="1">
      <c r="D311" s="22" t="n"/>
    </row>
    <row r="312" ht="13.5" customHeight="1">
      <c r="D312" s="22" t="n"/>
    </row>
    <row r="313" ht="13.5" customHeight="1">
      <c r="D313" s="22" t="n"/>
    </row>
    <row r="314" ht="13.5" customHeight="1">
      <c r="D314" s="22" t="n"/>
    </row>
    <row r="315" ht="13.5" customHeight="1">
      <c r="D315" s="22" t="n"/>
    </row>
    <row r="316" ht="13.5" customHeight="1">
      <c r="D316" s="22" t="n"/>
    </row>
    <row r="317" ht="13.5" customHeight="1">
      <c r="D317" s="22" t="n"/>
    </row>
    <row r="318" ht="13.5" customHeight="1">
      <c r="D318" s="22" t="n"/>
    </row>
    <row r="319" ht="13.5" customHeight="1">
      <c r="D319" s="22" t="n"/>
    </row>
    <row r="320" ht="13.5" customHeight="1">
      <c r="D320" s="22" t="n"/>
    </row>
    <row r="321" ht="13.5" customHeight="1">
      <c r="D321" s="22" t="n"/>
    </row>
    <row r="322" ht="13.5" customHeight="1">
      <c r="D322" s="22" t="n"/>
    </row>
    <row r="323" ht="13.5" customHeight="1">
      <c r="D323" s="22" t="n"/>
    </row>
    <row r="324" ht="13.5" customHeight="1">
      <c r="D324" s="22" t="n"/>
    </row>
    <row r="325" ht="13.5" customHeight="1">
      <c r="D325" s="22" t="n"/>
    </row>
    <row r="326" ht="13.5" customHeight="1">
      <c r="D326" s="22" t="n"/>
    </row>
    <row r="327" ht="13.5" customHeight="1">
      <c r="D327" s="22" t="n"/>
    </row>
    <row r="328" ht="13.5" customHeight="1">
      <c r="D328" s="22" t="n"/>
    </row>
    <row r="329" ht="13.5" customHeight="1">
      <c r="D329" s="22" t="n"/>
    </row>
    <row r="330" ht="13.5" customHeight="1">
      <c r="D330" s="22" t="n"/>
    </row>
    <row r="331" ht="13.5" customHeight="1">
      <c r="D331" s="22" t="n"/>
    </row>
    <row r="332" ht="13.5" customHeight="1">
      <c r="D332" s="22" t="n"/>
    </row>
    <row r="333" ht="13.5" customHeight="1">
      <c r="D333" s="22" t="n"/>
    </row>
    <row r="334" ht="13.5" customHeight="1">
      <c r="D334" s="22" t="n"/>
    </row>
    <row r="335" ht="13.5" customHeight="1">
      <c r="D335" s="22" t="n"/>
    </row>
    <row r="336" ht="13.5" customHeight="1">
      <c r="D336" s="22" t="n"/>
    </row>
    <row r="337" ht="13.5" customHeight="1">
      <c r="D337" s="22" t="n"/>
    </row>
    <row r="338" ht="13.5" customHeight="1">
      <c r="D338" s="22" t="n"/>
    </row>
    <row r="339" ht="13.5" customHeight="1">
      <c r="D339" s="22" t="n"/>
    </row>
    <row r="340" ht="13.5" customHeight="1">
      <c r="D340" s="22" t="n"/>
    </row>
    <row r="341" ht="13.5" customHeight="1">
      <c r="D341" s="22" t="n"/>
    </row>
    <row r="342" ht="13.5" customHeight="1">
      <c r="D342" s="22" t="n"/>
    </row>
    <row r="343" ht="13.5" customHeight="1">
      <c r="D343" s="22" t="n"/>
    </row>
    <row r="344" ht="13.5" customHeight="1">
      <c r="D344" s="22" t="n"/>
    </row>
    <row r="345" ht="13.5" customHeight="1">
      <c r="D345" s="22" t="n"/>
    </row>
    <row r="346" ht="13.5" customHeight="1">
      <c r="D346" s="22" t="n"/>
    </row>
    <row r="347" ht="13.5" customHeight="1">
      <c r="D347" s="22" t="n"/>
    </row>
    <row r="348" ht="13.5" customHeight="1">
      <c r="D348" s="22" t="n"/>
    </row>
    <row r="349" ht="13.5" customHeight="1">
      <c r="D349" s="22" t="n"/>
    </row>
    <row r="350" ht="13.5" customHeight="1">
      <c r="D350" s="22" t="n"/>
    </row>
    <row r="351" ht="13.5" customHeight="1">
      <c r="D351" s="22" t="n"/>
    </row>
    <row r="352" ht="13.5" customHeight="1">
      <c r="D352" s="22" t="n"/>
    </row>
    <row r="353" ht="13.5" customHeight="1">
      <c r="D353" s="22" t="n"/>
    </row>
    <row r="354" ht="13.5" customHeight="1">
      <c r="D354" s="22" t="n"/>
    </row>
    <row r="355" ht="13.5" customHeight="1">
      <c r="D355" s="22" t="n"/>
    </row>
    <row r="356" ht="13.5" customHeight="1">
      <c r="D356" s="22" t="n"/>
    </row>
    <row r="357" ht="13.5" customHeight="1">
      <c r="D357" s="22" t="n"/>
    </row>
    <row r="358" ht="13.5" customHeight="1">
      <c r="D358" s="22" t="n"/>
    </row>
    <row r="359" ht="13.5" customHeight="1">
      <c r="D359" s="22" t="n"/>
    </row>
    <row r="360" ht="13.5" customHeight="1">
      <c r="D360" s="22" t="n"/>
    </row>
    <row r="361" ht="13.5" customHeight="1">
      <c r="D361" s="22" t="n"/>
    </row>
    <row r="362" ht="13.5" customHeight="1">
      <c r="D362" s="22" t="n"/>
    </row>
    <row r="363" ht="13.5" customHeight="1">
      <c r="D363" s="22" t="n"/>
    </row>
    <row r="364" ht="13.5" customHeight="1">
      <c r="D364" s="22" t="n"/>
    </row>
    <row r="365" ht="13.5" customHeight="1">
      <c r="D365" s="22" t="n"/>
    </row>
    <row r="366" ht="13.5" customHeight="1">
      <c r="D366" s="22" t="n"/>
    </row>
    <row r="367" ht="13.5" customHeight="1">
      <c r="D367" s="22" t="n"/>
    </row>
    <row r="368" ht="13.5" customHeight="1">
      <c r="D368" s="22" t="n"/>
    </row>
    <row r="369" ht="13.5" customHeight="1">
      <c r="D369" s="22" t="n"/>
    </row>
    <row r="370" ht="13.5" customHeight="1">
      <c r="D370" s="22" t="n"/>
    </row>
    <row r="371" ht="13.5" customHeight="1">
      <c r="D371" s="22" t="n"/>
    </row>
    <row r="372" ht="13.5" customHeight="1">
      <c r="D372" s="22" t="n"/>
    </row>
    <row r="373" ht="13.5" customHeight="1">
      <c r="D373" s="22" t="n"/>
    </row>
    <row r="374" ht="13.5" customHeight="1">
      <c r="D374" s="22" t="n"/>
    </row>
    <row r="375" ht="13.5" customHeight="1">
      <c r="D375" s="22" t="n"/>
    </row>
    <row r="376" ht="13.5" customHeight="1">
      <c r="D376" s="22" t="n"/>
    </row>
    <row r="377" ht="13.5" customHeight="1">
      <c r="D377" s="22" t="n"/>
    </row>
    <row r="378" ht="13.5" customHeight="1">
      <c r="D378" s="22" t="n"/>
    </row>
    <row r="379" ht="13.5" customHeight="1">
      <c r="D379" s="22" t="n"/>
    </row>
    <row r="380" ht="13.5" customHeight="1">
      <c r="D380" s="22" t="n"/>
    </row>
    <row r="381" ht="13.5" customHeight="1">
      <c r="D381" s="22" t="n"/>
    </row>
    <row r="382" ht="13.5" customHeight="1">
      <c r="D382" s="22" t="n"/>
    </row>
    <row r="383" ht="13.5" customHeight="1">
      <c r="D383" s="22" t="n"/>
    </row>
    <row r="384" ht="13.5" customHeight="1">
      <c r="D384" s="22" t="n"/>
    </row>
    <row r="385" ht="13.5" customHeight="1">
      <c r="D385" s="22" t="n"/>
    </row>
    <row r="386" ht="13.5" customHeight="1">
      <c r="D386" s="22" t="n"/>
    </row>
    <row r="387" ht="13.5" customHeight="1">
      <c r="D387" s="22" t="n"/>
    </row>
    <row r="388" ht="13.5" customHeight="1">
      <c r="D388" s="22" t="n"/>
    </row>
    <row r="389" ht="13.5" customHeight="1">
      <c r="D389" s="22" t="n"/>
    </row>
    <row r="390" ht="13.5" customHeight="1">
      <c r="D390" s="22" t="n"/>
    </row>
    <row r="391" ht="13.5" customHeight="1">
      <c r="D391" s="22" t="n"/>
    </row>
    <row r="392" ht="13.5" customHeight="1">
      <c r="D392" s="22" t="n"/>
    </row>
    <row r="393" ht="13.5" customHeight="1">
      <c r="D393" s="22" t="n"/>
    </row>
    <row r="394" ht="13.5" customHeight="1">
      <c r="D394" s="22" t="n"/>
    </row>
    <row r="395" ht="13.5" customHeight="1">
      <c r="D395" s="22" t="n"/>
    </row>
    <row r="396" ht="13.5" customHeight="1">
      <c r="D396" s="22" t="n"/>
    </row>
    <row r="397" ht="13.5" customHeight="1">
      <c r="D397" s="22" t="n"/>
    </row>
    <row r="398" ht="13.5" customHeight="1">
      <c r="D398" s="22" t="n"/>
    </row>
    <row r="399" ht="13.5" customHeight="1">
      <c r="D399" s="22" t="n"/>
    </row>
    <row r="400" ht="13.5" customHeight="1">
      <c r="D400" s="22" t="n"/>
    </row>
    <row r="401" ht="13.5" customHeight="1">
      <c r="D401" s="22" t="n"/>
    </row>
    <row r="402" ht="13.5" customHeight="1">
      <c r="D402" s="22" t="n"/>
    </row>
    <row r="403" ht="13.5" customHeight="1">
      <c r="D403" s="22" t="n"/>
    </row>
    <row r="404" ht="13.5" customHeight="1">
      <c r="D404" s="22" t="n"/>
    </row>
    <row r="405" ht="13.5" customHeight="1">
      <c r="D405" s="22" t="n"/>
    </row>
    <row r="406" ht="13.5" customHeight="1">
      <c r="D406" s="22" t="n"/>
    </row>
    <row r="407" ht="13.5" customHeight="1">
      <c r="D407" s="22" t="n"/>
    </row>
    <row r="408" ht="13.5" customHeight="1">
      <c r="D408" s="22" t="n"/>
    </row>
    <row r="409" ht="13.5" customHeight="1">
      <c r="D409" s="22" t="n"/>
    </row>
    <row r="410" ht="13.5" customHeight="1">
      <c r="D410" s="22" t="n"/>
    </row>
    <row r="411" ht="13.5" customHeight="1">
      <c r="D411" s="22" t="n"/>
    </row>
    <row r="412" ht="13.5" customHeight="1">
      <c r="D412" s="22" t="n"/>
    </row>
    <row r="413" ht="13.5" customHeight="1">
      <c r="D413" s="22" t="n"/>
    </row>
    <row r="414" ht="13.5" customHeight="1">
      <c r="D414" s="22" t="n"/>
    </row>
    <row r="415" ht="13.5" customHeight="1">
      <c r="D415" s="22" t="n"/>
    </row>
    <row r="416" ht="13.5" customHeight="1">
      <c r="D416" s="22" t="n"/>
    </row>
    <row r="417" ht="13.5" customHeight="1">
      <c r="D417" s="22" t="n"/>
    </row>
    <row r="418" ht="13.5" customHeight="1">
      <c r="D418" s="22" t="n"/>
    </row>
    <row r="419" ht="13.5" customHeight="1">
      <c r="D419" s="22" t="n"/>
    </row>
    <row r="420" ht="13.5" customHeight="1">
      <c r="D420" s="22" t="n"/>
    </row>
    <row r="421" ht="13.5" customHeight="1">
      <c r="D421" s="22" t="n"/>
    </row>
    <row r="422" ht="13.5" customHeight="1">
      <c r="D422" s="22" t="n"/>
    </row>
    <row r="423" ht="13.5" customHeight="1">
      <c r="D423" s="22" t="n"/>
    </row>
    <row r="424" ht="13.5" customHeight="1">
      <c r="D424" s="22" t="n"/>
    </row>
    <row r="425" ht="13.5" customHeight="1">
      <c r="D425" s="22" t="n"/>
    </row>
    <row r="426" ht="13.5" customHeight="1">
      <c r="D426" s="22" t="n"/>
    </row>
    <row r="427" ht="13.5" customHeight="1">
      <c r="D427" s="22" t="n"/>
    </row>
    <row r="428" ht="13.5" customHeight="1">
      <c r="D428" s="22" t="n"/>
    </row>
    <row r="429" ht="13.5" customHeight="1">
      <c r="D429" s="22" t="n"/>
    </row>
    <row r="430" ht="13.5" customHeight="1">
      <c r="D430" s="22" t="n"/>
    </row>
    <row r="431" ht="13.5" customHeight="1">
      <c r="D431" s="22" t="n"/>
    </row>
    <row r="432" ht="13.5" customHeight="1">
      <c r="D432" s="22" t="n"/>
    </row>
    <row r="433" ht="13.5" customHeight="1">
      <c r="D433" s="22" t="n"/>
    </row>
    <row r="434" ht="13.5" customHeight="1">
      <c r="D434" s="22" t="n"/>
    </row>
    <row r="435" ht="13.5" customHeight="1">
      <c r="D435" s="22" t="n"/>
    </row>
    <row r="436" ht="13.5" customHeight="1">
      <c r="D436" s="22" t="n"/>
    </row>
    <row r="437" ht="13.5" customHeight="1">
      <c r="D437" s="22" t="n"/>
    </row>
    <row r="438" ht="13.5" customHeight="1">
      <c r="D438" s="22" t="n"/>
    </row>
    <row r="439" ht="13.5" customHeight="1">
      <c r="D439" s="22" t="n"/>
    </row>
    <row r="440" ht="13.5" customHeight="1">
      <c r="D440" s="22" t="n"/>
    </row>
    <row r="441" ht="13.5" customHeight="1">
      <c r="D441" s="22" t="n"/>
    </row>
    <row r="442" ht="13.5" customHeight="1">
      <c r="D442" s="22" t="n"/>
    </row>
    <row r="443" ht="13.5" customHeight="1">
      <c r="D443" s="22" t="n"/>
    </row>
    <row r="444" ht="13.5" customHeight="1">
      <c r="D444" s="22" t="n"/>
    </row>
    <row r="445" ht="13.5" customHeight="1">
      <c r="D445" s="22" t="n"/>
    </row>
    <row r="446" ht="13.5" customHeight="1">
      <c r="D446" s="22" t="n"/>
    </row>
    <row r="447" ht="13.5" customHeight="1">
      <c r="D447" s="22" t="n"/>
    </row>
    <row r="448" ht="13.5" customHeight="1">
      <c r="D448" s="22" t="n"/>
    </row>
    <row r="449" ht="13.5" customHeight="1">
      <c r="D449" s="22" t="n"/>
    </row>
    <row r="450" ht="13.5" customHeight="1">
      <c r="D450" s="22" t="n"/>
    </row>
    <row r="451" ht="13.5" customHeight="1">
      <c r="D451" s="22" t="n"/>
    </row>
    <row r="452" ht="13.5" customHeight="1">
      <c r="D452" s="22" t="n"/>
    </row>
    <row r="453" ht="13.5" customHeight="1">
      <c r="D453" s="22" t="n"/>
    </row>
    <row r="454" ht="13.5" customHeight="1">
      <c r="D454" s="22" t="n"/>
    </row>
    <row r="455" ht="13.5" customHeight="1">
      <c r="D455" s="22" t="n"/>
    </row>
    <row r="456" ht="13.5" customHeight="1">
      <c r="D456" s="22" t="n"/>
    </row>
    <row r="457" ht="13.5" customHeight="1">
      <c r="D457" s="22" t="n"/>
    </row>
    <row r="458" ht="13.5" customHeight="1">
      <c r="D458" s="22" t="n"/>
    </row>
    <row r="459" ht="13.5" customHeight="1">
      <c r="D459" s="22" t="n"/>
    </row>
    <row r="460" ht="13.5" customHeight="1">
      <c r="D460" s="22" t="n"/>
    </row>
    <row r="461" ht="13.5" customHeight="1">
      <c r="D461" s="22" t="n"/>
    </row>
    <row r="462" ht="13.5" customHeight="1">
      <c r="D462" s="22" t="n"/>
    </row>
    <row r="463" ht="13.5" customHeight="1">
      <c r="D463" s="22" t="n"/>
    </row>
    <row r="464" ht="13.5" customHeight="1">
      <c r="D464" s="22" t="n"/>
    </row>
    <row r="465" ht="13.5" customHeight="1">
      <c r="D465" s="22" t="n"/>
    </row>
    <row r="466" ht="13.5" customHeight="1">
      <c r="D466" s="22" t="n"/>
    </row>
    <row r="467" ht="13.5" customHeight="1">
      <c r="D467" s="22" t="n"/>
    </row>
    <row r="468" ht="13.5" customHeight="1">
      <c r="D468" s="22" t="n"/>
    </row>
    <row r="469" ht="13.5" customHeight="1">
      <c r="D469" s="22" t="n"/>
    </row>
    <row r="470" ht="13.5" customHeight="1">
      <c r="D470" s="22" t="n"/>
    </row>
    <row r="471" ht="13.5" customHeight="1">
      <c r="D471" s="22" t="n"/>
    </row>
    <row r="472" ht="13.5" customHeight="1">
      <c r="D472" s="22" t="n"/>
    </row>
    <row r="473" ht="13.5" customHeight="1">
      <c r="D473" s="22" t="n"/>
    </row>
    <row r="474" ht="13.5" customHeight="1">
      <c r="D474" s="22" t="n"/>
    </row>
    <row r="475" ht="13.5" customHeight="1">
      <c r="D475" s="22" t="n"/>
    </row>
    <row r="476" ht="13.5" customHeight="1">
      <c r="D476" s="22" t="n"/>
    </row>
    <row r="477" ht="13.5" customHeight="1">
      <c r="D477" s="22" t="n"/>
    </row>
    <row r="478" ht="13.5" customHeight="1">
      <c r="D478" s="22" t="n"/>
    </row>
    <row r="479" ht="13.5" customHeight="1">
      <c r="D479" s="22" t="n"/>
    </row>
    <row r="480" ht="13.5" customHeight="1">
      <c r="D480" s="22" t="n"/>
    </row>
    <row r="481" ht="13.5" customHeight="1">
      <c r="D481" s="22" t="n"/>
    </row>
    <row r="482" ht="13.5" customHeight="1">
      <c r="D482" s="22" t="n"/>
    </row>
    <row r="483" ht="13.5" customHeight="1">
      <c r="D483" s="22" t="n"/>
    </row>
    <row r="484" ht="13.5" customHeight="1">
      <c r="D484" s="22" t="n"/>
    </row>
    <row r="485" ht="13.5" customHeight="1">
      <c r="D485" s="22" t="n"/>
    </row>
    <row r="486" ht="13.5" customHeight="1">
      <c r="D486" s="22" t="n"/>
    </row>
    <row r="487" ht="13.5" customHeight="1">
      <c r="D487" s="22" t="n"/>
    </row>
    <row r="488" ht="13.5" customHeight="1">
      <c r="D488" s="22" t="n"/>
    </row>
    <row r="489" ht="13.5" customHeight="1">
      <c r="D489" s="22" t="n"/>
    </row>
    <row r="490" ht="13.5" customHeight="1">
      <c r="D490" s="22" t="n"/>
    </row>
    <row r="491" ht="13.5" customHeight="1">
      <c r="D491" s="22" t="n"/>
    </row>
    <row r="492" ht="13.5" customHeight="1">
      <c r="D492" s="22" t="n"/>
    </row>
    <row r="493" ht="13.5" customHeight="1">
      <c r="D493" s="22" t="n"/>
    </row>
    <row r="494" ht="13.5" customHeight="1">
      <c r="D494" s="22" t="n"/>
    </row>
    <row r="495" ht="13.5" customHeight="1">
      <c r="D495" s="22" t="n"/>
    </row>
    <row r="496" ht="13.5" customHeight="1">
      <c r="D496" s="22" t="n"/>
    </row>
    <row r="497" ht="13.5" customHeight="1">
      <c r="D497" s="22" t="n"/>
    </row>
    <row r="498" ht="13.5" customHeight="1">
      <c r="D498" s="22" t="n"/>
    </row>
    <row r="499" ht="13.5" customHeight="1">
      <c r="D499" s="22" t="n"/>
    </row>
    <row r="500" ht="13.5" customHeight="1">
      <c r="D500" s="22" t="n"/>
    </row>
    <row r="501" ht="13.5" customHeight="1">
      <c r="D501" s="22" t="n"/>
    </row>
    <row r="502" ht="13.5" customHeight="1">
      <c r="D502" s="22" t="n"/>
    </row>
    <row r="503" ht="13.5" customHeight="1">
      <c r="D503" s="22" t="n"/>
    </row>
    <row r="504" ht="13.5" customHeight="1">
      <c r="D504" s="22" t="n"/>
    </row>
    <row r="505" ht="13.5" customHeight="1">
      <c r="D505" s="22" t="n"/>
    </row>
    <row r="506" ht="13.5" customHeight="1">
      <c r="D506" s="22" t="n"/>
    </row>
    <row r="507" ht="13.5" customHeight="1">
      <c r="D507" s="22" t="n"/>
    </row>
    <row r="508" ht="13.5" customHeight="1">
      <c r="D508" s="22" t="n"/>
    </row>
    <row r="509" ht="13.5" customHeight="1">
      <c r="D509" s="22" t="n"/>
    </row>
    <row r="510" ht="13.5" customHeight="1">
      <c r="D510" s="22" t="n"/>
    </row>
    <row r="511" ht="13.5" customHeight="1">
      <c r="D511" s="22" t="n"/>
    </row>
    <row r="512" ht="13.5" customHeight="1">
      <c r="D512" s="22" t="n"/>
    </row>
    <row r="513" ht="13.5" customHeight="1">
      <c r="D513" s="22" t="n"/>
    </row>
    <row r="514" ht="13.5" customHeight="1">
      <c r="D514" s="22" t="n"/>
    </row>
    <row r="515" ht="13.5" customHeight="1">
      <c r="D515" s="22" t="n"/>
    </row>
    <row r="516" ht="13.5" customHeight="1">
      <c r="D516" s="22" t="n"/>
    </row>
  </sheetData>
  <pageMargins left="0" right="0" top="0" bottom="0" header="0.5118110236220472" footer="0.5118110236220472"/>
  <pageSetup orientation="landscape" paperSize="9"/>
  <legacyDrawing r:id="anysvml"/>
</worksheet>
</file>

<file path=xl/worksheets/sheet5.xml><?xml version="1.0" encoding="utf-8"?>
<worksheet xmlns:r="http://schemas.openxmlformats.org/officeDocument/2006/relationships" xmlns="http://schemas.openxmlformats.org/spreadsheetml/2006/main">
  <sheetPr codeName="Sheet12">
    <tabColor rgb="FF99FF33"/>
    <outlinePr summaryBelow="1" summaryRight="1"/>
    <pageSetUpPr fitToPage="1"/>
  </sheetPr>
  <dimension ref="A1:S176"/>
  <sheetViews>
    <sheetView zoomScaleNormal="100" zoomScaleSheetLayoutView="85" workbookViewId="0">
      <pane ySplit="3" topLeftCell="A4" activePane="bottomLeft" state="frozen"/>
      <selection pane="bottomLeft" activeCell="A5" sqref="A5:J176"/>
    </sheetView>
  </sheetViews>
  <sheetFormatPr baseColWidth="8" defaultColWidth="9" defaultRowHeight="13.5"/>
  <cols>
    <col width="9.875" bestFit="1" customWidth="1" style="61" min="1" max="1"/>
    <col width="40.375" bestFit="1" customWidth="1" style="61" min="2" max="2"/>
    <col width="3.75" customWidth="1" style="73" min="3" max="3"/>
    <col width="3.75" customWidth="1" style="61" min="4" max="4"/>
    <col width="5.875" customWidth="1" style="83" min="5" max="5"/>
    <col hidden="1" width="5.875" customWidth="1" style="91" min="6" max="6"/>
    <col width="4.5" bestFit="1" customWidth="1" style="73" min="7" max="7"/>
    <col width="3.75" customWidth="1" style="61" min="8" max="8"/>
    <col width="4.5" customWidth="1" style="78" min="9" max="9"/>
    <col width="3.25" customWidth="1" style="193" min="10" max="10"/>
    <col width="3.875" customWidth="1" style="87" min="11" max="11"/>
    <col hidden="1" width="2.75" customWidth="1" style="61" min="12" max="12"/>
    <col width="4.375" customWidth="1" style="194" min="13" max="13"/>
    <col width="3.75" customWidth="1" style="193" min="14" max="16"/>
    <col width="9" customWidth="1" style="193" min="17" max="16384"/>
  </cols>
  <sheetData>
    <row r="1">
      <c r="C1" s="73" t="inlineStr">
        <is>
          <t>貼</t>
        </is>
      </c>
      <c r="D1" s="73" t="inlineStr">
        <is>
          <t>貼</t>
        </is>
      </c>
      <c r="E1" s="80" t="inlineStr">
        <is>
          <t>貼</t>
        </is>
      </c>
      <c r="F1" s="89" t="n"/>
      <c r="G1" s="73" t="inlineStr">
        <is>
          <t>貼</t>
        </is>
      </c>
      <c r="H1" s="73" t="inlineStr">
        <is>
          <t>貼</t>
        </is>
      </c>
      <c r="I1" s="77" t="inlineStr">
        <is>
          <t>貼</t>
        </is>
      </c>
      <c r="J1" s="195" t="inlineStr">
        <is>
          <t>貼</t>
        </is>
      </c>
      <c r="K1" s="84" t="inlineStr">
        <is>
          <t>自動表示</t>
        </is>
      </c>
      <c r="L1" s="62" t="n"/>
      <c r="M1" s="62" t="inlineStr">
        <is>
          <t>自動表示</t>
        </is>
      </c>
    </row>
    <row r="2" ht="36.75" customHeight="1">
      <c r="A2" s="5" t="inlineStr">
        <is>
          <t>商品コード</t>
        </is>
      </c>
      <c r="B2" s="5" t="inlineStr">
        <is>
          <t>商品名</t>
        </is>
      </c>
      <c r="C2" s="79" t="inlineStr">
        <is>
          <t>昨日残</t>
        </is>
      </c>
      <c r="D2" s="74" t="inlineStr">
        <is>
          <t>今日入荷（作成）</t>
        </is>
      </c>
      <c r="E2" s="81" t="inlineStr">
        <is>
          <t>納品数</t>
        </is>
      </c>
      <c r="F2" s="90" t="n"/>
      <c r="G2" s="75" t="inlineStr">
        <is>
          <t>調整（小分け使用等）</t>
        </is>
      </c>
      <c r="H2" s="79" t="inlineStr">
        <is>
          <t>本日仕分後残</t>
        </is>
      </c>
      <c r="I2" s="35" t="inlineStr">
        <is>
          <t>箱/こもの</t>
        </is>
      </c>
      <c r="J2" s="64" t="inlineStr">
        <is>
          <t>荷受</t>
        </is>
      </c>
      <c r="K2" s="85" t="inlineStr">
        <is>
          <t>集荷便から降ろす数/小分けしないと足りない数</t>
        </is>
      </c>
      <c r="L2" s="65" t="inlineStr">
        <is>
          <t>○■◇区分</t>
        </is>
      </c>
      <c r="M2" s="196" t="n"/>
    </row>
    <row r="3" ht="13.5" customHeight="1">
      <c r="A3" s="197">
        <f>TODAY()+1+1</f>
        <v/>
      </c>
      <c r="B3" s="198" t="n"/>
      <c r="C3" s="76" t="n"/>
      <c r="D3" s="35" t="n"/>
      <c r="E3" s="82" t="n"/>
      <c r="F3" s="92" t="n"/>
      <c r="G3" s="76" t="n"/>
      <c r="H3" s="68" t="n"/>
      <c r="I3" s="35" t="n"/>
      <c r="J3" s="199" t="n"/>
      <c r="K3" s="86" t="n"/>
      <c r="L3" s="68" t="n"/>
      <c r="M3" s="68" t="n"/>
    </row>
    <row r="4" ht="12.75" customHeight="1">
      <c r="A4" s="5" t="inlineStr">
        <is>
          <t>仕分けで使うもの</t>
        </is>
      </c>
      <c r="B4" s="103" t="n"/>
      <c r="C4" s="76" t="n"/>
      <c r="D4" s="35" t="n"/>
      <c r="E4" s="82" t="n"/>
      <c r="F4" s="92" t="n"/>
      <c r="G4" s="76" t="n"/>
      <c r="H4" s="68" t="n"/>
      <c r="I4" s="35" t="n"/>
      <c r="J4" s="199" t="n"/>
      <c r="K4" s="86" t="n"/>
      <c r="L4" s="68" t="n"/>
      <c r="M4" s="68" t="n"/>
    </row>
    <row r="5" ht="12.6" customFormat="1" customHeight="1" s="200">
      <c r="A5" s="201" t="inlineStr">
        <is>
          <t>1017-15</t>
        </is>
      </c>
      <c r="B5" s="202" t="inlineStr">
        <is>
          <t>■有機あまなつ 10ｋｇ(早藤）</t>
        </is>
      </c>
      <c r="C5" s="203" t="n">
        <v>70</v>
      </c>
      <c r="D5" s="204" t="n">
        <v>0</v>
      </c>
      <c r="E5" s="202" t="n">
        <v>1</v>
      </c>
      <c r="F5" s="203" t="n">
        <v>69</v>
      </c>
      <c r="G5" s="205" t="n">
        <v>0</v>
      </c>
      <c r="H5" s="203" t="n">
        <v>69</v>
      </c>
      <c r="I5" s="206" t="inlineStr">
        <is>
          <t>箱</t>
        </is>
      </c>
      <c r="J5" s="206" t="n">
        <v/>
      </c>
      <c r="K5" s="207">
        <f>C5-E5+G5</f>
        <v/>
      </c>
      <c r="L5" s="202" t="n"/>
      <c r="M5" s="208">
        <f>IF(COUNTIFS($B5,"*東一*")&gt;0,"東一",IF(COUNTIF($L5,"■")&gt;0,IF(COUNTIF($J5,"○")&gt;0,"荷受",$K5*-1),""))</f>
        <v/>
      </c>
      <c r="N5" s="193" t="n"/>
      <c r="O5" s="193" t="n"/>
      <c r="P5" s="193" t="n"/>
      <c r="Q5" s="193" t="n"/>
      <c r="R5" s="193" t="n"/>
      <c r="S5" s="193" t="n"/>
    </row>
    <row r="6" ht="12.6" customHeight="1">
      <c r="A6" s="201" t="inlineStr">
        <is>
          <t>1049-85</t>
        </is>
      </c>
      <c r="B6" s="202" t="inlineStr">
        <is>
          <t>■有機レモン 10kg (中川栄)◇</t>
        </is>
      </c>
      <c r="C6" s="203" t="n">
        <v>0</v>
      </c>
      <c r="D6" s="204" t="n">
        <v>0</v>
      </c>
      <c r="E6" s="202" t="n">
        <v>1</v>
      </c>
      <c r="F6" s="203" t="n">
        <v>-1</v>
      </c>
      <c r="G6" s="205" t="n">
        <v>0</v>
      </c>
      <c r="H6" s="203" t="n">
        <v>-1</v>
      </c>
      <c r="I6" s="206" t="inlineStr">
        <is>
          <t>箱</t>
        </is>
      </c>
      <c r="J6" s="206" t="n">
        <v/>
      </c>
      <c r="K6" s="207">
        <f>C6-E6+G6</f>
        <v/>
      </c>
      <c r="L6" s="202" t="n"/>
      <c r="M6" s="208">
        <f>IF(COUNTIFS($B6,"*東一*")&gt;0,"東一",IF(COUNTIF($L6,"■")&gt;0,IF(COUNTIF($J6,"○")&gt;0,"荷受",$K6*-1),""))</f>
        <v/>
      </c>
      <c r="N6" s="193" t="n"/>
      <c r="O6" s="193" t="n"/>
      <c r="P6" s="193" t="n"/>
      <c r="Q6" s="193" t="n"/>
      <c r="R6" s="193" t="n"/>
      <c r="S6" s="193" t="n"/>
    </row>
    <row r="7" ht="12.6" customHeight="1">
      <c r="A7" s="201" t="inlineStr">
        <is>
          <t>1050-25</t>
        </is>
      </c>
      <c r="B7" s="202" t="inlineStr">
        <is>
          <t>■河内晩柑　９kg箱(大矢野)8割減・不</t>
        </is>
      </c>
      <c r="C7" s="203" t="n">
        <v>8</v>
      </c>
      <c r="D7" s="204" t="n">
        <v>20</v>
      </c>
      <c r="E7" s="202" t="n">
        <v>1</v>
      </c>
      <c r="F7" s="203" t="n">
        <v>27</v>
      </c>
      <c r="G7" s="205" t="n">
        <v>0</v>
      </c>
      <c r="H7" s="203" t="n">
        <v>27</v>
      </c>
      <c r="I7" s="206" t="inlineStr">
        <is>
          <t>箱</t>
        </is>
      </c>
      <c r="J7" s="206" t="inlineStr">
        <is>
          <t>○</t>
        </is>
      </c>
      <c r="K7" s="207">
        <f>C7-E7+G7</f>
        <v/>
      </c>
      <c r="L7" s="202" t="n"/>
      <c r="M7" s="208">
        <f>IF(COUNTIFS($B7,"*東一*")&gt;0,"東一",IF(COUNTIF($L7,"■")&gt;0,IF(COUNTIF($J7,"○")&gt;0,"荷受",$K7*-1),""))</f>
        <v/>
      </c>
      <c r="N7" s="193" t="n"/>
      <c r="O7" s="193" t="n"/>
      <c r="P7" s="193" t="n"/>
      <c r="Q7" s="193" t="n"/>
      <c r="R7" s="193" t="n"/>
      <c r="S7" s="193" t="n"/>
    </row>
    <row r="8" ht="12.6" customHeight="1">
      <c r="A8" s="201" t="inlineStr">
        <is>
          <t>1072-3</t>
        </is>
      </c>
      <c r="B8" s="202" t="inlineStr">
        <is>
          <t>■りんご「ふじ」10ｋｇ（津軽）</t>
        </is>
      </c>
      <c r="C8" s="203" t="n">
        <v>8</v>
      </c>
      <c r="D8" s="204" t="n">
        <v>0</v>
      </c>
      <c r="E8" s="202" t="n">
        <v>1</v>
      </c>
      <c r="F8" s="203" t="n">
        <v>7</v>
      </c>
      <c r="G8" s="205" t="n">
        <v>0</v>
      </c>
      <c r="H8" s="203" t="n">
        <v>7</v>
      </c>
      <c r="I8" s="206" t="inlineStr">
        <is>
          <t>箱</t>
        </is>
      </c>
      <c r="J8" s="206" t="inlineStr">
        <is>
          <t>○</t>
        </is>
      </c>
      <c r="K8" s="207">
        <f>C8-E8+G8</f>
        <v/>
      </c>
      <c r="L8" s="202" t="n"/>
      <c r="M8" s="208">
        <f>IF(COUNTIFS($B8,"*東一*")&gt;0,"東一",IF(COUNTIF($L8,"■")&gt;0,IF(COUNTIF($J8,"○")&gt;0,"荷受",$K8*-1),""))</f>
        <v/>
      </c>
      <c r="N8" s="193" t="n"/>
      <c r="O8" s="193" t="n"/>
      <c r="P8" s="193" t="n"/>
      <c r="Q8" s="193" t="n"/>
      <c r="R8" s="193" t="n"/>
      <c r="S8" s="193" t="n"/>
    </row>
    <row r="9" ht="12.6" customHeight="1">
      <c r="A9" s="201" t="inlineStr">
        <is>
          <t>1148-150</t>
        </is>
      </c>
      <c r="B9" s="202" t="inlineStr">
        <is>
          <t>■有機ｻﾝｺﾞｰﾙﾄﾞｷｳｲﾌﾙｰﾂ48玉箱(ゼスプリ)</t>
        </is>
      </c>
      <c r="C9" s="203" t="n">
        <v>4</v>
      </c>
      <c r="D9" s="204" t="n">
        <v>0</v>
      </c>
      <c r="E9" s="202" t="n">
        <v>1</v>
      </c>
      <c r="F9" s="203" t="n">
        <v>3</v>
      </c>
      <c r="G9" s="205" t="n">
        <v>-1</v>
      </c>
      <c r="H9" s="203" t="n">
        <v>2</v>
      </c>
      <c r="I9" s="206" t="inlineStr">
        <is>
          <t>箱</t>
        </is>
      </c>
      <c r="J9" s="206" t="inlineStr">
        <is>
          <t>○</t>
        </is>
      </c>
      <c r="K9" s="207">
        <f>C9-E9+G9</f>
        <v/>
      </c>
      <c r="L9" s="202" t="n"/>
      <c r="M9" s="208">
        <f>IF(COUNTIFS($B9,"*東一*")&gt;0,"東一",IF(COUNTIF($L9,"■")&gt;0,IF(COUNTIF($J9,"○")&gt;0,"荷受",$K9*-1),""))</f>
        <v/>
      </c>
      <c r="N9" s="193" t="n"/>
      <c r="O9" s="193" t="n"/>
      <c r="P9" s="193" t="n"/>
      <c r="Q9" s="193" t="n"/>
      <c r="R9" s="193" t="n"/>
      <c r="S9" s="193" t="n"/>
    </row>
    <row r="10" ht="12.6" customHeight="1">
      <c r="A10" s="201" t="inlineStr">
        <is>
          <t>1148-151</t>
        </is>
      </c>
      <c r="B10" s="202" t="inlineStr">
        <is>
          <t>■有機ｷｳｲﾌﾙｰﾂグリーン 30玉箱(ゼスプリ)</t>
        </is>
      </c>
      <c r="C10" s="203" t="n">
        <v>9</v>
      </c>
      <c r="D10" s="204" t="n">
        <v>0</v>
      </c>
      <c r="E10" s="202" t="n">
        <v>1</v>
      </c>
      <c r="F10" s="203" t="n">
        <v>8</v>
      </c>
      <c r="G10" s="205" t="n">
        <v>-2</v>
      </c>
      <c r="H10" s="203" t="n">
        <v>6</v>
      </c>
      <c r="I10" s="206" t="inlineStr">
        <is>
          <t>箱</t>
        </is>
      </c>
      <c r="J10" s="206" t="inlineStr">
        <is>
          <t>○</t>
        </is>
      </c>
      <c r="K10" s="207">
        <f>C10-E10+G10</f>
        <v/>
      </c>
      <c r="L10" s="202" t="n"/>
      <c r="M10" s="208">
        <f>IF(COUNTIFS($B10,"*東一*")&gt;0,"東一",IF(COUNTIF($L10,"■")&gt;0,IF(COUNTIF($J10,"○")&gt;0,"荷受",$K10*-1),""))</f>
        <v/>
      </c>
      <c r="N10" s="193" t="n"/>
      <c r="O10" s="193" t="n"/>
      <c r="P10" s="193" t="n"/>
      <c r="Q10" s="193" t="n"/>
      <c r="R10" s="193" t="n"/>
      <c r="S10" s="193" t="n"/>
    </row>
    <row r="11" ht="12.6" customHeight="1">
      <c r="A11" s="201" t="inlineStr">
        <is>
          <t>1170-29</t>
        </is>
      </c>
      <c r="B11" s="202" t="inlineStr">
        <is>
          <t>■エクアドルバナナ 600g袋×16入　非有機</t>
        </is>
      </c>
      <c r="C11" s="203" t="n">
        <v>0</v>
      </c>
      <c r="D11" s="204" t="n">
        <v>1</v>
      </c>
      <c r="E11" s="202" t="n">
        <v>1</v>
      </c>
      <c r="F11" s="203" t="n">
        <v>0</v>
      </c>
      <c r="G11" s="205" t="n">
        <v>0</v>
      </c>
      <c r="H11" s="203" t="n">
        <v>0</v>
      </c>
      <c r="I11" s="206" t="inlineStr">
        <is>
          <t>箱</t>
        </is>
      </c>
      <c r="J11" s="206" t="inlineStr">
        <is>
          <t>○</t>
        </is>
      </c>
      <c r="K11" s="207">
        <f>C11-E11+G11</f>
        <v/>
      </c>
      <c r="L11" s="202" t="n"/>
      <c r="M11" s="208">
        <f>IF(COUNTIFS($B11,"*東一*")&gt;0,"東一",IF(COUNTIF($L11,"■")&gt;0,IF(COUNTIF($J11,"○")&gt;0,"荷受",$K11*-1),""))</f>
        <v/>
      </c>
      <c r="N11" s="193" t="n"/>
      <c r="O11" s="193" t="n"/>
      <c r="P11" s="193" t="n"/>
      <c r="Q11" s="193" t="n"/>
      <c r="R11" s="193" t="n"/>
      <c r="S11" s="193" t="n"/>
    </row>
    <row r="12" ht="12.6" customHeight="1">
      <c r="A12" s="201" t="inlineStr">
        <is>
          <t>1216-361</t>
        </is>
      </c>
      <c r="B12" s="202" t="inlineStr">
        <is>
          <t>■じゃが芋「ﾒｰｸｲﾝ」10kg(長有研)8割減・不</t>
        </is>
      </c>
      <c r="C12" s="203" t="n">
        <v>11</v>
      </c>
      <c r="D12" s="204" t="n">
        <v>0</v>
      </c>
      <c r="E12" s="202" t="n">
        <v>1</v>
      </c>
      <c r="F12" s="203" t="n">
        <v>10</v>
      </c>
      <c r="G12" s="205" t="n">
        <v>0</v>
      </c>
      <c r="H12" s="203" t="n">
        <v>10</v>
      </c>
      <c r="I12" s="206" t="inlineStr">
        <is>
          <t>箱</t>
        </is>
      </c>
      <c r="J12" s="206" t="inlineStr">
        <is>
          <t>○</t>
        </is>
      </c>
      <c r="K12" s="207">
        <f>C12-E12+G12</f>
        <v/>
      </c>
      <c r="L12" s="202" t="n"/>
      <c r="M12" s="208">
        <f>IF(COUNTIFS($B12,"*東一*")&gt;0,"東一",IF(COUNTIF($L12,"■")&gt;0,IF(COUNTIF($J12,"○")&gt;0,"荷受",$K12*-1),""))</f>
        <v/>
      </c>
      <c r="N12" s="193" t="n"/>
      <c r="O12" s="193" t="n"/>
      <c r="P12" s="193" t="n"/>
      <c r="Q12" s="193" t="n"/>
      <c r="R12" s="193" t="n"/>
      <c r="S12" s="193" t="n"/>
    </row>
    <row r="13" ht="12.6" customHeight="1">
      <c r="A13" s="201" t="inlineStr">
        <is>
          <t>1225-7</t>
        </is>
      </c>
      <c r="B13" s="202" t="inlineStr">
        <is>
          <t>■有機 玉ねぎ 混 10kg(長有研)</t>
        </is>
      </c>
      <c r="C13" s="203" t="n">
        <v>34</v>
      </c>
      <c r="D13" s="204" t="n">
        <v>0</v>
      </c>
      <c r="E13" s="202" t="n">
        <v>4</v>
      </c>
      <c r="F13" s="203" t="n">
        <v>30</v>
      </c>
      <c r="G13" s="205" t="n">
        <v>0</v>
      </c>
      <c r="H13" s="203" t="n">
        <v>30</v>
      </c>
      <c r="I13" s="206" t="inlineStr">
        <is>
          <t>箱</t>
        </is>
      </c>
      <c r="J13" s="206" t="inlineStr">
        <is>
          <t>○</t>
        </is>
      </c>
      <c r="K13" s="207">
        <f>C13-E13+G13</f>
        <v/>
      </c>
      <c r="L13" s="202" t="n"/>
      <c r="M13" s="208">
        <f>IF(COUNTIFS($B13,"*東一*")&gt;0,"東一",IF(COUNTIF($L13,"■")&gt;0,IF(COUNTIF($J13,"○")&gt;0,"荷受",$K13*-1),""))</f>
        <v/>
      </c>
      <c r="N13" s="193" t="n"/>
      <c r="O13" s="193" t="n"/>
      <c r="P13" s="193" t="n"/>
      <c r="Q13" s="193" t="n"/>
      <c r="R13" s="193" t="n"/>
      <c r="S13" s="193" t="n"/>
    </row>
    <row r="14" ht="12.6" customHeight="1">
      <c r="A14" s="201" t="inlineStr">
        <is>
          <t>1225-9</t>
        </is>
      </c>
      <c r="B14" s="202" t="inlineStr">
        <is>
          <t>■玉ねぎ 混 10kg(長有研）不不</t>
        </is>
      </c>
      <c r="C14" s="203" t="n">
        <v>17</v>
      </c>
      <c r="D14" s="204" t="n">
        <v>0</v>
      </c>
      <c r="E14" s="202" t="n">
        <v>1</v>
      </c>
      <c r="F14" s="203" t="n">
        <v>16</v>
      </c>
      <c r="G14" s="205" t="n">
        <v>0</v>
      </c>
      <c r="H14" s="203" t="n">
        <v>16</v>
      </c>
      <c r="I14" s="206" t="inlineStr">
        <is>
          <t>箱</t>
        </is>
      </c>
      <c r="J14" s="206" t="inlineStr">
        <is>
          <t>○</t>
        </is>
      </c>
      <c r="K14" s="207">
        <f>C14-E14+G14</f>
        <v/>
      </c>
      <c r="L14" s="202" t="n"/>
      <c r="M14" s="208">
        <f>IF(COUNTIFS($B14,"*東一*")&gt;0,"東一",IF(COUNTIF($L14,"■")&gt;0,IF(COUNTIF($J14,"○")&gt;0,"荷受",$K14*-1),""))</f>
        <v/>
      </c>
      <c r="N14" s="193" t="n"/>
      <c r="O14" s="193" t="n"/>
      <c r="P14" s="193" t="n"/>
      <c r="Q14" s="193" t="n"/>
      <c r="R14" s="193" t="n"/>
      <c r="S14" s="193" t="n"/>
    </row>
    <row r="15" ht="12.6" customHeight="1">
      <c r="A15" s="201" t="inlineStr">
        <is>
          <t>1226-436</t>
        </is>
      </c>
      <c r="B15" s="202" t="inlineStr">
        <is>
          <t>■有機 玉ねぎ 混 10kg(雲仙)</t>
        </is>
      </c>
      <c r="C15" s="203" t="n">
        <v>4</v>
      </c>
      <c r="D15" s="204" t="n">
        <v>0</v>
      </c>
      <c r="E15" s="202" t="n">
        <v>0</v>
      </c>
      <c r="F15" s="203" t="n">
        <v>4</v>
      </c>
      <c r="G15" s="205" t="n">
        <v>-4</v>
      </c>
      <c r="H15" s="203" t="n">
        <v>0</v>
      </c>
      <c r="I15" s="206" t="inlineStr">
        <is>
          <t>箱</t>
        </is>
      </c>
      <c r="J15" s="206" t="inlineStr">
        <is>
          <t>○</t>
        </is>
      </c>
      <c r="K15" s="207">
        <f>C15-E15+G15</f>
        <v/>
      </c>
      <c r="L15" s="202" t="n"/>
      <c r="M15" s="208">
        <f>IF(COUNTIFS($B15,"*東一*")&gt;0,"東一",IF(COUNTIF($L15,"■")&gt;0,IF(COUNTIF($J15,"○")&gt;0,"荷受",$K15*-1),""))</f>
        <v/>
      </c>
      <c r="N15" s="193" t="n"/>
      <c r="O15" s="193" t="n"/>
      <c r="P15" s="193" t="n"/>
      <c r="Q15" s="193" t="n"/>
      <c r="R15" s="193" t="n"/>
      <c r="S15" s="193" t="n"/>
    </row>
    <row r="16" ht="12.6" customHeight="1">
      <c r="A16" s="201" t="inlineStr">
        <is>
          <t>1232-13</t>
        </is>
      </c>
      <c r="B16" s="202" t="inlineStr">
        <is>
          <t>■じゃが芋｢ﾆｼﾕﾀｶ｣10kg(長有研）無無</t>
        </is>
      </c>
      <c r="C16" s="203" t="n">
        <v>40</v>
      </c>
      <c r="D16" s="204" t="n">
        <v>0</v>
      </c>
      <c r="E16" s="202" t="n">
        <v>3</v>
      </c>
      <c r="F16" s="203" t="n">
        <v>37</v>
      </c>
      <c r="G16" s="205" t="n">
        <v>0</v>
      </c>
      <c r="H16" s="203" t="n">
        <v>37</v>
      </c>
      <c r="I16" s="206" t="inlineStr">
        <is>
          <t>箱</t>
        </is>
      </c>
      <c r="J16" s="206" t="inlineStr">
        <is>
          <t>○</t>
        </is>
      </c>
      <c r="K16" s="207">
        <f>C16-E16+G16</f>
        <v/>
      </c>
      <c r="L16" s="202" t="n"/>
      <c r="M16" s="208">
        <f>IF(COUNTIFS($B16,"*東一*")&gt;0,"東一",IF(COUNTIF($L16,"■")&gt;0,IF(COUNTIF($J16,"○")&gt;0,"荷受",$K16*-1),""))</f>
        <v/>
      </c>
      <c r="N16" s="193" t="n"/>
      <c r="O16" s="193" t="n"/>
      <c r="P16" s="193" t="n"/>
      <c r="Q16" s="193" t="n"/>
      <c r="R16" s="193" t="n"/>
      <c r="S16" s="193" t="n"/>
    </row>
    <row r="17" ht="12.6" customHeight="1">
      <c r="A17" s="201" t="inlineStr">
        <is>
          <t>1241-194</t>
        </is>
      </c>
      <c r="B17" s="202" t="inlineStr">
        <is>
          <t>■有機人参 洗い LM 10kg箱（加瀬）</t>
        </is>
      </c>
      <c r="C17" s="203" t="n">
        <v>-5</v>
      </c>
      <c r="D17" s="204" t="n">
        <v>20</v>
      </c>
      <c r="E17" s="202" t="n">
        <v>6</v>
      </c>
      <c r="F17" s="203" t="n">
        <v>9</v>
      </c>
      <c r="G17" s="205" t="n">
        <v>0</v>
      </c>
      <c r="H17" s="203" t="n">
        <v>9</v>
      </c>
      <c r="I17" s="206" t="inlineStr">
        <is>
          <t>箱</t>
        </is>
      </c>
      <c r="J17" s="206" t="n">
        <v/>
      </c>
      <c r="K17" s="207">
        <f>C17-E17+G17</f>
        <v/>
      </c>
      <c r="L17" s="202" t="n"/>
      <c r="M17" s="208">
        <f>IF(COUNTIFS($B17,"*東一*")&gt;0,"東一",IF(COUNTIF($L17,"■")&gt;0,IF(COUNTIF($J17,"○")&gt;0,"荷受",$K17*-1),""))</f>
        <v/>
      </c>
      <c r="N17" s="193" t="n"/>
      <c r="O17" s="193" t="n"/>
      <c r="P17" s="193" t="n"/>
      <c r="Q17" s="193" t="n"/>
      <c r="R17" s="193" t="n"/>
      <c r="S17" s="193" t="n"/>
    </row>
    <row r="18" ht="12.6" customHeight="1">
      <c r="A18" s="201" t="inlineStr">
        <is>
          <t>1261-147</t>
        </is>
      </c>
      <c r="B18" s="202" t="inlineStr">
        <is>
          <t>■有機大根 洗い 裸 10本(丸和)</t>
        </is>
      </c>
      <c r="C18" s="203" t="n">
        <v>-20</v>
      </c>
      <c r="D18" s="204" t="n">
        <v>0</v>
      </c>
      <c r="E18" s="202" t="n">
        <v>4</v>
      </c>
      <c r="F18" s="203" t="n">
        <v>-24</v>
      </c>
      <c r="G18" s="205" t="n">
        <v>-4</v>
      </c>
      <c r="H18" s="203" t="n">
        <v>-28</v>
      </c>
      <c r="I18" s="206" t="inlineStr">
        <is>
          <t>箱</t>
        </is>
      </c>
      <c r="J18" s="206" t="n">
        <v/>
      </c>
      <c r="K18" s="207">
        <f>C18-E18+G18</f>
        <v/>
      </c>
      <c r="L18" s="202" t="n"/>
      <c r="M18" s="208">
        <f>IF(COUNTIFS($B18,"*東一*")&gt;0,"東一",IF(COUNTIF($L18,"■")&gt;0,IF(COUNTIF($J18,"○")&gt;0,"荷受",$K18*-1),""))</f>
        <v/>
      </c>
      <c r="N18" s="193" t="n"/>
      <c r="O18" s="193" t="n"/>
      <c r="P18" s="193" t="n"/>
      <c r="Q18" s="193" t="n"/>
      <c r="R18" s="193" t="n"/>
      <c r="S18" s="193" t="n"/>
    </row>
    <row r="19" ht="12.6" customHeight="1">
      <c r="A19" s="201" t="inlineStr">
        <is>
          <t>1261-370</t>
        </is>
      </c>
      <c r="B19" s="202" t="inlineStr">
        <is>
          <t>■大根　裸10本(多田孝一)虫2・不　千葉</t>
        </is>
      </c>
      <c r="C19" s="203" t="n">
        <v>9</v>
      </c>
      <c r="D19" s="204" t="n">
        <v>8</v>
      </c>
      <c r="E19" s="202" t="n">
        <v>3</v>
      </c>
      <c r="F19" s="203" t="n">
        <v>14</v>
      </c>
      <c r="G19" s="205" t="n">
        <v>0</v>
      </c>
      <c r="H19" s="203" t="n">
        <v>14</v>
      </c>
      <c r="I19" s="206" t="inlineStr">
        <is>
          <t>箱</t>
        </is>
      </c>
      <c r="J19" s="206" t="n">
        <v/>
      </c>
      <c r="K19" s="207">
        <f>C19-E19+G19</f>
        <v/>
      </c>
      <c r="L19" s="202" t="n"/>
      <c r="M19" s="208">
        <f>IF(COUNTIFS($B19,"*東一*")&gt;0,"東一",IF(COUNTIF($L19,"■")&gt;0,IF(COUNTIF($J19,"○")&gt;0,"荷受",$K19*-1),""))</f>
        <v/>
      </c>
      <c r="N19" s="193" t="n"/>
      <c r="O19" s="193" t="n"/>
      <c r="P19" s="193" t="n"/>
      <c r="Q19" s="193" t="n"/>
      <c r="R19" s="193" t="n"/>
      <c r="S19" s="193" t="n"/>
    </row>
    <row r="20" ht="12.6" customHeight="1">
      <c r="A20" s="201" t="inlineStr">
        <is>
          <t>1404-28</t>
        </is>
      </c>
      <c r="B20" s="202" t="inlineStr">
        <is>
          <t>■ほうれん草 5kg (八ヶ岳グリーン)不不</t>
        </is>
      </c>
      <c r="C20" s="203" t="n">
        <v>2</v>
      </c>
      <c r="D20" s="204" t="n">
        <v>0</v>
      </c>
      <c r="E20" s="202" t="n">
        <v>2</v>
      </c>
      <c r="F20" s="203" t="n">
        <v>0</v>
      </c>
      <c r="G20" s="205" t="n">
        <v>0</v>
      </c>
      <c r="H20" s="203" t="n">
        <v>0</v>
      </c>
      <c r="I20" s="206" t="inlineStr">
        <is>
          <t>箱</t>
        </is>
      </c>
      <c r="J20" s="206" t="n">
        <v/>
      </c>
      <c r="K20" s="207">
        <f>C20-E20+G20</f>
        <v/>
      </c>
      <c r="L20" s="202" t="n"/>
      <c r="M20" s="208">
        <f>IF(COUNTIFS($B20,"*東一*")&gt;0,"東一",IF(COUNTIF($L20,"■")&gt;0,IF(COUNTIF($J20,"○")&gt;0,"荷受",$K20*-1),""))</f>
        <v/>
      </c>
      <c r="N20" s="193" t="n"/>
      <c r="O20" s="193" t="n"/>
      <c r="P20" s="193" t="n"/>
      <c r="Q20" s="193" t="n"/>
      <c r="R20" s="193" t="n"/>
      <c r="S20" s="193" t="n"/>
    </row>
    <row r="21" ht="12.6" customHeight="1">
      <c r="A21" s="201" t="inlineStr">
        <is>
          <t>1502-149</t>
        </is>
      </c>
      <c r="B21" s="202" t="inlineStr">
        <is>
          <t>■キャベツ　８玉ｺﾝﾃﾅ(キテレツ)不不</t>
        </is>
      </c>
      <c r="C21" s="203" t="n">
        <v>10</v>
      </c>
      <c r="D21" s="204" t="n">
        <v>5</v>
      </c>
      <c r="E21" s="202" t="n">
        <v>4</v>
      </c>
      <c r="F21" s="203" t="n">
        <v>11</v>
      </c>
      <c r="G21" s="205" t="n">
        <v>0</v>
      </c>
      <c r="H21" s="203" t="n">
        <v>11</v>
      </c>
      <c r="I21" s="206" t="inlineStr">
        <is>
          <t>箱</t>
        </is>
      </c>
      <c r="J21" s="206" t="n">
        <v/>
      </c>
      <c r="K21" s="207">
        <f>C21-E21+G21</f>
        <v/>
      </c>
      <c r="L21" s="202" t="n"/>
      <c r="M21" s="208">
        <f>IF(COUNTIFS($B21,"*東一*")&gt;0,"東一",IF(COUNTIF($L21,"■")&gt;0,IF(COUNTIF($J21,"○")&gt;0,"荷受",$K21*-1),""))</f>
        <v/>
      </c>
      <c r="N21" s="193" t="n"/>
      <c r="O21" s="193" t="n"/>
      <c r="P21" s="193" t="n"/>
      <c r="Q21" s="193" t="n"/>
      <c r="R21" s="193" t="n"/>
      <c r="S21" s="193" t="n"/>
    </row>
    <row r="22" ht="12.6" customHeight="1">
      <c r="A22" s="201" t="inlineStr">
        <is>
          <t>1509-82</t>
        </is>
      </c>
      <c r="B22" s="202" t="inlineStr">
        <is>
          <t>■有機キャベツ ８玉箱（丸和）</t>
        </is>
      </c>
      <c r="C22" s="203" t="n">
        <v>20</v>
      </c>
      <c r="D22" s="204" t="n">
        <v>50</v>
      </c>
      <c r="E22" s="202" t="n">
        <v>22</v>
      </c>
      <c r="F22" s="203" t="n">
        <v>48</v>
      </c>
      <c r="G22" s="205" t="n">
        <v>0</v>
      </c>
      <c r="H22" s="203" t="n">
        <v>48</v>
      </c>
      <c r="I22" s="206" t="inlineStr">
        <is>
          <t>箱</t>
        </is>
      </c>
      <c r="J22" s="206" t="n">
        <v/>
      </c>
      <c r="K22" s="207">
        <f>C22-E22+G22</f>
        <v/>
      </c>
      <c r="L22" s="202" t="n"/>
      <c r="M22" s="208">
        <f>IF(COUNTIFS($B22,"*東一*")&gt;0,"東一",IF(COUNTIF($L22,"■")&gt;0,IF(COUNTIF($J22,"○")&gt;0,"荷受",$K22*-1),""))</f>
        <v/>
      </c>
      <c r="N22" s="193" t="n"/>
      <c r="O22" s="193" t="n"/>
      <c r="P22" s="193" t="n"/>
      <c r="Q22" s="193" t="n"/>
      <c r="R22" s="193" t="n"/>
      <c r="S22" s="193" t="n"/>
    </row>
    <row r="23" ht="12.6" customHeight="1">
      <c r="A23" s="201" t="inlineStr">
        <is>
          <t>1516-39</t>
        </is>
      </c>
      <c r="B23" s="202" t="inlineStr">
        <is>
          <t>■有機サニーレタス裸　10個ｺﾝﾃﾅ(ﾌｧｰﾏｰｽﾞ)</t>
        </is>
      </c>
      <c r="C23" s="203" t="n">
        <v>19</v>
      </c>
      <c r="D23" s="204" t="n">
        <v>0</v>
      </c>
      <c r="E23" s="202" t="n">
        <v>3</v>
      </c>
      <c r="F23" s="203" t="n">
        <v>16</v>
      </c>
      <c r="G23" s="205" t="n">
        <v>-10</v>
      </c>
      <c r="H23" s="203" t="n">
        <v>6</v>
      </c>
      <c r="I23" s="206" t="inlineStr">
        <is>
          <t>箱</t>
        </is>
      </c>
      <c r="J23" s="206" t="n">
        <v/>
      </c>
      <c r="K23" s="207">
        <f>C23-E23+G23</f>
        <v/>
      </c>
      <c r="L23" s="202" t="n"/>
      <c r="M23" s="208">
        <f>IF(COUNTIFS($B23,"*東一*")&gt;0,"東一",IF(COUNTIF($L23,"■")&gt;0,IF(COUNTIF($J23,"○")&gt;0,"荷受",$K23*-1),""))</f>
        <v/>
      </c>
      <c r="N23" s="193" t="n"/>
      <c r="O23" s="193" t="n"/>
      <c r="P23" s="193" t="n"/>
      <c r="Q23" s="193" t="n"/>
      <c r="R23" s="193" t="n"/>
      <c r="S23" s="193" t="n"/>
    </row>
    <row r="24" ht="12.6" customHeight="1">
      <c r="A24" s="201" t="inlineStr">
        <is>
          <t>1533-249</t>
        </is>
      </c>
      <c r="B24" s="202" t="inlineStr">
        <is>
          <t>■有機レタス 裸 10個ｺﾝﾃﾅ(ﾌｧｰﾏｰｽﾞ)</t>
        </is>
      </c>
      <c r="C24" s="203" t="n">
        <v>23</v>
      </c>
      <c r="D24" s="204" t="n">
        <v>0</v>
      </c>
      <c r="E24" s="202" t="n">
        <v>2</v>
      </c>
      <c r="F24" s="203" t="n">
        <v>21</v>
      </c>
      <c r="G24" s="205" t="n">
        <v>-12</v>
      </c>
      <c r="H24" s="203" t="n">
        <v>9</v>
      </c>
      <c r="I24" s="206" t="inlineStr">
        <is>
          <t>箱</t>
        </is>
      </c>
      <c r="J24" s="206" t="n">
        <v/>
      </c>
      <c r="K24" s="207">
        <f>C24-E24+G24</f>
        <v/>
      </c>
      <c r="L24" s="202" t="n"/>
      <c r="M24" s="208">
        <f>IF(COUNTIFS($B24,"*東一*")&gt;0,"東一",IF(COUNTIF($L24,"■")&gt;0,IF(COUNTIF($J24,"○")&gt;0,"荷受",$K24*-1),""))</f>
        <v/>
      </c>
      <c r="N24" s="193" t="n"/>
      <c r="O24" s="193" t="n"/>
      <c r="P24" s="193" t="n"/>
      <c r="Q24" s="193" t="n"/>
      <c r="R24" s="193" t="n"/>
      <c r="S24" s="193" t="n"/>
    </row>
    <row r="25" ht="12.6" customHeight="1">
      <c r="A25" s="201" t="inlineStr">
        <is>
          <t>1564-101</t>
        </is>
      </c>
      <c r="B25" s="202" t="inlineStr">
        <is>
          <t>■長ねぎ　ﾑｷ ５ｋｇ(ﾊｲﾊｰﾊﾞｰ)</t>
        </is>
      </c>
      <c r="C25" s="203" t="n">
        <v>6</v>
      </c>
      <c r="D25" s="204" t="n">
        <v>15</v>
      </c>
      <c r="E25" s="202" t="n">
        <v>0</v>
      </c>
      <c r="F25" s="203" t="n">
        <v>21</v>
      </c>
      <c r="G25" s="205" t="n">
        <v>-14</v>
      </c>
      <c r="H25" s="203" t="n">
        <v>7</v>
      </c>
      <c r="I25" s="206" t="inlineStr">
        <is>
          <t>箱</t>
        </is>
      </c>
      <c r="J25" s="206" t="inlineStr">
        <is>
          <t>○</t>
        </is>
      </c>
      <c r="K25" s="207">
        <f>C25-E25+G25</f>
        <v/>
      </c>
      <c r="L25" s="202" t="n"/>
      <c r="M25" s="208">
        <f>IF(COUNTIFS($B25,"*東一*")&gt;0,"東一",IF(COUNTIF($L25,"■")&gt;0,IF(COUNTIF($J25,"○")&gt;0,"荷受",$K25*-1),""))</f>
        <v/>
      </c>
      <c r="N25" s="193" t="n"/>
      <c r="O25" s="193" t="n"/>
      <c r="P25" s="193" t="n"/>
      <c r="Q25" s="193" t="n"/>
      <c r="R25" s="193" t="n"/>
      <c r="S25" s="193" t="n"/>
    </row>
    <row r="26" ht="12.6" customHeight="1">
      <c r="A26" s="201" t="inlineStr">
        <is>
          <t>1584-36</t>
        </is>
      </c>
      <c r="B26" s="202" t="inlineStr">
        <is>
          <t>■有機ロメインﾚﾀｽ　裸 10個ｺﾝﾃﾅ(ﾌｧｰﾏｰｽﾞ)</t>
        </is>
      </c>
      <c r="C26" s="203" t="n">
        <v>5</v>
      </c>
      <c r="D26" s="204" t="n">
        <v>0</v>
      </c>
      <c r="E26" s="202" t="n">
        <v>0</v>
      </c>
      <c r="F26" s="203" t="n">
        <v>5</v>
      </c>
      <c r="G26" s="205" t="n">
        <v>-4</v>
      </c>
      <c r="H26" s="203" t="n">
        <v>1</v>
      </c>
      <c r="I26" s="206" t="inlineStr">
        <is>
          <t>箱</t>
        </is>
      </c>
      <c r="J26" s="206" t="n">
        <v/>
      </c>
      <c r="K26" s="207">
        <f>C26-E26+G26</f>
        <v/>
      </c>
      <c r="L26" s="202" t="n"/>
      <c r="M26" s="208">
        <f>IF(COUNTIFS($B26,"*東一*")&gt;0,"東一",IF(COUNTIF($L26,"■")&gt;0,IF(COUNTIF($J26,"○")&gt;0,"荷受",$K26*-1),""))</f>
        <v/>
      </c>
      <c r="N26" s="193" t="n"/>
      <c r="O26" s="193" t="n"/>
      <c r="P26" s="193" t="n"/>
      <c r="Q26" s="193" t="n"/>
      <c r="R26" s="193" t="n"/>
      <c r="S26" s="193" t="n"/>
    </row>
    <row r="27" ht="12.6" customHeight="1">
      <c r="A27" s="201" t="inlineStr">
        <is>
          <t>1588-21</t>
        </is>
      </c>
      <c r="B27" s="202" t="inlineStr">
        <is>
          <t>■有機フリルレタス　裸 １０個 (ﾌｧｰﾏｰｽﾞ)</t>
        </is>
      </c>
      <c r="C27" s="203" t="n">
        <v>4</v>
      </c>
      <c r="D27" s="204" t="n">
        <v>0</v>
      </c>
      <c r="E27" s="202" t="n">
        <v>0</v>
      </c>
      <c r="F27" s="203" t="n">
        <v>4</v>
      </c>
      <c r="G27" s="205" t="n">
        <v>-2</v>
      </c>
      <c r="H27" s="203" t="n">
        <v>2</v>
      </c>
      <c r="I27" s="206" t="inlineStr">
        <is>
          <t>箱</t>
        </is>
      </c>
      <c r="J27" s="206" t="n">
        <v/>
      </c>
      <c r="K27" s="207">
        <f>C27-E27+G27</f>
        <v/>
      </c>
      <c r="L27" s="202" t="n"/>
      <c r="M27" s="208">
        <f>IF(COUNTIFS($B27,"*東一*")&gt;0,"東一",IF(COUNTIF($L27,"■")&gt;0,IF(COUNTIF($J27,"○")&gt;0,"荷受",$K27*-1),""))</f>
        <v/>
      </c>
      <c r="N27" s="193" t="n"/>
      <c r="O27" s="193" t="n"/>
      <c r="P27" s="193" t="n"/>
      <c r="Q27" s="193" t="n"/>
      <c r="R27" s="193" t="n"/>
      <c r="S27" s="193" t="n"/>
    </row>
    <row r="28" ht="12.6" customHeight="1">
      <c r="A28" s="201" t="inlineStr">
        <is>
          <t>1593-114</t>
        </is>
      </c>
      <c r="B28" s="202" t="inlineStr">
        <is>
          <t>■ミニ白菜　裸　1個(せっせと畑)無無</t>
        </is>
      </c>
      <c r="C28" s="203" t="n">
        <v>0</v>
      </c>
      <c r="D28" s="204" t="n">
        <v>150</v>
      </c>
      <c r="E28" s="202" t="n">
        <v>0</v>
      </c>
      <c r="F28" s="203" t="n">
        <v>150</v>
      </c>
      <c r="G28" s="205" t="n">
        <v>-60</v>
      </c>
      <c r="H28" s="203" t="n">
        <v>90</v>
      </c>
      <c r="I28" s="206" t="inlineStr">
        <is>
          <t>箱</t>
        </is>
      </c>
      <c r="J28" s="206" t="n">
        <v/>
      </c>
      <c r="K28" s="207">
        <f>C28-E28+G28</f>
        <v/>
      </c>
      <c r="L28" s="202" t="n"/>
      <c r="M28" s="208">
        <f>IF(COUNTIFS($B28,"*東一*")&gt;0,"東一",IF(COUNTIF($L28,"■")&gt;0,IF(COUNTIF($J28,"○")&gt;0,"荷受",$K28*-1),""))</f>
        <v/>
      </c>
      <c r="N28" s="193" t="n"/>
      <c r="O28" s="193" t="n"/>
      <c r="P28" s="193" t="n"/>
      <c r="Q28" s="193" t="n"/>
      <c r="R28" s="193" t="n"/>
      <c r="S28" s="193" t="n"/>
    </row>
    <row r="29" ht="12.6" customHeight="1">
      <c r="A29" s="201" t="inlineStr">
        <is>
          <t>2206</t>
        </is>
      </c>
      <c r="B29" s="202" t="inlineStr">
        <is>
          <t>■浅間とり牧場の自然卵　１０ｋｇ　Ｌ</t>
        </is>
      </c>
      <c r="C29" s="203" t="n">
        <v>0</v>
      </c>
      <c r="D29" s="204" t="n">
        <v>5</v>
      </c>
      <c r="E29" s="202" t="n">
        <v>2</v>
      </c>
      <c r="F29" s="203" t="n">
        <v>3</v>
      </c>
      <c r="G29" s="205" t="n">
        <v>0</v>
      </c>
      <c r="H29" s="203" t="n">
        <v>3</v>
      </c>
      <c r="I29" s="206" t="inlineStr">
        <is>
          <t>箱</t>
        </is>
      </c>
      <c r="J29" s="206" t="inlineStr">
        <is>
          <t>○</t>
        </is>
      </c>
      <c r="K29" s="207">
        <f>C29-E29+G29</f>
        <v/>
      </c>
      <c r="L29" s="202" t="n"/>
      <c r="M29" s="208">
        <f>IF(COUNTIFS($B29,"*東一*")&gt;0,"東一",IF(COUNTIF($L29,"■")&gt;0,IF(COUNTIF($J29,"○")&gt;0,"荷受",$K29*-1),""))</f>
        <v/>
      </c>
      <c r="N29" s="193" t="n"/>
      <c r="O29" s="193" t="n"/>
      <c r="P29" s="193" t="n"/>
      <c r="Q29" s="193" t="n"/>
      <c r="R29" s="193" t="n"/>
      <c r="S29" s="193" t="n"/>
    </row>
    <row r="30" ht="12.6" customHeight="1">
      <c r="A30" s="201" t="inlineStr">
        <is>
          <t>2210-2</t>
        </is>
      </c>
      <c r="B30" s="202" t="inlineStr">
        <is>
          <t>■卵「もみじ」Ｍ 10㎏(大松)</t>
        </is>
      </c>
      <c r="C30" s="203" t="n">
        <v>0</v>
      </c>
      <c r="D30" s="204" t="n">
        <v>1</v>
      </c>
      <c r="E30" s="202" t="n">
        <v>1</v>
      </c>
      <c r="F30" s="203" t="n">
        <v>0</v>
      </c>
      <c r="G30" s="205" t="n">
        <v>0</v>
      </c>
      <c r="H30" s="203" t="n">
        <v>0</v>
      </c>
      <c r="I30" s="206" t="inlineStr">
        <is>
          <t>箱</t>
        </is>
      </c>
      <c r="J30" s="206" t="n">
        <v/>
      </c>
      <c r="K30" s="207">
        <f>C30-E30+G30</f>
        <v/>
      </c>
      <c r="L30" s="202" t="n"/>
      <c r="M30" s="208">
        <f>IF(COUNTIFS($B30,"*東一*")&gt;0,"東一",IF(COUNTIF($L30,"■")&gt;0,IF(COUNTIF($J30,"○")&gt;0,"荷受",$K30*-1),""))</f>
        <v/>
      </c>
      <c r="N30" s="193" t="n"/>
      <c r="O30" s="193" t="n"/>
      <c r="P30" s="193" t="n"/>
      <c r="Q30" s="193" t="n"/>
      <c r="R30" s="193" t="n"/>
      <c r="S30" s="193" t="n"/>
    </row>
    <row r="31" ht="12.6" customHeight="1">
      <c r="A31" s="201" t="inlineStr">
        <is>
          <t>1109-9</t>
        </is>
      </c>
      <c r="B31" s="202" t="inlineStr">
        <is>
          <t>□タカミメロン ４kg箱 (長有研）</t>
        </is>
      </c>
      <c r="C31" s="203" t="n">
        <v>13</v>
      </c>
      <c r="D31" s="204" t="n">
        <v>0</v>
      </c>
      <c r="E31" s="202" t="n">
        <v>1</v>
      </c>
      <c r="F31" s="203" t="n">
        <v>12</v>
      </c>
      <c r="G31" s="205" t="n">
        <v>0</v>
      </c>
      <c r="H31" s="203" t="n">
        <v>12</v>
      </c>
      <c r="I31" s="206" t="inlineStr">
        <is>
          <t>こもの</t>
        </is>
      </c>
      <c r="J31" s="206" t="inlineStr">
        <is>
          <t>○</t>
        </is>
      </c>
      <c r="K31" s="207">
        <f>C31-E31+G31</f>
        <v/>
      </c>
      <c r="L31" s="202" t="n"/>
      <c r="M31" s="208">
        <f>IF(COUNTIFS($B31,"*東一*")&gt;0,"東一",IF(COUNTIF($L31,"■")&gt;0,IF(COUNTIF($J31,"○")&gt;0,"荷受",$K31*-1),""))</f>
        <v/>
      </c>
      <c r="N31" s="193" t="n"/>
      <c r="O31" s="193" t="n"/>
      <c r="P31" s="193" t="n"/>
      <c r="Q31" s="193" t="n"/>
      <c r="R31" s="193" t="n"/>
      <c r="S31" s="193" t="n"/>
    </row>
    <row r="32" ht="12.6" customHeight="1">
      <c r="A32" s="201" t="inlineStr">
        <is>
          <t>1117-12</t>
        </is>
      </c>
      <c r="B32" s="202" t="inlineStr">
        <is>
          <t>□タカミレッドメロン 4kg箱 (長有研）</t>
        </is>
      </c>
      <c r="C32" s="203" t="n">
        <v>4</v>
      </c>
      <c r="D32" s="204" t="n">
        <v>0</v>
      </c>
      <c r="E32" s="202" t="n">
        <v>2</v>
      </c>
      <c r="F32" s="203" t="n">
        <v>2</v>
      </c>
      <c r="G32" s="205" t="n">
        <v>0</v>
      </c>
      <c r="H32" s="203" t="n">
        <v>2</v>
      </c>
      <c r="I32" s="206" t="inlineStr">
        <is>
          <t>こもの</t>
        </is>
      </c>
      <c r="J32" s="206" t="inlineStr">
        <is>
          <t>○</t>
        </is>
      </c>
      <c r="K32" s="207">
        <f>C32-E32+G32</f>
        <v/>
      </c>
      <c r="L32" s="202" t="n"/>
      <c r="M32" s="208">
        <f>IF(COUNTIFS($B32,"*東一*")&gt;0,"東一",IF(COUNTIF($L32,"■")&gt;0,IF(COUNTIF($J32,"○")&gt;0,"荷受",$K32*-1),""))</f>
        <v/>
      </c>
      <c r="N32" s="193" t="n"/>
      <c r="O32" s="193" t="n"/>
      <c r="P32" s="193" t="n"/>
      <c r="Q32" s="193" t="n"/>
      <c r="R32" s="193" t="n"/>
      <c r="S32" s="193" t="n"/>
    </row>
    <row r="33" ht="12.6" customHeight="1">
      <c r="A33" s="201" t="inlineStr">
        <is>
          <t>1601-37</t>
        </is>
      </c>
      <c r="B33" s="202" t="inlineStr">
        <is>
          <t>□トマト ４ｋｇ箱（沃土会）８割減・不</t>
        </is>
      </c>
      <c r="C33" s="203" t="n">
        <v>2</v>
      </c>
      <c r="D33" s="204" t="n">
        <v>5</v>
      </c>
      <c r="E33" s="202" t="n">
        <v>0</v>
      </c>
      <c r="F33" s="203" t="n">
        <v>7</v>
      </c>
      <c r="G33" s="205" t="n">
        <v>-3</v>
      </c>
      <c r="H33" s="203" t="n">
        <v>4</v>
      </c>
      <c r="I33" s="206" t="inlineStr">
        <is>
          <t>こもの</t>
        </is>
      </c>
      <c r="J33" s="206" t="n">
        <v/>
      </c>
      <c r="K33" s="207">
        <f>C33-E33+G33</f>
        <v/>
      </c>
      <c r="L33" s="202" t="n"/>
      <c r="M33" s="208">
        <f>IF(COUNTIFS($B33,"*東一*")&gt;0,"東一",IF(COUNTIF($L33,"■")&gt;0,IF(COUNTIF($J33,"○")&gt;0,"荷受",$K33*-1),""))</f>
        <v/>
      </c>
      <c r="N33" s="193" t="n"/>
      <c r="O33" s="193" t="n"/>
      <c r="P33" s="193" t="n"/>
      <c r="Q33" s="193" t="n"/>
      <c r="R33" s="193" t="n"/>
      <c r="S33" s="193" t="n"/>
    </row>
    <row r="34" ht="12.6" customHeight="1">
      <c r="A34" s="201" t="inlineStr">
        <is>
          <t>1606-42</t>
        </is>
      </c>
      <c r="B34" s="202" t="inlineStr">
        <is>
          <t>□有機トマト４kg箱 (澤村)</t>
        </is>
      </c>
      <c r="C34" s="203" t="n">
        <v>12</v>
      </c>
      <c r="D34" s="204" t="n">
        <v>0</v>
      </c>
      <c r="E34" s="202" t="n">
        <v>1</v>
      </c>
      <c r="F34" s="203" t="n">
        <v>11</v>
      </c>
      <c r="G34" s="205" t="n">
        <v>0</v>
      </c>
      <c r="H34" s="203" t="n">
        <v>11</v>
      </c>
      <c r="I34" s="206" t="inlineStr">
        <is>
          <t>こもの</t>
        </is>
      </c>
      <c r="J34" s="206" t="inlineStr">
        <is>
          <t>○</t>
        </is>
      </c>
      <c r="K34" s="207">
        <f>C34-E34+G34</f>
        <v/>
      </c>
      <c r="L34" s="202" t="n"/>
      <c r="M34" s="208">
        <f>IF(COUNTIFS($B34,"*東一*")&gt;0,"東一",IF(COUNTIF($L34,"■")&gt;0,IF(COUNTIF($J34,"○")&gt;0,"荷受",$K34*-1),""))</f>
        <v/>
      </c>
      <c r="N34" s="193" t="n"/>
      <c r="O34" s="193" t="n"/>
      <c r="P34" s="193" t="n"/>
      <c r="Q34" s="193" t="n"/>
      <c r="R34" s="193" t="n"/>
      <c r="S34" s="193" t="n"/>
    </row>
    <row r="35" ht="12.6" customHeight="1">
      <c r="A35" s="201" t="inlineStr">
        <is>
          <t>1612-24</t>
        </is>
      </c>
      <c r="B35" s="202" t="inlineStr">
        <is>
          <t>□ミニトマト　３kg箱(ｼｪｱｶﾞｰﾃﾞﾝ)</t>
        </is>
      </c>
      <c r="C35" s="203" t="n">
        <v>5</v>
      </c>
      <c r="D35" s="204" t="n">
        <v>5</v>
      </c>
      <c r="E35" s="202" t="n">
        <v>1</v>
      </c>
      <c r="F35" s="203" t="n">
        <v>9</v>
      </c>
      <c r="G35" s="205" t="n">
        <v>-1</v>
      </c>
      <c r="H35" s="203" t="n">
        <v>8</v>
      </c>
      <c r="I35" s="206" t="inlineStr">
        <is>
          <t>こもの</t>
        </is>
      </c>
      <c r="J35" s="206" t="n">
        <v/>
      </c>
      <c r="K35" s="207">
        <f>C35-E35+G35</f>
        <v/>
      </c>
      <c r="L35" s="202" t="n"/>
      <c r="M35" s="208">
        <f>IF(COUNTIFS($B35,"*東一*")&gt;0,"東一",IF(COUNTIF($L35,"■")&gt;0,IF(COUNTIF($J35,"○")&gt;0,"荷受",$K35*-1),""))</f>
        <v/>
      </c>
      <c r="N35" s="193" t="n"/>
      <c r="O35" s="193" t="n"/>
      <c r="P35" s="193" t="n"/>
      <c r="Q35" s="193" t="n"/>
      <c r="R35" s="193" t="n"/>
      <c r="S35" s="193" t="n"/>
    </row>
    <row r="36" ht="12.6" customHeight="1">
      <c r="A36" s="201" t="inlineStr">
        <is>
          <t>1621-64</t>
        </is>
      </c>
      <c r="B36" s="202" t="inlineStr">
        <is>
          <t>□きゅうり 5kg箱(太一興陽石毛)菌5虫8・不</t>
        </is>
      </c>
      <c r="C36" s="203" t="n">
        <v>33</v>
      </c>
      <c r="D36" s="204" t="n">
        <v>40</v>
      </c>
      <c r="E36" s="202" t="n">
        <v>10</v>
      </c>
      <c r="F36" s="203" t="n">
        <v>63</v>
      </c>
      <c r="G36" s="205" t="n">
        <v>0</v>
      </c>
      <c r="H36" s="203" t="n">
        <v>63</v>
      </c>
      <c r="I36" s="206" t="inlineStr">
        <is>
          <t>こもの</t>
        </is>
      </c>
      <c r="J36" s="206" t="n">
        <v/>
      </c>
      <c r="K36" s="207">
        <f>C36-E36+G36</f>
        <v/>
      </c>
      <c r="L36" s="202" t="n"/>
      <c r="M36" s="208">
        <f>IF(COUNTIFS($B36,"*東一*")&gt;0,"東一",IF(COUNTIF($L36,"■")&gt;0,IF(COUNTIF($J36,"○")&gt;0,"荷受",$K36*-1),""))</f>
        <v/>
      </c>
      <c r="N36" s="193" t="n"/>
      <c r="O36" s="193" t="n"/>
      <c r="P36" s="193" t="n"/>
      <c r="Q36" s="193" t="n"/>
      <c r="R36" s="193" t="n"/>
      <c r="S36" s="193" t="n"/>
    </row>
    <row r="37" ht="12.6" customHeight="1">
      <c r="A37" s="201" t="inlineStr">
        <is>
          <t>1835-4</t>
        </is>
      </c>
      <c r="B37" s="202" t="inlineStr">
        <is>
          <t>□小ねぎ 100ｇ×20入(伊藤昇)7割減・5割減</t>
        </is>
      </c>
      <c r="C37" s="203" t="n">
        <v>0</v>
      </c>
      <c r="D37" s="204" t="n">
        <v>5</v>
      </c>
      <c r="E37" s="202" t="n">
        <v>2</v>
      </c>
      <c r="F37" s="203" t="n">
        <v>3</v>
      </c>
      <c r="G37" s="205" t="n">
        <v>0</v>
      </c>
      <c r="H37" s="203" t="n">
        <v>3</v>
      </c>
      <c r="I37" s="206" t="inlineStr">
        <is>
          <t>こもの</t>
        </is>
      </c>
      <c r="J37" s="206" t="n">
        <v/>
      </c>
      <c r="K37" s="207">
        <f>C37-E37+G37</f>
        <v/>
      </c>
      <c r="L37" s="202" t="n"/>
      <c r="M37" s="208">
        <f>IF(COUNTIFS($B37,"*東一*")&gt;0,"東一",IF(COUNTIF($L37,"■")&gt;0,IF(COUNTIF($J37,"○")&gt;0,"荷受",$K37*-1),""))</f>
        <v/>
      </c>
      <c r="N37" s="193" t="n"/>
      <c r="O37" s="193" t="n"/>
      <c r="P37" s="193" t="n"/>
      <c r="Q37" s="193" t="n"/>
      <c r="R37" s="193" t="n"/>
      <c r="S37" s="193" t="n"/>
    </row>
    <row r="38" ht="12.6" customHeight="1">
      <c r="A38" s="201" t="inlineStr">
        <is>
          <t>1878-10</t>
        </is>
      </c>
      <c r="B38" s="202" t="inlineStr">
        <is>
          <t>□有機緑豆もやし　200g×10 (ｻﾗﾀﾞｺｽﾓ)</t>
        </is>
      </c>
      <c r="C38" s="203" t="n">
        <v>-1</v>
      </c>
      <c r="D38" s="204" t="n">
        <v>0</v>
      </c>
      <c r="E38" s="202" t="n">
        <v>2</v>
      </c>
      <c r="F38" s="203" t="n">
        <v>-3</v>
      </c>
      <c r="G38" s="205" t="n">
        <v>0</v>
      </c>
      <c r="H38" s="203" t="n">
        <v>-3</v>
      </c>
      <c r="I38" s="206" t="inlineStr">
        <is>
          <t>こもの</t>
        </is>
      </c>
      <c r="J38" s="206" t="inlineStr">
        <is>
          <t>○</t>
        </is>
      </c>
      <c r="K38" s="207">
        <f>C38-E38+G38</f>
        <v/>
      </c>
      <c r="L38" s="202" t="n"/>
      <c r="M38" s="208">
        <f>IF(COUNTIFS($B38,"*東一*")&gt;0,"東一",IF(COUNTIF($L38,"■")&gt;0,IF(COUNTIF($J38,"○")&gt;0,"荷受",$K38*-1),""))</f>
        <v/>
      </c>
      <c r="N38" s="193" t="n"/>
      <c r="O38" s="193" t="n"/>
      <c r="P38" s="193" t="n"/>
      <c r="Q38" s="193" t="n"/>
      <c r="R38" s="193" t="n"/>
      <c r="S38" s="193" t="n"/>
    </row>
    <row r="39" ht="12.6" customHeight="1">
      <c r="A39" s="201" t="inlineStr">
        <is>
          <t>1878-21</t>
        </is>
      </c>
      <c r="B39" s="202" t="inlineStr">
        <is>
          <t>□有機アルファルファ 60ｇ×6 (ｻﾗﾀﾞｺｽﾓ)</t>
        </is>
      </c>
      <c r="C39" s="203" t="n">
        <v>0</v>
      </c>
      <c r="D39" s="204" t="n">
        <v>0</v>
      </c>
      <c r="E39" s="202" t="n">
        <v>1</v>
      </c>
      <c r="F39" s="203" t="n">
        <v>-1</v>
      </c>
      <c r="G39" s="205" t="n">
        <v>0</v>
      </c>
      <c r="H39" s="203" t="n">
        <v>-1</v>
      </c>
      <c r="I39" s="206" t="inlineStr">
        <is>
          <t>こもの</t>
        </is>
      </c>
      <c r="J39" s="206" t="inlineStr">
        <is>
          <t>○</t>
        </is>
      </c>
      <c r="K39" s="207">
        <f>C39-E39+G39</f>
        <v/>
      </c>
      <c r="L39" s="202" t="n"/>
      <c r="M39" s="208">
        <f>IF(COUNTIFS($B39,"*東一*")&gt;0,"東一",IF(COUNTIF($L39,"■")&gt;0,IF(COUNTIF($J39,"○")&gt;0,"荷受",$K39*-1),""))</f>
        <v/>
      </c>
      <c r="N39" s="193" t="n"/>
      <c r="O39" s="193" t="n"/>
      <c r="P39" s="193" t="n"/>
      <c r="Q39" s="193" t="n"/>
      <c r="R39" s="193" t="n"/>
      <c r="S39" s="193" t="n"/>
    </row>
    <row r="40" ht="12.6" customHeight="1">
      <c r="A40" s="201" t="inlineStr">
        <is>
          <t>1883-58</t>
        </is>
      </c>
      <c r="B40" s="202" t="inlineStr">
        <is>
          <t>□有機ﾍﾞﾋﾞｰﾘｰﾌ 30gﾊﾟｯｸ×10入 (HATAKE)</t>
        </is>
      </c>
      <c r="C40" s="203" t="n">
        <v>0</v>
      </c>
      <c r="D40" s="204" t="n">
        <v>9</v>
      </c>
      <c r="E40" s="202" t="n">
        <v>9</v>
      </c>
      <c r="F40" s="203" t="n">
        <v>0</v>
      </c>
      <c r="G40" s="205" t="n">
        <v>0</v>
      </c>
      <c r="H40" s="203" t="n">
        <v>0</v>
      </c>
      <c r="I40" s="206" t="inlineStr">
        <is>
          <t>こもの</t>
        </is>
      </c>
      <c r="J40" s="206" t="n">
        <v/>
      </c>
      <c r="K40" s="207">
        <f>C40-E40+G40</f>
        <v/>
      </c>
      <c r="L40" s="202" t="n"/>
      <c r="M40" s="208">
        <f>IF(COUNTIFS($B40,"*東一*")&gt;0,"東一",IF(COUNTIF($L40,"■")&gt;0,IF(COUNTIF($J40,"○")&gt;0,"荷受",$K40*-1),""))</f>
        <v/>
      </c>
      <c r="N40" s="193" t="n"/>
      <c r="O40" s="193" t="n"/>
      <c r="P40" s="193" t="n"/>
      <c r="Q40" s="193" t="n"/>
      <c r="R40" s="193" t="n"/>
      <c r="S40" s="193" t="n"/>
    </row>
    <row r="41" ht="12.6" customHeight="1">
      <c r="A41" s="201" t="inlineStr">
        <is>
          <t>1016-25</t>
        </is>
      </c>
      <c r="B41" s="202" t="inlineStr">
        <is>
          <t>有機あまなつ　600ｇ (早藤)◇</t>
        </is>
      </c>
      <c r="C41" s="203" t="n">
        <v>-4</v>
      </c>
      <c r="D41" s="204" t="n">
        <v>0</v>
      </c>
      <c r="E41" s="202" t="n">
        <v>8</v>
      </c>
      <c r="F41" s="203" t="n">
        <v>-12</v>
      </c>
      <c r="G41" s="205" t="n">
        <v>0</v>
      </c>
      <c r="H41" s="203" t="n">
        <v>-12</v>
      </c>
      <c r="I41" s="206" t="inlineStr">
        <is>
          <t>こもの</t>
        </is>
      </c>
      <c r="J41" s="206" t="n">
        <v/>
      </c>
      <c r="K41" s="207">
        <f>C41-E41+G41</f>
        <v/>
      </c>
      <c r="L41" s="202" t="n"/>
      <c r="M41" s="208">
        <f>IF(COUNTIFS($B41,"*東一*")&gt;0,"東一",IF(COUNTIF($L41,"■")&gt;0,IF(COUNTIF($J41,"○")&gt;0,"荷受",$K41*-1),""))</f>
        <v/>
      </c>
      <c r="N41" s="193" t="n"/>
      <c r="O41" s="193" t="n"/>
      <c r="P41" s="193" t="n"/>
      <c r="Q41" s="193" t="n"/>
      <c r="R41" s="193" t="n"/>
      <c r="S41" s="193" t="n"/>
    </row>
    <row r="42" ht="12.6" customHeight="1">
      <c r="A42" s="201" t="inlineStr">
        <is>
          <t>1049-67</t>
        </is>
      </c>
      <c r="B42" s="202" t="inlineStr">
        <is>
          <t>有機レモン 1kg袋 (中川栄)◇</t>
        </is>
      </c>
      <c r="C42" s="203" t="n">
        <v>-13</v>
      </c>
      <c r="D42" s="204" t="n">
        <v>0</v>
      </c>
      <c r="E42" s="202" t="n">
        <v>5</v>
      </c>
      <c r="F42" s="203" t="n">
        <v>-18</v>
      </c>
      <c r="G42" s="205" t="n">
        <v>0</v>
      </c>
      <c r="H42" s="203" t="n">
        <v>-18</v>
      </c>
      <c r="I42" s="206" t="inlineStr">
        <is>
          <t>こもの</t>
        </is>
      </c>
      <c r="J42" s="206" t="n">
        <v/>
      </c>
      <c r="K42" s="207">
        <f>C42-E42+G42</f>
        <v/>
      </c>
      <c r="L42" s="202" t="n"/>
      <c r="M42" s="208">
        <f>IF(COUNTIFS($B42,"*東一*")&gt;0,"東一",IF(COUNTIF($L42,"■")&gt;0,IF(COUNTIF($J42,"○")&gt;0,"荷受",$K42*-1),""))</f>
        <v/>
      </c>
      <c r="N42" s="193" t="n"/>
      <c r="O42" s="193" t="n"/>
      <c r="P42" s="193" t="n"/>
      <c r="Q42" s="193" t="n"/>
      <c r="R42" s="193" t="n"/>
      <c r="S42" s="193" t="n"/>
    </row>
    <row r="43" ht="12.6" customHeight="1">
      <c r="A43" s="201" t="inlineStr">
        <is>
          <t>1049-99</t>
        </is>
      </c>
      <c r="B43" s="202" t="inlineStr">
        <is>
          <t>有機レモン １個袋(中川栄)◇</t>
        </is>
      </c>
      <c r="C43" s="203" t="n">
        <v>-11</v>
      </c>
      <c r="D43" s="204" t="n">
        <v>0</v>
      </c>
      <c r="E43" s="202" t="n">
        <v>4</v>
      </c>
      <c r="F43" s="203" t="n">
        <v>-15</v>
      </c>
      <c r="G43" s="205" t="n">
        <v>0</v>
      </c>
      <c r="H43" s="203" t="n">
        <v>-15</v>
      </c>
      <c r="I43" s="206" t="inlineStr">
        <is>
          <t>こもの</t>
        </is>
      </c>
      <c r="J43" s="206" t="n">
        <v/>
      </c>
      <c r="K43" s="207">
        <f>C43-E43+G43</f>
        <v/>
      </c>
      <c r="L43" s="202" t="n"/>
      <c r="M43" s="208">
        <f>IF(COUNTIFS($B43,"*東一*")&gt;0,"東一",IF(COUNTIF($L43,"■")&gt;0,IF(COUNTIF($J43,"○")&gt;0,"荷受",$K43*-1),""))</f>
        <v/>
      </c>
      <c r="N43" s="193" t="n"/>
      <c r="O43" s="193" t="n"/>
      <c r="P43" s="193" t="n"/>
      <c r="Q43" s="193" t="n"/>
      <c r="R43" s="193" t="n"/>
      <c r="S43" s="193" t="n"/>
    </row>
    <row r="44" ht="12.6" customHeight="1">
      <c r="A44" s="201" t="inlineStr">
        <is>
          <t>1148-149</t>
        </is>
      </c>
      <c r="B44" s="202" t="inlineStr">
        <is>
          <t>有機ｻﾝｺﾞｰﾙﾄﾞｷｳｲﾌﾙｰﾂ ３玉(ゼスプリ)◇</t>
        </is>
      </c>
      <c r="C44" s="203" t="n">
        <v>5</v>
      </c>
      <c r="D44" s="204" t="n">
        <v>16</v>
      </c>
      <c r="E44" s="202" t="n">
        <v>9</v>
      </c>
      <c r="F44" s="203" t="n">
        <v>12</v>
      </c>
      <c r="G44" s="205" t="n">
        <v>0</v>
      </c>
      <c r="H44" s="203" t="n">
        <v>12</v>
      </c>
      <c r="I44" s="206" t="inlineStr">
        <is>
          <t>こもの</t>
        </is>
      </c>
      <c r="J44" s="206" t="n">
        <v/>
      </c>
      <c r="K44" s="207">
        <f>C44-E44+G44</f>
        <v/>
      </c>
      <c r="L44" s="202" t="n"/>
      <c r="M44" s="208">
        <f>IF(COUNTIFS($B44,"*東一*")&gt;0,"東一",IF(COUNTIF($L44,"■")&gt;0,IF(COUNTIF($J44,"○")&gt;0,"荷受",$K44*-1),""))</f>
        <v/>
      </c>
      <c r="N44" s="193" t="n"/>
      <c r="O44" s="193" t="n"/>
      <c r="P44" s="193" t="n"/>
      <c r="Q44" s="193" t="n"/>
      <c r="R44" s="193" t="n"/>
      <c r="S44" s="193" t="n"/>
    </row>
    <row r="45" ht="12.6" customHeight="1">
      <c r="A45" s="201" t="inlineStr">
        <is>
          <t>1148-152</t>
        </is>
      </c>
      <c r="B45" s="202" t="inlineStr">
        <is>
          <t>有機グリーンｷｳｲﾌﾙｰﾂ ３玉(ゼスプリ)◇</t>
        </is>
      </c>
      <c r="C45" s="203" t="n">
        <v>15</v>
      </c>
      <c r="D45" s="204" t="n">
        <v>20</v>
      </c>
      <c r="E45" s="202" t="n">
        <v>18</v>
      </c>
      <c r="F45" s="203" t="n">
        <v>17</v>
      </c>
      <c r="G45" s="205" t="n">
        <v>0</v>
      </c>
      <c r="H45" s="203" t="n">
        <v>17</v>
      </c>
      <c r="I45" s="206" t="inlineStr">
        <is>
          <t>こもの</t>
        </is>
      </c>
      <c r="J45" s="206" t="n">
        <v/>
      </c>
      <c r="K45" s="207">
        <f>C45-E45+G45</f>
        <v/>
      </c>
      <c r="L45" s="202" t="n"/>
      <c r="M45" s="208">
        <f>IF(COUNTIFS($B45,"*東一*")&gt;0,"東一",IF(COUNTIF($L45,"■")&gt;0,IF(COUNTIF($J45,"○")&gt;0,"荷受",$K45*-1),""))</f>
        <v/>
      </c>
      <c r="N45" s="193" t="n"/>
      <c r="O45" s="193" t="n"/>
      <c r="P45" s="193" t="n"/>
      <c r="Q45" s="193" t="n"/>
      <c r="R45" s="193" t="n"/>
      <c r="S45" s="193" t="n"/>
    </row>
    <row r="46" ht="12.6" customHeight="1">
      <c r="A46" s="201" t="inlineStr">
        <is>
          <t>1216-362</t>
        </is>
      </c>
      <c r="B46" s="202" t="inlineStr">
        <is>
          <t>じゃが芋「ﾒｰｸｲﾝ」500g(長有研)◇</t>
        </is>
      </c>
      <c r="C46" s="203" t="n">
        <v>-37</v>
      </c>
      <c r="D46" s="204" t="n">
        <v>0</v>
      </c>
      <c r="E46" s="202" t="n">
        <v>34</v>
      </c>
      <c r="F46" s="203" t="n">
        <v>-71</v>
      </c>
      <c r="G46" s="205" t="n">
        <v>0</v>
      </c>
      <c r="H46" s="203" t="n">
        <v>-71</v>
      </c>
      <c r="I46" s="206" t="inlineStr">
        <is>
          <t>こもの</t>
        </is>
      </c>
      <c r="J46" s="206" t="n">
        <v/>
      </c>
      <c r="K46" s="207">
        <f>C46-E46+G46</f>
        <v/>
      </c>
      <c r="L46" s="202" t="n"/>
      <c r="M46" s="208">
        <f>IF(COUNTIFS($B46,"*東一*")&gt;0,"東一",IF(COUNTIF($L46,"■")&gt;0,IF(COUNTIF($J46,"○")&gt;0,"荷受",$K46*-1),""))</f>
        <v/>
      </c>
      <c r="N46" s="193" t="n"/>
      <c r="O46" s="193" t="n"/>
      <c r="P46" s="193" t="n"/>
      <c r="Q46" s="193" t="n"/>
      <c r="R46" s="193" t="n"/>
      <c r="S46" s="193" t="n"/>
    </row>
    <row r="47" ht="12.6" customHeight="1">
      <c r="A47" s="201" t="inlineStr">
        <is>
          <t>1225-373</t>
        </is>
      </c>
      <c r="B47" s="202" t="inlineStr">
        <is>
          <t>玉ねぎ　500ｇ(せっせと畑)</t>
        </is>
      </c>
      <c r="C47" s="203" t="n">
        <v>7</v>
      </c>
      <c r="D47" s="204" t="n">
        <v>20</v>
      </c>
      <c r="E47" s="202" t="n">
        <v>10</v>
      </c>
      <c r="F47" s="203" t="n">
        <v>17</v>
      </c>
      <c r="G47" s="205" t="n">
        <v>0</v>
      </c>
      <c r="H47" s="203" t="n">
        <v>17</v>
      </c>
      <c r="I47" s="206" t="inlineStr">
        <is>
          <t>こもの</t>
        </is>
      </c>
      <c r="J47" s="206" t="n">
        <v/>
      </c>
      <c r="K47" s="207">
        <f>C47-E47+G47</f>
        <v/>
      </c>
      <c r="L47" s="202" t="n"/>
      <c r="M47" s="208">
        <f>IF(COUNTIFS($B47,"*東一*")&gt;0,"東一",IF(COUNTIF($L47,"■")&gt;0,IF(COUNTIF($J47,"○")&gt;0,"荷受",$K47*-1),""))</f>
        <v/>
      </c>
      <c r="N47" s="193" t="n"/>
      <c r="O47" s="193" t="n"/>
      <c r="P47" s="193" t="n"/>
      <c r="Q47" s="193" t="n"/>
      <c r="R47" s="193" t="n"/>
      <c r="S47" s="193" t="n"/>
    </row>
    <row r="48" ht="12.6" customHeight="1">
      <c r="A48" s="201" t="inlineStr">
        <is>
          <t>1226-200</t>
        </is>
      </c>
      <c r="B48" s="202" t="inlineStr">
        <is>
          <t>有機玉ねぎ　500ｇ(長有研)◇</t>
        </is>
      </c>
      <c r="C48" s="203" t="n">
        <v>-151</v>
      </c>
      <c r="D48" s="204" t="n">
        <v>0</v>
      </c>
      <c r="E48" s="202" t="n">
        <v>56</v>
      </c>
      <c r="F48" s="203" t="n">
        <v>-207</v>
      </c>
      <c r="G48" s="205" t="n">
        <v>0</v>
      </c>
      <c r="H48" s="203" t="n">
        <v>-207</v>
      </c>
      <c r="I48" s="206" t="inlineStr">
        <is>
          <t>こもの</t>
        </is>
      </c>
      <c r="J48" s="206" t="n">
        <v/>
      </c>
      <c r="K48" s="207">
        <f>C48-E48+G48</f>
        <v/>
      </c>
      <c r="L48" s="202" t="n"/>
      <c r="M48" s="208">
        <f>IF(COUNTIFS($B48,"*東一*")&gt;0,"東一",IF(COUNTIF($L48,"■")&gt;0,IF(COUNTIF($J48,"○")&gt;0,"荷受",$K48*-1),""))</f>
        <v/>
      </c>
      <c r="N48" s="193" t="n"/>
      <c r="O48" s="193" t="n"/>
      <c r="P48" s="193" t="n"/>
      <c r="Q48" s="193" t="n"/>
      <c r="R48" s="193" t="n"/>
      <c r="S48" s="193" t="n"/>
    </row>
    <row r="49" ht="12.6" customHeight="1">
      <c r="A49" s="201" t="inlineStr">
        <is>
          <t>1226-437</t>
        </is>
      </c>
      <c r="B49" s="202" t="inlineStr">
        <is>
          <t>有機玉ねぎ　500ｇ×10(雲仙)◇東一</t>
        </is>
      </c>
      <c r="C49" s="203" t="n">
        <v>-2</v>
      </c>
      <c r="D49" s="204" t="n">
        <v>8</v>
      </c>
      <c r="E49" s="202" t="n">
        <v>8</v>
      </c>
      <c r="F49" s="203" t="n">
        <v>-2</v>
      </c>
      <c r="G49" s="205" t="n">
        <v>0</v>
      </c>
      <c r="H49" s="203" t="n">
        <v>-2</v>
      </c>
      <c r="I49" s="206" t="inlineStr">
        <is>
          <t>こもの</t>
        </is>
      </c>
      <c r="J49" s="206" t="n">
        <v/>
      </c>
      <c r="K49" s="207">
        <f>C49-E49+G49</f>
        <v/>
      </c>
      <c r="L49" s="202" t="n"/>
      <c r="M49" s="208">
        <f>IF(COUNTIFS($B49,"*東一*")&gt;0,"東一",IF(COUNTIF($L49,"■")&gt;0,IF(COUNTIF($J49,"○")&gt;0,"荷受",$K49*-1),""))</f>
        <v/>
      </c>
      <c r="N49" s="193" t="n"/>
      <c r="O49" s="193" t="n"/>
      <c r="P49" s="193" t="n"/>
      <c r="Q49" s="193" t="n"/>
      <c r="R49" s="193" t="n"/>
      <c r="S49" s="193" t="n"/>
    </row>
    <row r="50" ht="12.6" customHeight="1">
      <c r="A50" s="201" t="inlineStr">
        <is>
          <t>1226-438</t>
        </is>
      </c>
      <c r="B50" s="202" t="inlineStr">
        <is>
          <t>有機玉ねぎ　500ｇ(雲仙)◇</t>
        </is>
      </c>
      <c r="C50" s="203" t="n">
        <v>0</v>
      </c>
      <c r="D50" s="204" t="n">
        <v>80</v>
      </c>
      <c r="E50" s="202" t="n">
        <v>0</v>
      </c>
      <c r="F50" s="203" t="n">
        <v>80</v>
      </c>
      <c r="G50" s="205" t="n">
        <v>-80</v>
      </c>
      <c r="H50" s="203" t="n">
        <v>0</v>
      </c>
      <c r="I50" s="206" t="inlineStr">
        <is>
          <t>こもの</t>
        </is>
      </c>
      <c r="J50" s="206" t="n">
        <v/>
      </c>
      <c r="K50" s="207">
        <f>C50-E50+G50</f>
        <v/>
      </c>
      <c r="L50" s="202" t="n"/>
      <c r="M50" s="208">
        <f>IF(COUNTIFS($B50,"*東一*")&gt;0,"東一",IF(COUNTIF($L50,"■")&gt;0,IF(COUNTIF($J50,"○")&gt;0,"荷受",$K50*-1),""))</f>
        <v/>
      </c>
      <c r="N50" s="193" t="n"/>
      <c r="O50" s="193" t="n"/>
      <c r="P50" s="193" t="n"/>
      <c r="Q50" s="193" t="n"/>
      <c r="R50" s="193" t="n"/>
      <c r="S50" s="193" t="n"/>
    </row>
    <row r="51" ht="12.6" customHeight="1">
      <c r="A51" s="201" t="inlineStr">
        <is>
          <t>1232-114</t>
        </is>
      </c>
      <c r="B51" s="202" t="inlineStr">
        <is>
          <t>じゃが芋｢ﾆｼﾕﾀｶ｣ 500g(長有研)◇不不</t>
        </is>
      </c>
      <c r="C51" s="203" t="n">
        <v>-41</v>
      </c>
      <c r="D51" s="204" t="n">
        <v>0</v>
      </c>
      <c r="E51" s="202" t="n">
        <v>32</v>
      </c>
      <c r="F51" s="203" t="n">
        <v>-73</v>
      </c>
      <c r="G51" s="205" t="n">
        <v>0</v>
      </c>
      <c r="H51" s="203" t="n">
        <v>-73</v>
      </c>
      <c r="I51" s="206" t="inlineStr">
        <is>
          <t>こもの</t>
        </is>
      </c>
      <c r="J51" s="206" t="n">
        <v/>
      </c>
      <c r="K51" s="207">
        <f>C51-E51+G51</f>
        <v/>
      </c>
      <c r="L51" s="202" t="n"/>
      <c r="M51" s="208">
        <f>IF(COUNTIFS($B51,"*東一*")&gt;0,"東一",IF(COUNTIF($L51,"■")&gt;0,IF(COUNTIF($J51,"○")&gt;0,"荷受",$K51*-1),""))</f>
        <v/>
      </c>
      <c r="N51" s="193" t="n"/>
      <c r="O51" s="193" t="n"/>
      <c r="P51" s="193" t="n"/>
      <c r="Q51" s="193" t="n"/>
      <c r="R51" s="193" t="n"/>
      <c r="S51" s="193" t="n"/>
    </row>
    <row r="52" ht="12.6" customHeight="1">
      <c r="A52" s="201" t="inlineStr">
        <is>
          <t>1241-197</t>
        </is>
      </c>
      <c r="B52" s="202" t="inlineStr">
        <is>
          <t>有機人参 洗い　400g(加瀬)◇</t>
        </is>
      </c>
      <c r="C52" s="203" t="n">
        <v>-248</v>
      </c>
      <c r="D52" s="204" t="n">
        <v>0</v>
      </c>
      <c r="E52" s="202" t="n">
        <v>140</v>
      </c>
      <c r="F52" s="203" t="n">
        <v>-388</v>
      </c>
      <c r="G52" s="205" t="n">
        <v>0</v>
      </c>
      <c r="H52" s="203" t="n">
        <v>-388</v>
      </c>
      <c r="I52" s="206" t="inlineStr">
        <is>
          <t>こもの</t>
        </is>
      </c>
      <c r="J52" s="206" t="n">
        <v/>
      </c>
      <c r="K52" s="207">
        <f>C52-E52+G52</f>
        <v/>
      </c>
      <c r="L52" s="202" t="n"/>
      <c r="M52" s="208">
        <f>IF(COUNTIFS($B52,"*東一*")&gt;0,"東一",IF(COUNTIF($L52,"■")&gt;0,IF(COUNTIF($J52,"○")&gt;0,"荷受",$K52*-1),""))</f>
        <v/>
      </c>
      <c r="N52" s="193" t="n"/>
      <c r="O52" s="193" t="n"/>
      <c r="P52" s="193" t="n"/>
      <c r="Q52" s="193" t="n"/>
      <c r="R52" s="193" t="n"/>
      <c r="S52" s="193" t="n"/>
    </row>
    <row r="53" ht="12.6" customHeight="1">
      <c r="A53" s="201" t="inlineStr">
        <is>
          <t>1241-519</t>
        </is>
      </c>
      <c r="B53" s="202" t="inlineStr">
        <is>
          <t>有機人参 洗い 400ｇ(キテレツ・産ﾊﾟ)</t>
        </is>
      </c>
      <c r="C53" s="203" t="n">
        <v>40</v>
      </c>
      <c r="D53" s="204" t="n">
        <v>80</v>
      </c>
      <c r="E53" s="202" t="n">
        <v>10</v>
      </c>
      <c r="F53" s="203" t="n">
        <v>110</v>
      </c>
      <c r="G53" s="205" t="n">
        <v>0</v>
      </c>
      <c r="H53" s="203" t="n">
        <v>110</v>
      </c>
      <c r="I53" s="206" t="inlineStr">
        <is>
          <t>こもの</t>
        </is>
      </c>
      <c r="J53" s="206" t="n">
        <v/>
      </c>
      <c r="K53" s="207">
        <f>C53-E53+G53</f>
        <v/>
      </c>
      <c r="L53" s="202" t="n"/>
      <c r="M53" s="208">
        <f>IF(COUNTIFS($B53,"*東一*")&gt;0,"東一",IF(COUNTIF($L53,"■")&gt;0,IF(COUNTIF($J53,"○")&gt;0,"荷受",$K53*-1),""))</f>
        <v/>
      </c>
      <c r="N53" s="193" t="n"/>
      <c r="O53" s="193" t="n"/>
      <c r="P53" s="193" t="n"/>
      <c r="Q53" s="193" t="n"/>
      <c r="R53" s="193" t="n"/>
      <c r="S53" s="193" t="n"/>
    </row>
    <row r="54" ht="12.6" customHeight="1">
      <c r="A54" s="201" t="inlineStr">
        <is>
          <t>1248-25</t>
        </is>
      </c>
      <c r="B54" s="202" t="inlineStr">
        <is>
          <t>有機葉付人参 2～4本入 (加瀬)</t>
        </is>
      </c>
      <c r="C54" s="203" t="n">
        <v>29</v>
      </c>
      <c r="D54" s="204" t="n">
        <v>0</v>
      </c>
      <c r="E54" s="202" t="n">
        <v>43</v>
      </c>
      <c r="F54" s="203" t="n">
        <v>-14</v>
      </c>
      <c r="G54" s="205" t="n">
        <v>0</v>
      </c>
      <c r="H54" s="203" t="n">
        <v>-14</v>
      </c>
      <c r="I54" s="206" t="inlineStr">
        <is>
          <t>こもの</t>
        </is>
      </c>
      <c r="J54" s="206" t="n">
        <v/>
      </c>
      <c r="K54" s="207">
        <f>C54-E54+G54</f>
        <v/>
      </c>
      <c r="L54" s="202" t="n"/>
      <c r="M54" s="208">
        <f>IF(COUNTIFS($B54,"*東一*")&gt;0,"東一",IF(COUNTIF($L54,"■")&gt;0,IF(COUNTIF($J54,"○")&gt;0,"荷受",$K54*-1),""))</f>
        <v/>
      </c>
      <c r="N54" s="193" t="n"/>
      <c r="O54" s="193" t="n"/>
      <c r="P54" s="193" t="n"/>
      <c r="Q54" s="193" t="n"/>
      <c r="R54" s="193" t="n"/>
      <c r="S54" s="193" t="n"/>
    </row>
    <row r="55" ht="12.6" customHeight="1">
      <c r="A55" s="201" t="inlineStr">
        <is>
          <t>1250-35</t>
        </is>
      </c>
      <c r="B55" s="202" t="inlineStr">
        <is>
          <t>有機ごぼう 泥  200ｇ（みちのく）</t>
        </is>
      </c>
      <c r="C55" s="203" t="n">
        <v>85</v>
      </c>
      <c r="D55" s="204" t="n">
        <v>160</v>
      </c>
      <c r="E55" s="202" t="n">
        <v>53</v>
      </c>
      <c r="F55" s="203" t="n">
        <v>192</v>
      </c>
      <c r="G55" s="205" t="n">
        <v>-5</v>
      </c>
      <c r="H55" s="203" t="n">
        <v>187</v>
      </c>
      <c r="I55" s="206" t="inlineStr">
        <is>
          <t>こもの</t>
        </is>
      </c>
      <c r="J55" s="206" t="inlineStr">
        <is>
          <t>○</t>
        </is>
      </c>
      <c r="K55" s="207">
        <f>C55-E55+G55</f>
        <v/>
      </c>
      <c r="L55" s="202" t="n"/>
      <c r="M55" s="208">
        <f>IF(COUNTIFS($B55,"*東一*")&gt;0,"東一",IF(COUNTIF($L55,"■")&gt;0,IF(COUNTIF($J55,"○")&gt;0,"荷受",$K55*-1),""))</f>
        <v/>
      </c>
      <c r="N55" s="193" t="n"/>
      <c r="O55" s="193" t="n"/>
      <c r="P55" s="193" t="n"/>
      <c r="Q55" s="193" t="n"/>
      <c r="R55" s="193" t="n"/>
      <c r="S55" s="193" t="n"/>
    </row>
    <row r="56" ht="12.6" customHeight="1">
      <c r="A56" s="201" t="inlineStr">
        <is>
          <t>1250-70</t>
        </is>
      </c>
      <c r="B56" s="202" t="inlineStr">
        <is>
          <t>有機ごぼう 泥200g×５(みちのく)東一</t>
        </is>
      </c>
      <c r="C56" s="203" t="n">
        <v>0</v>
      </c>
      <c r="D56" s="204" t="n">
        <v>1</v>
      </c>
      <c r="E56" s="202" t="n">
        <v>1</v>
      </c>
      <c r="F56" s="203" t="n">
        <v>0</v>
      </c>
      <c r="G56" s="205" t="n">
        <v>0</v>
      </c>
      <c r="H56" s="203" t="n">
        <v>0</v>
      </c>
      <c r="I56" s="206" t="inlineStr">
        <is>
          <t>こもの</t>
        </is>
      </c>
      <c r="J56" s="206" t="n">
        <v/>
      </c>
      <c r="K56" s="207">
        <f>C56-E56+G56</f>
        <v/>
      </c>
      <c r="L56" s="202" t="n"/>
      <c r="M56" s="208">
        <f>IF(COUNTIFS($B56,"*東一*")&gt;0,"東一",IF(COUNTIF($L56,"■")&gt;0,IF(COUNTIF($J56,"○")&gt;0,"荷受",$K56*-1),""))</f>
        <v/>
      </c>
      <c r="N56" s="193" t="n"/>
      <c r="O56" s="193" t="n"/>
      <c r="P56" s="193" t="n"/>
      <c r="Q56" s="193" t="n"/>
      <c r="R56" s="193" t="n"/>
      <c r="S56" s="193" t="n"/>
    </row>
    <row r="57" ht="12.6" customHeight="1">
      <c r="A57" s="201" t="inlineStr">
        <is>
          <t>1250-91</t>
        </is>
      </c>
      <c r="B57" s="202" t="inlineStr">
        <is>
          <t>ごぼう 泥  200ｇ(津軽産直組合)不不</t>
        </is>
      </c>
      <c r="C57" s="203" t="n">
        <v>241</v>
      </c>
      <c r="D57" s="204" t="n">
        <v>0</v>
      </c>
      <c r="E57" s="202" t="n">
        <v>51</v>
      </c>
      <c r="F57" s="203" t="n">
        <v>190</v>
      </c>
      <c r="G57" s="205" t="n">
        <v>0</v>
      </c>
      <c r="H57" s="203" t="n">
        <v>190</v>
      </c>
      <c r="I57" s="206" t="inlineStr">
        <is>
          <t>こもの</t>
        </is>
      </c>
      <c r="J57" s="206" t="inlineStr">
        <is>
          <t>○</t>
        </is>
      </c>
      <c r="K57" s="207">
        <f>C57-E57+G57</f>
        <v/>
      </c>
      <c r="L57" s="202" t="n"/>
      <c r="M57" s="208">
        <f>IF(COUNTIFS($B57,"*東一*")&gt;0,"東一",IF(COUNTIF($L57,"■")&gt;0,IF(COUNTIF($J57,"○")&gt;0,"荷受",$K57*-1),""))</f>
        <v/>
      </c>
      <c r="N57" s="193" t="n"/>
      <c r="O57" s="193" t="n"/>
      <c r="P57" s="193" t="n"/>
      <c r="Q57" s="193" t="n"/>
      <c r="R57" s="193" t="n"/>
      <c r="S57" s="193" t="n"/>
    </row>
    <row r="58" ht="12.6" customHeight="1">
      <c r="A58" s="201" t="inlineStr">
        <is>
          <t>1261-148</t>
        </is>
      </c>
      <c r="B58" s="202" t="inlineStr">
        <is>
          <t>有機大根 洗い 1本袋 (丸和)◇</t>
        </is>
      </c>
      <c r="C58" s="203" t="n">
        <v>-46</v>
      </c>
      <c r="D58" s="204" t="n">
        <v>0</v>
      </c>
      <c r="E58" s="202" t="n">
        <v>24</v>
      </c>
      <c r="F58" s="203" t="n">
        <v>-70</v>
      </c>
      <c r="G58" s="205" t="n">
        <v>0</v>
      </c>
      <c r="H58" s="203" t="n">
        <v>-70</v>
      </c>
      <c r="I58" s="206" t="inlineStr">
        <is>
          <t>こもの</t>
        </is>
      </c>
      <c r="J58" s="206" t="n">
        <v/>
      </c>
      <c r="K58" s="207">
        <f>C58-E58+G58</f>
        <v/>
      </c>
      <c r="L58" s="202" t="n"/>
      <c r="M58" s="208">
        <f>IF(COUNTIFS($B58,"*東一*")&gt;0,"東一",IF(COUNTIF($L58,"■")&gt;0,IF(COUNTIF($J58,"○")&gt;0,"荷受",$K58*-1),""))</f>
        <v/>
      </c>
      <c r="N58" s="193" t="n"/>
      <c r="O58" s="193" t="n"/>
      <c r="P58" s="193" t="n"/>
      <c r="Q58" s="193" t="n"/>
      <c r="R58" s="193" t="n"/>
      <c r="S58" s="193" t="n"/>
    </row>
    <row r="59" ht="12.6" customHeight="1">
      <c r="A59" s="201" t="inlineStr">
        <is>
          <t>1261-149</t>
        </is>
      </c>
      <c r="B59" s="202" t="inlineStr">
        <is>
          <t>有機カット大根 洗い 1/2本袋×4 (丸和)◇</t>
        </is>
      </c>
      <c r="C59" s="203" t="n">
        <v>-23</v>
      </c>
      <c r="D59" s="204" t="n">
        <v>0</v>
      </c>
      <c r="E59" s="202" t="n">
        <v>4</v>
      </c>
      <c r="F59" s="203" t="n">
        <v>-27</v>
      </c>
      <c r="G59" s="205" t="n">
        <v>0</v>
      </c>
      <c r="H59" s="203" t="n">
        <v>-27</v>
      </c>
      <c r="I59" s="206" t="inlineStr">
        <is>
          <t>こもの</t>
        </is>
      </c>
      <c r="J59" s="206" t="n">
        <v/>
      </c>
      <c r="K59" s="207">
        <f>C59-E59+G59</f>
        <v/>
      </c>
      <c r="L59" s="202" t="n"/>
      <c r="M59" s="208">
        <f>IF(COUNTIFS($B59,"*東一*")&gt;0,"東一",IF(COUNTIF($L59,"■")&gt;0,IF(COUNTIF($J59,"○")&gt;0,"荷受",$K59*-1),""))</f>
        <v/>
      </c>
      <c r="N59" s="193" t="n"/>
      <c r="O59" s="193" t="n"/>
      <c r="P59" s="193" t="n"/>
      <c r="Q59" s="193" t="n"/>
      <c r="R59" s="193" t="n"/>
      <c r="S59" s="193" t="n"/>
    </row>
    <row r="60" ht="12.6" customHeight="1">
      <c r="A60" s="201" t="inlineStr">
        <is>
          <t>1261-239</t>
        </is>
      </c>
      <c r="B60" s="202" t="inlineStr">
        <is>
          <t>有機短大根（葉切り洗い）1本袋(加瀬)</t>
        </is>
      </c>
      <c r="C60" s="203" t="n">
        <v>55</v>
      </c>
      <c r="D60" s="204" t="n">
        <v>100</v>
      </c>
      <c r="E60" s="202" t="n">
        <v>43</v>
      </c>
      <c r="F60" s="203" t="n">
        <v>112</v>
      </c>
      <c r="G60" s="205" t="n">
        <v>0</v>
      </c>
      <c r="H60" s="203" t="n">
        <v>112</v>
      </c>
      <c r="I60" s="206" t="inlineStr">
        <is>
          <t>こもの</t>
        </is>
      </c>
      <c r="J60" s="206" t="n">
        <v/>
      </c>
      <c r="K60" s="207">
        <f>C60-E60+G60</f>
        <v/>
      </c>
      <c r="L60" s="202" t="n"/>
      <c r="M60" s="208">
        <f>IF(COUNTIFS($B60,"*東一*")&gt;0,"東一",IF(COUNTIF($L60,"■")&gt;0,IF(COUNTIF($J60,"○")&gt;0,"荷受",$K60*-1),""))</f>
        <v/>
      </c>
      <c r="N60" s="193" t="n"/>
      <c r="O60" s="193" t="n"/>
      <c r="P60" s="193" t="n"/>
      <c r="Q60" s="193" t="n"/>
      <c r="R60" s="193" t="n"/>
      <c r="S60" s="193" t="n"/>
    </row>
    <row r="61" ht="12.6" customHeight="1">
      <c r="A61" s="201" t="inlineStr">
        <is>
          <t>1261-369</t>
        </is>
      </c>
      <c r="B61" s="202" t="inlineStr">
        <is>
          <t>大根　 1本袋(多田孝一)虫2・不　千葉</t>
        </is>
      </c>
      <c r="C61" s="203" t="n">
        <v>15</v>
      </c>
      <c r="D61" s="204" t="n">
        <v>36</v>
      </c>
      <c r="E61" s="202" t="n">
        <v>9</v>
      </c>
      <c r="F61" s="203" t="n">
        <v>42</v>
      </c>
      <c r="G61" s="205" t="n">
        <v>0</v>
      </c>
      <c r="H61" s="203" t="n">
        <v>42</v>
      </c>
      <c r="I61" s="206" t="inlineStr">
        <is>
          <t>こもの</t>
        </is>
      </c>
      <c r="J61" s="206" t="n">
        <v/>
      </c>
      <c r="K61" s="207">
        <f>C61-E61+G61</f>
        <v/>
      </c>
      <c r="L61" s="202" t="n"/>
      <c r="M61" s="208">
        <f>IF(COUNTIFS($B61,"*東一*")&gt;0,"東一",IF(COUNTIF($L61,"■")&gt;0,IF(COUNTIF($J61,"○")&gt;0,"荷受",$K61*-1),""))</f>
        <v/>
      </c>
      <c r="N61" s="193" t="n"/>
      <c r="O61" s="193" t="n"/>
      <c r="P61" s="193" t="n"/>
      <c r="Q61" s="193" t="n"/>
      <c r="R61" s="193" t="n"/>
      <c r="S61" s="193" t="n"/>
    </row>
    <row r="62" ht="12.6" customHeight="1">
      <c r="A62" s="201" t="inlineStr">
        <is>
          <t>1266-272</t>
        </is>
      </c>
      <c r="B62" s="202" t="inlineStr">
        <is>
          <t>有機ミニ大根　洗い　1本袋(キテレツ)</t>
        </is>
      </c>
      <c r="C62" s="203" t="n">
        <v>8</v>
      </c>
      <c r="D62" s="204" t="n">
        <v>10</v>
      </c>
      <c r="E62" s="202" t="n">
        <v>6</v>
      </c>
      <c r="F62" s="203" t="n">
        <v>12</v>
      </c>
      <c r="G62" s="205" t="n">
        <v>0</v>
      </c>
      <c r="H62" s="203" t="n">
        <v>12</v>
      </c>
      <c r="I62" s="206" t="inlineStr">
        <is>
          <t>こもの</t>
        </is>
      </c>
      <c r="J62" s="206" t="n">
        <v/>
      </c>
      <c r="K62" s="207">
        <f>C62-E62+G62</f>
        <v/>
      </c>
      <c r="L62" s="202" t="n"/>
      <c r="M62" s="208">
        <f>IF(COUNTIFS($B62,"*東一*")&gt;0,"東一",IF(COUNTIF($L62,"■")&gt;0,IF(COUNTIF($J62,"○")&gt;0,"荷受",$K62*-1),""))</f>
        <v/>
      </c>
      <c r="N62" s="193" t="n"/>
      <c r="O62" s="193" t="n"/>
      <c r="P62" s="193" t="n"/>
      <c r="Q62" s="193" t="n"/>
      <c r="R62" s="193" t="n"/>
      <c r="S62" s="193" t="n"/>
    </row>
    <row r="63" ht="12.6" customHeight="1">
      <c r="A63" s="201" t="inlineStr">
        <is>
          <t>1277-130</t>
        </is>
      </c>
      <c r="B63" s="202" t="inlineStr">
        <is>
          <t>有機かぶ白　２～３玉袋（飯田）</t>
        </is>
      </c>
      <c r="C63" s="203" t="n">
        <v>11</v>
      </c>
      <c r="D63" s="204" t="n">
        <v>60</v>
      </c>
      <c r="E63" s="202" t="n">
        <v>29</v>
      </c>
      <c r="F63" s="203" t="n">
        <v>42</v>
      </c>
      <c r="G63" s="205" t="n">
        <v>0</v>
      </c>
      <c r="H63" s="203" t="n">
        <v>42</v>
      </c>
      <c r="I63" s="206" t="inlineStr">
        <is>
          <t>こもの</t>
        </is>
      </c>
      <c r="J63" s="206" t="n">
        <v/>
      </c>
      <c r="K63" s="207">
        <f>C63-E63+G63</f>
        <v/>
      </c>
      <c r="L63" s="202" t="n"/>
      <c r="M63" s="208">
        <f>IF(COUNTIFS($B63,"*東一*")&gt;0,"東一",IF(COUNTIF($L63,"■")&gt;0,IF(COUNTIF($J63,"○")&gt;0,"荷受",$K63*-1),""))</f>
        <v/>
      </c>
      <c r="N63" s="193" t="n"/>
      <c r="O63" s="193" t="n"/>
      <c r="P63" s="193" t="n"/>
      <c r="Q63" s="193" t="n"/>
      <c r="R63" s="193" t="n"/>
      <c r="S63" s="193" t="n"/>
    </row>
    <row r="64" ht="12.6" customHeight="1">
      <c r="A64" s="201" t="inlineStr">
        <is>
          <t>1277-179</t>
        </is>
      </c>
      <c r="B64" s="202" t="inlineStr">
        <is>
          <t>有機ビーツ 300g袋(かごしま)◇</t>
        </is>
      </c>
      <c r="C64" s="203" t="n">
        <v>-51</v>
      </c>
      <c r="D64" s="204" t="n">
        <v>0</v>
      </c>
      <c r="E64" s="202" t="n">
        <v>16</v>
      </c>
      <c r="F64" s="203" t="n">
        <v>-67</v>
      </c>
      <c r="G64" s="205" t="n">
        <v>0</v>
      </c>
      <c r="H64" s="203" t="n">
        <v>-67</v>
      </c>
      <c r="I64" s="206" t="inlineStr">
        <is>
          <t>こもの</t>
        </is>
      </c>
      <c r="J64" s="206" t="n">
        <v/>
      </c>
      <c r="K64" s="207">
        <f>C64-E64+G64</f>
        <v/>
      </c>
      <c r="L64" s="202" t="n"/>
      <c r="M64" s="208">
        <f>IF(COUNTIFS($B64,"*東一*")&gt;0,"東一",IF(COUNTIF($L64,"■")&gt;0,IF(COUNTIF($J64,"○")&gt;0,"荷受",$K64*-1),""))</f>
        <v/>
      </c>
      <c r="N64" s="193" t="n"/>
      <c r="O64" s="193" t="n"/>
      <c r="P64" s="193" t="n"/>
      <c r="Q64" s="193" t="n"/>
      <c r="R64" s="193" t="n"/>
      <c r="S64" s="193" t="n"/>
    </row>
    <row r="65" ht="12.6" customHeight="1">
      <c r="A65" s="201" t="inlineStr">
        <is>
          <t>1316-307</t>
        </is>
      </c>
      <c r="B65" s="202" t="inlineStr">
        <is>
          <t>ｻﾂﾏ芋「すずほっくり」700g(斉藤光正)◇</t>
        </is>
      </c>
      <c r="C65" s="203" t="n">
        <v>1</v>
      </c>
      <c r="D65" s="204" t="n">
        <v>0</v>
      </c>
      <c r="E65" s="202" t="n">
        <v>9</v>
      </c>
      <c r="F65" s="203" t="n">
        <v>-8</v>
      </c>
      <c r="G65" s="205" t="n">
        <v>0</v>
      </c>
      <c r="H65" s="203" t="n">
        <v>-8</v>
      </c>
      <c r="I65" s="206" t="inlineStr">
        <is>
          <t>こもの</t>
        </is>
      </c>
      <c r="J65" s="206" t="n">
        <v/>
      </c>
      <c r="K65" s="207">
        <f>C65-E65+G65</f>
        <v/>
      </c>
      <c r="L65" s="202" t="n"/>
      <c r="M65" s="208">
        <f>IF(COUNTIFS($B65,"*東一*")&gt;0,"東一",IF(COUNTIF($L65,"■")&gt;0,IF(COUNTIF($J65,"○")&gt;0,"荷受",$K65*-1),""))</f>
        <v/>
      </c>
      <c r="N65" s="193" t="n"/>
      <c r="O65" s="193" t="n"/>
      <c r="P65" s="193" t="n"/>
      <c r="Q65" s="193" t="n"/>
      <c r="R65" s="193" t="n"/>
      <c r="S65" s="193" t="n"/>
    </row>
    <row r="66" ht="12.6" customHeight="1">
      <c r="A66" s="201" t="inlineStr">
        <is>
          <t>1316-313</t>
        </is>
      </c>
      <c r="B66" s="202" t="inlineStr">
        <is>
          <t>ｻﾂﾏ芋「シルクスイート」700g(齊藤光正)◇</t>
        </is>
      </c>
      <c r="C66" s="203" t="n">
        <v>-9</v>
      </c>
      <c r="D66" s="204" t="n">
        <v>0</v>
      </c>
      <c r="E66" s="202" t="n">
        <v>8</v>
      </c>
      <c r="F66" s="203" t="n">
        <v>-17</v>
      </c>
      <c r="G66" s="205" t="n">
        <v>0</v>
      </c>
      <c r="H66" s="203" t="n">
        <v>-17</v>
      </c>
      <c r="I66" s="206" t="inlineStr">
        <is>
          <t>こもの</t>
        </is>
      </c>
      <c r="J66" s="206" t="n">
        <v/>
      </c>
      <c r="K66" s="207">
        <f>C66-E66+G66</f>
        <v/>
      </c>
      <c r="L66" s="202" t="n"/>
      <c r="M66" s="208">
        <f>IF(COUNTIFS($B66,"*東一*")&gt;0,"東一",IF(COUNTIF($L66,"■")&gt;0,IF(COUNTIF($J66,"○")&gt;0,"荷受",$K66*-1),""))</f>
        <v/>
      </c>
      <c r="N66" s="193" t="n"/>
      <c r="O66" s="193" t="n"/>
      <c r="P66" s="193" t="n"/>
      <c r="Q66" s="193" t="n"/>
      <c r="R66" s="193" t="n"/>
      <c r="S66" s="193" t="n"/>
    </row>
    <row r="67" ht="12.6" customHeight="1">
      <c r="A67" s="201" t="inlineStr">
        <is>
          <t>1353-5</t>
        </is>
      </c>
      <c r="B67" s="202" t="inlineStr">
        <is>
          <t>有機長いも　200ｇ（みちのく）</t>
        </is>
      </c>
      <c r="C67" s="203" t="n">
        <v>26</v>
      </c>
      <c r="D67" s="204" t="n">
        <v>80</v>
      </c>
      <c r="E67" s="202" t="n">
        <v>25</v>
      </c>
      <c r="F67" s="203" t="n">
        <v>81</v>
      </c>
      <c r="G67" s="205" t="n">
        <v>0</v>
      </c>
      <c r="H67" s="203" t="n">
        <v>81</v>
      </c>
      <c r="I67" s="206" t="inlineStr">
        <is>
          <t>こもの</t>
        </is>
      </c>
      <c r="J67" s="206" t="inlineStr">
        <is>
          <t>○</t>
        </is>
      </c>
      <c r="K67" s="207">
        <f>C67-E67+G67</f>
        <v/>
      </c>
      <c r="L67" s="202" t="n"/>
      <c r="M67" s="208">
        <f>IF(COUNTIFS($B67,"*東一*")&gt;0,"東一",IF(COUNTIF($L67,"■")&gt;0,IF(COUNTIF($J67,"○")&gt;0,"荷受",$K67*-1),""))</f>
        <v/>
      </c>
      <c r="N67" s="193" t="n"/>
      <c r="O67" s="193" t="n"/>
      <c r="P67" s="193" t="n"/>
      <c r="Q67" s="193" t="n"/>
      <c r="R67" s="193" t="n"/>
      <c r="S67" s="193" t="n"/>
    </row>
    <row r="68" ht="12.6" customHeight="1">
      <c r="A68" s="201" t="inlineStr">
        <is>
          <t>1358-50</t>
        </is>
      </c>
      <c r="B68" s="202" t="inlineStr">
        <is>
          <t>有機 赤玉ねぎ 混 400g(雲仙)◇</t>
        </is>
      </c>
      <c r="C68" s="203" t="n">
        <v>-27</v>
      </c>
      <c r="D68" s="204" t="n">
        <v>0</v>
      </c>
      <c r="E68" s="202" t="n">
        <v>11</v>
      </c>
      <c r="F68" s="203" t="n">
        <v>-38</v>
      </c>
      <c r="G68" s="205" t="n">
        <v>0</v>
      </c>
      <c r="H68" s="203" t="n">
        <v>-38</v>
      </c>
      <c r="I68" s="206" t="inlineStr">
        <is>
          <t>こもの</t>
        </is>
      </c>
      <c r="J68" s="206" t="n">
        <v/>
      </c>
      <c r="K68" s="207">
        <f>C68-E68+G68</f>
        <v/>
      </c>
      <c r="L68" s="202" t="n"/>
      <c r="M68" s="208">
        <f>IF(COUNTIFS($B68,"*東一*")&gt;0,"東一",IF(COUNTIF($L68,"■")&gt;0,IF(COUNTIF($J68,"○")&gt;0,"荷受",$K68*-1),""))</f>
        <v/>
      </c>
      <c r="N68" s="193" t="n"/>
      <c r="O68" s="193" t="n"/>
      <c r="P68" s="193" t="n"/>
      <c r="Q68" s="193" t="n"/>
      <c r="R68" s="193" t="n"/>
      <c r="S68" s="193" t="n"/>
    </row>
    <row r="69" ht="12.6" customHeight="1">
      <c r="A69" s="201" t="inlineStr">
        <is>
          <t>1365-17</t>
        </is>
      </c>
      <c r="B69" s="202" t="inlineStr">
        <is>
          <t>らっきょう　泥　1kg袋 (まるよし)◇</t>
        </is>
      </c>
      <c r="C69" s="203" t="n">
        <v>-11</v>
      </c>
      <c r="D69" s="204" t="n">
        <v>0</v>
      </c>
      <c r="E69" s="202" t="n">
        <v>11</v>
      </c>
      <c r="F69" s="203" t="n">
        <v>-22</v>
      </c>
      <c r="G69" s="205" t="n">
        <v>0</v>
      </c>
      <c r="H69" s="203" t="n">
        <v>-22</v>
      </c>
      <c r="I69" s="206" t="inlineStr">
        <is>
          <t>こもの</t>
        </is>
      </c>
      <c r="J69" s="206" t="n">
        <v/>
      </c>
      <c r="K69" s="207">
        <f>C69-E69+G69</f>
        <v/>
      </c>
      <c r="L69" s="202" t="n"/>
      <c r="M69" s="208">
        <f>IF(COUNTIFS($B69,"*東一*")&gt;0,"東一",IF(COUNTIF($L69,"■")&gt;0,IF(COUNTIF($J69,"○")&gt;0,"荷受",$K69*-1),""))</f>
        <v/>
      </c>
      <c r="N69" s="193" t="n"/>
      <c r="O69" s="193" t="n"/>
      <c r="P69" s="193" t="n"/>
      <c r="Q69" s="193" t="n"/>
      <c r="R69" s="193" t="n"/>
      <c r="S69" s="193" t="n"/>
    </row>
    <row r="70" ht="12.6" customHeight="1">
      <c r="A70" s="201" t="inlineStr">
        <is>
          <t>1393-40</t>
        </is>
      </c>
      <c r="B70" s="202" t="inlineStr">
        <is>
          <t>ｷﾃﾚﾂﾌｧｰﾑの野菜ｾｯﾄ</t>
        </is>
      </c>
      <c r="C70" s="203" t="n">
        <v>-2</v>
      </c>
      <c r="D70" s="204" t="n">
        <v>0</v>
      </c>
      <c r="E70" s="202" t="n">
        <v>2</v>
      </c>
      <c r="F70" s="203" t="n">
        <v>-4</v>
      </c>
      <c r="G70" s="205" t="n">
        <v>0</v>
      </c>
      <c r="H70" s="203" t="n">
        <v>-4</v>
      </c>
      <c r="I70" s="206" t="inlineStr">
        <is>
          <t>こもの</t>
        </is>
      </c>
      <c r="J70" s="206" t="n">
        <v/>
      </c>
      <c r="K70" s="207">
        <f>C70-E70+G70</f>
        <v/>
      </c>
      <c r="L70" s="202" t="n"/>
      <c r="M70" s="208">
        <f>IF(COUNTIFS($B70,"*東一*")&gt;0,"東一",IF(COUNTIF($L70,"■")&gt;0,IF(COUNTIF($J70,"○")&gt;0,"荷受",$K70*-1),""))</f>
        <v/>
      </c>
      <c r="N70" s="193" t="n"/>
      <c r="O70" s="193" t="n"/>
      <c r="P70" s="193" t="n"/>
      <c r="Q70" s="193" t="n"/>
      <c r="R70" s="193" t="n"/>
      <c r="S70" s="193" t="n"/>
    </row>
    <row r="71" ht="12.6" customHeight="1">
      <c r="A71" s="201" t="inlineStr">
        <is>
          <t>1404-24</t>
        </is>
      </c>
      <c r="B71" s="202" t="inlineStr">
        <is>
          <t>ほうれん草 150g(八ヶ岳ｸﾞﾘｰﾝ井出)不不</t>
        </is>
      </c>
      <c r="C71" s="203" t="n">
        <v>177</v>
      </c>
      <c r="D71" s="204" t="n">
        <v>0</v>
      </c>
      <c r="E71" s="202" t="n">
        <v>86</v>
      </c>
      <c r="F71" s="203" t="n">
        <v>91</v>
      </c>
      <c r="G71" s="205" t="n">
        <v>0</v>
      </c>
      <c r="H71" s="203" t="n">
        <v>91</v>
      </c>
      <c r="I71" s="206" t="inlineStr">
        <is>
          <t>こもの</t>
        </is>
      </c>
      <c r="J71" s="206" t="n">
        <v/>
      </c>
      <c r="K71" s="207">
        <f>C71-E71+G71</f>
        <v/>
      </c>
      <c r="L71" s="202" t="n"/>
      <c r="M71" s="208">
        <f>IF(COUNTIFS($B71,"*東一*")&gt;0,"東一",IF(COUNTIF($L71,"■")&gt;0,IF(COUNTIF($J71,"○")&gt;0,"荷受",$K71*-1),""))</f>
        <v/>
      </c>
      <c r="N71" s="193" t="n"/>
      <c r="O71" s="193" t="n"/>
      <c r="P71" s="193" t="n"/>
      <c r="Q71" s="193" t="n"/>
      <c r="R71" s="193" t="n"/>
      <c r="S71" s="193" t="n"/>
    </row>
    <row r="72" ht="12.6" customHeight="1">
      <c r="A72" s="201" t="inlineStr">
        <is>
          <t>1407-14</t>
        </is>
      </c>
      <c r="B72" s="202" t="inlineStr">
        <is>
          <t>有機ルッコラ 50g袋 (わ～ふぁ)</t>
        </is>
      </c>
      <c r="C72" s="203" t="n">
        <v>19</v>
      </c>
      <c r="D72" s="204" t="n">
        <v>90</v>
      </c>
      <c r="E72" s="202" t="n">
        <v>16</v>
      </c>
      <c r="F72" s="203" t="n">
        <v>93</v>
      </c>
      <c r="G72" s="205" t="n">
        <v>-36</v>
      </c>
      <c r="H72" s="203" t="n">
        <v>57</v>
      </c>
      <c r="I72" s="206" t="inlineStr">
        <is>
          <t>こもの</t>
        </is>
      </c>
      <c r="J72" s="206" t="n">
        <v/>
      </c>
      <c r="K72" s="207">
        <f>C72-E72+G72</f>
        <v/>
      </c>
      <c r="L72" s="202" t="n"/>
      <c r="M72" s="208">
        <f>IF(COUNTIFS($B72,"*東一*")&gt;0,"東一",IF(COUNTIF($L72,"■")&gt;0,IF(COUNTIF($J72,"○")&gt;0,"荷受",$K72*-1),""))</f>
        <v/>
      </c>
      <c r="N72" s="193" t="n"/>
      <c r="O72" s="193" t="n"/>
      <c r="P72" s="193" t="n"/>
      <c r="Q72" s="193" t="n"/>
      <c r="R72" s="193" t="n"/>
      <c r="S72" s="193" t="n"/>
    </row>
    <row r="73" ht="12.6" customHeight="1">
      <c r="A73" s="201" t="inlineStr">
        <is>
          <t>1407-20</t>
        </is>
      </c>
      <c r="B73" s="202" t="inlineStr">
        <is>
          <t>有機ルッコラ 50g袋×５(わ～ふぁ)東一</t>
        </is>
      </c>
      <c r="C73" s="203" t="n">
        <v>0</v>
      </c>
      <c r="D73" s="204" t="n">
        <v>9</v>
      </c>
      <c r="E73" s="202" t="n">
        <v>9</v>
      </c>
      <c r="F73" s="203" t="n">
        <v>0</v>
      </c>
      <c r="G73" s="205" t="n">
        <v>0</v>
      </c>
      <c r="H73" s="203" t="n">
        <v>0</v>
      </c>
      <c r="I73" s="206" t="inlineStr">
        <is>
          <t>こもの</t>
        </is>
      </c>
      <c r="J73" s="206" t="n">
        <v/>
      </c>
      <c r="K73" s="207">
        <f>C73-E73+G73</f>
        <v/>
      </c>
      <c r="L73" s="202" t="n"/>
      <c r="M73" s="208">
        <f>IF(COUNTIFS($B73,"*東一*")&gt;0,"東一",IF(COUNTIF($L73,"■")&gt;0,IF(COUNTIF($J73,"○")&gt;0,"荷受",$K73*-1),""))</f>
        <v/>
      </c>
      <c r="N73" s="193" t="n"/>
      <c r="O73" s="193" t="n"/>
      <c r="P73" s="193" t="n"/>
      <c r="Q73" s="193" t="n"/>
      <c r="R73" s="193" t="n"/>
      <c r="S73" s="193" t="n"/>
    </row>
    <row r="74" ht="12.6" customHeight="1">
      <c r="A74" s="201" t="inlineStr">
        <is>
          <t>1408-166</t>
        </is>
      </c>
      <c r="B74" s="202" t="inlineStr">
        <is>
          <t>有機ほうれん草　150ｇ(北総)</t>
        </is>
      </c>
      <c r="C74" s="203" t="n">
        <v>16</v>
      </c>
      <c r="D74" s="204" t="n">
        <v>150</v>
      </c>
      <c r="E74" s="202" t="n">
        <v>42</v>
      </c>
      <c r="F74" s="203" t="n">
        <v>124</v>
      </c>
      <c r="G74" s="205" t="n">
        <v>-40</v>
      </c>
      <c r="H74" s="203" t="n">
        <v>84</v>
      </c>
      <c r="I74" s="206" t="inlineStr">
        <is>
          <t>こもの</t>
        </is>
      </c>
      <c r="J74" s="206" t="n">
        <v/>
      </c>
      <c r="K74" s="207">
        <f>C74-E74+G74</f>
        <v/>
      </c>
      <c r="L74" s="202" t="n"/>
      <c r="M74" s="208">
        <f>IF(COUNTIFS($B74,"*東一*")&gt;0,"東一",IF(COUNTIF($L74,"■")&gt;0,IF(COUNTIF($J74,"○")&gt;0,"荷受",$K74*-1),""))</f>
        <v/>
      </c>
      <c r="N74" s="193" t="n"/>
      <c r="O74" s="193" t="n"/>
      <c r="P74" s="193" t="n"/>
      <c r="Q74" s="193" t="n"/>
      <c r="R74" s="193" t="n"/>
      <c r="S74" s="193" t="n"/>
    </row>
    <row r="75" ht="12.6" customHeight="1">
      <c r="A75" s="201" t="inlineStr">
        <is>
          <t>1408-172</t>
        </is>
      </c>
      <c r="B75" s="202" t="inlineStr">
        <is>
          <t>有機ほうれん草　150g袋×４(北総)東一</t>
        </is>
      </c>
      <c r="C75" s="203" t="n">
        <v>0</v>
      </c>
      <c r="D75" s="204" t="n">
        <v>8</v>
      </c>
      <c r="E75" s="202" t="n">
        <v>8</v>
      </c>
      <c r="F75" s="203" t="n">
        <v>0</v>
      </c>
      <c r="G75" s="205" t="n">
        <v>0</v>
      </c>
      <c r="H75" s="203" t="n">
        <v>0</v>
      </c>
      <c r="I75" s="206" t="inlineStr">
        <is>
          <t>こもの</t>
        </is>
      </c>
      <c r="J75" s="206" t="n">
        <v/>
      </c>
      <c r="K75" s="207">
        <f>C75-E75+G75</f>
        <v/>
      </c>
      <c r="L75" s="202" t="n"/>
      <c r="M75" s="208">
        <f>IF(COUNTIFS($B75,"*東一*")&gt;0,"東一",IF(COUNTIF($L75,"■")&gt;0,IF(COUNTIF($J75,"○")&gt;0,"荷受",$K75*-1),""))</f>
        <v/>
      </c>
      <c r="N75" s="193" t="n"/>
      <c r="O75" s="193" t="n"/>
      <c r="P75" s="193" t="n"/>
      <c r="Q75" s="193" t="n"/>
      <c r="R75" s="193" t="n"/>
      <c r="S75" s="193" t="n"/>
    </row>
    <row r="76" ht="12.6" customHeight="1">
      <c r="A76" s="201" t="inlineStr">
        <is>
          <t>1408-72</t>
        </is>
      </c>
      <c r="B76" s="202" t="inlineStr">
        <is>
          <t>有機ほうれん草　150g袋 (わ～ふぁ)</t>
        </is>
      </c>
      <c r="C76" s="203" t="n">
        <v>3</v>
      </c>
      <c r="D76" s="204" t="n">
        <v>20</v>
      </c>
      <c r="E76" s="202" t="n">
        <v>9</v>
      </c>
      <c r="F76" s="203" t="n">
        <v>14</v>
      </c>
      <c r="G76" s="205" t="n">
        <v>0</v>
      </c>
      <c r="H76" s="203" t="n">
        <v>14</v>
      </c>
      <c r="I76" s="206" t="inlineStr">
        <is>
          <t>こもの</t>
        </is>
      </c>
      <c r="J76" s="206" t="n">
        <v/>
      </c>
      <c r="K76" s="207">
        <f>C76-E76+G76</f>
        <v/>
      </c>
      <c r="L76" s="202" t="n"/>
      <c r="M76" s="208">
        <f>IF(COUNTIFS($B76,"*東一*")&gt;0,"東一",IF(COUNTIF($L76,"■")&gt;0,IF(COUNTIF($J76,"○")&gt;0,"荷受",$K76*-1),""))</f>
        <v/>
      </c>
      <c r="N76" s="193" t="n"/>
      <c r="O76" s="193" t="n"/>
      <c r="P76" s="193" t="n"/>
      <c r="Q76" s="193" t="n"/>
      <c r="R76" s="193" t="n"/>
      <c r="S76" s="193" t="n"/>
    </row>
    <row r="77" ht="12.6" customHeight="1">
      <c r="A77" s="201" t="inlineStr">
        <is>
          <t>1409-160</t>
        </is>
      </c>
      <c r="B77" s="202" t="inlineStr">
        <is>
          <t>有機小松菜　200g(北総)</t>
        </is>
      </c>
      <c r="C77" s="203" t="n">
        <v>45</v>
      </c>
      <c r="D77" s="204" t="n">
        <v>200</v>
      </c>
      <c r="E77" s="202" t="n">
        <v>65</v>
      </c>
      <c r="F77" s="203" t="n">
        <v>180</v>
      </c>
      <c r="G77" s="205" t="n">
        <v>-40</v>
      </c>
      <c r="H77" s="203" t="n">
        <v>140</v>
      </c>
      <c r="I77" s="206" t="inlineStr">
        <is>
          <t>こもの</t>
        </is>
      </c>
      <c r="J77" s="206" t="n">
        <v/>
      </c>
      <c r="K77" s="207">
        <f>C77-E77+G77</f>
        <v/>
      </c>
      <c r="L77" s="202" t="n"/>
      <c r="M77" s="208">
        <f>IF(COUNTIFS($B77,"*東一*")&gt;0,"東一",IF(COUNTIF($L77,"■")&gt;0,IF(COUNTIF($J77,"○")&gt;0,"荷受",$K77*-1),""))</f>
        <v/>
      </c>
      <c r="N77" s="193" t="n"/>
      <c r="O77" s="193" t="n"/>
      <c r="P77" s="193" t="n"/>
      <c r="Q77" s="193" t="n"/>
      <c r="R77" s="193" t="n"/>
      <c r="S77" s="193" t="n"/>
    </row>
    <row r="78" ht="12.6" customHeight="1">
      <c r="A78" s="201" t="inlineStr">
        <is>
          <t>1409-166</t>
        </is>
      </c>
      <c r="B78" s="202" t="inlineStr">
        <is>
          <t>有機小松菜　200g袋×４(北総)東一</t>
        </is>
      </c>
      <c r="C78" s="203" t="n">
        <v>0</v>
      </c>
      <c r="D78" s="204" t="n">
        <v>8</v>
      </c>
      <c r="E78" s="202" t="n">
        <v>8</v>
      </c>
      <c r="F78" s="203" t="n">
        <v>0</v>
      </c>
      <c r="G78" s="205" t="n">
        <v>0</v>
      </c>
      <c r="H78" s="203" t="n">
        <v>0</v>
      </c>
      <c r="I78" s="206" t="inlineStr">
        <is>
          <t>こもの</t>
        </is>
      </c>
      <c r="J78" s="206" t="n">
        <v/>
      </c>
      <c r="K78" s="207">
        <f>C78-E78+G78</f>
        <v/>
      </c>
      <c r="L78" s="202" t="n"/>
      <c r="M78" s="208">
        <f>IF(COUNTIFS($B78,"*東一*")&gt;0,"東一",IF(COUNTIF($L78,"■")&gt;0,IF(COUNTIF($J78,"○")&gt;0,"荷受",$K78*-1),""))</f>
        <v/>
      </c>
      <c r="N78" s="193" t="n"/>
      <c r="O78" s="193" t="n"/>
      <c r="P78" s="193" t="n"/>
      <c r="Q78" s="193" t="n"/>
      <c r="R78" s="193" t="n"/>
      <c r="S78" s="193" t="n"/>
    </row>
    <row r="79" ht="12.6" customHeight="1">
      <c r="A79" s="201" t="inlineStr">
        <is>
          <t>1409-81</t>
        </is>
      </c>
      <c r="B79" s="202" t="inlineStr">
        <is>
          <t>有機小松菜　200g袋 (わ～ふぁ)</t>
        </is>
      </c>
      <c r="C79" s="203" t="n">
        <v>1</v>
      </c>
      <c r="D79" s="204" t="n">
        <v>30</v>
      </c>
      <c r="E79" s="202" t="n">
        <v>9</v>
      </c>
      <c r="F79" s="203" t="n">
        <v>22</v>
      </c>
      <c r="G79" s="205" t="n">
        <v>0</v>
      </c>
      <c r="H79" s="203" t="n">
        <v>22</v>
      </c>
      <c r="I79" s="206" t="inlineStr">
        <is>
          <t>こもの</t>
        </is>
      </c>
      <c r="J79" s="206" t="n">
        <v/>
      </c>
      <c r="K79" s="207">
        <f>C79-E79+G79</f>
        <v/>
      </c>
      <c r="L79" s="202" t="n"/>
      <c r="M79" s="208">
        <f>IF(COUNTIFS($B79,"*東一*")&gt;0,"東一",IF(COUNTIF($L79,"■")&gt;0,IF(COUNTIF($J79,"○")&gt;0,"荷受",$K79*-1),""))</f>
        <v/>
      </c>
      <c r="N79" s="193" t="n"/>
      <c r="O79" s="193" t="n"/>
      <c r="P79" s="193" t="n"/>
      <c r="Q79" s="193" t="n"/>
      <c r="R79" s="193" t="n"/>
      <c r="S79" s="193" t="n"/>
    </row>
    <row r="80" ht="12.6" customHeight="1">
      <c r="A80" s="201" t="inlineStr">
        <is>
          <t>1419-1</t>
        </is>
      </c>
      <c r="B80" s="202" t="inlineStr">
        <is>
          <t>有機フリルケール　３枚入（わ～ふぁ）</t>
        </is>
      </c>
      <c r="C80" s="203" t="n">
        <v>4</v>
      </c>
      <c r="D80" s="204" t="n">
        <v>60</v>
      </c>
      <c r="E80" s="202" t="n">
        <v>12</v>
      </c>
      <c r="F80" s="203" t="n">
        <v>52</v>
      </c>
      <c r="G80" s="205" t="n">
        <v>-5</v>
      </c>
      <c r="H80" s="203" t="n">
        <v>47</v>
      </c>
      <c r="I80" s="206" t="inlineStr">
        <is>
          <t>こもの</t>
        </is>
      </c>
      <c r="J80" s="206" t="n">
        <v/>
      </c>
      <c r="K80" s="207">
        <f>C80-E80+G80</f>
        <v/>
      </c>
      <c r="L80" s="202" t="n"/>
      <c r="M80" s="208">
        <f>IF(COUNTIFS($B80,"*東一*")&gt;0,"東一",IF(COUNTIF($L80,"■")&gt;0,IF(COUNTIF($J80,"○")&gt;0,"荷受",$K80*-1),""))</f>
        <v/>
      </c>
      <c r="N80" s="193" t="n"/>
      <c r="O80" s="193" t="n"/>
      <c r="P80" s="193" t="n"/>
      <c r="Q80" s="193" t="n"/>
      <c r="R80" s="193" t="n"/>
      <c r="S80" s="193" t="n"/>
    </row>
    <row r="81" ht="12.6" customHeight="1">
      <c r="A81" s="201" t="inlineStr">
        <is>
          <t>1419-15</t>
        </is>
      </c>
      <c r="B81" s="202" t="inlineStr">
        <is>
          <t>有機ケール　緑 80ｇ(富岡)</t>
        </is>
      </c>
      <c r="C81" s="203" t="n">
        <v>96</v>
      </c>
      <c r="D81" s="204" t="n">
        <v>0</v>
      </c>
      <c r="E81" s="202" t="n">
        <v>35</v>
      </c>
      <c r="F81" s="203" t="n">
        <v>61</v>
      </c>
      <c r="G81" s="205" t="n">
        <v>0</v>
      </c>
      <c r="H81" s="203" t="n">
        <v>61</v>
      </c>
      <c r="I81" s="206" t="inlineStr">
        <is>
          <t>こもの</t>
        </is>
      </c>
      <c r="J81" s="206" t="n">
        <v/>
      </c>
      <c r="K81" s="207">
        <f>C81-E81+G81</f>
        <v/>
      </c>
      <c r="L81" s="202" t="n"/>
      <c r="M81" s="208">
        <f>IF(COUNTIFS($B81,"*東一*")&gt;0,"東一",IF(COUNTIF($L81,"■")&gt;0,IF(COUNTIF($J81,"○")&gt;0,"荷受",$K81*-1),""))</f>
        <v/>
      </c>
      <c r="N81" s="193" t="n"/>
      <c r="O81" s="193" t="n"/>
      <c r="P81" s="193" t="n"/>
      <c r="Q81" s="193" t="n"/>
      <c r="R81" s="193" t="n"/>
      <c r="S81" s="193" t="n"/>
    </row>
    <row r="82" ht="12.6" customHeight="1">
      <c r="A82" s="201" t="inlineStr">
        <is>
          <t>1419-2</t>
        </is>
      </c>
      <c r="B82" s="202" t="inlineStr">
        <is>
          <t>有機ﾌﾘﾙｹｰﾙ　3枚入×５(わ～ふぁ)東一</t>
        </is>
      </c>
      <c r="C82" s="203" t="n">
        <v>0</v>
      </c>
      <c r="D82" s="204" t="n">
        <v>1</v>
      </c>
      <c r="E82" s="202" t="n">
        <v>1</v>
      </c>
      <c r="F82" s="203" t="n">
        <v>0</v>
      </c>
      <c r="G82" s="205" t="n">
        <v>0</v>
      </c>
      <c r="H82" s="203" t="n">
        <v>0</v>
      </c>
      <c r="I82" s="206" t="inlineStr">
        <is>
          <t>こもの</t>
        </is>
      </c>
      <c r="J82" s="206" t="n">
        <v/>
      </c>
      <c r="K82" s="207">
        <f>C82-E82+G82</f>
        <v/>
      </c>
      <c r="L82" s="202" t="n"/>
      <c r="M82" s="208">
        <f>IF(COUNTIFS($B82,"*東一*")&gt;0,"東一",IF(COUNTIF($L82,"■")&gt;0,IF(COUNTIF($J82,"○")&gt;0,"荷受",$K82*-1),""))</f>
        <v/>
      </c>
      <c r="N82" s="193" t="n"/>
      <c r="O82" s="193" t="n"/>
      <c r="P82" s="193" t="n"/>
      <c r="Q82" s="193" t="n"/>
      <c r="R82" s="193" t="n"/>
      <c r="S82" s="193" t="n"/>
    </row>
    <row r="83" ht="12.6" customHeight="1">
      <c r="A83" s="201" t="inlineStr">
        <is>
          <t>1419-35</t>
        </is>
      </c>
      <c r="B83" s="202" t="inlineStr">
        <is>
          <t>有機ケール　80ｇ(まるた)</t>
        </is>
      </c>
      <c r="C83" s="203" t="n">
        <v>74</v>
      </c>
      <c r="D83" s="204" t="n">
        <v>0</v>
      </c>
      <c r="E83" s="202" t="n">
        <v>39</v>
      </c>
      <c r="F83" s="203" t="n">
        <v>35</v>
      </c>
      <c r="G83" s="205" t="n">
        <v>0</v>
      </c>
      <c r="H83" s="203" t="n">
        <v>35</v>
      </c>
      <c r="I83" s="206" t="inlineStr">
        <is>
          <t>こもの</t>
        </is>
      </c>
      <c r="J83" s="206" t="n">
        <v/>
      </c>
      <c r="K83" s="207">
        <f>C83-E83+G83</f>
        <v/>
      </c>
      <c r="L83" s="202" t="n"/>
      <c r="M83" s="208">
        <f>IF(COUNTIFS($B83,"*東一*")&gt;0,"東一",IF(COUNTIF($L83,"■")&gt;0,IF(COUNTIF($J83,"○")&gt;0,"荷受",$K83*-1),""))</f>
        <v/>
      </c>
      <c r="N83" s="193" t="n"/>
      <c r="O83" s="193" t="n"/>
      <c r="P83" s="193" t="n"/>
      <c r="Q83" s="193" t="n"/>
      <c r="R83" s="193" t="n"/>
      <c r="S83" s="193" t="n"/>
    </row>
    <row r="84" ht="12.6" customHeight="1">
      <c r="A84" s="201" t="inlineStr">
        <is>
          <t>1443-28</t>
        </is>
      </c>
      <c r="B84" s="202" t="inlineStr">
        <is>
          <t>有機ちんげん菜　２株(わ～ふぁ)</t>
        </is>
      </c>
      <c r="C84" s="203" t="n">
        <v>5</v>
      </c>
      <c r="D84" s="204" t="n">
        <v>30</v>
      </c>
      <c r="E84" s="202" t="n">
        <v>16</v>
      </c>
      <c r="F84" s="203" t="n">
        <v>19</v>
      </c>
      <c r="G84" s="205" t="n">
        <v>0</v>
      </c>
      <c r="H84" s="203" t="n">
        <v>19</v>
      </c>
      <c r="I84" s="206" t="inlineStr">
        <is>
          <t>こもの</t>
        </is>
      </c>
      <c r="J84" s="206" t="n">
        <v/>
      </c>
      <c r="K84" s="207">
        <f>C84-E84+G84</f>
        <v/>
      </c>
      <c r="L84" s="202" t="n"/>
      <c r="M84" s="208">
        <f>IF(COUNTIFS($B84,"*東一*")&gt;0,"東一",IF(COUNTIF($L84,"■")&gt;0,IF(COUNTIF($J84,"○")&gt;0,"荷受",$K84*-1),""))</f>
        <v/>
      </c>
      <c r="N84" s="193" t="n"/>
      <c r="O84" s="193" t="n"/>
      <c r="P84" s="193" t="n"/>
      <c r="Q84" s="193" t="n"/>
      <c r="R84" s="193" t="n"/>
      <c r="S84" s="193" t="n"/>
    </row>
    <row r="85" ht="12.6" customHeight="1">
      <c r="A85" s="201" t="inlineStr">
        <is>
          <t>1448-17</t>
        </is>
      </c>
      <c r="B85" s="202" t="inlineStr">
        <is>
          <t>春菊　150g(さんぶ)</t>
        </is>
      </c>
      <c r="C85" s="203" t="n">
        <v>6</v>
      </c>
      <c r="D85" s="204" t="n">
        <v>30</v>
      </c>
      <c r="E85" s="202" t="n">
        <v>14</v>
      </c>
      <c r="F85" s="203" t="n">
        <v>22</v>
      </c>
      <c r="G85" s="205" t="n">
        <v>0</v>
      </c>
      <c r="H85" s="203" t="n">
        <v>22</v>
      </c>
      <c r="I85" s="206" t="inlineStr">
        <is>
          <t>こもの</t>
        </is>
      </c>
      <c r="J85" s="206" t="n">
        <v/>
      </c>
      <c r="K85" s="207">
        <f>C85-E85+G85</f>
        <v/>
      </c>
      <c r="L85" s="202" t="n"/>
      <c r="M85" s="208">
        <f>IF(COUNTIFS($B85,"*東一*")&gt;0,"東一",IF(COUNTIF($L85,"■")&gt;0,IF(COUNTIF($J85,"○")&gt;0,"荷受",$K85*-1),""))</f>
        <v/>
      </c>
      <c r="N85" s="193" t="n"/>
      <c r="O85" s="193" t="n"/>
      <c r="P85" s="193" t="n"/>
      <c r="Q85" s="193" t="n"/>
      <c r="R85" s="193" t="n"/>
      <c r="S85" s="193" t="n"/>
    </row>
    <row r="86" ht="12.6" customHeight="1">
      <c r="A86" s="201" t="inlineStr">
        <is>
          <t>1448-36</t>
        </is>
      </c>
      <c r="B86" s="202" t="inlineStr">
        <is>
          <t>有機春菊　100ｇ(わ～ふぁ)</t>
        </is>
      </c>
      <c r="C86" s="203" t="n">
        <v>23</v>
      </c>
      <c r="D86" s="204" t="n">
        <v>10</v>
      </c>
      <c r="E86" s="202" t="n">
        <v>2</v>
      </c>
      <c r="F86" s="203" t="n">
        <v>31</v>
      </c>
      <c r="G86" s="205" t="n">
        <v>0</v>
      </c>
      <c r="H86" s="203" t="n">
        <v>31</v>
      </c>
      <c r="I86" s="206" t="inlineStr">
        <is>
          <t>こもの</t>
        </is>
      </c>
      <c r="J86" s="206" t="n">
        <v/>
      </c>
      <c r="K86" s="207">
        <f>C86-E86+G86</f>
        <v/>
      </c>
      <c r="L86" s="202" t="n"/>
      <c r="M86" s="208">
        <f>IF(COUNTIFS($B86,"*東一*")&gt;0,"東一",IF(COUNTIF($L86,"■")&gt;0,IF(COUNTIF($J86,"○")&gt;0,"荷受",$K86*-1),""))</f>
        <v/>
      </c>
      <c r="N86" s="193" t="n"/>
      <c r="O86" s="193" t="n"/>
      <c r="P86" s="193" t="n"/>
      <c r="Q86" s="193" t="n"/>
      <c r="R86" s="193" t="n"/>
      <c r="S86" s="193" t="n"/>
    </row>
    <row r="87" ht="12.6" customHeight="1">
      <c r="A87" s="201" t="inlineStr">
        <is>
          <t>1468-3</t>
        </is>
      </c>
      <c r="B87" s="202" t="inlineStr">
        <is>
          <t>有機山東菜　150ｇ（わ～ふぁ）</t>
        </is>
      </c>
      <c r="C87" s="203" t="n">
        <v>5</v>
      </c>
      <c r="D87" s="204" t="n">
        <v>20</v>
      </c>
      <c r="E87" s="202" t="n">
        <v>14</v>
      </c>
      <c r="F87" s="203" t="n">
        <v>11</v>
      </c>
      <c r="G87" s="205" t="n">
        <v>0</v>
      </c>
      <c r="H87" s="203" t="n">
        <v>11</v>
      </c>
      <c r="I87" s="206" t="inlineStr">
        <is>
          <t>こもの</t>
        </is>
      </c>
      <c r="J87" s="206" t="n">
        <v/>
      </c>
      <c r="K87" s="207">
        <f>C87-E87+G87</f>
        <v/>
      </c>
      <c r="L87" s="202" t="n"/>
      <c r="M87" s="208">
        <f>IF(COUNTIFS($B87,"*東一*")&gt;0,"東一",IF(COUNTIF($L87,"■")&gt;0,IF(COUNTIF($J87,"○")&gt;0,"荷受",$K87*-1),""))</f>
        <v/>
      </c>
      <c r="N87" s="193" t="n"/>
      <c r="O87" s="193" t="n"/>
      <c r="P87" s="193" t="n"/>
      <c r="Q87" s="193" t="n"/>
      <c r="R87" s="193" t="n"/>
      <c r="S87" s="193" t="n"/>
    </row>
    <row r="88" ht="12.6" customHeight="1">
      <c r="A88" s="201" t="inlineStr">
        <is>
          <t>1470-55</t>
        </is>
      </c>
      <c r="B88" s="202" t="inlineStr">
        <is>
          <t>有機水菜 200g袋 (わ～ふぁ・産ﾊﾟ)</t>
        </is>
      </c>
      <c r="C88" s="203" t="n">
        <v>11</v>
      </c>
      <c r="D88" s="204" t="n">
        <v>20</v>
      </c>
      <c r="E88" s="202" t="n">
        <v>5</v>
      </c>
      <c r="F88" s="203" t="n">
        <v>26</v>
      </c>
      <c r="G88" s="205" t="n">
        <v>0</v>
      </c>
      <c r="H88" s="203" t="n">
        <v>26</v>
      </c>
      <c r="I88" s="206" t="inlineStr">
        <is>
          <t>こもの</t>
        </is>
      </c>
      <c r="J88" s="206" t="n">
        <v/>
      </c>
      <c r="K88" s="207">
        <f>C88-E88+G88</f>
        <v/>
      </c>
      <c r="L88" s="202" t="n"/>
      <c r="M88" s="208">
        <f>IF(COUNTIFS($B88,"*東一*")&gt;0,"東一",IF(COUNTIF($L88,"■")&gt;0,IF(COUNTIF($J88,"○")&gt;0,"荷受",$K88*-1),""))</f>
        <v/>
      </c>
      <c r="N88" s="193" t="n"/>
      <c r="O88" s="193" t="n"/>
      <c r="P88" s="193" t="n"/>
      <c r="Q88" s="193" t="n"/>
      <c r="R88" s="193" t="n"/>
      <c r="S88" s="193" t="n"/>
    </row>
    <row r="89" ht="12.6" customHeight="1">
      <c r="A89" s="201" t="inlineStr">
        <is>
          <t>1502-148</t>
        </is>
      </c>
      <c r="B89" s="202" t="inlineStr">
        <is>
          <t>キャベツ　1個袋(キテレツ)不不</t>
        </is>
      </c>
      <c r="C89" s="203" t="n">
        <v>-6</v>
      </c>
      <c r="D89" s="204" t="n">
        <v>50</v>
      </c>
      <c r="E89" s="202" t="n">
        <v>15</v>
      </c>
      <c r="F89" s="203" t="n">
        <v>29</v>
      </c>
      <c r="G89" s="205" t="n">
        <v>0</v>
      </c>
      <c r="H89" s="203" t="n">
        <v>29</v>
      </c>
      <c r="I89" s="206" t="inlineStr">
        <is>
          <t>こもの</t>
        </is>
      </c>
      <c r="J89" s="206" t="n">
        <v/>
      </c>
      <c r="K89" s="207">
        <f>C89-E89+G89</f>
        <v/>
      </c>
      <c r="L89" s="202" t="n"/>
      <c r="M89" s="208">
        <f>IF(COUNTIFS($B89,"*東一*")&gt;0,"東一",IF(COUNTIF($L89,"■")&gt;0,IF(COUNTIF($J89,"○")&gt;0,"荷受",$K89*-1),""))</f>
        <v/>
      </c>
      <c r="N89" s="193" t="n"/>
      <c r="O89" s="193" t="n"/>
      <c r="P89" s="193" t="n"/>
      <c r="Q89" s="193" t="n"/>
      <c r="R89" s="193" t="n"/>
      <c r="S89" s="193" t="n"/>
    </row>
    <row r="90" ht="12.6" customHeight="1">
      <c r="A90" s="201" t="inlineStr">
        <is>
          <t>1509-108</t>
        </is>
      </c>
      <c r="B90" s="202" t="inlineStr">
        <is>
          <t>有機グリーンボール　1玉(ﾌｧｰﾏｰｽﾞ)◇</t>
        </is>
      </c>
      <c r="C90" s="203" t="n">
        <v>102</v>
      </c>
      <c r="D90" s="204" t="n">
        <v>0</v>
      </c>
      <c r="E90" s="202" t="n">
        <v>7</v>
      </c>
      <c r="F90" s="203" t="n">
        <v>95</v>
      </c>
      <c r="G90" s="205" t="n">
        <v>0</v>
      </c>
      <c r="H90" s="203" t="n">
        <v>95</v>
      </c>
      <c r="I90" s="206" t="inlineStr">
        <is>
          <t>こもの</t>
        </is>
      </c>
      <c r="J90" s="206" t="n">
        <v/>
      </c>
      <c r="K90" s="207">
        <f>C90-E90+G90</f>
        <v/>
      </c>
      <c r="L90" s="202" t="n"/>
      <c r="M90" s="208">
        <f>IF(COUNTIFS($B90,"*東一*")&gt;0,"東一",IF(COUNTIF($L90,"■")&gt;0,IF(COUNTIF($J90,"○")&gt;0,"荷受",$K90*-1),""))</f>
        <v/>
      </c>
      <c r="N90" s="193" t="n"/>
      <c r="O90" s="193" t="n"/>
      <c r="P90" s="193" t="n"/>
      <c r="Q90" s="193" t="n"/>
      <c r="R90" s="193" t="n"/>
      <c r="S90" s="193" t="n"/>
    </row>
    <row r="91" ht="12.6" customHeight="1">
      <c r="A91" s="201" t="inlineStr">
        <is>
          <t>1509-118</t>
        </is>
      </c>
      <c r="B91" s="202" t="inlineStr">
        <is>
          <t>有機キャベツ １玉包（丸和）◇</t>
        </is>
      </c>
      <c r="C91" s="203" t="n">
        <v>1</v>
      </c>
      <c r="D91" s="204" t="n">
        <v>0</v>
      </c>
      <c r="E91" s="202" t="n">
        <v>4</v>
      </c>
      <c r="F91" s="203" t="n">
        <v>-3</v>
      </c>
      <c r="G91" s="205" t="n">
        <v>0</v>
      </c>
      <c r="H91" s="203" t="n">
        <v>-3</v>
      </c>
      <c r="I91" s="206" t="inlineStr">
        <is>
          <t>こもの</t>
        </is>
      </c>
      <c r="J91" s="206" t="n">
        <v/>
      </c>
      <c r="K91" s="207">
        <f>C91-E91+G91</f>
        <v/>
      </c>
      <c r="L91" s="202" t="n"/>
      <c r="M91" s="208">
        <f>IF(COUNTIFS($B91,"*東一*")&gt;0,"東一",IF(COUNTIF($L91,"■")&gt;0,IF(COUNTIF($J91,"○")&gt;0,"荷受",$K91*-1),""))</f>
        <v/>
      </c>
      <c r="N91" s="193" t="n"/>
      <c r="O91" s="193" t="n"/>
      <c r="P91" s="193" t="n"/>
      <c r="Q91" s="193" t="n"/>
      <c r="R91" s="193" t="n"/>
      <c r="S91" s="193" t="n"/>
    </row>
    <row r="92" ht="12.6" customHeight="1">
      <c r="A92" s="201" t="inlineStr">
        <is>
          <t>1516-38</t>
        </is>
      </c>
      <c r="B92" s="202" t="inlineStr">
        <is>
          <t>有機サニーﾚﾀｽ　ﾗｯﾌﾟ 1個(ﾌｧｰﾏｰｽﾞ)◇</t>
        </is>
      </c>
      <c r="C92" s="203" t="n">
        <v>29</v>
      </c>
      <c r="D92" s="204" t="n">
        <v>100</v>
      </c>
      <c r="E92" s="202" t="n">
        <v>103</v>
      </c>
      <c r="F92" s="203" t="n">
        <v>26</v>
      </c>
      <c r="G92" s="205" t="n">
        <v>0</v>
      </c>
      <c r="H92" s="203" t="n">
        <v>26</v>
      </c>
      <c r="I92" s="206" t="inlineStr">
        <is>
          <t>こもの</t>
        </is>
      </c>
      <c r="J92" s="206" t="n">
        <v/>
      </c>
      <c r="K92" s="207">
        <f>C92-E92+G92</f>
        <v/>
      </c>
      <c r="L92" s="202" t="n"/>
      <c r="M92" s="208">
        <f>IF(COUNTIFS($B92,"*東一*")&gt;0,"東一",IF(COUNTIF($L92,"■")&gt;0,IF(COUNTIF($J92,"○")&gt;0,"荷受",$K92*-1),""))</f>
        <v/>
      </c>
      <c r="N92" s="193" t="n"/>
      <c r="O92" s="193" t="n"/>
      <c r="P92" s="193" t="n"/>
      <c r="Q92" s="193" t="n"/>
      <c r="R92" s="193" t="n"/>
      <c r="S92" s="193" t="n"/>
    </row>
    <row r="93" ht="12.6" customHeight="1">
      <c r="A93" s="201" t="inlineStr">
        <is>
          <t>1521-17</t>
        </is>
      </c>
      <c r="B93" s="202" t="inlineStr">
        <is>
          <t>グリーンボール　１個袋(せっせと畑)◇</t>
        </is>
      </c>
      <c r="C93" s="203" t="n">
        <v>-35</v>
      </c>
      <c r="D93" s="204" t="n">
        <v>0</v>
      </c>
      <c r="E93" s="202" t="n">
        <v>27</v>
      </c>
      <c r="F93" s="203" t="n">
        <v>-62</v>
      </c>
      <c r="G93" s="205" t="n">
        <v>0</v>
      </c>
      <c r="H93" s="203" t="n">
        <v>-62</v>
      </c>
      <c r="I93" s="206" t="inlineStr">
        <is>
          <t>こもの</t>
        </is>
      </c>
      <c r="J93" s="206" t="n">
        <v/>
      </c>
      <c r="K93" s="207">
        <f>C93-E93+G93</f>
        <v/>
      </c>
      <c r="L93" s="202" t="n"/>
      <c r="M93" s="208">
        <f>IF(COUNTIFS($B93,"*東一*")&gt;0,"東一",IF(COUNTIF($L93,"■")&gt;0,IF(COUNTIF($J93,"○")&gt;0,"荷受",$K93*-1),""))</f>
        <v/>
      </c>
      <c r="N93" s="193" t="n"/>
      <c r="O93" s="193" t="n"/>
      <c r="P93" s="193" t="n"/>
      <c r="Q93" s="193" t="n"/>
      <c r="R93" s="193" t="n"/>
      <c r="S93" s="193" t="n"/>
    </row>
    <row r="94" ht="12.6" customHeight="1">
      <c r="A94" s="201" t="inlineStr">
        <is>
          <t>1533-150</t>
        </is>
      </c>
      <c r="B94" s="202" t="inlineStr">
        <is>
          <t>有機 玉レタス ﾗｯﾌﾟ 1個(ﾌｧｰﾏｰｽﾞ)◇</t>
        </is>
      </c>
      <c r="C94" s="203" t="n">
        <v>13</v>
      </c>
      <c r="D94" s="204" t="n">
        <v>120</v>
      </c>
      <c r="E94" s="202" t="n">
        <v>116</v>
      </c>
      <c r="F94" s="203" t="n">
        <v>17</v>
      </c>
      <c r="G94" s="205" t="n">
        <v>0</v>
      </c>
      <c r="H94" s="203" t="n">
        <v>17</v>
      </c>
      <c r="I94" s="206" t="inlineStr">
        <is>
          <t>こもの</t>
        </is>
      </c>
      <c r="J94" s="206" t="n">
        <v/>
      </c>
      <c r="K94" s="207">
        <f>C94-E94+G94</f>
        <v/>
      </c>
      <c r="L94" s="202" t="n"/>
      <c r="M94" s="208">
        <f>IF(COUNTIFS($B94,"*東一*")&gt;0,"東一",IF(COUNTIF($L94,"■")&gt;0,IF(COUNTIF($J94,"○")&gt;0,"荷受",$K94*-1),""))</f>
        <v/>
      </c>
      <c r="N94" s="193" t="n"/>
      <c r="O94" s="193" t="n"/>
      <c r="P94" s="193" t="n"/>
      <c r="Q94" s="193" t="n"/>
      <c r="R94" s="193" t="n"/>
      <c r="S94" s="193" t="n"/>
    </row>
    <row r="95" ht="12.6" customHeight="1">
      <c r="A95" s="201" t="inlineStr">
        <is>
          <t>1543-134</t>
        </is>
      </c>
      <c r="B95" s="202" t="inlineStr">
        <is>
          <t>ブロッコリー1個袋(那須・益子美好)6割・不</t>
        </is>
      </c>
      <c r="C95" s="203" t="n">
        <v>25</v>
      </c>
      <c r="D95" s="204" t="n">
        <v>120</v>
      </c>
      <c r="E95" s="202" t="n">
        <v>81</v>
      </c>
      <c r="F95" s="203" t="n">
        <v>64</v>
      </c>
      <c r="G95" s="205" t="n">
        <v>0</v>
      </c>
      <c r="H95" s="203" t="n">
        <v>64</v>
      </c>
      <c r="I95" s="206" t="inlineStr">
        <is>
          <t>こもの</t>
        </is>
      </c>
      <c r="J95" s="206" t="inlineStr">
        <is>
          <t>○</t>
        </is>
      </c>
      <c r="K95" s="207">
        <f>C95-E95+G95</f>
        <v/>
      </c>
      <c r="L95" s="202" t="n"/>
      <c r="M95" s="208">
        <f>IF(COUNTIFS($B95,"*東一*")&gt;0,"東一",IF(COUNTIF($L95,"■")&gt;0,IF(COUNTIF($J95,"○")&gt;0,"荷受",$K95*-1),""))</f>
        <v/>
      </c>
      <c r="N95" s="193" t="n"/>
      <c r="O95" s="193" t="n"/>
      <c r="P95" s="193" t="n"/>
      <c r="Q95" s="193" t="n"/>
      <c r="R95" s="193" t="n"/>
      <c r="S95" s="193" t="n"/>
    </row>
    <row r="96" ht="12.6" customHeight="1">
      <c r="A96" s="201" t="inlineStr">
        <is>
          <t>1561-54</t>
        </is>
      </c>
      <c r="B96" s="202" t="inlineStr">
        <is>
          <t>長ねぎ ムキ 300g (さんぶ)不不</t>
        </is>
      </c>
      <c r="C96" s="203" t="n">
        <v>23</v>
      </c>
      <c r="D96" s="204" t="n">
        <v>60</v>
      </c>
      <c r="E96" s="202" t="n">
        <v>23</v>
      </c>
      <c r="F96" s="203" t="n">
        <v>60</v>
      </c>
      <c r="G96" s="205" t="n">
        <v>0</v>
      </c>
      <c r="H96" s="203" t="n">
        <v>60</v>
      </c>
      <c r="I96" s="206" t="inlineStr">
        <is>
          <t>こもの</t>
        </is>
      </c>
      <c r="J96" s="206" t="n">
        <v/>
      </c>
      <c r="K96" s="207">
        <f>C96-E96+G96</f>
        <v/>
      </c>
      <c r="L96" s="202" t="n"/>
      <c r="M96" s="208">
        <f>IF(COUNTIFS($B96,"*東一*")&gt;0,"東一",IF(COUNTIF($L96,"■")&gt;0,IF(COUNTIF($J96,"○")&gt;0,"荷受",$K96*-1),""))</f>
        <v/>
      </c>
      <c r="N96" s="193" t="n"/>
      <c r="O96" s="193" t="n"/>
      <c r="P96" s="193" t="n"/>
      <c r="Q96" s="193" t="n"/>
      <c r="R96" s="193" t="n"/>
      <c r="S96" s="193" t="n"/>
    </row>
    <row r="97" ht="12.6" customHeight="1">
      <c r="A97" s="201" t="inlineStr">
        <is>
          <t>1564-100</t>
        </is>
      </c>
      <c r="B97" s="202" t="inlineStr">
        <is>
          <t>長ねぎ　ﾑｷ ２本袋(ﾊｲﾊｰﾊﾞｰ)◇</t>
        </is>
      </c>
      <c r="C97" s="203" t="n">
        <v>14</v>
      </c>
      <c r="D97" s="204" t="n">
        <v>280</v>
      </c>
      <c r="E97" s="202" t="n">
        <v>276</v>
      </c>
      <c r="F97" s="203" t="n">
        <v>18</v>
      </c>
      <c r="G97" s="205" t="n">
        <v>0</v>
      </c>
      <c r="H97" s="203" t="n">
        <v>18</v>
      </c>
      <c r="I97" s="206" t="inlineStr">
        <is>
          <t>こもの</t>
        </is>
      </c>
      <c r="J97" s="206" t="n">
        <v/>
      </c>
      <c r="K97" s="207">
        <f>C97-E97+G97</f>
        <v/>
      </c>
      <c r="L97" s="202" t="n"/>
      <c r="M97" s="208">
        <f>IF(COUNTIFS($B97,"*東一*")&gt;0,"東一",IF(COUNTIF($L97,"■")&gt;0,IF(COUNTIF($J97,"○")&gt;0,"荷受",$K97*-1),""))</f>
        <v/>
      </c>
      <c r="N97" s="193" t="n"/>
      <c r="O97" s="193" t="n"/>
      <c r="P97" s="193" t="n"/>
      <c r="Q97" s="193" t="n"/>
      <c r="R97" s="193" t="n"/>
      <c r="S97" s="193" t="n"/>
    </row>
    <row r="98" ht="12.6" customHeight="1">
      <c r="A98" s="201" t="inlineStr">
        <is>
          <t>1584-39</t>
        </is>
      </c>
      <c r="B98" s="202" t="inlineStr">
        <is>
          <t>有機ロメインﾚﾀｽ ﾗｯﾌﾟ 1個(ﾌｧｰﾏｰｽﾞ)◇</t>
        </is>
      </c>
      <c r="C98" s="203" t="n">
        <v>9</v>
      </c>
      <c r="D98" s="204" t="n">
        <v>40</v>
      </c>
      <c r="E98" s="202" t="n">
        <v>32</v>
      </c>
      <c r="F98" s="203" t="n">
        <v>17</v>
      </c>
      <c r="G98" s="205" t="n">
        <v>0</v>
      </c>
      <c r="H98" s="203" t="n">
        <v>17</v>
      </c>
      <c r="I98" s="206" t="inlineStr">
        <is>
          <t>こもの</t>
        </is>
      </c>
      <c r="J98" s="206" t="n">
        <v/>
      </c>
      <c r="K98" s="207">
        <f>C98-E98+G98</f>
        <v/>
      </c>
      <c r="L98" s="202" t="n"/>
      <c r="M98" s="208">
        <f>IF(COUNTIFS($B98,"*東一*")&gt;0,"東一",IF(COUNTIF($L98,"■")&gt;0,IF(COUNTIF($J98,"○")&gt;0,"荷受",$K98*-1),""))</f>
        <v/>
      </c>
      <c r="N98" s="193" t="n"/>
      <c r="O98" s="193" t="n"/>
      <c r="P98" s="193" t="n"/>
      <c r="Q98" s="193" t="n"/>
      <c r="R98" s="193" t="n"/>
      <c r="S98" s="193" t="n"/>
    </row>
    <row r="99" ht="12.6" customHeight="1">
      <c r="A99" s="201" t="inlineStr">
        <is>
          <t>1588-15</t>
        </is>
      </c>
      <c r="B99" s="202" t="inlineStr">
        <is>
          <t>有機フリルレタス ﾗｯﾌﾟ １個(ﾌｧｰﾏｰｽﾞ)◇</t>
        </is>
      </c>
      <c r="C99" s="203" t="n">
        <v>1</v>
      </c>
      <c r="D99" s="204" t="n">
        <v>10</v>
      </c>
      <c r="E99" s="202" t="n">
        <v>11</v>
      </c>
      <c r="F99" s="203" t="n">
        <v>0</v>
      </c>
      <c r="G99" s="205" t="n">
        <v>0</v>
      </c>
      <c r="H99" s="203" t="n">
        <v>0</v>
      </c>
      <c r="I99" s="206" t="inlineStr">
        <is>
          <t>こもの</t>
        </is>
      </c>
      <c r="J99" s="206" t="n">
        <v/>
      </c>
      <c r="K99" s="207">
        <f>C99-E99+G99</f>
        <v/>
      </c>
      <c r="L99" s="202" t="n"/>
      <c r="M99" s="208">
        <f>IF(COUNTIFS($B99,"*東一*")&gt;0,"東一",IF(COUNTIF($L99,"■")&gt;0,IF(COUNTIF($J99,"○")&gt;0,"荷受",$K99*-1),""))</f>
        <v/>
      </c>
      <c r="N99" s="193" t="n"/>
      <c r="O99" s="193" t="n"/>
      <c r="P99" s="193" t="n"/>
      <c r="Q99" s="193" t="n"/>
      <c r="R99" s="193" t="n"/>
      <c r="S99" s="193" t="n"/>
    </row>
    <row r="100" ht="12.6" customHeight="1">
      <c r="A100" s="201" t="inlineStr">
        <is>
          <t>1588-25</t>
        </is>
      </c>
      <c r="B100" s="202" t="inlineStr">
        <is>
          <t>有機レッドフリルﾚﾀｽ ﾗｯﾌﾟ １個(ﾌｧｰﾏｰｽﾞ)◇</t>
        </is>
      </c>
      <c r="C100" s="203" t="n">
        <v>9</v>
      </c>
      <c r="D100" s="204" t="n">
        <v>0</v>
      </c>
      <c r="E100" s="202" t="n">
        <v>4</v>
      </c>
      <c r="F100" s="203" t="n">
        <v>5</v>
      </c>
      <c r="G100" s="205" t="n">
        <v>0</v>
      </c>
      <c r="H100" s="203" t="n">
        <v>5</v>
      </c>
      <c r="I100" s="206" t="inlineStr">
        <is>
          <t>こもの</t>
        </is>
      </c>
      <c r="J100" s="206" t="n">
        <v/>
      </c>
      <c r="K100" s="207">
        <f>C100-E100+G100</f>
        <v/>
      </c>
      <c r="L100" s="202" t="n"/>
      <c r="M100" s="208">
        <f>IF(COUNTIFS($B100,"*東一*")&gt;0,"東一",IF(COUNTIF($L100,"■")&gt;0,IF(COUNTIF($J100,"○")&gt;0,"荷受",$K100*-1),""))</f>
        <v/>
      </c>
      <c r="N100" s="193" t="n"/>
      <c r="O100" s="193" t="n"/>
      <c r="P100" s="193" t="n"/>
      <c r="Q100" s="193" t="n"/>
      <c r="R100" s="193" t="n"/>
      <c r="S100" s="193" t="n"/>
    </row>
    <row r="101" ht="12.6" customHeight="1">
      <c r="A101" s="201" t="inlineStr">
        <is>
          <t>1589-138</t>
        </is>
      </c>
      <c r="B101" s="202" t="inlineStr">
        <is>
          <t>有機リーフﾚﾀｽ ﾗｯﾌﾟ1個(やさと・産ﾊﾟ)</t>
        </is>
      </c>
      <c r="C101" s="203" t="n">
        <v>24</v>
      </c>
      <c r="D101" s="204" t="n">
        <v>75</v>
      </c>
      <c r="E101" s="202" t="n">
        <v>52</v>
      </c>
      <c r="F101" s="203" t="n">
        <v>47</v>
      </c>
      <c r="G101" s="205" t="n">
        <v>0</v>
      </c>
      <c r="H101" s="203" t="n">
        <v>47</v>
      </c>
      <c r="I101" s="206" t="inlineStr">
        <is>
          <t>こもの</t>
        </is>
      </c>
      <c r="J101" s="206" t="inlineStr">
        <is>
          <t>○</t>
        </is>
      </c>
      <c r="K101" s="207">
        <f>C101-E101+G101</f>
        <v/>
      </c>
      <c r="L101" s="202" t="n"/>
      <c r="M101" s="208">
        <f>IF(COUNTIFS($B101,"*東一*")&gt;0,"東一",IF(COUNTIF($L101,"■")&gt;0,IF(COUNTIF($J101,"○")&gt;0,"荷受",$K101*-1),""))</f>
        <v/>
      </c>
      <c r="N101" s="193" t="n"/>
      <c r="O101" s="193" t="n"/>
      <c r="P101" s="193" t="n"/>
      <c r="Q101" s="193" t="n"/>
      <c r="R101" s="193" t="n"/>
      <c r="S101" s="193" t="n"/>
    </row>
    <row r="102" ht="12.6" customHeight="1">
      <c r="A102" s="201" t="inlineStr">
        <is>
          <t>1593-113</t>
        </is>
      </c>
      <c r="B102" s="202" t="inlineStr">
        <is>
          <t>ミニ白菜　1個袋(せっせと畑)◇不不</t>
        </is>
      </c>
      <c r="C102" s="203" t="n">
        <v>10</v>
      </c>
      <c r="D102" s="204" t="n">
        <v>60</v>
      </c>
      <c r="E102" s="202" t="n">
        <v>54</v>
      </c>
      <c r="F102" s="203" t="n">
        <v>16</v>
      </c>
      <c r="G102" s="205" t="n">
        <v>0</v>
      </c>
      <c r="H102" s="203" t="n">
        <v>16</v>
      </c>
      <c r="I102" s="206" t="inlineStr">
        <is>
          <t>こもの</t>
        </is>
      </c>
      <c r="J102" s="206" t="n">
        <v/>
      </c>
      <c r="K102" s="207">
        <f>C102-E102+G102</f>
        <v/>
      </c>
      <c r="L102" s="202" t="n"/>
      <c r="M102" s="208">
        <f>IF(COUNTIFS($B102,"*東一*")&gt;0,"東一",IF(COUNTIF($L102,"■")&gt;0,IF(COUNTIF($J102,"○")&gt;0,"荷受",$K102*-1),""))</f>
        <v/>
      </c>
      <c r="N102" s="193" t="n"/>
      <c r="O102" s="193" t="n"/>
      <c r="P102" s="193" t="n"/>
      <c r="Q102" s="193" t="n"/>
      <c r="R102" s="193" t="n"/>
      <c r="S102" s="193" t="n"/>
    </row>
    <row r="103" ht="12.6" customHeight="1">
      <c r="A103" s="201" t="inlineStr">
        <is>
          <t>1593-22</t>
        </is>
      </c>
      <c r="B103" s="202" t="inlineStr">
        <is>
          <t>有機ベビー白菜 １個袋 (さんぶ)</t>
        </is>
      </c>
      <c r="C103" s="203" t="n">
        <v>21</v>
      </c>
      <c r="D103" s="204" t="n">
        <v>108</v>
      </c>
      <c r="E103" s="202" t="n">
        <v>48</v>
      </c>
      <c r="F103" s="203" t="n">
        <v>81</v>
      </c>
      <c r="G103" s="205" t="n">
        <v>0</v>
      </c>
      <c r="H103" s="203" t="n">
        <v>81</v>
      </c>
      <c r="I103" s="206" t="inlineStr">
        <is>
          <t>こもの</t>
        </is>
      </c>
      <c r="J103" s="206" t="n">
        <v/>
      </c>
      <c r="K103" s="207">
        <f>C103-E103+G103</f>
        <v/>
      </c>
      <c r="L103" s="202" t="n"/>
      <c r="M103" s="208">
        <f>IF(COUNTIFS($B103,"*東一*")&gt;0,"東一",IF(COUNTIF($L103,"■")&gt;0,IF(COUNTIF($J103,"○")&gt;0,"荷受",$K103*-1),""))</f>
        <v/>
      </c>
      <c r="N103" s="193" t="n"/>
      <c r="O103" s="193" t="n"/>
      <c r="P103" s="193" t="n"/>
      <c r="Q103" s="193" t="n"/>
      <c r="R103" s="193" t="n"/>
      <c r="S103" s="193" t="n"/>
    </row>
    <row r="104" ht="12.6" customHeight="1">
      <c r="A104" s="201" t="inlineStr">
        <is>
          <t>1601-82</t>
        </is>
      </c>
      <c r="B104" s="202" t="inlineStr">
        <is>
          <t>トマト ｽﾀﾝﾄﾞﾊﾞｯｸﾞ約500g(沃土会)◇</t>
        </is>
      </c>
      <c r="C104" s="203" t="n">
        <v>25</v>
      </c>
      <c r="D104" s="204" t="n">
        <v>20</v>
      </c>
      <c r="E104" s="202" t="n">
        <v>15</v>
      </c>
      <c r="F104" s="203" t="n">
        <v>30</v>
      </c>
      <c r="G104" s="205" t="n">
        <v>0</v>
      </c>
      <c r="H104" s="203" t="n">
        <v>30</v>
      </c>
      <c r="I104" s="206" t="inlineStr">
        <is>
          <t>こもの</t>
        </is>
      </c>
      <c r="J104" s="206" t="n">
        <v/>
      </c>
      <c r="K104" s="207">
        <f>C104-E104+G104</f>
        <v/>
      </c>
      <c r="L104" s="202" t="n"/>
      <c r="M104" s="208">
        <f>IF(COUNTIFS($B104,"*東一*")&gt;0,"東一",IF(COUNTIF($L104,"■")&gt;0,IF(COUNTIF($J104,"○")&gt;0,"荷受",$K104*-1),""))</f>
        <v/>
      </c>
      <c r="N104" s="193" t="n"/>
      <c r="O104" s="193" t="n"/>
      <c r="P104" s="193" t="n"/>
      <c r="Q104" s="193" t="n"/>
      <c r="R104" s="193" t="n"/>
      <c r="S104" s="193" t="n"/>
    </row>
    <row r="105" ht="12.6" customHeight="1">
      <c r="A105" s="201" t="inlineStr">
        <is>
          <t>1606-96</t>
        </is>
      </c>
      <c r="B105" s="202" t="inlineStr">
        <is>
          <t>有機トマト１袋（220ｇ～)(澤村)◇</t>
        </is>
      </c>
      <c r="C105" s="203" t="n">
        <v>-25</v>
      </c>
      <c r="D105" s="204" t="n">
        <v>0</v>
      </c>
      <c r="E105" s="202" t="n">
        <v>6</v>
      </c>
      <c r="F105" s="203" t="n">
        <v>-31</v>
      </c>
      <c r="G105" s="205" t="n">
        <v>0</v>
      </c>
      <c r="H105" s="203" t="n">
        <v>-31</v>
      </c>
      <c r="I105" s="206" t="inlineStr">
        <is>
          <t>こもの</t>
        </is>
      </c>
      <c r="J105" s="206" t="n">
        <v/>
      </c>
      <c r="K105" s="207">
        <f>C105-E105+G105</f>
        <v/>
      </c>
      <c r="L105" s="202" t="n"/>
      <c r="M105" s="208">
        <f>IF(COUNTIFS($B105,"*東一*")&gt;0,"東一",IF(COUNTIF($L105,"■")&gt;0,IF(COUNTIF($J105,"○")&gt;0,"荷受",$K105*-1),""))</f>
        <v/>
      </c>
      <c r="N105" s="193" t="n"/>
      <c r="O105" s="193" t="n"/>
      <c r="P105" s="193" t="n"/>
      <c r="Q105" s="193" t="n"/>
      <c r="R105" s="193" t="n"/>
      <c r="S105" s="193" t="n"/>
    </row>
    <row r="106" ht="12.6" customHeight="1">
      <c r="A106" s="201" t="inlineStr">
        <is>
          <t>1612-25</t>
        </is>
      </c>
      <c r="B106" s="202" t="inlineStr">
        <is>
          <t>ミニトマト　150ｇ(ｼｪｱｶﾞｰﾃﾞﾝ)◇</t>
        </is>
      </c>
      <c r="C106" s="203" t="n">
        <v>12</v>
      </c>
      <c r="D106" s="204" t="n">
        <v>20</v>
      </c>
      <c r="E106" s="202" t="n">
        <v>26</v>
      </c>
      <c r="F106" s="203" t="n">
        <v>6</v>
      </c>
      <c r="G106" s="205" t="n">
        <v>0</v>
      </c>
      <c r="H106" s="203" t="n">
        <v>6</v>
      </c>
      <c r="I106" s="206" t="inlineStr">
        <is>
          <t>こもの</t>
        </is>
      </c>
      <c r="J106" s="206" t="n">
        <v/>
      </c>
      <c r="K106" s="207">
        <f>C106-E106+G106</f>
        <v/>
      </c>
      <c r="L106" s="202" t="n"/>
      <c r="M106" s="208">
        <f>IF(COUNTIFS($B106,"*東一*")&gt;0,"東一",IF(COUNTIF($L106,"■")&gt;0,IF(COUNTIF($J106,"○")&gt;0,"荷受",$K106*-1),""))</f>
        <v/>
      </c>
      <c r="N106" s="193" t="n"/>
      <c r="O106" s="193" t="n"/>
      <c r="P106" s="193" t="n"/>
      <c r="Q106" s="193" t="n"/>
      <c r="R106" s="193" t="n"/>
      <c r="S106" s="193" t="n"/>
    </row>
    <row r="107" ht="12.6" customHeight="1">
      <c r="A107" s="201" t="inlineStr">
        <is>
          <t>1614-3</t>
        </is>
      </c>
      <c r="B107" s="202" t="inlineStr">
        <is>
          <t>ミニトマト　150ｇ（沃土会）</t>
        </is>
      </c>
      <c r="C107" s="203" t="n">
        <v>44</v>
      </c>
      <c r="D107" s="204" t="n">
        <v>100</v>
      </c>
      <c r="E107" s="202" t="n">
        <v>30</v>
      </c>
      <c r="F107" s="203" t="n">
        <v>114</v>
      </c>
      <c r="G107" s="205" t="n">
        <v>0</v>
      </c>
      <c r="H107" s="203" t="n">
        <v>114</v>
      </c>
      <c r="I107" s="206" t="inlineStr">
        <is>
          <t>こもの</t>
        </is>
      </c>
      <c r="J107" s="206" t="n">
        <v/>
      </c>
      <c r="K107" s="207">
        <f>C107-E107+G107</f>
        <v/>
      </c>
      <c r="L107" s="202" t="n"/>
      <c r="M107" s="208">
        <f>IF(COUNTIFS($B107,"*東一*")&gt;0,"東一",IF(COUNTIF($L107,"■")&gt;0,IF(COUNTIF($J107,"○")&gt;0,"荷受",$K107*-1),""))</f>
        <v/>
      </c>
      <c r="N107" s="193" t="n"/>
      <c r="O107" s="193" t="n"/>
      <c r="P107" s="193" t="n"/>
      <c r="Q107" s="193" t="n"/>
      <c r="R107" s="193" t="n"/>
      <c r="S107" s="193" t="n"/>
    </row>
    <row r="108" ht="12.6" customHeight="1">
      <c r="A108" s="201" t="inlineStr">
        <is>
          <t>1619-68</t>
        </is>
      </c>
      <c r="B108" s="202" t="inlineStr">
        <is>
          <t>きゅうり　２本袋（沃土会）</t>
        </is>
      </c>
      <c r="C108" s="203" t="n">
        <v>0</v>
      </c>
      <c r="D108" s="204" t="n">
        <v>40</v>
      </c>
      <c r="E108" s="202" t="n">
        <v>10</v>
      </c>
      <c r="F108" s="203" t="n">
        <v>30</v>
      </c>
      <c r="G108" s="205" t="n">
        <v>0</v>
      </c>
      <c r="H108" s="203" t="n">
        <v>30</v>
      </c>
      <c r="I108" s="206" t="inlineStr">
        <is>
          <t>こもの</t>
        </is>
      </c>
      <c r="J108" s="206" t="n">
        <v/>
      </c>
      <c r="K108" s="207">
        <f>C108-E108+G108</f>
        <v/>
      </c>
      <c r="L108" s="202" t="n"/>
      <c r="M108" s="208">
        <f>IF(COUNTIFS($B108,"*東一*")&gt;0,"東一",IF(COUNTIF($L108,"■")&gt;0,IF(COUNTIF($J108,"○")&gt;0,"荷受",$K108*-1),""))</f>
        <v/>
      </c>
      <c r="N108" s="193" t="n"/>
      <c r="O108" s="193" t="n"/>
      <c r="P108" s="193" t="n"/>
      <c r="Q108" s="193" t="n"/>
      <c r="R108" s="193" t="n"/>
      <c r="S108" s="193" t="n"/>
    </row>
    <row r="109" ht="12.6" customHeight="1">
      <c r="A109" s="201" t="inlineStr">
        <is>
          <t>1621-65</t>
        </is>
      </c>
      <c r="B109" s="202" t="inlineStr">
        <is>
          <t>きゅうり　２本袋(石毛)◇</t>
        </is>
      </c>
      <c r="C109" s="203" t="n">
        <v>-139</v>
      </c>
      <c r="D109" s="204" t="n">
        <v>0</v>
      </c>
      <c r="E109" s="202" t="n">
        <v>49</v>
      </c>
      <c r="F109" s="203" t="n">
        <v>-188</v>
      </c>
      <c r="G109" s="205" t="n">
        <v>0</v>
      </c>
      <c r="H109" s="203" t="n">
        <v>-188</v>
      </c>
      <c r="I109" s="206" t="inlineStr">
        <is>
          <t>こもの</t>
        </is>
      </c>
      <c r="J109" s="206" t="n">
        <v/>
      </c>
      <c r="K109" s="207">
        <f>C109-E109+G109</f>
        <v/>
      </c>
      <c r="L109" s="202" t="n"/>
      <c r="M109" s="208">
        <f>IF(COUNTIFS($B109,"*東一*")&gt;0,"東一",IF(COUNTIF($L109,"■")&gt;0,IF(COUNTIF($J109,"○")&gt;0,"荷受",$K109*-1),""))</f>
        <v/>
      </c>
      <c r="N109" s="193" t="n"/>
      <c r="O109" s="193" t="n"/>
      <c r="P109" s="193" t="n"/>
      <c r="Q109" s="193" t="n"/>
      <c r="R109" s="193" t="n"/>
      <c r="S109" s="193" t="n"/>
    </row>
    <row r="110" ht="12.6" customHeight="1">
      <c r="A110" s="201" t="inlineStr">
        <is>
          <t>1621-73</t>
        </is>
      </c>
      <c r="B110" s="202" t="inlineStr">
        <is>
          <t>きゅうり　３本袋(石毛)◇</t>
        </is>
      </c>
      <c r="C110" s="203" t="n">
        <v>-84</v>
      </c>
      <c r="D110" s="204" t="n">
        <v>0</v>
      </c>
      <c r="E110" s="202" t="n">
        <v>3</v>
      </c>
      <c r="F110" s="203" t="n">
        <v>-87</v>
      </c>
      <c r="G110" s="205" t="n">
        <v>0</v>
      </c>
      <c r="H110" s="203" t="n">
        <v>-87</v>
      </c>
      <c r="I110" s="206" t="inlineStr">
        <is>
          <t>こもの</t>
        </is>
      </c>
      <c r="J110" s="206" t="n">
        <v/>
      </c>
      <c r="K110" s="207">
        <f>C110-E110+G110</f>
        <v/>
      </c>
      <c r="L110" s="202" t="n"/>
      <c r="M110" s="208">
        <f>IF(COUNTIFS($B110,"*東一*")&gt;0,"東一",IF(COUNTIF($L110,"■")&gt;0,IF(COUNTIF($J110,"○")&gt;0,"荷受",$K110*-1),""))</f>
        <v/>
      </c>
      <c r="N110" s="193" t="n"/>
      <c r="O110" s="193" t="n"/>
      <c r="P110" s="193" t="n"/>
      <c r="Q110" s="193" t="n"/>
      <c r="R110" s="193" t="n"/>
      <c r="S110" s="193" t="n"/>
    </row>
    <row r="111" ht="12.6" customHeight="1">
      <c r="A111" s="201" t="inlineStr">
        <is>
          <t>1638-110</t>
        </is>
      </c>
      <c r="B111" s="202" t="inlineStr">
        <is>
          <t>有機なす１袋 (浦部)</t>
        </is>
      </c>
      <c r="C111" s="203" t="n">
        <v>22</v>
      </c>
      <c r="D111" s="204" t="n">
        <v>0</v>
      </c>
      <c r="E111" s="202" t="n">
        <v>15</v>
      </c>
      <c r="F111" s="203" t="n">
        <v>7</v>
      </c>
      <c r="G111" s="205" t="n">
        <v>0</v>
      </c>
      <c r="H111" s="203" t="n">
        <v>7</v>
      </c>
      <c r="I111" s="206" t="inlineStr">
        <is>
          <t>こもの</t>
        </is>
      </c>
      <c r="J111" s="206" t="n">
        <v/>
      </c>
      <c r="K111" s="207">
        <f>C111-E111+G111</f>
        <v/>
      </c>
      <c r="L111" s="202" t="n"/>
      <c r="M111" s="208">
        <f>IF(COUNTIFS($B111,"*東一*")&gt;0,"東一",IF(COUNTIF($L111,"■")&gt;0,IF(COUNTIF($J111,"○")&gt;0,"荷受",$K111*-1),""))</f>
        <v/>
      </c>
      <c r="N111" s="193" t="n"/>
      <c r="O111" s="193" t="n"/>
      <c r="P111" s="193" t="n"/>
      <c r="Q111" s="193" t="n"/>
      <c r="R111" s="193" t="n"/>
      <c r="S111" s="193" t="n"/>
    </row>
    <row r="112" ht="12.6" customHeight="1">
      <c r="A112" s="201" t="inlineStr">
        <is>
          <t>1638-112</t>
        </is>
      </c>
      <c r="B112" s="202" t="inlineStr">
        <is>
          <t>なす　400ｇ(石毛)菌2虫1(=9割減)・不</t>
        </is>
      </c>
      <c r="C112" s="203" t="n">
        <v>82</v>
      </c>
      <c r="D112" s="204" t="n">
        <v>456</v>
      </c>
      <c r="E112" s="202" t="n">
        <v>197</v>
      </c>
      <c r="F112" s="203" t="n">
        <v>341</v>
      </c>
      <c r="G112" s="205" t="n">
        <v>0</v>
      </c>
      <c r="H112" s="203" t="n">
        <v>341</v>
      </c>
      <c r="I112" s="206" t="inlineStr">
        <is>
          <t>こもの</t>
        </is>
      </c>
      <c r="J112" s="206" t="n">
        <v/>
      </c>
      <c r="K112" s="207">
        <f>C112-E112+G112</f>
        <v/>
      </c>
      <c r="L112" s="202" t="n"/>
      <c r="M112" s="208">
        <f>IF(COUNTIFS($B112,"*東一*")&gt;0,"東一",IF(COUNTIF($L112,"■")&gt;0,IF(COUNTIF($J112,"○")&gt;0,"荷受",$K112*-1),""))</f>
        <v/>
      </c>
      <c r="N112" s="193" t="n"/>
      <c r="O112" s="193" t="n"/>
      <c r="P112" s="193" t="n"/>
      <c r="Q112" s="193" t="n"/>
      <c r="R112" s="193" t="n"/>
      <c r="S112" s="193" t="n"/>
    </row>
    <row r="113" ht="12.6" customHeight="1">
      <c r="A113" s="201" t="inlineStr">
        <is>
          <t>1647-2</t>
        </is>
      </c>
      <c r="B113" s="202" t="inlineStr">
        <is>
          <t>中玉とまと 200g (さんぶ)</t>
        </is>
      </c>
      <c r="C113" s="203" t="n">
        <v>3</v>
      </c>
      <c r="D113" s="204" t="n">
        <v>40</v>
      </c>
      <c r="E113" s="202" t="n">
        <v>15</v>
      </c>
      <c r="F113" s="203" t="n">
        <v>28</v>
      </c>
      <c r="G113" s="205" t="n">
        <v>0</v>
      </c>
      <c r="H113" s="203" t="n">
        <v>28</v>
      </c>
      <c r="I113" s="206" t="inlineStr">
        <is>
          <t>こもの</t>
        </is>
      </c>
      <c r="J113" s="206" t="n">
        <v/>
      </c>
      <c r="K113" s="207">
        <f>C113-E113+G113</f>
        <v/>
      </c>
      <c r="L113" s="202" t="n"/>
      <c r="M113" s="208">
        <f>IF(COUNTIFS($B113,"*東一*")&gt;0,"東一",IF(COUNTIF($L113,"■")&gt;0,IF(COUNTIF($J113,"○")&gt;0,"荷受",$K113*-1),""))</f>
        <v/>
      </c>
      <c r="N113" s="193" t="n"/>
      <c r="O113" s="193" t="n"/>
      <c r="P113" s="193" t="n"/>
      <c r="Q113" s="193" t="n"/>
      <c r="R113" s="193" t="n"/>
      <c r="S113" s="193" t="n"/>
    </row>
    <row r="114" ht="12.6" customHeight="1">
      <c r="A114" s="201" t="inlineStr">
        <is>
          <t>1647-50</t>
        </is>
      </c>
      <c r="B114" s="202" t="inlineStr">
        <is>
          <t>中玉トマト 250g (沃土会)</t>
        </is>
      </c>
      <c r="C114" s="203" t="n">
        <v>34</v>
      </c>
      <c r="D114" s="204" t="n">
        <v>60</v>
      </c>
      <c r="E114" s="202" t="n">
        <v>20</v>
      </c>
      <c r="F114" s="203" t="n">
        <v>74</v>
      </c>
      <c r="G114" s="205" t="n">
        <v>0</v>
      </c>
      <c r="H114" s="203" t="n">
        <v>74</v>
      </c>
      <c r="I114" s="206" t="inlineStr">
        <is>
          <t>こもの</t>
        </is>
      </c>
      <c r="J114" s="206" t="n">
        <v/>
      </c>
      <c r="K114" s="207">
        <f>C114-E114+G114</f>
        <v/>
      </c>
      <c r="L114" s="202" t="n"/>
      <c r="M114" s="208">
        <f>IF(COUNTIFS($B114,"*東一*")&gt;0,"東一",IF(COUNTIF($L114,"■")&gt;0,IF(COUNTIF($J114,"○")&gt;0,"荷受",$K114*-1),""))</f>
        <v/>
      </c>
      <c r="N114" s="193" t="n"/>
      <c r="O114" s="193" t="n"/>
      <c r="P114" s="193" t="n"/>
      <c r="Q114" s="193" t="n"/>
      <c r="R114" s="193" t="n"/>
      <c r="S114" s="193" t="n"/>
    </row>
    <row r="115" ht="12.6" customHeight="1">
      <c r="A115" s="201" t="inlineStr">
        <is>
          <t>1654-75</t>
        </is>
      </c>
      <c r="B115" s="202" t="inlineStr">
        <is>
          <t>有機ピーマン　150g（SOHﾌｧｰﾑ）◇</t>
        </is>
      </c>
      <c r="C115" s="203" t="n">
        <v>-380</v>
      </c>
      <c r="D115" s="204" t="n">
        <v>0</v>
      </c>
      <c r="E115" s="202" t="n">
        <v>163</v>
      </c>
      <c r="F115" s="203" t="n">
        <v>-543</v>
      </c>
      <c r="G115" s="205" t="n">
        <v>-40</v>
      </c>
      <c r="H115" s="203" t="n">
        <v>-583</v>
      </c>
      <c r="I115" s="206" t="inlineStr">
        <is>
          <t>こもの</t>
        </is>
      </c>
      <c r="J115" s="206" t="n">
        <v/>
      </c>
      <c r="K115" s="207">
        <f>C115-E115+G115</f>
        <v/>
      </c>
      <c r="L115" s="202" t="n"/>
      <c r="M115" s="208">
        <f>IF(COUNTIFS($B115,"*東一*")&gt;0,"東一",IF(COUNTIF($L115,"■")&gt;0,IF(COUNTIF($J115,"○")&gt;0,"荷受",$K115*-1),""))</f>
        <v/>
      </c>
      <c r="N115" s="193" t="n"/>
      <c r="O115" s="193" t="n"/>
      <c r="P115" s="193" t="n"/>
      <c r="Q115" s="193" t="n"/>
      <c r="R115" s="193" t="n"/>
      <c r="S115" s="193" t="n"/>
    </row>
    <row r="116" ht="12.6" customHeight="1">
      <c r="A116" s="201" t="inlineStr">
        <is>
          <t>1654-98</t>
        </is>
      </c>
      <c r="B116" s="202" t="inlineStr">
        <is>
          <t>有機ピーマン　150g◇×５(SOHﾌｧｰﾑ）東一</t>
        </is>
      </c>
      <c r="C116" s="203" t="n">
        <v>0</v>
      </c>
      <c r="D116" s="204" t="n">
        <v>8</v>
      </c>
      <c r="E116" s="202" t="n">
        <v>8</v>
      </c>
      <c r="F116" s="203" t="n">
        <v>0</v>
      </c>
      <c r="G116" s="205" t="n">
        <v>0</v>
      </c>
      <c r="H116" s="203" t="n">
        <v>0</v>
      </c>
      <c r="I116" s="206" t="inlineStr">
        <is>
          <t>こもの</t>
        </is>
      </c>
      <c r="J116" s="206" t="n">
        <v/>
      </c>
      <c r="K116" s="207">
        <f>C116-E116+G116</f>
        <v/>
      </c>
      <c r="L116" s="202" t="n"/>
      <c r="M116" s="208">
        <f>IF(COUNTIFS($B116,"*東一*")&gt;0,"東一",IF(COUNTIF($L116,"■")&gt;0,IF(COUNTIF($J116,"○")&gt;0,"荷受",$K116*-1),""))</f>
        <v/>
      </c>
      <c r="N116" s="193" t="n"/>
      <c r="O116" s="193" t="n"/>
      <c r="P116" s="193" t="n"/>
      <c r="Q116" s="193" t="n"/>
      <c r="R116" s="193" t="n"/>
      <c r="S116" s="193" t="n"/>
    </row>
    <row r="117" ht="12.6" customHeight="1">
      <c r="A117" s="201" t="inlineStr">
        <is>
          <t>1660-5</t>
        </is>
      </c>
      <c r="B117" s="202" t="inlineStr">
        <is>
          <t>イエローミニトマト　150ｇ(沃土会)</t>
        </is>
      </c>
      <c r="C117" s="203" t="n">
        <v>2</v>
      </c>
      <c r="D117" s="204" t="n">
        <v>0</v>
      </c>
      <c r="E117" s="202" t="n">
        <v>3</v>
      </c>
      <c r="F117" s="203" t="n">
        <v>-1</v>
      </c>
      <c r="G117" s="205" t="n">
        <v>0</v>
      </c>
      <c r="H117" s="203" t="n">
        <v>-1</v>
      </c>
      <c r="I117" s="206" t="inlineStr">
        <is>
          <t>こもの</t>
        </is>
      </c>
      <c r="J117" s="206" t="n">
        <v/>
      </c>
      <c r="K117" s="207">
        <f>C117-E117+G117</f>
        <v/>
      </c>
      <c r="L117" s="202" t="n"/>
      <c r="M117" s="208">
        <f>IF(COUNTIFS($B117,"*東一*")&gt;0,"東一",IF(COUNTIF($L117,"■")&gt;0,IF(COUNTIF($J117,"○")&gt;0,"荷受",$K117*-1),""))</f>
        <v/>
      </c>
      <c r="N117" s="193" t="n"/>
      <c r="O117" s="193" t="n"/>
      <c r="P117" s="193" t="n"/>
      <c r="Q117" s="193" t="n"/>
      <c r="R117" s="193" t="n"/>
      <c r="S117" s="193" t="n"/>
    </row>
    <row r="118" ht="12.6" customHeight="1">
      <c r="A118" s="201" t="inlineStr">
        <is>
          <t>1661-15</t>
        </is>
      </c>
      <c r="B118" s="202" t="inlineStr">
        <is>
          <t>パプリカ　１個袋200ｇ(高生連)</t>
        </is>
      </c>
      <c r="C118" s="203" t="n">
        <v>31</v>
      </c>
      <c r="D118" s="204" t="n">
        <v>0</v>
      </c>
      <c r="E118" s="202" t="n">
        <v>8</v>
      </c>
      <c r="F118" s="203" t="n">
        <v>23</v>
      </c>
      <c r="G118" s="205" t="n">
        <v>0</v>
      </c>
      <c r="H118" s="203" t="n">
        <v>23</v>
      </c>
      <c r="I118" s="206" t="inlineStr">
        <is>
          <t>こもの</t>
        </is>
      </c>
      <c r="J118" s="206" t="inlineStr">
        <is>
          <t>○</t>
        </is>
      </c>
      <c r="K118" s="207">
        <f>C118-E118+G118</f>
        <v/>
      </c>
      <c r="L118" s="202" t="n"/>
      <c r="M118" s="208">
        <f>IF(COUNTIFS($B118,"*東一*")&gt;0,"東一",IF(COUNTIF($L118,"■")&gt;0,IF(COUNTIF($J118,"○")&gt;0,"荷受",$K118*-1),""))</f>
        <v/>
      </c>
      <c r="N118" s="193" t="n"/>
      <c r="O118" s="193" t="n"/>
      <c r="P118" s="193" t="n"/>
      <c r="Q118" s="193" t="n"/>
      <c r="R118" s="193" t="n"/>
      <c r="S118" s="193" t="n"/>
    </row>
    <row r="119" ht="12.6" customHeight="1">
      <c r="A119" s="201" t="inlineStr">
        <is>
          <t>1707-103</t>
        </is>
      </c>
      <c r="B119" s="202" t="inlineStr">
        <is>
          <t>有機ズッキーニ緑 １本袋(キテレツ)◇</t>
        </is>
      </c>
      <c r="C119" s="203" t="n">
        <v>-138</v>
      </c>
      <c r="D119" s="204" t="n">
        <v>0</v>
      </c>
      <c r="E119" s="202" t="n">
        <v>60</v>
      </c>
      <c r="F119" s="203" t="n">
        <v>-198</v>
      </c>
      <c r="G119" s="205" t="n">
        <v>0</v>
      </c>
      <c r="H119" s="203" t="n">
        <v>-198</v>
      </c>
      <c r="I119" s="206" t="inlineStr">
        <is>
          <t>こもの</t>
        </is>
      </c>
      <c r="J119" s="206" t="n">
        <v/>
      </c>
      <c r="K119" s="207">
        <f>C119-E119+G119</f>
        <v/>
      </c>
      <c r="L119" s="202" t="n"/>
      <c r="M119" s="208">
        <f>IF(COUNTIFS($B119,"*東一*")&gt;0,"東一",IF(COUNTIF($L119,"■")&gt;0,IF(COUNTIF($J119,"○")&gt;0,"荷受",$K119*-1),""))</f>
        <v/>
      </c>
      <c r="N119" s="193" t="n"/>
      <c r="O119" s="193" t="n"/>
      <c r="P119" s="193" t="n"/>
      <c r="Q119" s="193" t="n"/>
      <c r="R119" s="193" t="n"/>
      <c r="S119" s="193" t="n"/>
    </row>
    <row r="120" ht="12.6" customHeight="1">
      <c r="A120" s="201" t="inlineStr">
        <is>
          <t>1707-127</t>
        </is>
      </c>
      <c r="B120" s="202" t="inlineStr">
        <is>
          <t>ズッキーニ １本袋（沃土会)不不</t>
        </is>
      </c>
      <c r="C120" s="203" t="n">
        <v>8</v>
      </c>
      <c r="D120" s="204" t="n">
        <v>40</v>
      </c>
      <c r="E120" s="202" t="n">
        <v>10</v>
      </c>
      <c r="F120" s="203" t="n">
        <v>38</v>
      </c>
      <c r="G120" s="205" t="n">
        <v>0</v>
      </c>
      <c r="H120" s="203" t="n">
        <v>38</v>
      </c>
      <c r="I120" s="206" t="inlineStr">
        <is>
          <t>こもの</t>
        </is>
      </c>
      <c r="J120" s="206" t="n">
        <v/>
      </c>
      <c r="K120" s="207">
        <f>C120-E120+G120</f>
        <v/>
      </c>
      <c r="L120" s="202" t="n"/>
      <c r="M120" s="208">
        <f>IF(COUNTIFS($B120,"*東一*")&gt;0,"東一",IF(COUNTIF($L120,"■")&gt;0,IF(COUNTIF($J120,"○")&gt;0,"荷受",$K120*-1),""))</f>
        <v/>
      </c>
      <c r="N120" s="193" t="n"/>
      <c r="O120" s="193" t="n"/>
      <c r="P120" s="193" t="n"/>
      <c r="Q120" s="193" t="n"/>
      <c r="R120" s="193" t="n"/>
      <c r="S120" s="193" t="n"/>
    </row>
    <row r="121" ht="12.6" customHeight="1">
      <c r="A121" s="201" t="inlineStr">
        <is>
          <t>1720-22</t>
        </is>
      </c>
      <c r="B121" s="202" t="inlineStr">
        <is>
          <t>枝豆　200g袋（さんぶ）</t>
        </is>
      </c>
      <c r="C121" s="203" t="n">
        <v>68</v>
      </c>
      <c r="D121" s="204" t="n">
        <v>60</v>
      </c>
      <c r="E121" s="202" t="n">
        <v>10</v>
      </c>
      <c r="F121" s="203" t="n">
        <v>118</v>
      </c>
      <c r="G121" s="205" t="n">
        <v>0</v>
      </c>
      <c r="H121" s="203" t="n">
        <v>118</v>
      </c>
      <c r="I121" s="206" t="inlineStr">
        <is>
          <t>こもの</t>
        </is>
      </c>
      <c r="J121" s="206" t="n">
        <v/>
      </c>
      <c r="K121" s="207">
        <f>C121-E121+G121</f>
        <v/>
      </c>
      <c r="L121" s="202" t="n"/>
      <c r="M121" s="208">
        <f>IF(COUNTIFS($B121,"*東一*")&gt;0,"東一",IF(COUNTIF($L121,"■")&gt;0,IF(COUNTIF($J121,"○")&gt;0,"荷受",$K121*-1),""))</f>
        <v/>
      </c>
      <c r="N121" s="193" t="n"/>
      <c r="O121" s="193" t="n"/>
      <c r="P121" s="193" t="n"/>
      <c r="Q121" s="193" t="n"/>
      <c r="R121" s="193" t="n"/>
      <c r="S121" s="193" t="n"/>
    </row>
    <row r="122" ht="12.6" customHeight="1">
      <c r="A122" s="201" t="inlineStr">
        <is>
          <t>1804-5</t>
        </is>
      </c>
      <c r="B122" s="202" t="inlineStr">
        <is>
          <t>ｶｯﾄぶなしめじ 90ｇ(ﾐｽｽﾞ)</t>
        </is>
      </c>
      <c r="C122" s="203" t="n">
        <v>219</v>
      </c>
      <c r="D122" s="204" t="n">
        <v>0</v>
      </c>
      <c r="E122" s="202" t="n">
        <v>136</v>
      </c>
      <c r="F122" s="203" t="n">
        <v>83</v>
      </c>
      <c r="G122" s="205" t="n">
        <v>0</v>
      </c>
      <c r="H122" s="203" t="n">
        <v>83</v>
      </c>
      <c r="I122" s="206" t="inlineStr">
        <is>
          <t>こもの</t>
        </is>
      </c>
      <c r="J122" s="206" t="inlineStr">
        <is>
          <t>○</t>
        </is>
      </c>
      <c r="K122" s="207">
        <f>C122-E122+G122</f>
        <v/>
      </c>
      <c r="L122" s="202" t="n"/>
      <c r="M122" s="208">
        <f>IF(COUNTIFS($B122,"*東一*")&gt;0,"東一",IF(COUNTIF($L122,"■")&gt;0,IF(COUNTIF($J122,"○")&gt;0,"荷受",$K122*-1),""))</f>
        <v/>
      </c>
      <c r="N122" s="193" t="n"/>
      <c r="O122" s="193" t="n"/>
      <c r="P122" s="193" t="n"/>
      <c r="Q122" s="193" t="n"/>
      <c r="R122" s="193" t="n"/>
      <c r="S122" s="193" t="n"/>
    </row>
    <row r="123" ht="12.6" customHeight="1">
      <c r="A123" s="201" t="inlineStr">
        <is>
          <t>1806-2</t>
        </is>
      </c>
      <c r="B123" s="202" t="inlineStr">
        <is>
          <t>ぶなクイーン　１００ｇ(ﾐｽｽﾞ)</t>
        </is>
      </c>
      <c r="C123" s="203" t="n">
        <v>21</v>
      </c>
      <c r="D123" s="204" t="n">
        <v>0</v>
      </c>
      <c r="E123" s="202" t="n">
        <v>8</v>
      </c>
      <c r="F123" s="203" t="n">
        <v>13</v>
      </c>
      <c r="G123" s="205" t="n">
        <v>0</v>
      </c>
      <c r="H123" s="203" t="n">
        <v>13</v>
      </c>
      <c r="I123" s="206" t="inlineStr">
        <is>
          <t>こもの</t>
        </is>
      </c>
      <c r="J123" s="206" t="inlineStr">
        <is>
          <t>○</t>
        </is>
      </c>
      <c r="K123" s="207">
        <f>C123-E123+G123</f>
        <v/>
      </c>
      <c r="L123" s="202" t="n"/>
      <c r="M123" s="208">
        <f>IF(COUNTIFS($B123,"*東一*")&gt;0,"東一",IF(COUNTIF($L123,"■")&gt;0,IF(COUNTIF($J123,"○")&gt;0,"荷受",$K123*-1),""))</f>
        <v/>
      </c>
      <c r="N123" s="193" t="n"/>
      <c r="O123" s="193" t="n"/>
      <c r="P123" s="193" t="n"/>
      <c r="Q123" s="193" t="n"/>
      <c r="R123" s="193" t="n"/>
      <c r="S123" s="193" t="n"/>
    </row>
    <row r="124" ht="12.6" customHeight="1">
      <c r="A124" s="201" t="inlineStr">
        <is>
          <t>1807-55</t>
        </is>
      </c>
      <c r="B124" s="202" t="inlineStr">
        <is>
          <t>有機生しいたけ(菌床)100gﾄﾚｰ(太洋社)</t>
        </is>
      </c>
      <c r="C124" s="203" t="n">
        <v>17</v>
      </c>
      <c r="D124" s="204" t="n">
        <v>30</v>
      </c>
      <c r="E124" s="202" t="n">
        <v>17</v>
      </c>
      <c r="F124" s="203" t="n">
        <v>30</v>
      </c>
      <c r="G124" s="205" t="n">
        <v>0</v>
      </c>
      <c r="H124" s="203" t="n">
        <v>30</v>
      </c>
      <c r="I124" s="206" t="inlineStr">
        <is>
          <t>こもの</t>
        </is>
      </c>
      <c r="J124" s="206" t="inlineStr">
        <is>
          <t>○</t>
        </is>
      </c>
      <c r="K124" s="207">
        <f>C124-E124+G124</f>
        <v/>
      </c>
      <c r="L124" s="202" t="n"/>
      <c r="M124" s="208">
        <f>IF(COUNTIFS($B124,"*東一*")&gt;0,"東一",IF(COUNTIF($L124,"■")&gt;0,IF(COUNTIF($J124,"○")&gt;0,"荷受",$K124*-1),""))</f>
        <v/>
      </c>
      <c r="N124" s="193" t="n"/>
      <c r="O124" s="193" t="n"/>
      <c r="P124" s="193" t="n"/>
      <c r="Q124" s="193" t="n"/>
      <c r="R124" s="193" t="n"/>
      <c r="S124" s="193" t="n"/>
    </row>
    <row r="125" ht="12.6" customHeight="1">
      <c r="A125" s="201" t="inlineStr">
        <is>
          <t>1807-56</t>
        </is>
      </c>
      <c r="B125" s="202" t="inlineStr">
        <is>
          <t>有機生しいたけ(菌床)不揃200g袋(太洋社)</t>
        </is>
      </c>
      <c r="C125" s="203" t="n">
        <v>17</v>
      </c>
      <c r="D125" s="204" t="n">
        <v>20</v>
      </c>
      <c r="E125" s="202" t="n">
        <v>17</v>
      </c>
      <c r="F125" s="203" t="n">
        <v>20</v>
      </c>
      <c r="G125" s="205" t="n">
        <v>0</v>
      </c>
      <c r="H125" s="203" t="n">
        <v>20</v>
      </c>
      <c r="I125" s="206" t="inlineStr">
        <is>
          <t>こもの</t>
        </is>
      </c>
      <c r="J125" s="206" t="inlineStr">
        <is>
          <t>○</t>
        </is>
      </c>
      <c r="K125" s="207">
        <f>C125-E125+G125</f>
        <v/>
      </c>
      <c r="L125" s="202" t="n"/>
      <c r="M125" s="208">
        <f>IF(COUNTIFS($B125,"*東一*")&gt;0,"東一",IF(COUNTIF($L125,"■")&gt;0,IF(COUNTIF($J125,"○")&gt;0,"荷受",$K125*-1),""))</f>
        <v/>
      </c>
      <c r="N125" s="193" t="n"/>
      <c r="O125" s="193" t="n"/>
      <c r="P125" s="193" t="n"/>
      <c r="Q125" s="193" t="n"/>
      <c r="R125" s="193" t="n"/>
      <c r="S125" s="193" t="n"/>
    </row>
    <row r="126" ht="12.6" customHeight="1">
      <c r="A126" s="201" t="inlineStr">
        <is>
          <t>1812</t>
        </is>
      </c>
      <c r="B126" s="202" t="inlineStr">
        <is>
          <t>えのき茸 １００ｇ(ﾐｽｽﾞ)</t>
        </is>
      </c>
      <c r="C126" s="203" t="n">
        <v>113</v>
      </c>
      <c r="D126" s="204" t="n">
        <v>0</v>
      </c>
      <c r="E126" s="202" t="n">
        <v>67</v>
      </c>
      <c r="F126" s="203" t="n">
        <v>46</v>
      </c>
      <c r="G126" s="205" t="n">
        <v>0</v>
      </c>
      <c r="H126" s="203" t="n">
        <v>46</v>
      </c>
      <c r="I126" s="206" t="inlineStr">
        <is>
          <t>こもの</t>
        </is>
      </c>
      <c r="J126" s="206" t="inlineStr">
        <is>
          <t>○</t>
        </is>
      </c>
      <c r="K126" s="207">
        <f>C126-E126+G126</f>
        <v/>
      </c>
      <c r="L126" s="202" t="n"/>
      <c r="M126" s="208">
        <f>IF(COUNTIFS($B126,"*東一*")&gt;0,"東一",IF(COUNTIF($L126,"■")&gt;0,IF(COUNTIF($J126,"○")&gt;0,"荷受",$K126*-1),""))</f>
        <v/>
      </c>
      <c r="N126" s="193" t="n"/>
      <c r="O126" s="193" t="n"/>
      <c r="P126" s="193" t="n"/>
      <c r="Q126" s="193" t="n"/>
      <c r="R126" s="193" t="n"/>
      <c r="S126" s="193" t="n"/>
    </row>
    <row r="127" ht="12.6" customHeight="1">
      <c r="A127" s="201" t="inlineStr">
        <is>
          <t>1820</t>
        </is>
      </c>
      <c r="B127" s="202" t="inlineStr">
        <is>
          <t>一株なめこ １７０ｇ(ﾐｽｽﾞ)</t>
        </is>
      </c>
      <c r="C127" s="203" t="n">
        <v>22</v>
      </c>
      <c r="D127" s="204" t="n">
        <v>0</v>
      </c>
      <c r="E127" s="202" t="n">
        <v>6</v>
      </c>
      <c r="F127" s="203" t="n">
        <v>16</v>
      </c>
      <c r="G127" s="205" t="n">
        <v>0</v>
      </c>
      <c r="H127" s="203" t="n">
        <v>16</v>
      </c>
      <c r="I127" s="206" t="inlineStr">
        <is>
          <t>こもの</t>
        </is>
      </c>
      <c r="J127" s="206" t="inlineStr">
        <is>
          <t>○</t>
        </is>
      </c>
      <c r="K127" s="207">
        <f>C127-E127+G127</f>
        <v/>
      </c>
      <c r="L127" s="202" t="n"/>
      <c r="M127" s="208">
        <f>IF(COUNTIFS($B127,"*東一*")&gt;0,"東一",IF(COUNTIF($L127,"■")&gt;0,IF(COUNTIF($J127,"○")&gt;0,"荷受",$K127*-1),""))</f>
        <v/>
      </c>
      <c r="N127" s="193" t="n"/>
      <c r="O127" s="193" t="n"/>
      <c r="P127" s="193" t="n"/>
      <c r="Q127" s="193" t="n"/>
      <c r="R127" s="193" t="n"/>
      <c r="S127" s="193" t="n"/>
    </row>
    <row r="128" ht="12.6" customHeight="1">
      <c r="A128" s="201" t="inlineStr">
        <is>
          <t>1820-5</t>
        </is>
      </c>
      <c r="B128" s="202" t="inlineStr">
        <is>
          <t>小粒なめこ 100ｇ(熊谷)</t>
        </is>
      </c>
      <c r="C128" s="203" t="n">
        <v>10</v>
      </c>
      <c r="D128" s="204" t="n">
        <v>80</v>
      </c>
      <c r="E128" s="202" t="n">
        <v>9</v>
      </c>
      <c r="F128" s="203" t="n">
        <v>81</v>
      </c>
      <c r="G128" s="205" t="n">
        <v>0</v>
      </c>
      <c r="H128" s="203" t="n">
        <v>81</v>
      </c>
      <c r="I128" s="206" t="inlineStr">
        <is>
          <t>こもの</t>
        </is>
      </c>
      <c r="J128" s="206" t="inlineStr">
        <is>
          <t>○</t>
        </is>
      </c>
      <c r="K128" s="207">
        <f>C128-E128+G128</f>
        <v/>
      </c>
      <c r="L128" s="202" t="n"/>
      <c r="M128" s="208">
        <f>IF(COUNTIFS($B128,"*東一*")&gt;0,"東一",IF(COUNTIF($L128,"■")&gt;0,IF(COUNTIF($J128,"○")&gt;0,"荷受",$K128*-1),""))</f>
        <v/>
      </c>
      <c r="N128" s="193" t="n"/>
      <c r="O128" s="193" t="n"/>
      <c r="P128" s="193" t="n"/>
      <c r="Q128" s="193" t="n"/>
      <c r="R128" s="193" t="n"/>
      <c r="S128" s="193" t="n"/>
    </row>
    <row r="129" ht="12.6" customHeight="1">
      <c r="A129" s="201" t="inlineStr">
        <is>
          <t>1821-2</t>
        </is>
      </c>
      <c r="B129" s="202" t="inlineStr">
        <is>
          <t>エリンギ 100g (ミスズ)</t>
        </is>
      </c>
      <c r="C129" s="203" t="n">
        <v>55</v>
      </c>
      <c r="D129" s="204" t="n">
        <v>0</v>
      </c>
      <c r="E129" s="202" t="n">
        <v>24</v>
      </c>
      <c r="F129" s="203" t="n">
        <v>31</v>
      </c>
      <c r="G129" s="205" t="n">
        <v>0</v>
      </c>
      <c r="H129" s="203" t="n">
        <v>31</v>
      </c>
      <c r="I129" s="206" t="inlineStr">
        <is>
          <t>こもの</t>
        </is>
      </c>
      <c r="J129" s="206" t="inlineStr">
        <is>
          <t>○</t>
        </is>
      </c>
      <c r="K129" s="207">
        <f>C129-E129+G129</f>
        <v/>
      </c>
      <c r="L129" s="202" t="n"/>
      <c r="M129" s="208">
        <f>IF(COUNTIFS($B129,"*東一*")&gt;0,"東一",IF(COUNTIF($L129,"■")&gt;0,IF(COUNTIF($J129,"○")&gt;0,"荷受",$K129*-1),""))</f>
        <v/>
      </c>
      <c r="N129" s="193" t="n"/>
      <c r="O129" s="193" t="n"/>
      <c r="P129" s="193" t="n"/>
      <c r="Q129" s="193" t="n"/>
      <c r="R129" s="193" t="n"/>
      <c r="S129" s="193" t="n"/>
    </row>
    <row r="130" ht="12.6" customHeight="1">
      <c r="A130" s="201" t="inlineStr">
        <is>
          <t>1823-2</t>
        </is>
      </c>
      <c r="B130" s="202" t="inlineStr">
        <is>
          <t>有機おかひじき 70gﾊﾟｯｸ (寺島)</t>
        </is>
      </c>
      <c r="C130" s="203" t="n">
        <v>45</v>
      </c>
      <c r="D130" s="204" t="n">
        <v>70</v>
      </c>
      <c r="E130" s="202" t="n">
        <v>17</v>
      </c>
      <c r="F130" s="203" t="n">
        <v>98</v>
      </c>
      <c r="G130" s="205" t="n">
        <v>0</v>
      </c>
      <c r="H130" s="203" t="n">
        <v>98</v>
      </c>
      <c r="I130" s="206" t="inlineStr">
        <is>
          <t>こもの</t>
        </is>
      </c>
      <c r="J130" s="206" t="n">
        <v/>
      </c>
      <c r="K130" s="207">
        <f>C130-E130+G130</f>
        <v/>
      </c>
      <c r="L130" s="202" t="n"/>
      <c r="M130" s="208">
        <f>IF(COUNTIFS($B130,"*東一*")&gt;0,"東一",IF(COUNTIF($L130,"■")&gt;0,IF(COUNTIF($J130,"○")&gt;0,"荷受",$K130*-1),""))</f>
        <v/>
      </c>
      <c r="N130" s="193" t="n"/>
      <c r="O130" s="193" t="n"/>
      <c r="P130" s="193" t="n"/>
      <c r="Q130" s="193" t="n"/>
      <c r="R130" s="193" t="n"/>
      <c r="S130" s="193" t="n"/>
    </row>
    <row r="131" ht="12.6" customHeight="1">
      <c r="A131" s="201" t="inlineStr">
        <is>
          <t>1824-2</t>
        </is>
      </c>
      <c r="B131" s="202" t="inlineStr">
        <is>
          <t>有機パセリ 30g袋 (大地と自然)</t>
        </is>
      </c>
      <c r="C131" s="203" t="n">
        <v>71</v>
      </c>
      <c r="D131" s="204" t="n">
        <v>0</v>
      </c>
      <c r="E131" s="202" t="n">
        <v>10</v>
      </c>
      <c r="F131" s="203" t="n">
        <v>61</v>
      </c>
      <c r="G131" s="205" t="n">
        <v>0</v>
      </c>
      <c r="H131" s="203" t="n">
        <v>61</v>
      </c>
      <c r="I131" s="206" t="inlineStr">
        <is>
          <t>こもの</t>
        </is>
      </c>
      <c r="J131" s="206" t="inlineStr">
        <is>
          <t>○</t>
        </is>
      </c>
      <c r="K131" s="207">
        <f>C131-E131+G131</f>
        <v/>
      </c>
      <c r="L131" s="202" t="n"/>
      <c r="M131" s="208">
        <f>IF(COUNTIFS($B131,"*東一*")&gt;0,"東一",IF(COUNTIF($L131,"■")&gt;0,IF(COUNTIF($J131,"○")&gt;0,"荷受",$K131*-1),""))</f>
        <v/>
      </c>
      <c r="N131" s="193" t="n"/>
      <c r="O131" s="193" t="n"/>
      <c r="P131" s="193" t="n"/>
      <c r="Q131" s="193" t="n"/>
      <c r="R131" s="193" t="n"/>
      <c r="S131" s="193" t="n"/>
    </row>
    <row r="132" ht="12.6" customHeight="1">
      <c r="A132" s="201" t="inlineStr">
        <is>
          <t>1838-12</t>
        </is>
      </c>
      <c r="B132" s="202" t="inlineStr">
        <is>
          <t>有機青ねぎ 100ｇ (大地と自然)</t>
        </is>
      </c>
      <c r="C132" s="203" t="n">
        <v>131</v>
      </c>
      <c r="D132" s="204" t="n">
        <v>0</v>
      </c>
      <c r="E132" s="202" t="n">
        <v>9</v>
      </c>
      <c r="F132" s="203" t="n">
        <v>122</v>
      </c>
      <c r="G132" s="205" t="n">
        <v>0</v>
      </c>
      <c r="H132" s="203" t="n">
        <v>122</v>
      </c>
      <c r="I132" s="206" t="inlineStr">
        <is>
          <t>こもの</t>
        </is>
      </c>
      <c r="J132" s="206" t="inlineStr">
        <is>
          <t>○</t>
        </is>
      </c>
      <c r="K132" s="207">
        <f>C132-E132+G132</f>
        <v/>
      </c>
      <c r="L132" s="202" t="n"/>
      <c r="M132" s="208">
        <f>IF(COUNTIFS($B132,"*東一*")&gt;0,"東一",IF(COUNTIF($L132,"■")&gt;0,IF(COUNTIF($J132,"○")&gt;0,"荷受",$K132*-1),""))</f>
        <v/>
      </c>
      <c r="N132" s="193" t="n"/>
      <c r="O132" s="193" t="n"/>
      <c r="P132" s="193" t="n"/>
      <c r="Q132" s="193" t="n"/>
      <c r="R132" s="193" t="n"/>
      <c r="S132" s="193" t="n"/>
    </row>
    <row r="133" ht="12.6" customHeight="1">
      <c r="A133" s="201" t="inlineStr">
        <is>
          <t>1840-14</t>
        </is>
      </c>
      <c r="B133" s="202" t="inlineStr">
        <is>
          <t>有機にら 100ｇ (北総)</t>
        </is>
      </c>
      <c r="C133" s="203" t="n">
        <v>-55</v>
      </c>
      <c r="D133" s="204" t="n">
        <v>0</v>
      </c>
      <c r="E133" s="202" t="n">
        <v>18</v>
      </c>
      <c r="F133" s="203" t="n">
        <v>-73</v>
      </c>
      <c r="G133" s="205" t="n">
        <v>0</v>
      </c>
      <c r="H133" s="203" t="n">
        <v>-73</v>
      </c>
      <c r="I133" s="206" t="inlineStr">
        <is>
          <t>こもの</t>
        </is>
      </c>
      <c r="J133" s="206" t="n">
        <v/>
      </c>
      <c r="K133" s="207">
        <f>C133-E133+G133</f>
        <v/>
      </c>
      <c r="L133" s="202" t="n"/>
      <c r="M133" s="208">
        <f>IF(COUNTIFS($B133,"*東一*")&gt;0,"東一",IF(COUNTIF($L133,"■")&gt;0,IF(COUNTIF($J133,"○")&gt;0,"荷受",$K133*-1),""))</f>
        <v/>
      </c>
      <c r="N133" s="193" t="n"/>
      <c r="O133" s="193" t="n"/>
      <c r="P133" s="193" t="n"/>
      <c r="Q133" s="193" t="n"/>
      <c r="R133" s="193" t="n"/>
      <c r="S133" s="193" t="n"/>
    </row>
    <row r="134" ht="12.6" customHeight="1">
      <c r="A134" s="201" t="inlineStr">
        <is>
          <t>1840-4</t>
        </is>
      </c>
      <c r="B134" s="202" t="inlineStr">
        <is>
          <t>有機にら 100ｇ (大地と自然)</t>
        </is>
      </c>
      <c r="C134" s="203" t="n">
        <v>154</v>
      </c>
      <c r="D134" s="204" t="n">
        <v>0</v>
      </c>
      <c r="E134" s="202" t="n">
        <v>14</v>
      </c>
      <c r="F134" s="203" t="n">
        <v>140</v>
      </c>
      <c r="G134" s="205" t="n">
        <v>0</v>
      </c>
      <c r="H134" s="203" t="n">
        <v>140</v>
      </c>
      <c r="I134" s="206" t="inlineStr">
        <is>
          <t>こもの</t>
        </is>
      </c>
      <c r="J134" s="206" t="inlineStr">
        <is>
          <t>○</t>
        </is>
      </c>
      <c r="K134" s="207">
        <f>C134-E134+G134</f>
        <v/>
      </c>
      <c r="L134" s="202" t="n"/>
      <c r="M134" s="208">
        <f>IF(COUNTIFS($B134,"*東一*")&gt;0,"東一",IF(COUNTIF($L134,"■")&gt;0,IF(COUNTIF($J134,"○")&gt;0,"荷受",$K134*-1),""))</f>
        <v/>
      </c>
      <c r="N134" s="193" t="n"/>
      <c r="O134" s="193" t="n"/>
      <c r="P134" s="193" t="n"/>
      <c r="Q134" s="193" t="n"/>
      <c r="R134" s="193" t="n"/>
      <c r="S134" s="193" t="n"/>
    </row>
    <row r="135" ht="12.6" customHeight="1">
      <c r="A135" s="201" t="inlineStr">
        <is>
          <t>1856-85</t>
        </is>
      </c>
      <c r="B135" s="202" t="inlineStr">
        <is>
          <t>にんにく　1玉(せっせと畑)◇</t>
        </is>
      </c>
      <c r="C135" s="203" t="n">
        <v>41</v>
      </c>
      <c r="D135" s="204" t="n">
        <v>100</v>
      </c>
      <c r="E135" s="202" t="n">
        <v>31</v>
      </c>
      <c r="F135" s="203" t="n">
        <v>110</v>
      </c>
      <c r="G135" s="205" t="n">
        <v>0</v>
      </c>
      <c r="H135" s="203" t="n">
        <v>110</v>
      </c>
      <c r="I135" s="206" t="inlineStr">
        <is>
          <t>こもの</t>
        </is>
      </c>
      <c r="J135" s="206" t="n">
        <v/>
      </c>
      <c r="K135" s="207">
        <f>C135-E135+G135</f>
        <v/>
      </c>
      <c r="L135" s="202" t="n"/>
      <c r="M135" s="208">
        <f>IF(COUNTIFS($B135,"*東一*")&gt;0,"東一",IF(COUNTIF($L135,"■")&gt;0,IF(COUNTIF($J135,"○")&gt;0,"荷受",$K135*-1),""))</f>
        <v/>
      </c>
      <c r="N135" s="193" t="n"/>
      <c r="O135" s="193" t="n"/>
      <c r="P135" s="193" t="n"/>
      <c r="Q135" s="193" t="n"/>
      <c r="R135" s="193" t="n"/>
      <c r="S135" s="193" t="n"/>
    </row>
    <row r="136" ht="12.6" customHeight="1">
      <c r="A136" s="201" t="inlineStr">
        <is>
          <t>1857-29</t>
        </is>
      </c>
      <c r="B136" s="202" t="inlineStr">
        <is>
          <t>有機しょうが　100g袋 (夢有民・産ﾊﾟ)</t>
        </is>
      </c>
      <c r="C136" s="203" t="n">
        <v>295</v>
      </c>
      <c r="D136" s="204" t="n">
        <v>0</v>
      </c>
      <c r="E136" s="202" t="n">
        <v>124</v>
      </c>
      <c r="F136" s="203" t="n">
        <v>171</v>
      </c>
      <c r="G136" s="205" t="n">
        <v>0</v>
      </c>
      <c r="H136" s="203" t="n">
        <v>171</v>
      </c>
      <c r="I136" s="206" t="inlineStr">
        <is>
          <t>こもの</t>
        </is>
      </c>
      <c r="J136" s="206" t="inlineStr">
        <is>
          <t>○</t>
        </is>
      </c>
      <c r="K136" s="207">
        <f>C136-E136+G136</f>
        <v/>
      </c>
      <c r="L136" s="202" t="n"/>
      <c r="M136" s="208">
        <f>IF(COUNTIFS($B136,"*東一*")&gt;0,"東一",IF(COUNTIF($L136,"■")&gt;0,IF(COUNTIF($J136,"○")&gt;0,"荷受",$K136*-1),""))</f>
        <v/>
      </c>
      <c r="N136" s="193" t="n"/>
      <c r="O136" s="193" t="n"/>
      <c r="P136" s="193" t="n"/>
      <c r="Q136" s="193" t="n"/>
      <c r="R136" s="193" t="n"/>
      <c r="S136" s="193" t="n"/>
    </row>
    <row r="137" ht="12.6" customHeight="1">
      <c r="A137" s="201" t="inlineStr">
        <is>
          <t>1868-21</t>
        </is>
      </c>
      <c r="B137" s="202" t="inlineStr">
        <is>
          <t>有機生きくらげ(菌床) 50ｇ(太洋社)</t>
        </is>
      </c>
      <c r="C137" s="203" t="n">
        <v>28</v>
      </c>
      <c r="D137" s="204" t="n">
        <v>45</v>
      </c>
      <c r="E137" s="202" t="n">
        <v>16</v>
      </c>
      <c r="F137" s="203" t="n">
        <v>57</v>
      </c>
      <c r="G137" s="205" t="n">
        <v>-5</v>
      </c>
      <c r="H137" s="203" t="n">
        <v>52</v>
      </c>
      <c r="I137" s="206" t="inlineStr">
        <is>
          <t>こもの</t>
        </is>
      </c>
      <c r="J137" s="206" t="inlineStr">
        <is>
          <t>○</t>
        </is>
      </c>
      <c r="K137" s="207">
        <f>C137-E137+G137</f>
        <v/>
      </c>
      <c r="L137" s="202" t="n"/>
      <c r="M137" s="208">
        <f>IF(COUNTIFS($B137,"*東一*")&gt;0,"東一",IF(COUNTIF($L137,"■")&gt;0,IF(COUNTIF($J137,"○")&gt;0,"荷受",$K137*-1),""))</f>
        <v/>
      </c>
      <c r="N137" s="193" t="n"/>
      <c r="O137" s="193" t="n"/>
      <c r="P137" s="193" t="n"/>
      <c r="Q137" s="193" t="n"/>
      <c r="R137" s="193" t="n"/>
      <c r="S137" s="193" t="n"/>
    </row>
    <row r="138" ht="12.6" customHeight="1">
      <c r="A138" s="201" t="inlineStr">
        <is>
          <t>1868-22</t>
        </is>
      </c>
      <c r="B138" s="202" t="inlineStr">
        <is>
          <t>有機生きくらげ(菌床) 50ｇ×5(太洋社)東一</t>
        </is>
      </c>
      <c r="C138" s="203" t="n">
        <v>0</v>
      </c>
      <c r="D138" s="204" t="n">
        <v>1</v>
      </c>
      <c r="E138" s="202" t="n">
        <v>1</v>
      </c>
      <c r="F138" s="203" t="n">
        <v>0</v>
      </c>
      <c r="G138" s="205" t="n">
        <v>0</v>
      </c>
      <c r="H138" s="203" t="n">
        <v>0</v>
      </c>
      <c r="I138" s="206" t="inlineStr">
        <is>
          <t>こもの</t>
        </is>
      </c>
      <c r="J138" s="206" t="n">
        <v/>
      </c>
      <c r="K138" s="207">
        <f>C138-E138+G138</f>
        <v/>
      </c>
      <c r="L138" s="202" t="n"/>
      <c r="M138" s="208">
        <f>IF(COUNTIFS($B138,"*東一*")&gt;0,"東一",IF(COUNTIF($L138,"■")&gt;0,IF(COUNTIF($J138,"○")&gt;0,"荷受",$K138*-1),""))</f>
        <v/>
      </c>
      <c r="N138" s="193" t="n"/>
      <c r="O138" s="193" t="n"/>
      <c r="P138" s="193" t="n"/>
      <c r="Q138" s="193" t="n"/>
      <c r="R138" s="193" t="n"/>
      <c r="S138" s="193" t="n"/>
    </row>
    <row r="139" ht="12.6" customHeight="1">
      <c r="A139" s="201" t="inlineStr">
        <is>
          <t>1869-1</t>
        </is>
      </c>
      <c r="B139" s="202" t="inlineStr">
        <is>
          <t>有機パクチー　30ｇ（わ～ふぁ）</t>
        </is>
      </c>
      <c r="C139" s="203" t="n">
        <v>11</v>
      </c>
      <c r="D139" s="204" t="n">
        <v>120</v>
      </c>
      <c r="E139" s="202" t="n">
        <v>44</v>
      </c>
      <c r="F139" s="203" t="n">
        <v>87</v>
      </c>
      <c r="G139" s="205" t="n">
        <v>-40</v>
      </c>
      <c r="H139" s="203" t="n">
        <v>47</v>
      </c>
      <c r="I139" s="206" t="inlineStr">
        <is>
          <t>こもの</t>
        </is>
      </c>
      <c r="J139" s="206" t="n">
        <v/>
      </c>
      <c r="K139" s="207">
        <f>C139-E139+G139</f>
        <v/>
      </c>
      <c r="L139" s="202" t="n"/>
      <c r="M139" s="208">
        <f>IF(COUNTIFS($B139,"*東一*")&gt;0,"東一",IF(COUNTIF($L139,"■")&gt;0,IF(COUNTIF($J139,"○")&gt;0,"荷受",$K139*-1),""))</f>
        <v/>
      </c>
      <c r="N139" s="193" t="n"/>
      <c r="O139" s="193" t="n"/>
      <c r="P139" s="193" t="n"/>
      <c r="Q139" s="193" t="n"/>
      <c r="R139" s="193" t="n"/>
      <c r="S139" s="193" t="n"/>
    </row>
    <row r="140" ht="12.6" customHeight="1">
      <c r="A140" s="201" t="inlineStr">
        <is>
          <t>1869-9</t>
        </is>
      </c>
      <c r="B140" s="202" t="inlineStr">
        <is>
          <t>有機パクチー　30ｇ×５(わ～ふぁ)東一</t>
        </is>
      </c>
      <c r="C140" s="203" t="n">
        <v>0</v>
      </c>
      <c r="D140" s="204" t="n">
        <v>8</v>
      </c>
      <c r="E140" s="202" t="n">
        <v>8</v>
      </c>
      <c r="F140" s="203" t="n">
        <v>0</v>
      </c>
      <c r="G140" s="205" t="n">
        <v>0</v>
      </c>
      <c r="H140" s="203" t="n">
        <v>0</v>
      </c>
      <c r="I140" s="206" t="inlineStr">
        <is>
          <t>こもの</t>
        </is>
      </c>
      <c r="J140" s="206" t="n">
        <v/>
      </c>
      <c r="K140" s="207">
        <f>C140-E140+G140</f>
        <v/>
      </c>
      <c r="L140" s="202" t="n"/>
      <c r="M140" s="208">
        <f>IF(COUNTIFS($B140,"*東一*")&gt;0,"東一",IF(COUNTIF($L140,"■")&gt;0,IF(COUNTIF($J140,"○")&gt;0,"荷受",$K140*-1),""))</f>
        <v/>
      </c>
      <c r="N140" s="193" t="n"/>
      <c r="O140" s="193" t="n"/>
      <c r="P140" s="193" t="n"/>
      <c r="Q140" s="193" t="n"/>
      <c r="R140" s="193" t="n"/>
      <c r="S140" s="193" t="n"/>
    </row>
    <row r="141" ht="12.6" customHeight="1">
      <c r="A141" s="201" t="inlineStr">
        <is>
          <t>1875-15</t>
        </is>
      </c>
      <c r="B141" s="202" t="inlineStr">
        <is>
          <t>有機ラディッシュ　4～6玉袋(やさと)</t>
        </is>
      </c>
      <c r="C141" s="203" t="n">
        <v>4</v>
      </c>
      <c r="D141" s="204" t="n">
        <v>20</v>
      </c>
      <c r="E141" s="202" t="n">
        <v>5</v>
      </c>
      <c r="F141" s="203" t="n">
        <v>19</v>
      </c>
      <c r="G141" s="205" t="n">
        <v>0</v>
      </c>
      <c r="H141" s="203" t="n">
        <v>19</v>
      </c>
      <c r="I141" s="206" t="inlineStr">
        <is>
          <t>こもの</t>
        </is>
      </c>
      <c r="J141" s="206" t="inlineStr">
        <is>
          <t>○</t>
        </is>
      </c>
      <c r="K141" s="207">
        <f>C141-E141+G141</f>
        <v/>
      </c>
      <c r="L141" s="202" t="n"/>
      <c r="M141" s="208">
        <f>IF(COUNTIFS($B141,"*東一*")&gt;0,"東一",IF(COUNTIF($L141,"■")&gt;0,IF(COUNTIF($J141,"○")&gt;0,"荷受",$K141*-1),""))</f>
        <v/>
      </c>
      <c r="N141" s="193" t="n"/>
      <c r="O141" s="193" t="n"/>
      <c r="P141" s="193" t="n"/>
      <c r="Q141" s="193" t="n"/>
      <c r="R141" s="193" t="n"/>
      <c r="S141" s="193" t="n"/>
    </row>
    <row r="142" ht="12.6" customHeight="1">
      <c r="A142" s="201" t="inlineStr">
        <is>
          <t>1883-15</t>
        </is>
      </c>
      <c r="B142" s="202" t="inlineStr">
        <is>
          <t>有機ｻﾗﾀﾞﾍﾞﾋﾞｰﾐｯｸｽ 40gﾊﾟｯｸ (わ～ふぁ)</t>
        </is>
      </c>
      <c r="C142" s="203" t="n">
        <v>13</v>
      </c>
      <c r="D142" s="204" t="n">
        <v>70</v>
      </c>
      <c r="E142" s="202" t="n">
        <v>23</v>
      </c>
      <c r="F142" s="203" t="n">
        <v>60</v>
      </c>
      <c r="G142" s="205" t="n">
        <v>-10</v>
      </c>
      <c r="H142" s="203" t="n">
        <v>50</v>
      </c>
      <c r="I142" s="206" t="inlineStr">
        <is>
          <t>こもの</t>
        </is>
      </c>
      <c r="J142" s="206" t="n">
        <v/>
      </c>
      <c r="K142" s="207">
        <f>C142-E142+G142</f>
        <v/>
      </c>
      <c r="L142" s="202" t="n"/>
      <c r="M142" s="208">
        <f>IF(COUNTIFS($B142,"*東一*")&gt;0,"東一",IF(COUNTIF($L142,"■")&gt;0,IF(COUNTIF($J142,"○")&gt;0,"荷受",$K142*-1),""))</f>
        <v/>
      </c>
      <c r="N142" s="193" t="n"/>
      <c r="O142" s="193" t="n"/>
      <c r="P142" s="193" t="n"/>
      <c r="Q142" s="193" t="n"/>
      <c r="R142" s="193" t="n"/>
      <c r="S142" s="193" t="n"/>
    </row>
    <row r="143" ht="12.6" customHeight="1">
      <c r="A143" s="201" t="inlineStr">
        <is>
          <t>1883-17</t>
        </is>
      </c>
      <c r="B143" s="202" t="inlineStr">
        <is>
          <t>有機ｻﾗﾀﾞﾍﾞﾋﾞｰﾐｯｸｽ 40g×５(わ～ふぁ)東一</t>
        </is>
      </c>
      <c r="C143" s="203" t="n">
        <v>0</v>
      </c>
      <c r="D143" s="204" t="n">
        <v>2</v>
      </c>
      <c r="E143" s="202" t="n">
        <v>2</v>
      </c>
      <c r="F143" s="203" t="n">
        <v>0</v>
      </c>
      <c r="G143" s="205" t="n">
        <v>0</v>
      </c>
      <c r="H143" s="203" t="n">
        <v>0</v>
      </c>
      <c r="I143" s="206" t="inlineStr">
        <is>
          <t>こもの</t>
        </is>
      </c>
      <c r="J143" s="206" t="n">
        <v/>
      </c>
      <c r="K143" s="207">
        <f>C143-E143+G143</f>
        <v/>
      </c>
      <c r="L143" s="202" t="n"/>
      <c r="M143" s="208">
        <f>IF(COUNTIFS($B143,"*東一*")&gt;0,"東一",IF(COUNTIF($L143,"■")&gt;0,IF(COUNTIF($J143,"○")&gt;0,"荷受",$K143*-1),""))</f>
        <v/>
      </c>
      <c r="N143" s="193" t="n"/>
      <c r="O143" s="193" t="n"/>
      <c r="P143" s="193" t="n"/>
      <c r="Q143" s="193" t="n"/>
      <c r="R143" s="193" t="n"/>
      <c r="S143" s="193" t="n"/>
    </row>
    <row r="144" ht="12.6" customHeight="1">
      <c r="A144" s="201" t="inlineStr">
        <is>
          <t>1883-55</t>
        </is>
      </c>
      <c r="B144" s="202" t="inlineStr">
        <is>
          <t>有機ﾍﾞﾋﾞｰﾘｰﾌ 30gﾊﾟｯｸ (HATAKE)</t>
        </is>
      </c>
      <c r="C144" s="203" t="n">
        <v>7</v>
      </c>
      <c r="D144" s="204" t="n">
        <v>90</v>
      </c>
      <c r="E144" s="202" t="n">
        <v>5</v>
      </c>
      <c r="F144" s="203" t="n">
        <v>92</v>
      </c>
      <c r="G144" s="205" t="n">
        <v>-90</v>
      </c>
      <c r="H144" s="203" t="n">
        <v>2</v>
      </c>
      <c r="I144" s="206" t="inlineStr">
        <is>
          <t>こもの</t>
        </is>
      </c>
      <c r="J144" s="206" t="inlineStr">
        <is>
          <t>○</t>
        </is>
      </c>
      <c r="K144" s="207">
        <f>C144-E144+G144</f>
        <v/>
      </c>
      <c r="L144" s="202" t="n"/>
      <c r="M144" s="208">
        <f>IF(COUNTIFS($B144,"*東一*")&gt;0,"東一",IF(COUNTIF($L144,"■")&gt;0,IF(COUNTIF($J144,"○")&gt;0,"荷受",$K144*-1),""))</f>
        <v/>
      </c>
      <c r="N144" s="193" t="n"/>
      <c r="O144" s="193" t="n"/>
      <c r="P144" s="193" t="n"/>
      <c r="Q144" s="193" t="n"/>
      <c r="R144" s="193" t="n"/>
      <c r="S144" s="193" t="n"/>
    </row>
    <row r="145" ht="12.6" customHeight="1">
      <c r="A145" s="201" t="inlineStr">
        <is>
          <t>1883-61</t>
        </is>
      </c>
      <c r="B145" s="202" t="inlineStr">
        <is>
          <t>有機ｻﾗﾀﾞﾍﾞﾋﾞｰﾐｯｸｽ 大袋250g(わ～ふぁ)</t>
        </is>
      </c>
      <c r="C145" s="203" t="n">
        <v>0</v>
      </c>
      <c r="D145" s="204" t="n">
        <v>40</v>
      </c>
      <c r="E145" s="202" t="n">
        <v>8</v>
      </c>
      <c r="F145" s="203" t="n">
        <v>32</v>
      </c>
      <c r="G145" s="205" t="n">
        <v>0</v>
      </c>
      <c r="H145" s="203" t="n">
        <v>32</v>
      </c>
      <c r="I145" s="206" t="inlineStr">
        <is>
          <t>こもの</t>
        </is>
      </c>
      <c r="J145" s="206" t="n">
        <v/>
      </c>
      <c r="K145" s="207">
        <f>C145-E145+G145</f>
        <v/>
      </c>
      <c r="L145" s="202" t="n"/>
      <c r="M145" s="208">
        <f>IF(COUNTIFS($B145,"*東一*")&gt;0,"東一",IF(COUNTIF($L145,"■")&gt;0,IF(COUNTIF($J145,"○")&gt;0,"荷受",$K145*-1),""))</f>
        <v/>
      </c>
      <c r="N145" s="193" t="n"/>
      <c r="O145" s="193" t="n"/>
      <c r="P145" s="193" t="n"/>
      <c r="Q145" s="193" t="n"/>
      <c r="R145" s="193" t="n"/>
      <c r="S145" s="193" t="n"/>
    </row>
    <row r="146" ht="12.6" customHeight="1">
      <c r="A146" s="201" t="inlineStr">
        <is>
          <t>1889-15</t>
        </is>
      </c>
      <c r="B146" s="202" t="inlineStr">
        <is>
          <t>有機大葉 １０枚ﾊﾟｯｸ (矢澤園芸)</t>
        </is>
      </c>
      <c r="C146" s="203" t="n">
        <v>116</v>
      </c>
      <c r="D146" s="204" t="n">
        <v>200</v>
      </c>
      <c r="E146" s="202" t="n">
        <v>52</v>
      </c>
      <c r="F146" s="203" t="n">
        <v>264</v>
      </c>
      <c r="G146" s="205" t="n">
        <v>-5</v>
      </c>
      <c r="H146" s="203" t="n">
        <v>259</v>
      </c>
      <c r="I146" s="206" t="inlineStr">
        <is>
          <t>こもの</t>
        </is>
      </c>
      <c r="J146" s="206" t="n">
        <v/>
      </c>
      <c r="K146" s="207">
        <f>C146-E146+G146</f>
        <v/>
      </c>
      <c r="L146" s="202" t="n"/>
      <c r="M146" s="208">
        <f>IF(COUNTIFS($B146,"*東一*")&gt;0,"東一",IF(COUNTIF($L146,"■")&gt;0,IF(COUNTIF($J146,"○")&gt;0,"荷受",$K146*-1),""))</f>
        <v/>
      </c>
      <c r="N146" s="193" t="n"/>
      <c r="O146" s="193" t="n"/>
      <c r="P146" s="193" t="n"/>
      <c r="Q146" s="193" t="n"/>
      <c r="R146" s="193" t="n"/>
      <c r="S146" s="193" t="n"/>
    </row>
    <row r="147" ht="12.6" customHeight="1">
      <c r="A147" s="201" t="inlineStr">
        <is>
          <t>1889-16</t>
        </is>
      </c>
      <c r="B147" s="202" t="inlineStr">
        <is>
          <t>有機大葉 １ﾊﾟｯｸ×10入(矢澤園芸)東一</t>
        </is>
      </c>
      <c r="C147" s="203" t="n">
        <v>0</v>
      </c>
      <c r="D147" s="204" t="n">
        <v>1</v>
      </c>
      <c r="E147" s="202" t="n">
        <v>1</v>
      </c>
      <c r="F147" s="203" t="n">
        <v>0</v>
      </c>
      <c r="G147" s="205" t="n">
        <v>0</v>
      </c>
      <c r="H147" s="203" t="n">
        <v>0</v>
      </c>
      <c r="I147" s="206" t="inlineStr">
        <is>
          <t>こもの</t>
        </is>
      </c>
      <c r="J147" s="206" t="n">
        <v/>
      </c>
      <c r="K147" s="207">
        <f>C147-E147+G147</f>
        <v/>
      </c>
      <c r="L147" s="202" t="n"/>
      <c r="M147" s="208">
        <f>IF(COUNTIFS($B147,"*東一*")&gt;0,"東一",IF(COUNTIF($L147,"■")&gt;0,IF(COUNTIF($J147,"○")&gt;0,"荷受",$K147*-1),""))</f>
        <v/>
      </c>
      <c r="N147" s="193" t="n"/>
      <c r="O147" s="193" t="n"/>
      <c r="P147" s="193" t="n"/>
      <c r="Q147" s="193" t="n"/>
      <c r="R147" s="193" t="n"/>
      <c r="S147" s="193" t="n"/>
    </row>
    <row r="148" ht="12.6" customHeight="1">
      <c r="A148" s="201" t="inlineStr">
        <is>
          <t>1898-3</t>
        </is>
      </c>
      <c r="B148" s="202" t="inlineStr">
        <is>
          <t>有機ホワイトマッシュルーム 70g(舟形)</t>
        </is>
      </c>
      <c r="C148" s="203" t="n">
        <v>21</v>
      </c>
      <c r="D148" s="204" t="n">
        <v>48</v>
      </c>
      <c r="E148" s="202" t="n">
        <v>24</v>
      </c>
      <c r="F148" s="203" t="n">
        <v>45</v>
      </c>
      <c r="G148" s="205" t="n">
        <v>0</v>
      </c>
      <c r="H148" s="203" t="n">
        <v>45</v>
      </c>
      <c r="I148" s="206" t="inlineStr">
        <is>
          <t>こもの</t>
        </is>
      </c>
      <c r="J148" s="206" t="inlineStr">
        <is>
          <t>○</t>
        </is>
      </c>
      <c r="K148" s="207">
        <f>C148-E148+G148</f>
        <v/>
      </c>
      <c r="L148" s="202" t="n"/>
      <c r="M148" s="208">
        <f>IF(COUNTIFS($B148,"*東一*")&gt;0,"東一",IF(COUNTIF($L148,"■")&gt;0,IF(COUNTIF($J148,"○")&gt;0,"荷受",$K148*-1),""))</f>
        <v/>
      </c>
      <c r="N148" s="193" t="n"/>
      <c r="O148" s="193" t="n"/>
      <c r="P148" s="193" t="n"/>
      <c r="Q148" s="193" t="n"/>
      <c r="R148" s="193" t="n"/>
      <c r="S148" s="193" t="n"/>
    </row>
    <row r="149" ht="12.6" customHeight="1">
      <c r="A149" s="201" t="inlineStr">
        <is>
          <t>1898-5</t>
        </is>
      </c>
      <c r="B149" s="202" t="inlineStr">
        <is>
          <t>有機ブラウンマッシュルーム 70g(舟形)</t>
        </is>
      </c>
      <c r="C149" s="203" t="n">
        <v>19</v>
      </c>
      <c r="D149" s="204" t="n">
        <v>96</v>
      </c>
      <c r="E149" s="202" t="n">
        <v>34</v>
      </c>
      <c r="F149" s="203" t="n">
        <v>81</v>
      </c>
      <c r="G149" s="205" t="n">
        <v>0</v>
      </c>
      <c r="H149" s="203" t="n">
        <v>81</v>
      </c>
      <c r="I149" s="206" t="inlineStr">
        <is>
          <t>こもの</t>
        </is>
      </c>
      <c r="J149" s="206" t="inlineStr">
        <is>
          <t>○</t>
        </is>
      </c>
      <c r="K149" s="207">
        <f>C149-E149+G149</f>
        <v/>
      </c>
      <c r="L149" s="202" t="n"/>
      <c r="M149" s="208">
        <f>IF(COUNTIFS($B149,"*東一*")&gt;0,"東一",IF(COUNTIF($L149,"■")&gt;0,IF(COUNTIF($J149,"○")&gt;0,"荷受",$K149*-1),""))</f>
        <v/>
      </c>
      <c r="N149" s="193" t="n"/>
      <c r="O149" s="193" t="n"/>
      <c r="P149" s="193" t="n"/>
      <c r="Q149" s="193" t="n"/>
      <c r="R149" s="193" t="n"/>
      <c r="S149" s="193" t="n"/>
    </row>
    <row r="150" ht="12.6" customHeight="1">
      <c r="A150" s="201" t="inlineStr">
        <is>
          <t>2209-15</t>
        </is>
      </c>
      <c r="B150" s="202" t="inlineStr">
        <is>
          <t>平飼い 10個入ﾊﾟｯｸ（会田）</t>
        </is>
      </c>
      <c r="C150" s="203" t="n">
        <v>0</v>
      </c>
      <c r="D150" s="204" t="n">
        <v>24</v>
      </c>
      <c r="E150" s="202" t="n">
        <v>24</v>
      </c>
      <c r="F150" s="203" t="n">
        <v>0</v>
      </c>
      <c r="G150" s="205" t="n">
        <v>0</v>
      </c>
      <c r="H150" s="203" t="n">
        <v>0</v>
      </c>
      <c r="I150" s="206" t="inlineStr">
        <is>
          <t>こもの</t>
        </is>
      </c>
      <c r="J150" s="206" t="inlineStr">
        <is>
          <t>○</t>
        </is>
      </c>
      <c r="K150" s="207">
        <f>C150-E150+G150</f>
        <v/>
      </c>
      <c r="L150" s="202" t="n"/>
      <c r="M150" s="208">
        <f>IF(COUNTIFS($B150,"*東一*")&gt;0,"東一",IF(COUNTIF($L150,"■")&gt;0,IF(COUNTIF($J150,"○")&gt;0,"荷受",$K150*-1),""))</f>
        <v/>
      </c>
      <c r="N150" s="193" t="n"/>
      <c r="O150" s="193" t="n"/>
      <c r="P150" s="193" t="n"/>
      <c r="Q150" s="193" t="n"/>
      <c r="R150" s="193" t="n"/>
      <c r="S150" s="193" t="n"/>
    </row>
    <row r="151" ht="12.6" customHeight="1">
      <c r="A151" s="201" t="inlineStr">
        <is>
          <t>2209-16</t>
        </is>
      </c>
      <c r="B151" s="202" t="inlineStr">
        <is>
          <t>米たまご 10個入ﾊﾟｯｸ（会田）</t>
        </is>
      </c>
      <c r="C151" s="203" t="n">
        <v>0</v>
      </c>
      <c r="D151" s="204" t="n">
        <v>24</v>
      </c>
      <c r="E151" s="202" t="n">
        <v>24</v>
      </c>
      <c r="F151" s="203" t="n">
        <v>0</v>
      </c>
      <c r="G151" s="205" t="n">
        <v>0</v>
      </c>
      <c r="H151" s="203" t="n">
        <v>0</v>
      </c>
      <c r="I151" s="206" t="inlineStr">
        <is>
          <t>こもの</t>
        </is>
      </c>
      <c r="J151" s="206" t="inlineStr">
        <is>
          <t>○</t>
        </is>
      </c>
      <c r="K151" s="207">
        <f>C151-E151+G151</f>
        <v/>
      </c>
      <c r="L151" s="202" t="n"/>
      <c r="M151" s="208">
        <f>IF(COUNTIFS($B151,"*東一*")&gt;0,"東一",IF(COUNTIF($L151,"■")&gt;0,IF(COUNTIF($J151,"○")&gt;0,"荷受",$K151*-1),""))</f>
        <v/>
      </c>
      <c r="N151" s="193" t="n"/>
      <c r="O151" s="193" t="n"/>
      <c r="P151" s="193" t="n"/>
      <c r="Q151" s="193" t="n"/>
      <c r="R151" s="193" t="n"/>
      <c r="S151" s="193" t="n"/>
    </row>
    <row r="152" ht="12.6" customHeight="1">
      <c r="A152" s="201" t="inlineStr">
        <is>
          <t>2209-17</t>
        </is>
      </c>
      <c r="B152" s="202" t="inlineStr">
        <is>
          <t>平飼い Ｓ10個入ﾊﾟｯｸ（会田）</t>
        </is>
      </c>
      <c r="C152" s="203" t="n">
        <v>0</v>
      </c>
      <c r="D152" s="204" t="n">
        <v>50</v>
      </c>
      <c r="E152" s="202" t="n">
        <v>50</v>
      </c>
      <c r="F152" s="203" t="n">
        <v>0</v>
      </c>
      <c r="G152" s="205" t="n">
        <v>0</v>
      </c>
      <c r="H152" s="203" t="n">
        <v>0</v>
      </c>
      <c r="I152" s="206" t="inlineStr">
        <is>
          <t>こもの</t>
        </is>
      </c>
      <c r="J152" s="206" t="inlineStr">
        <is>
          <t>○</t>
        </is>
      </c>
      <c r="K152" s="207">
        <f>C152-E152+G152</f>
        <v/>
      </c>
      <c r="L152" s="202" t="n"/>
      <c r="M152" s="208">
        <f>IF(COUNTIFS($B152,"*東一*")&gt;0,"東一",IF(COUNTIF($L152,"■")&gt;0,IF(COUNTIF($J152,"○")&gt;0,"荷受",$K152*-1),""))</f>
        <v/>
      </c>
      <c r="N152" s="193" t="n"/>
      <c r="O152" s="193" t="n"/>
      <c r="P152" s="193" t="n"/>
      <c r="Q152" s="193" t="n"/>
      <c r="R152" s="193" t="n"/>
      <c r="S152" s="193" t="n"/>
    </row>
    <row r="153" ht="12.6" customHeight="1">
      <c r="A153" s="201" t="inlineStr">
        <is>
          <t>4003</t>
        </is>
      </c>
      <c r="B153" s="202" t="inlineStr">
        <is>
          <t>配達料　2000円(税抜）</t>
        </is>
      </c>
      <c r="C153" s="203" t="n">
        <v>0</v>
      </c>
      <c r="D153" s="204" t="n">
        <v>1</v>
      </c>
      <c r="E153" s="202" t="n">
        <v>1</v>
      </c>
      <c r="F153" s="203" t="n">
        <v>0</v>
      </c>
      <c r="G153" s="205" t="n">
        <v>0</v>
      </c>
      <c r="H153" s="203" t="n">
        <v>0</v>
      </c>
      <c r="I153" s="206" t="n">
        <v/>
      </c>
      <c r="J153" s="206" t="n">
        <v/>
      </c>
      <c r="K153" s="207">
        <f>C153-E153+G153</f>
        <v/>
      </c>
      <c r="L153" s="202" t="n"/>
      <c r="M153" s="208">
        <f>IF(COUNTIFS($B153,"*東一*")&gt;0,"東一",IF(COUNTIF($L153,"■")&gt;0,IF(COUNTIF($J153,"○")&gt;0,"荷受",$K153*-1),""))</f>
        <v/>
      </c>
      <c r="N153" s="193" t="n"/>
      <c r="O153" s="193" t="n"/>
      <c r="P153" s="193" t="n"/>
      <c r="Q153" s="193" t="n"/>
      <c r="R153" s="193" t="n"/>
      <c r="S153" s="193" t="n"/>
    </row>
    <row r="154" ht="12.6" customHeight="1">
      <c r="A154" s="201" t="inlineStr">
        <is>
          <t>4011</t>
        </is>
      </c>
      <c r="B154" s="202" t="inlineStr">
        <is>
          <t>運賃(税抜)</t>
        </is>
      </c>
      <c r="C154" s="203" t="n">
        <v>0</v>
      </c>
      <c r="D154" s="204" t="n">
        <v>2</v>
      </c>
      <c r="E154" s="202" t="n">
        <v>2</v>
      </c>
      <c r="F154" s="203" t="n">
        <v>0</v>
      </c>
      <c r="G154" s="205" t="n">
        <v>0</v>
      </c>
      <c r="H154" s="203" t="n">
        <v>0</v>
      </c>
      <c r="I154" s="206" t="n">
        <v/>
      </c>
      <c r="J154" s="206" t="n">
        <v/>
      </c>
      <c r="K154" s="207">
        <f>C154-E154+G154</f>
        <v/>
      </c>
      <c r="L154" s="202" t="n"/>
      <c r="M154" s="208">
        <f>IF(COUNTIFS($B154,"*東一*")&gt;0,"東一",IF(COUNTIF($L154,"■")&gt;0,IF(COUNTIF($J154,"○")&gt;0,"荷受",$K154*-1),""))</f>
        <v/>
      </c>
      <c r="N154" s="193" t="n"/>
      <c r="O154" s="193" t="n"/>
      <c r="P154" s="193" t="n"/>
      <c r="Q154" s="193" t="n"/>
      <c r="R154" s="193" t="n"/>
      <c r="S154" s="193" t="n"/>
    </row>
    <row r="155" ht="12.6" customHeight="1">
      <c r="A155" s="201" t="inlineStr">
        <is>
          <t>5301-7</t>
        </is>
      </c>
      <c r="B155" s="202" t="inlineStr">
        <is>
          <t>もみしそ 300g(ﾊﾟﾝﾄﾞﾗ)</t>
        </is>
      </c>
      <c r="C155" s="203" t="n">
        <v>10</v>
      </c>
      <c r="D155" s="204" t="n">
        <v>0</v>
      </c>
      <c r="E155" s="202" t="n">
        <v>8</v>
      </c>
      <c r="F155" s="203" t="n">
        <v>2</v>
      </c>
      <c r="G155" s="205" t="n">
        <v>0</v>
      </c>
      <c r="H155" s="203" t="n">
        <v>2</v>
      </c>
      <c r="I155" s="206" t="inlineStr">
        <is>
          <t>こもの</t>
        </is>
      </c>
      <c r="J155" s="206" t="inlineStr">
        <is>
          <t>○</t>
        </is>
      </c>
      <c r="K155" s="207">
        <f>C155-E155+G155</f>
        <v/>
      </c>
      <c r="L155" s="202" t="n"/>
      <c r="M155" s="208">
        <f>IF(COUNTIFS($B155,"*東一*")&gt;0,"東一",IF(COUNTIF($L155,"■")&gt;0,IF(COUNTIF($J155,"○")&gt;0,"荷受",$K155*-1),""))</f>
        <v/>
      </c>
      <c r="N155" s="193" t="n"/>
      <c r="O155" s="193" t="n"/>
      <c r="P155" s="193" t="n"/>
      <c r="Q155" s="193" t="n"/>
      <c r="R155" s="193" t="n"/>
      <c r="S155" s="193" t="n"/>
    </row>
    <row r="156" ht="12.6" customHeight="1">
      <c r="A156" s="201" t="inlineStr">
        <is>
          <t>6206-1</t>
        </is>
      </c>
      <c r="B156" s="202" t="inlineStr">
        <is>
          <t>米粉カステラ　１斤（1本）</t>
        </is>
      </c>
      <c r="C156" s="203" t="n">
        <v>0</v>
      </c>
      <c r="D156" s="204" t="n">
        <v>0</v>
      </c>
      <c r="E156" s="202" t="n">
        <v>2</v>
      </c>
      <c r="F156" s="203" t="n">
        <v>-2</v>
      </c>
      <c r="G156" s="205" t="n">
        <v>0</v>
      </c>
      <c r="H156" s="203" t="n">
        <v>-2</v>
      </c>
      <c r="I156" s="206" t="inlineStr">
        <is>
          <t>こもの</t>
        </is>
      </c>
      <c r="J156" s="206" t="n">
        <v/>
      </c>
      <c r="K156" s="207">
        <f>C156-E156+G156</f>
        <v/>
      </c>
      <c r="L156" s="202" t="n"/>
      <c r="M156" s="208">
        <f>IF(COUNTIFS($B156,"*東一*")&gt;0,"東一",IF(COUNTIF($L156,"■")&gt;0,IF(COUNTIF($J156,"○")&gt;0,"荷受",$K156*-1),""))</f>
        <v/>
      </c>
      <c r="N156" s="193" t="n"/>
      <c r="O156" s="193" t="n"/>
      <c r="P156" s="193" t="n"/>
      <c r="Q156" s="193" t="n"/>
      <c r="R156" s="193" t="n"/>
      <c r="S156" s="193" t="n"/>
    </row>
    <row r="157" ht="12.6" customHeight="1">
      <c r="A157" s="201" t="inlineStr">
        <is>
          <t>6206-2</t>
        </is>
      </c>
      <c r="B157" s="202" t="inlineStr">
        <is>
          <t>米粉カステラ　１切</t>
        </is>
      </c>
      <c r="C157" s="203" t="n">
        <v>0</v>
      </c>
      <c r="D157" s="204" t="n">
        <v>0</v>
      </c>
      <c r="E157" s="202" t="n">
        <v>150</v>
      </c>
      <c r="F157" s="203" t="n">
        <v>-150</v>
      </c>
      <c r="G157" s="205" t="n">
        <v>0</v>
      </c>
      <c r="H157" s="203" t="n">
        <v>-150</v>
      </c>
      <c r="I157" s="206" t="inlineStr">
        <is>
          <t>こもの</t>
        </is>
      </c>
      <c r="J157" s="206" t="n">
        <v/>
      </c>
      <c r="K157" s="207">
        <f>C157-E157+G157</f>
        <v/>
      </c>
      <c r="L157" s="202" t="n"/>
      <c r="M157" s="208">
        <f>IF(COUNTIFS($B157,"*東一*")&gt;0,"東一",IF(COUNTIF($L157,"■")&gt;0,IF(COUNTIF($J157,"○")&gt;0,"荷受",$K157*-1),""))</f>
        <v/>
      </c>
      <c r="N157" s="193" t="n"/>
      <c r="O157" s="193" t="n"/>
      <c r="P157" s="193" t="n"/>
      <c r="Q157" s="193" t="n"/>
      <c r="R157" s="193" t="n"/>
      <c r="S157" s="193" t="n"/>
    </row>
    <row r="158">
      <c r="A158" s="209" t="n"/>
      <c r="B158" s="209" t="n"/>
      <c r="C158" s="209" t="n"/>
      <c r="D158" s="210" t="n"/>
      <c r="E158" s="209" t="n"/>
      <c r="F158" s="209" t="n"/>
      <c r="G158" s="210" t="n"/>
      <c r="H158" s="209" t="n"/>
      <c r="I158" s="209" t="n"/>
      <c r="J158" s="209" t="n"/>
      <c r="K158" s="209" t="n"/>
      <c r="L158" s="209" t="n"/>
      <c r="M158" s="209" t="n"/>
      <c r="N158" s="209" t="n"/>
      <c r="O158" s="209" t="n"/>
      <c r="P158" s="209" t="n"/>
      <c r="Q158" s="209" t="n"/>
      <c r="R158" s="209" t="n"/>
      <c r="S158" s="209" t="n"/>
    </row>
    <row r="159">
      <c r="A159" s="209" t="n"/>
      <c r="B159" s="209" t="n"/>
      <c r="C159" s="209" t="n"/>
      <c r="D159" s="210" t="n"/>
      <c r="E159" s="209" t="n"/>
      <c r="F159" s="209" t="n"/>
      <c r="G159" s="210" t="n"/>
      <c r="H159" s="209" t="n"/>
      <c r="I159" s="209" t="n"/>
      <c r="J159" s="209" t="n"/>
      <c r="K159" s="209" t="n"/>
      <c r="L159" s="209" t="n"/>
      <c r="M159" s="209" t="n"/>
      <c r="N159" s="209" t="n"/>
      <c r="O159" s="209" t="n"/>
      <c r="P159" s="209" t="n"/>
      <c r="Q159" s="209" t="n"/>
      <c r="R159" s="209" t="n"/>
      <c r="S159" s="209" t="n"/>
    </row>
    <row r="160">
      <c r="A160" s="209" t="n"/>
      <c r="B160" s="209" t="n"/>
      <c r="C160" s="209" t="n"/>
      <c r="D160" s="210" t="n"/>
      <c r="E160" s="209" t="n"/>
      <c r="F160" s="209" t="n"/>
      <c r="G160" s="210" t="n"/>
      <c r="H160" s="209" t="n"/>
      <c r="I160" s="209" t="n"/>
      <c r="J160" s="209" t="n"/>
      <c r="K160" s="209" t="n"/>
      <c r="L160" s="209" t="n"/>
      <c r="M160" s="209" t="n"/>
      <c r="N160" s="209" t="n"/>
      <c r="O160" s="209" t="n"/>
      <c r="P160" s="209" t="n"/>
      <c r="Q160" s="209" t="n"/>
      <c r="R160" s="209" t="n"/>
      <c r="S160" s="209" t="n"/>
    </row>
    <row r="161">
      <c r="A161" s="209" t="n"/>
      <c r="B161" s="209" t="n"/>
      <c r="C161" s="209" t="n"/>
      <c r="D161" s="210" t="n"/>
      <c r="E161" s="209" t="n"/>
      <c r="F161" s="209" t="n"/>
      <c r="G161" s="210" t="n"/>
      <c r="H161" s="209" t="n"/>
      <c r="I161" s="209" t="n"/>
      <c r="J161" s="209" t="n"/>
      <c r="K161" s="209" t="n"/>
      <c r="L161" s="209" t="n"/>
      <c r="M161" s="209" t="n"/>
      <c r="N161" s="209" t="n"/>
      <c r="O161" s="209" t="n"/>
      <c r="P161" s="209" t="n"/>
      <c r="Q161" s="209" t="n"/>
      <c r="R161" s="209" t="n"/>
      <c r="S161" s="209" t="n"/>
    </row>
    <row r="162">
      <c r="A162" s="209" t="n"/>
      <c r="B162" s="209" t="n"/>
      <c r="C162" s="209" t="n"/>
      <c r="D162" s="210" t="n"/>
      <c r="E162" s="209" t="n"/>
      <c r="F162" s="209" t="n"/>
      <c r="G162" s="210" t="n"/>
      <c r="H162" s="209" t="n"/>
      <c r="I162" s="209" t="n"/>
      <c r="J162" s="209" t="n"/>
      <c r="K162" s="209" t="n"/>
      <c r="L162" s="209" t="n"/>
      <c r="M162" s="209" t="n"/>
      <c r="N162" s="209" t="n"/>
      <c r="O162" s="209" t="n"/>
      <c r="P162" s="209" t="n"/>
      <c r="Q162" s="209" t="n"/>
      <c r="R162" s="209" t="n"/>
      <c r="S162" s="209" t="n"/>
    </row>
    <row r="163">
      <c r="A163" s="209" t="n"/>
      <c r="B163" s="209" t="n"/>
      <c r="C163" s="209" t="n"/>
      <c r="D163" s="210" t="n"/>
      <c r="E163" s="209" t="n"/>
      <c r="F163" s="209" t="n"/>
      <c r="G163" s="210" t="n"/>
      <c r="H163" s="209" t="n"/>
      <c r="I163" s="209" t="n"/>
      <c r="J163" s="209" t="n"/>
      <c r="K163" s="209" t="n"/>
      <c r="L163" s="209" t="n"/>
      <c r="M163" s="209" t="n"/>
      <c r="N163" s="209" t="n"/>
      <c r="O163" s="209" t="n"/>
      <c r="P163" s="209" t="n"/>
      <c r="Q163" s="209" t="n"/>
      <c r="R163" s="209" t="n"/>
      <c r="S163" s="209" t="n"/>
    </row>
    <row r="164">
      <c r="A164" s="209" t="n"/>
      <c r="B164" s="209" t="n"/>
      <c r="C164" s="209" t="n"/>
      <c r="D164" s="210" t="n"/>
      <c r="E164" s="209" t="n"/>
      <c r="F164" s="209" t="n"/>
      <c r="G164" s="210" t="n"/>
      <c r="H164" s="209" t="n"/>
      <c r="I164" s="209" t="n"/>
      <c r="J164" s="209" t="n"/>
      <c r="K164" s="209" t="n"/>
      <c r="L164" s="209" t="n"/>
      <c r="M164" s="209" t="n"/>
      <c r="N164" s="209" t="n"/>
      <c r="O164" s="209" t="n"/>
      <c r="P164" s="209" t="n"/>
      <c r="Q164" s="209" t="n"/>
      <c r="R164" s="209" t="n"/>
      <c r="S164" s="209" t="n"/>
    </row>
    <row r="165">
      <c r="A165" s="209" t="n"/>
      <c r="B165" s="209" t="n"/>
      <c r="C165" s="209" t="n"/>
      <c r="D165" s="210" t="n"/>
      <c r="E165" s="209" t="n"/>
      <c r="F165" s="209" t="n"/>
      <c r="G165" s="210" t="n"/>
      <c r="H165" s="209" t="n"/>
      <c r="I165" s="209" t="n"/>
      <c r="J165" s="209" t="n"/>
      <c r="K165" s="209" t="n"/>
      <c r="L165" s="209" t="n"/>
      <c r="M165" s="209" t="n"/>
      <c r="N165" s="209" t="n"/>
      <c r="O165" s="209" t="n"/>
      <c r="P165" s="209" t="n"/>
      <c r="Q165" s="209" t="n"/>
      <c r="R165" s="209" t="n"/>
      <c r="S165" s="209" t="n"/>
    </row>
    <row r="166">
      <c r="A166" s="209" t="n"/>
      <c r="B166" s="209" t="n"/>
      <c r="C166" s="209" t="n"/>
      <c r="D166" s="210" t="n"/>
      <c r="E166" s="209" t="n"/>
      <c r="F166" s="209" t="n"/>
      <c r="G166" s="210" t="n"/>
      <c r="H166" s="209" t="n"/>
      <c r="I166" s="209" t="n"/>
      <c r="J166" s="209" t="n"/>
      <c r="K166" s="209" t="n"/>
      <c r="L166" s="209" t="n"/>
      <c r="M166" s="209" t="n"/>
      <c r="N166" s="209" t="n"/>
      <c r="O166" s="209" t="n"/>
      <c r="P166" s="209" t="n"/>
      <c r="Q166" s="209" t="n"/>
      <c r="R166" s="209" t="n"/>
      <c r="S166" s="209" t="n"/>
    </row>
    <row r="167">
      <c r="A167" s="209" t="n"/>
      <c r="B167" s="209" t="n"/>
      <c r="C167" s="209" t="n"/>
      <c r="D167" s="210" t="n"/>
      <c r="E167" s="209" t="n"/>
      <c r="F167" s="209" t="n"/>
      <c r="G167" s="210" t="n"/>
      <c r="H167" s="209" t="n"/>
      <c r="I167" s="209" t="n"/>
      <c r="J167" s="209" t="n"/>
      <c r="K167" s="209" t="n"/>
      <c r="L167" s="209" t="n"/>
      <c r="M167" s="209" t="n"/>
      <c r="N167" s="209" t="n"/>
      <c r="O167" s="209" t="n"/>
      <c r="P167" s="209" t="n"/>
      <c r="Q167" s="209" t="n"/>
      <c r="R167" s="209" t="n"/>
      <c r="S167" s="209" t="n"/>
    </row>
    <row r="168">
      <c r="A168" s="209" t="n"/>
      <c r="B168" s="209" t="n"/>
      <c r="C168" s="209" t="n"/>
      <c r="D168" s="210" t="n"/>
      <c r="E168" s="209" t="n"/>
      <c r="F168" s="209" t="n"/>
      <c r="G168" s="210" t="n"/>
      <c r="H168" s="209" t="n"/>
      <c r="I168" s="209" t="n"/>
      <c r="J168" s="209" t="n"/>
      <c r="K168" s="209" t="n"/>
      <c r="L168" s="209" t="n"/>
      <c r="M168" s="209" t="n"/>
      <c r="N168" s="209" t="n"/>
      <c r="O168" s="209" t="n"/>
      <c r="P168" s="209" t="n"/>
      <c r="Q168" s="209" t="n"/>
      <c r="R168" s="209" t="n"/>
      <c r="S168" s="209" t="n"/>
    </row>
    <row r="169">
      <c r="A169" s="209" t="n"/>
      <c r="B169" s="209" t="n"/>
      <c r="C169" s="209" t="n"/>
      <c r="D169" s="210" t="n"/>
      <c r="E169" s="209" t="n"/>
      <c r="F169" s="209" t="n"/>
      <c r="G169" s="210" t="n"/>
      <c r="H169" s="209" t="n"/>
      <c r="I169" s="209" t="n"/>
      <c r="J169" s="209" t="n"/>
      <c r="K169" s="209" t="n"/>
      <c r="L169" s="209" t="n"/>
      <c r="M169" s="209" t="n"/>
      <c r="N169" s="209" t="n"/>
      <c r="O169" s="209" t="n"/>
      <c r="P169" s="209" t="n"/>
      <c r="Q169" s="209" t="n"/>
      <c r="R169" s="209" t="n"/>
      <c r="S169" s="209" t="n"/>
    </row>
    <row r="170">
      <c r="A170" s="209" t="n"/>
      <c r="B170" s="209" t="n"/>
      <c r="C170" s="209" t="n"/>
      <c r="D170" s="210" t="n"/>
      <c r="E170" s="209" t="n"/>
      <c r="F170" s="209" t="n"/>
      <c r="G170" s="210" t="n"/>
      <c r="H170" s="209" t="n"/>
      <c r="I170" s="209" t="n"/>
      <c r="J170" s="209" t="n"/>
      <c r="K170" s="209" t="n"/>
      <c r="L170" s="209" t="n"/>
      <c r="M170" s="209" t="n"/>
      <c r="N170" s="209" t="n"/>
      <c r="O170" s="209" t="n"/>
      <c r="P170" s="209" t="n"/>
      <c r="Q170" s="209" t="n"/>
      <c r="R170" s="209" t="n"/>
      <c r="S170" s="209" t="n"/>
    </row>
    <row r="171">
      <c r="A171" s="209" t="n"/>
      <c r="B171" s="209" t="n"/>
      <c r="C171" s="209" t="n"/>
      <c r="D171" s="210" t="n"/>
      <c r="E171" s="209" t="n"/>
      <c r="F171" s="209" t="n"/>
      <c r="G171" s="210" t="n"/>
      <c r="H171" s="209" t="n"/>
      <c r="I171" s="209" t="n"/>
      <c r="J171" s="209" t="n"/>
      <c r="K171" s="209" t="n"/>
      <c r="L171" s="209" t="n"/>
      <c r="M171" s="209" t="n"/>
      <c r="N171" s="209" t="n"/>
      <c r="O171" s="209" t="n"/>
      <c r="P171" s="209" t="n"/>
      <c r="Q171" s="209" t="n"/>
      <c r="R171" s="209" t="n"/>
      <c r="S171" s="209" t="n"/>
    </row>
    <row r="172">
      <c r="A172" s="209" t="n"/>
      <c r="B172" s="209" t="n"/>
      <c r="C172" s="209" t="n"/>
      <c r="D172" s="210" t="n"/>
      <c r="E172" s="209" t="n"/>
      <c r="F172" s="209" t="n"/>
      <c r="G172" s="210" t="n"/>
      <c r="H172" s="209" t="n"/>
      <c r="I172" s="209" t="n"/>
      <c r="J172" s="209" t="n"/>
      <c r="K172" s="209" t="n"/>
      <c r="L172" s="209" t="n"/>
      <c r="M172" s="209" t="n"/>
      <c r="N172" s="209" t="n"/>
      <c r="O172" s="209" t="n"/>
      <c r="P172" s="209" t="n"/>
      <c r="Q172" s="209" t="n"/>
      <c r="R172" s="209" t="n"/>
      <c r="S172" s="209" t="n"/>
    </row>
    <row r="173">
      <c r="A173" s="209" t="n"/>
      <c r="B173" s="209" t="n"/>
      <c r="C173" s="209" t="n"/>
      <c r="D173" s="210" t="n"/>
      <c r="E173" s="209" t="n"/>
      <c r="F173" s="209" t="n"/>
      <c r="G173" s="210" t="n"/>
      <c r="H173" s="209" t="n"/>
      <c r="I173" s="209" t="n"/>
      <c r="J173" s="209" t="n"/>
      <c r="K173" s="209" t="n"/>
      <c r="L173" s="209" t="n"/>
      <c r="M173" s="209" t="n"/>
      <c r="N173" s="209" t="n"/>
      <c r="O173" s="209" t="n"/>
      <c r="P173" s="209" t="n"/>
      <c r="Q173" s="209" t="n"/>
      <c r="R173" s="209" t="n"/>
      <c r="S173" s="209" t="n"/>
    </row>
    <row r="174">
      <c r="A174" s="209" t="n"/>
      <c r="B174" s="209" t="n"/>
      <c r="C174" s="209" t="n"/>
      <c r="D174" s="210" t="n"/>
      <c r="E174" s="209" t="n"/>
      <c r="F174" s="209" t="n"/>
      <c r="G174" s="210" t="n"/>
      <c r="H174" s="209" t="n"/>
      <c r="I174" s="209" t="n"/>
      <c r="J174" s="209" t="n"/>
      <c r="K174" s="209" t="n"/>
      <c r="L174" s="209" t="n"/>
      <c r="M174" s="209" t="n"/>
      <c r="N174" s="209" t="n"/>
      <c r="O174" s="209" t="n"/>
      <c r="P174" s="209" t="n"/>
      <c r="Q174" s="209" t="n"/>
      <c r="R174" s="209" t="n"/>
      <c r="S174" s="209" t="n"/>
    </row>
    <row r="175">
      <c r="A175" s="209" t="n"/>
      <c r="B175" s="209" t="n"/>
      <c r="C175" s="209" t="n"/>
      <c r="D175" s="210" t="n"/>
      <c r="E175" s="209" t="n"/>
      <c r="F175" s="209" t="n"/>
      <c r="G175" s="210" t="n"/>
      <c r="H175" s="209" t="n"/>
      <c r="I175" s="209" t="n"/>
      <c r="J175" s="209" t="n"/>
      <c r="K175" s="209" t="n"/>
      <c r="L175" s="209" t="n"/>
      <c r="M175" s="209" t="n"/>
      <c r="N175" s="209" t="n"/>
      <c r="O175" s="209" t="n"/>
      <c r="P175" s="209" t="n"/>
      <c r="Q175" s="209" t="n"/>
      <c r="R175" s="209" t="n"/>
      <c r="S175" s="209" t="n"/>
    </row>
    <row r="176">
      <c r="A176" s="209" t="n"/>
      <c r="B176" s="209" t="n"/>
      <c r="C176" s="209" t="n"/>
      <c r="D176" s="210" t="n"/>
      <c r="E176" s="209" t="n"/>
      <c r="F176" s="209" t="n"/>
      <c r="G176" s="210" t="n"/>
      <c r="H176" s="209" t="n"/>
      <c r="I176" s="209" t="n"/>
      <c r="J176" s="209" t="n"/>
      <c r="K176" s="209" t="n"/>
      <c r="L176" s="209" t="n"/>
      <c r="M176" s="209" t="n"/>
      <c r="N176" s="209" t="n"/>
      <c r="O176" s="209" t="n"/>
      <c r="P176" s="209" t="n"/>
      <c r="Q176" s="209" t="n"/>
      <c r="R176" s="209" t="n"/>
      <c r="S176" s="209" t="n"/>
    </row>
  </sheetData>
  <conditionalFormatting sqref="K2:K1048576 M3:M4">
    <cfRule type="cellIs" priority="21" operator="greaterThanOrEqual" dxfId="1">
      <formula>0</formula>
    </cfRule>
  </conditionalFormatting>
  <conditionalFormatting sqref="M5:M176">
    <cfRule type="cellIs" priority="1" operator="lessThanOrEqual" dxfId="1">
      <formula>0</formula>
    </cfRule>
    <cfRule type="containsText" priority="2" operator="containsText" dxfId="1" text="温パ">
      <formula>NOT(ISERROR(SEARCH("温パ",M5)))</formula>
    </cfRule>
    <cfRule type="containsText" priority="3" operator="containsText" dxfId="1" text="荷受">
      <formula>NOT(ISERROR(SEARCH("荷受",M5)))</formula>
    </cfRule>
  </conditionalFormatting>
  <printOptions horizontalCentered="1" verticalCentered="0"/>
  <pageMargins left="0.3" right="0.3" top="0.4" bottom="0.4" header="0.5" footer="0.5"/>
  <pageSetup orientation="portrait" paperSize="9" fitToHeight="3" fitToWidth="1"/>
  <headerFooter alignWithMargins="0">
    <oddHeader/>
    <oddFooter>&amp;R&amp;P/&amp;N</oddFooter>
    <evenHeader/>
    <evenFooter/>
    <firstHeader/>
    <firstFooter/>
  </headerFooter>
  <legacyDrawing r:id="anysvml"/>
</worksheet>
</file>

<file path=xl/worksheets/sheet6.xml><?xml version="1.0" encoding="utf-8"?>
<worksheet xmlns="http://schemas.openxmlformats.org/spreadsheetml/2006/main">
  <sheetPr codeName="Sheet5">
    <tabColor indexed="24"/>
    <outlinePr summaryBelow="1" summaryRight="1"/>
    <pageSetUpPr/>
  </sheetPr>
  <dimension ref="A1:E58603"/>
  <sheetViews>
    <sheetView view="pageBreakPreview" zoomScale="40" zoomScaleNormal="40" zoomScaleSheetLayoutView="40" workbookViewId="0">
      <pane ySplit="2" topLeftCell="A9" activePane="bottomLeft" state="frozen"/>
      <selection pane="bottomLeft" activeCell="C35" sqref="C35"/>
    </sheetView>
  </sheetViews>
  <sheetFormatPr baseColWidth="8" defaultColWidth="36.625" defaultRowHeight="30.75"/>
  <cols>
    <col width="21.5" customWidth="1" style="17" min="1" max="1"/>
    <col width="61" customWidth="1" style="17" min="2" max="2"/>
    <col width="8.5" customWidth="1" style="55" min="3" max="3"/>
    <col width="20.875" customWidth="1" style="17" min="4" max="4"/>
    <col width="5.5" customWidth="1" style="17" min="5" max="5"/>
    <col width="36.625" customWidth="1" style="211" min="6" max="16384"/>
  </cols>
  <sheetData>
    <row r="1">
      <c r="A1" s="18" t="n"/>
      <c r="B1" s="16" t="inlineStr">
        <is>
          <t>箱もの　2025（R7）</t>
        </is>
      </c>
      <c r="C1" s="48" t="n"/>
      <c r="D1" s="212">
        <f>TODAY()</f>
        <v/>
      </c>
      <c r="E1" s="50" t="n"/>
    </row>
    <row r="2" ht="25.5" customHeight="1">
      <c r="A2" s="57" t="inlineStr">
        <is>
          <t>商品コード</t>
        </is>
      </c>
      <c r="B2" s="59" t="inlineStr">
        <is>
          <t>商品名</t>
        </is>
      </c>
      <c r="C2" s="52" t="inlineStr">
        <is>
          <t>前夜本残</t>
        </is>
      </c>
      <c r="D2" s="53">
        <f>VLOOKUP(E2,$A$57582:$B$59786,2,0)</f>
        <v/>
      </c>
      <c r="E2" s="54">
        <f>WEEKDAY(D1)</f>
        <v/>
      </c>
    </row>
    <row r="3" ht="39" customHeight="1">
      <c r="A3" s="164" t="inlineStr">
        <is>
          <t>1009-2</t>
        </is>
      </c>
      <c r="B3" s="105" t="inlineStr">
        <is>
          <t>■有機ﾆｭｰｻﾏｰｵﾚﾝｼﾞ(日向夏) 10kgｺﾝﾃﾅ(早藤)</t>
        </is>
      </c>
      <c r="C3" s="213" t="n">
        <v>0</v>
      </c>
      <c r="D3" s="57" t="n"/>
      <c r="E3" s="57" t="n"/>
    </row>
    <row r="4" ht="39" customHeight="1">
      <c r="A4" s="164" t="inlineStr">
        <is>
          <t>1017-15</t>
        </is>
      </c>
      <c r="B4" s="105" t="inlineStr">
        <is>
          <t>■有機あまなつ 10ｋｇ(早藤）</t>
        </is>
      </c>
      <c r="C4" s="213" t="n">
        <v>47</v>
      </c>
      <c r="D4" s="57" t="n"/>
      <c r="E4" s="57" t="n"/>
    </row>
    <row r="5" ht="39" customHeight="1">
      <c r="A5" s="164" t="inlineStr">
        <is>
          <t>1021-6</t>
        </is>
      </c>
      <c r="B5" s="105" t="inlineStr">
        <is>
          <t>■有機五香文旦 10kg （早藤）</t>
        </is>
      </c>
      <c r="C5" s="213" t="n">
        <v>4</v>
      </c>
      <c r="D5" s="57" t="n"/>
      <c r="E5" s="57" t="n"/>
    </row>
    <row r="6" ht="39" customHeight="1">
      <c r="A6" s="164" t="inlineStr">
        <is>
          <t>1032-30</t>
        </is>
      </c>
      <c r="B6" s="105" t="inlineStr">
        <is>
          <t>■有機清見オレンジ小玉　10kg（早藤）</t>
        </is>
      </c>
      <c r="C6" s="213" t="n">
        <v>1</v>
      </c>
      <c r="D6" s="57" t="n"/>
      <c r="E6" s="57" t="n"/>
    </row>
    <row r="7" ht="39" customHeight="1">
      <c r="A7" s="164" t="inlineStr">
        <is>
          <t>1037-10</t>
        </is>
      </c>
      <c r="B7" s="105" t="inlineStr">
        <is>
          <t>■ﾋﾟﾝｸｸﾞﾚｰﾌﾟﾌﾙｰﾂ 10kg箱(大矢野)9割減・不</t>
        </is>
      </c>
      <c r="C7" s="213" t="n">
        <v>0</v>
      </c>
      <c r="D7" s="57" t="n"/>
      <c r="E7" s="57" t="n"/>
    </row>
    <row r="8" ht="39" customHeight="1">
      <c r="A8" s="164" t="inlineStr">
        <is>
          <t>1040-1</t>
        </is>
      </c>
      <c r="B8" s="105" t="inlineStr">
        <is>
          <t>■わけ有ｼﾞｭｰｼｰﾌﾙｰﾂ10kg(無茶々園)7割・不</t>
        </is>
      </c>
      <c r="C8" s="213" t="n">
        <v>1</v>
      </c>
      <c r="D8" s="57" t="n"/>
      <c r="E8" s="57" t="n"/>
    </row>
    <row r="9" ht="39" customHeight="1">
      <c r="A9" s="164" t="inlineStr">
        <is>
          <t>1049-113</t>
        </is>
      </c>
      <c r="B9" s="105" t="inlineStr">
        <is>
          <t>■有機レモン 12kg (中川栄・産ﾊﾟ)</t>
        </is>
      </c>
      <c r="C9" s="213" t="n">
        <v>14</v>
      </c>
      <c r="D9" s="57" t="n"/>
      <c r="E9" s="57" t="n"/>
    </row>
    <row r="10" ht="39" customHeight="1">
      <c r="A10" s="164" t="inlineStr">
        <is>
          <t>1049-114</t>
        </is>
      </c>
      <c r="B10" s="105" t="inlineStr">
        <is>
          <t>■有機レモン　B 12kg (中川栄・産ﾊﾟ)</t>
        </is>
      </c>
      <c r="C10" s="213" t="n">
        <v>3</v>
      </c>
      <c r="D10" s="57" t="n"/>
      <c r="E10" s="57" t="n"/>
    </row>
    <row r="11" ht="39" customHeight="1">
      <c r="A11" s="164" t="inlineStr">
        <is>
          <t>1049-148</t>
        </is>
      </c>
      <c r="B11" s="105" t="inlineStr">
        <is>
          <t>■有機レモンＢ 13kg (中川栄・産ﾊﾟ)</t>
        </is>
      </c>
      <c r="C11" s="213" t="n">
        <v>14</v>
      </c>
      <c r="D11" s="57" t="n"/>
      <c r="E11" s="57" t="n"/>
    </row>
    <row r="12" ht="39" customHeight="1">
      <c r="A12" s="164" t="inlineStr">
        <is>
          <t>1049-152</t>
        </is>
      </c>
      <c r="B12" s="105" t="inlineStr">
        <is>
          <t>■有機レモン　B ６kg (中川栄・産ﾊﾟ)</t>
        </is>
      </c>
      <c r="C12" s="213" t="n">
        <v>1</v>
      </c>
      <c r="D12" s="57" t="n"/>
      <c r="E12" s="57" t="n"/>
    </row>
    <row r="13" ht="39" customHeight="1">
      <c r="A13" s="164" t="inlineStr">
        <is>
          <t>1049-153</t>
        </is>
      </c>
      <c r="B13" s="105" t="inlineStr">
        <is>
          <t>■有機レモン 12kg (中川栄)◇</t>
        </is>
      </c>
      <c r="C13" s="213" t="n">
        <v>0</v>
      </c>
      <c r="D13" s="57" t="n"/>
      <c r="E13" s="57" t="n"/>
    </row>
    <row r="14" ht="39" customHeight="1">
      <c r="A14" s="164" t="inlineStr">
        <is>
          <t>1049-25</t>
        </is>
      </c>
      <c r="B14" s="105" t="inlineStr">
        <is>
          <t>■有機レモン 10ｋｇ(早藤）</t>
        </is>
      </c>
      <c r="C14" s="213" t="n">
        <v>1</v>
      </c>
      <c r="D14" s="57" t="n"/>
      <c r="E14" s="57" t="n"/>
    </row>
    <row r="15" ht="39" customHeight="1">
      <c r="A15" s="164" t="inlineStr">
        <is>
          <t>1049-32</t>
        </is>
      </c>
      <c r="B15" s="105" t="inlineStr">
        <is>
          <t>■有機レモン 格外 10kg (和歌山)</t>
        </is>
      </c>
      <c r="C15" s="213" t="n">
        <v>2</v>
      </c>
      <c r="D15" s="57" t="n"/>
      <c r="E15" s="57" t="n"/>
    </row>
    <row r="16" ht="39" customHeight="1">
      <c r="A16" s="164" t="inlineStr">
        <is>
          <t>1049-47</t>
        </is>
      </c>
      <c r="B16" s="105" t="inlineStr">
        <is>
          <t>■有機レモン 5kg（中川栄）</t>
        </is>
      </c>
      <c r="C16" s="213" t="n">
        <v>1</v>
      </c>
      <c r="D16" s="57" t="n"/>
      <c r="E16" s="57" t="n"/>
    </row>
    <row r="17" ht="39" customHeight="1">
      <c r="A17" s="164" t="inlineStr">
        <is>
          <t>1049-84</t>
        </is>
      </c>
      <c r="B17" s="105" t="inlineStr">
        <is>
          <t>■有機レモン B 10kg (中川栄)</t>
        </is>
      </c>
      <c r="C17" s="213" t="n">
        <v>6</v>
      </c>
      <c r="D17" s="57" t="n"/>
      <c r="E17" s="57" t="n"/>
    </row>
    <row r="18" ht="39" customHeight="1">
      <c r="A18" s="164" t="inlineStr">
        <is>
          <t>1050-25</t>
        </is>
      </c>
      <c r="B18" s="105" t="inlineStr">
        <is>
          <t>■河内晩柑　９kg箱(大矢野)8割減・不</t>
        </is>
      </c>
      <c r="C18" s="213" t="n">
        <v>16</v>
      </c>
      <c r="D18" s="57" t="n"/>
      <c r="E18" s="57" t="n"/>
    </row>
    <row r="19" ht="39" customHeight="1">
      <c r="A19" s="164" t="inlineStr">
        <is>
          <t>1072-3</t>
        </is>
      </c>
      <c r="B19" s="105" t="inlineStr">
        <is>
          <t>■りんご「ふじ」10ｋｇ（津軽）</t>
        </is>
      </c>
      <c r="C19" s="213" t="n">
        <v>11</v>
      </c>
      <c r="D19" s="57" t="n"/>
      <c r="E19" s="57" t="n"/>
    </row>
    <row r="20" ht="39" customHeight="1">
      <c r="A20" s="164" t="inlineStr">
        <is>
          <t>1072-4</t>
        </is>
      </c>
      <c r="B20" s="105" t="inlineStr">
        <is>
          <t>■りんご「ふじ」10ｋｇの半分（津軽）</t>
        </is>
      </c>
      <c r="C20" s="213" t="n">
        <v>1</v>
      </c>
      <c r="D20" s="57" t="n"/>
      <c r="E20" s="57" t="n"/>
    </row>
    <row r="21" ht="39" customHeight="1">
      <c r="A21" s="164" t="inlineStr">
        <is>
          <t>1120-10</t>
        </is>
      </c>
      <c r="B21" s="105" t="inlineStr">
        <is>
          <t>■小玉ｽｲｶ「姫甘泉」約10kg(さんぶ)9割・不</t>
        </is>
      </c>
      <c r="C21" s="213" t="n">
        <v>20</v>
      </c>
      <c r="D21" s="57" t="n"/>
      <c r="E21" s="57" t="n"/>
    </row>
    <row r="22" ht="39" customHeight="1">
      <c r="A22" s="164" t="inlineStr">
        <is>
          <t>1148-150</t>
        </is>
      </c>
      <c r="B22" s="105" t="inlineStr">
        <is>
          <t>■有機ｻﾝｺﾞｰﾙﾄﾞｷｳｲﾌﾙｰﾂ48玉箱(ゼスプリ)</t>
        </is>
      </c>
      <c r="C22" s="213" t="n">
        <v>5</v>
      </c>
      <c r="D22" s="57" t="n"/>
      <c r="E22" s="57" t="n"/>
    </row>
    <row r="23" ht="39" customHeight="1">
      <c r="A23" s="164" t="inlineStr">
        <is>
          <t>1148-151</t>
        </is>
      </c>
      <c r="B23" s="105" t="inlineStr">
        <is>
          <t>■有機ｷｳｲﾌﾙｰﾂグリーン 30玉箱(ゼスプリ)</t>
        </is>
      </c>
      <c r="C23" s="213" t="n">
        <v>8</v>
      </c>
      <c r="D23" s="57" t="n"/>
      <c r="E23" s="57" t="n"/>
    </row>
    <row r="24" ht="39" customHeight="1">
      <c r="A24" s="164" t="inlineStr">
        <is>
          <t>1170-25</t>
        </is>
      </c>
      <c r="B24" s="105" t="inlineStr">
        <is>
          <t>■有機インカバナナ 600g袋×１６入</t>
        </is>
      </c>
      <c r="C24" s="213" t="n">
        <v>0</v>
      </c>
      <c r="D24" s="57" t="n"/>
      <c r="E24" s="57" t="n"/>
    </row>
    <row r="25" ht="39" customHeight="1">
      <c r="A25" s="164" t="inlineStr">
        <is>
          <t>1170-27</t>
        </is>
      </c>
      <c r="B25" s="105" t="inlineStr">
        <is>
          <t>■インカバナナ 600g袋×１６入　非有機</t>
        </is>
      </c>
      <c r="C25" s="213" t="n">
        <v>1</v>
      </c>
      <c r="D25" s="57" t="n"/>
      <c r="E25" s="57" t="n"/>
    </row>
    <row r="26" ht="39" customHeight="1">
      <c r="A26" s="164" t="inlineStr">
        <is>
          <t>1170-29</t>
        </is>
      </c>
      <c r="B26" s="105" t="inlineStr">
        <is>
          <t>■エクアドルバナナ 600g袋×16入　非有機</t>
        </is>
      </c>
      <c r="C26" s="213" t="n">
        <v>0</v>
      </c>
      <c r="D26" s="57" t="n"/>
      <c r="E26" s="57" t="n"/>
    </row>
    <row r="27" ht="39" customHeight="1">
      <c r="A27" s="164" t="inlineStr">
        <is>
          <t>1170-30</t>
        </is>
      </c>
      <c r="B27" s="105" t="inlineStr">
        <is>
          <t>■エクアドルバナナ １本×10入　非有機</t>
        </is>
      </c>
      <c r="C27" s="213" t="n">
        <v>2</v>
      </c>
      <c r="D27" s="57" t="n"/>
      <c r="E27" s="57" t="n"/>
    </row>
    <row r="28" ht="39" customHeight="1">
      <c r="A28" s="164" t="inlineStr">
        <is>
          <t>1170-31</t>
        </is>
      </c>
      <c r="B28" s="105" t="inlineStr">
        <is>
          <t>■有機インカバナナ 600g袋×８入</t>
        </is>
      </c>
      <c r="C28" s="213" t="n">
        <v>0</v>
      </c>
      <c r="D28" s="57" t="n"/>
      <c r="E28" s="57" t="n"/>
    </row>
    <row r="29" ht="39" customHeight="1">
      <c r="A29" s="164" t="inlineStr">
        <is>
          <t>1171-4</t>
        </is>
      </c>
      <c r="B29" s="105" t="inlineStr">
        <is>
          <t>■ピーチパイン　1個×16入(アララガマ）</t>
        </is>
      </c>
      <c r="C29" s="213" t="n">
        <v>1</v>
      </c>
      <c r="D29" s="57" t="n"/>
      <c r="E29" s="57" t="n"/>
    </row>
    <row r="30" ht="39" customHeight="1">
      <c r="A30" s="164" t="inlineStr">
        <is>
          <t>1175-15</t>
        </is>
      </c>
      <c r="B30" s="105" t="inlineStr">
        <is>
          <t>■アボカド 裸バラ30玉 １箱</t>
        </is>
      </c>
      <c r="C30" s="213" t="n">
        <v>0</v>
      </c>
      <c r="D30" s="57" t="n"/>
      <c r="E30" s="57" t="n"/>
    </row>
    <row r="31" ht="39" customHeight="1">
      <c r="A31" s="164" t="inlineStr">
        <is>
          <t>1216-361</t>
        </is>
      </c>
      <c r="B31" s="105" t="inlineStr">
        <is>
          <t>■じゃが芋「ﾒｰｸｲﾝ」10kg(長有研)8割減・不</t>
        </is>
      </c>
      <c r="C31" s="213" t="n">
        <v>25</v>
      </c>
      <c r="D31" s="57" t="n"/>
      <c r="E31" s="57" t="n"/>
    </row>
    <row r="32" ht="39" customHeight="1">
      <c r="A32" s="164" t="inlineStr">
        <is>
          <t>1225-399</t>
        </is>
      </c>
      <c r="B32" s="105" t="inlineStr">
        <is>
          <t>■玉ねぎ Ｍ　20kg(マルハ)5割減・5割減</t>
        </is>
      </c>
      <c r="C32" s="213" t="n">
        <v>10</v>
      </c>
      <c r="D32" s="57" t="n"/>
      <c r="E32" s="57" t="n"/>
    </row>
    <row r="33" ht="39" customHeight="1">
      <c r="A33" s="164" t="inlineStr">
        <is>
          <t>1225-454</t>
        </is>
      </c>
      <c r="B33" s="105" t="inlineStr">
        <is>
          <t>■玉ねぎ Ｌ　20kg(マルハ)5割減・5割減</t>
        </is>
      </c>
      <c r="C33" s="213" t="n">
        <v>0</v>
      </c>
      <c r="D33" s="57" t="n"/>
      <c r="E33" s="57" t="n"/>
    </row>
    <row r="34" ht="39" customHeight="1">
      <c r="A34" s="164" t="inlineStr">
        <is>
          <t>1225-455</t>
        </is>
      </c>
      <c r="B34" s="105" t="inlineStr">
        <is>
          <t>■玉ねぎ ２Ｌ 20kg(マルハ)5割減・5割減</t>
        </is>
      </c>
      <c r="C34" s="213" t="n">
        <v>0</v>
      </c>
      <c r="D34" s="57" t="n"/>
      <c r="E34" s="57" t="n"/>
    </row>
    <row r="35" ht="39" customHeight="1">
      <c r="A35" s="164" t="inlineStr">
        <is>
          <t>1225-456</t>
        </is>
      </c>
      <c r="B35" s="105" t="inlineStr">
        <is>
          <t>■新玉葱 10kgｺﾝﾃﾅ(マルハ)根残しムキ済◇</t>
        </is>
      </c>
      <c r="C35" s="213" t="n">
        <v>0</v>
      </c>
      <c r="D35" s="57" t="n"/>
      <c r="E35" s="57" t="n"/>
    </row>
    <row r="36" ht="39" customHeight="1">
      <c r="A36" s="164" t="inlineStr">
        <is>
          <t>1225-7</t>
        </is>
      </c>
      <c r="B36" s="105" t="inlineStr">
        <is>
          <t>■有機 玉ねぎ 混 10kg(長有研)</t>
        </is>
      </c>
      <c r="C36" s="213" t="n">
        <v>36</v>
      </c>
      <c r="D36" s="57" t="n"/>
      <c r="E36" s="57" t="n"/>
    </row>
    <row r="37" ht="39" customHeight="1">
      <c r="A37" s="164" t="inlineStr">
        <is>
          <t>1225-9</t>
        </is>
      </c>
      <c r="B37" s="105" t="inlineStr">
        <is>
          <t>■玉ねぎ 混 10kg(長有研）不不</t>
        </is>
      </c>
      <c r="C37" s="213" t="n">
        <v>9</v>
      </c>
      <c r="D37" s="57" t="n"/>
      <c r="E37" s="57" t="n"/>
    </row>
    <row r="38" ht="39" customHeight="1">
      <c r="A38" s="164" t="inlineStr">
        <is>
          <t>1226-436</t>
        </is>
      </c>
      <c r="B38" s="105" t="inlineStr">
        <is>
          <t>■有機 玉ねぎ 混 10kg(雲仙)</t>
        </is>
      </c>
      <c r="C38" s="213" t="n">
        <v>7</v>
      </c>
      <c r="D38" s="57" t="n"/>
      <c r="E38" s="57" t="n"/>
    </row>
    <row r="39" ht="39" customHeight="1">
      <c r="A39" s="164" t="inlineStr">
        <is>
          <t>1232-13</t>
        </is>
      </c>
      <c r="B39" s="105" t="inlineStr">
        <is>
          <t>■じゃが芋｢ﾆｼﾕﾀｶ｣10kg(長有研）無無</t>
        </is>
      </c>
      <c r="C39" s="213" t="n">
        <v>32</v>
      </c>
      <c r="D39" s="57" t="n"/>
      <c r="E39" s="57" t="n"/>
    </row>
    <row r="40" ht="39" customHeight="1">
      <c r="A40" s="164" t="inlineStr">
        <is>
          <t>1232-3</t>
        </is>
      </c>
      <c r="B40" s="105" t="inlineStr">
        <is>
          <t>■有機じゃが芋｢ﾆｼﾕﾀｶ｣ 10kg(長有研)</t>
        </is>
      </c>
      <c r="C40" s="213" t="n">
        <v>13</v>
      </c>
      <c r="D40" s="57" t="n"/>
      <c r="E40" s="57" t="n"/>
    </row>
    <row r="41" ht="39" customHeight="1">
      <c r="A41" s="164" t="inlineStr">
        <is>
          <t>1241-520</t>
        </is>
      </c>
      <c r="B41" s="105" t="inlineStr">
        <is>
          <t>■有機人参 洗い　10ｋｇ(キテレツ)</t>
        </is>
      </c>
      <c r="C41" s="213" t="n">
        <v>1</v>
      </c>
      <c r="D41" s="57" t="n"/>
      <c r="E41" s="57" t="n"/>
    </row>
    <row r="42" ht="39" customHeight="1">
      <c r="A42" s="164" t="inlineStr">
        <is>
          <t>1241-655</t>
        </is>
      </c>
      <c r="B42" s="105" t="inlineStr">
        <is>
          <t>■人参　洗い 混 10ｋｇ（長有研)◇</t>
        </is>
      </c>
      <c r="C42" s="213" t="n">
        <v>0</v>
      </c>
      <c r="D42" s="57" t="n"/>
      <c r="E42" s="57" t="n"/>
    </row>
    <row r="43" ht="39" customHeight="1">
      <c r="A43" s="164" t="inlineStr">
        <is>
          <t>1241-692</t>
        </is>
      </c>
      <c r="B43" s="105" t="inlineStr">
        <is>
          <t>■有機人参 洗い　S 10kg（吉水農園）</t>
        </is>
      </c>
      <c r="C43" s="213" t="n">
        <v>0</v>
      </c>
      <c r="D43" s="57" t="n"/>
      <c r="E43" s="57" t="n"/>
    </row>
    <row r="44" ht="39" customHeight="1">
      <c r="A44" s="164" t="inlineStr">
        <is>
          <t>1241-86</t>
        </is>
      </c>
      <c r="B44" s="105" t="inlineStr">
        <is>
          <t>■有機人参 洗い　M/L 10kg（吉水農園）</t>
        </is>
      </c>
      <c r="C44" s="213" t="n">
        <v>3</v>
      </c>
      <c r="D44" s="57" t="n"/>
      <c r="E44" s="57" t="n"/>
    </row>
    <row r="45" ht="39" customHeight="1">
      <c r="A45" s="164" t="inlineStr">
        <is>
          <t>1241-99</t>
        </is>
      </c>
      <c r="B45" s="105" t="inlineStr">
        <is>
          <t>■人参　洗い 混 10ｋｇ（長有研)</t>
        </is>
      </c>
      <c r="C45" s="213" t="n">
        <v>22</v>
      </c>
      <c r="D45" s="57" t="n"/>
      <c r="E45" s="57" t="n"/>
    </row>
    <row r="46" ht="39" customHeight="1">
      <c r="A46" s="164" t="inlineStr">
        <is>
          <t>1250-92</t>
        </is>
      </c>
      <c r="B46" s="105" t="inlineStr">
        <is>
          <t>■ごぼう 泥  太　10kg(津軽産直組合)不不</t>
        </is>
      </c>
      <c r="C46" s="213" t="n">
        <v>1</v>
      </c>
      <c r="D46" s="57" t="n"/>
      <c r="E46" s="57" t="n"/>
    </row>
    <row r="47" ht="39" customHeight="1">
      <c r="A47" s="164" t="inlineStr">
        <is>
          <t>1261-147</t>
        </is>
      </c>
      <c r="B47" s="105" t="inlineStr">
        <is>
          <t>■有機大根 洗い 裸 10本(丸和)</t>
        </is>
      </c>
      <c r="C47" s="213" t="n">
        <v>24</v>
      </c>
      <c r="D47" s="57" t="n"/>
      <c r="E47" s="57" t="n"/>
    </row>
    <row r="48" ht="39" customHeight="1">
      <c r="A48" s="164" t="inlineStr">
        <is>
          <t>1261-370</t>
        </is>
      </c>
      <c r="B48" s="105" t="inlineStr">
        <is>
          <t>■大根　裸10本(多田孝一)虫2・不　千葉</t>
        </is>
      </c>
      <c r="C48" s="213" t="n">
        <v>8</v>
      </c>
      <c r="D48" s="57" t="n"/>
      <c r="E48" s="57" t="n"/>
    </row>
    <row r="49" ht="39" customHeight="1">
      <c r="A49" s="164" t="inlineStr">
        <is>
          <t>1261-404</t>
        </is>
      </c>
      <c r="B49" s="105" t="inlineStr">
        <is>
          <t>■むらさき大根　加工用10kg(加瀬)不不</t>
        </is>
      </c>
      <c r="C49" s="213" t="n">
        <v>1</v>
      </c>
      <c r="D49" s="57" t="n"/>
      <c r="E49" s="57" t="n"/>
    </row>
    <row r="50" ht="42.75" customHeight="1">
      <c r="A50" s="164" t="inlineStr">
        <is>
          <t>1277-184</t>
        </is>
      </c>
      <c r="B50" s="105" t="inlineStr">
        <is>
          <t>■有機ビーツ 20ｋｇ(かごしま)</t>
        </is>
      </c>
      <c r="C50" s="213" t="n">
        <v>1</v>
      </c>
      <c r="D50" s="57" t="n"/>
      <c r="E50" s="57" t="n"/>
    </row>
    <row r="51" ht="42.75" customHeight="1">
      <c r="A51" s="164" t="inlineStr">
        <is>
          <t>1277-227</t>
        </is>
      </c>
      <c r="B51" s="105" t="inlineStr">
        <is>
          <t>■有機ビーツ 20ｋｇ(椎屋農園)</t>
        </is>
      </c>
      <c r="C51" s="213" t="n">
        <v>0</v>
      </c>
      <c r="D51" s="57" t="n"/>
      <c r="E51" s="57" t="n"/>
    </row>
    <row r="52" ht="42.75" customHeight="1">
      <c r="A52" s="164" t="inlineStr">
        <is>
          <t>1316-306</t>
        </is>
      </c>
      <c r="B52" s="105" t="inlineStr">
        <is>
          <t>■ｻﾂﾏ芋「すずほっくり」ML10kg(斉藤光政)</t>
        </is>
      </c>
      <c r="C52" s="213" t="n">
        <v>24</v>
      </c>
      <c r="D52" s="57" t="n"/>
      <c r="E52" s="57" t="n"/>
    </row>
    <row r="53" ht="42.75" customHeight="1">
      <c r="A53" s="164" t="inlineStr">
        <is>
          <t>1316-312</t>
        </is>
      </c>
      <c r="B53" s="105" t="inlineStr">
        <is>
          <t>■ｻﾂﾏ芋「ｼﾙｸｽｲｰﾄ」10kg(齊藤光正)6割・5割</t>
        </is>
      </c>
      <c r="C53" s="213" t="n">
        <v>22</v>
      </c>
      <c r="D53" s="57" t="n"/>
      <c r="E53" s="57" t="n"/>
    </row>
    <row r="54" ht="42.75" customHeight="1">
      <c r="A54" s="164" t="inlineStr">
        <is>
          <t>1358-49</t>
        </is>
      </c>
      <c r="B54" s="105" t="inlineStr">
        <is>
          <t>■有機 赤玉ねぎ 混 10kg(雲仙)</t>
        </is>
      </c>
      <c r="C54" s="213" t="n">
        <v>5</v>
      </c>
      <c r="D54" s="57" t="n"/>
      <c r="E54" s="57" t="n"/>
    </row>
    <row r="55" ht="39" customHeight="1">
      <c r="A55" s="164" t="inlineStr">
        <is>
          <t>1358-80</t>
        </is>
      </c>
      <c r="B55" s="105" t="inlineStr">
        <is>
          <t>■赤　玉ねぎ 10㎏ (長有研）不不</t>
        </is>
      </c>
      <c r="C55" s="213" t="n">
        <v>9</v>
      </c>
      <c r="D55" s="57" t="n"/>
      <c r="E55" s="57" t="n"/>
    </row>
    <row r="56" ht="42.6" customHeight="1">
      <c r="A56" s="164" t="inlineStr">
        <is>
          <t>1365-21</t>
        </is>
      </c>
      <c r="B56" s="105" t="inlineStr">
        <is>
          <t>■有機らっきょう 10kg (かごしま)</t>
        </is>
      </c>
      <c r="C56" s="213" t="n">
        <v>0</v>
      </c>
      <c r="D56" s="57" t="n"/>
      <c r="E56" s="57" t="n"/>
    </row>
    <row r="57" ht="42.75" customHeight="1">
      <c r="A57" s="164" t="inlineStr">
        <is>
          <t>1408-179</t>
        </is>
      </c>
      <c r="B57" s="105" t="inlineStr">
        <is>
          <t>■有機ほうれん草　150ｇ×25入(北総)</t>
        </is>
      </c>
      <c r="C57" s="213" t="n">
        <v>0</v>
      </c>
      <c r="D57" s="57" t="n"/>
      <c r="E57" s="57" t="n"/>
    </row>
    <row r="58" ht="39" customHeight="1">
      <c r="A58" s="164" t="inlineStr">
        <is>
          <t>1408-189</t>
        </is>
      </c>
      <c r="B58" s="105" t="inlineStr">
        <is>
          <t>■ほうれん草　５ｋｇ(北総)◇</t>
        </is>
      </c>
      <c r="C58" s="213" t="n">
        <v>0</v>
      </c>
      <c r="D58" s="57" t="n"/>
      <c r="E58" s="57" t="n"/>
    </row>
    <row r="59" ht="39.6" customHeight="1">
      <c r="A59" s="164" t="inlineStr">
        <is>
          <t>1409-172</t>
        </is>
      </c>
      <c r="B59" s="105" t="inlineStr">
        <is>
          <t>■有機小松菜　200ｇ×25入(北総)</t>
        </is>
      </c>
      <c r="C59" s="213" t="n">
        <v>0</v>
      </c>
      <c r="D59" s="57" t="n"/>
      <c r="E59" s="57" t="n"/>
    </row>
    <row r="60" ht="39.6" customHeight="1">
      <c r="A60" s="164" t="inlineStr">
        <is>
          <t>1502-79</t>
        </is>
      </c>
      <c r="B60" s="105" t="inlineStr">
        <is>
          <t>■有機キャベツ ８玉ｺﾝﾃﾅ(ﾔﾅｶﾞﾜ）</t>
        </is>
      </c>
      <c r="C60" s="213" t="n">
        <v>0</v>
      </c>
      <c r="D60" s="57" t="n"/>
      <c r="E60" s="57" t="n"/>
    </row>
    <row r="61" ht="39.6" customHeight="1">
      <c r="A61" s="164" t="inlineStr">
        <is>
          <t>1509-133</t>
        </is>
      </c>
      <c r="B61" s="105" t="inlineStr">
        <is>
          <t>■有機ｸﾞﾘｰﾝﾎﾞｰﾙ(ｷｬﾍﾞﾂみさき)裸10玉(富岡)</t>
        </is>
      </c>
      <c r="C61" s="213" t="n">
        <v>1</v>
      </c>
      <c r="D61" s="57" t="n"/>
      <c r="E61" s="57" t="n"/>
    </row>
    <row r="62" ht="39.6" customHeight="1">
      <c r="A62" s="164" t="inlineStr">
        <is>
          <t>1509-82</t>
        </is>
      </c>
      <c r="B62" s="105" t="inlineStr">
        <is>
          <t>■有機キャベツ ８玉箱（丸和）</t>
        </is>
      </c>
      <c r="C62" s="213" t="n">
        <v>30</v>
      </c>
      <c r="D62" s="57" t="n"/>
      <c r="E62" s="57" t="n"/>
    </row>
    <row r="63" ht="39" customHeight="1">
      <c r="A63" s="164" t="inlineStr">
        <is>
          <t>1509-88</t>
        </is>
      </c>
      <c r="B63" s="105" t="inlineStr">
        <is>
          <t>■有機キャベツ 8玉段ボール(加瀬）</t>
        </is>
      </c>
      <c r="C63" s="213" t="n">
        <v>0</v>
      </c>
      <c r="D63" s="57" t="n"/>
      <c r="E63" s="57" t="n"/>
    </row>
    <row r="64" ht="39.6" customHeight="1">
      <c r="A64" s="164" t="inlineStr">
        <is>
          <t>1516-39</t>
        </is>
      </c>
      <c r="B64" s="105" t="inlineStr">
        <is>
          <t>■有機サニーレタス裸　10個ｺﾝﾃﾅ(ﾌｧｰﾏｰｽﾞ)</t>
        </is>
      </c>
      <c r="C64" s="213" t="n">
        <v>26</v>
      </c>
      <c r="D64" s="57" t="n"/>
      <c r="E64" s="57" t="n"/>
    </row>
    <row r="65" ht="39.6" customHeight="1">
      <c r="A65" s="164" t="inlineStr">
        <is>
          <t>1521-18</t>
        </is>
      </c>
      <c r="B65" s="105" t="inlineStr">
        <is>
          <t>■ｸﾞﾘｰﾝﾎﾞｰﾙ(ﾐﾆｷｬﾍﾞﾂ)裸１個(せっせと畑)</t>
        </is>
      </c>
      <c r="C65" s="213" t="n">
        <v>20</v>
      </c>
      <c r="D65" s="57" t="n"/>
      <c r="E65" s="57" t="n"/>
    </row>
    <row r="66" ht="39.6" customHeight="1">
      <c r="A66" s="164" t="inlineStr">
        <is>
          <t>1533-249</t>
        </is>
      </c>
      <c r="B66" s="105" t="inlineStr">
        <is>
          <t>■有機レタス 裸 10個ｺﾝﾃﾅ(ﾌｧｰﾏｰｽﾞ)</t>
        </is>
      </c>
      <c r="C66" s="213" t="n">
        <v>11</v>
      </c>
      <c r="D66" s="57" t="n"/>
      <c r="E66" s="57" t="n"/>
    </row>
    <row r="67" ht="39.6" customHeight="1">
      <c r="A67" s="164" t="inlineStr">
        <is>
          <t>1564-101</t>
        </is>
      </c>
      <c r="B67" s="105" t="inlineStr">
        <is>
          <t>■長ねぎ　ﾑｷ ５ｋｇ(ﾊｲﾊｰﾊﾞｰ)</t>
        </is>
      </c>
      <c r="C67" s="213" t="n">
        <v>0</v>
      </c>
      <c r="D67" s="57" t="n"/>
      <c r="E67" s="57" t="n"/>
    </row>
    <row r="68" ht="39.6" customHeight="1">
      <c r="A68" s="164" t="inlineStr">
        <is>
          <t>1584-36</t>
        </is>
      </c>
      <c r="B68" s="105" t="inlineStr">
        <is>
          <t>■有機ロメインﾚﾀｽ　裸 10個ｺﾝﾃﾅ(ﾌｧｰﾏｰｽﾞ)</t>
        </is>
      </c>
      <c r="C68" s="213" t="n">
        <v>0</v>
      </c>
      <c r="D68" s="57" t="n"/>
      <c r="E68" s="57" t="n"/>
    </row>
    <row r="69" ht="39.6" customHeight="1">
      <c r="A69" s="164" t="inlineStr">
        <is>
          <t>1588-21</t>
        </is>
      </c>
      <c r="B69" s="105" t="inlineStr">
        <is>
          <t>■有機フリルレタス　裸 １０個 (ﾌｧｰﾏｰｽﾞ)</t>
        </is>
      </c>
      <c r="C69" s="213" t="n">
        <v>0</v>
      </c>
      <c r="D69" s="57" t="n"/>
      <c r="E69" s="57" t="n"/>
    </row>
    <row r="70" ht="39.6" customHeight="1">
      <c r="A70" s="164" t="inlineStr">
        <is>
          <t>1588-28</t>
        </is>
      </c>
      <c r="B70" s="105" t="inlineStr">
        <is>
          <t>■有機レッドﾌﾘﾙﾚﾀｽ　裸 10個 (ﾌｧｰﾏｰｽﾞ)</t>
        </is>
      </c>
      <c r="C70" s="213" t="n">
        <v>0</v>
      </c>
      <c r="D70" s="57" t="n"/>
      <c r="E70" s="57" t="n"/>
    </row>
    <row r="71" ht="39.6" customHeight="1">
      <c r="A71" s="164" t="inlineStr">
        <is>
          <t>1589-58</t>
        </is>
      </c>
      <c r="B71" s="105" t="inlineStr">
        <is>
          <t>■有機リーフレタス　裸 10個ｺﾝﾃﾅ(ﾌｧｰﾏｰｽﾞ)</t>
        </is>
      </c>
      <c r="C71" s="213" t="n">
        <v>7</v>
      </c>
      <c r="D71" s="57" t="n"/>
      <c r="E71" s="57" t="n"/>
    </row>
    <row r="72" ht="39.6" customHeight="1">
      <c r="A72" s="164" t="inlineStr">
        <is>
          <t>1593-114</t>
        </is>
      </c>
      <c r="B72" s="105" t="inlineStr">
        <is>
          <t>■ミニ白菜　裸　1個(せっせと畑)無無</t>
        </is>
      </c>
      <c r="C72" s="213" t="n">
        <v>80</v>
      </c>
      <c r="D72" s="57" t="n"/>
      <c r="E72" s="57" t="n"/>
    </row>
    <row r="73" ht="39.6" customHeight="1">
      <c r="A73" s="164" t="inlineStr">
        <is>
          <t>1654-74</t>
        </is>
      </c>
      <c r="B73" s="105" t="inlineStr">
        <is>
          <t>■有機ピーマン ５㎏箱（SOHﾌｧｰﾑ）</t>
        </is>
      </c>
      <c r="C73" s="213" t="n">
        <v>0</v>
      </c>
      <c r="D73" s="57" t="n"/>
      <c r="E73" s="57" t="n"/>
    </row>
    <row r="74" ht="39.6" customHeight="1">
      <c r="A74" s="164" t="inlineStr">
        <is>
          <t>1707-101</t>
        </is>
      </c>
      <c r="B74" s="105" t="inlineStr">
        <is>
          <t>■有機ズッキーニ緑　裸１本(キテレツ）</t>
        </is>
      </c>
      <c r="C74" s="213" t="n">
        <v>202</v>
      </c>
      <c r="D74" s="57" t="n"/>
      <c r="E74" s="57" t="n"/>
    </row>
    <row r="75" ht="39.6" customHeight="1">
      <c r="A75" s="164" t="inlineStr">
        <is>
          <t>1707-102</t>
        </is>
      </c>
      <c r="B75" s="105" t="inlineStr">
        <is>
          <t>■有機ズッキーニ黄色　裸１本(キテレツ）</t>
        </is>
      </c>
      <c r="C75" s="213" t="n">
        <v>0</v>
      </c>
      <c r="D75" s="57" t="n"/>
      <c r="E75" s="57" t="n"/>
    </row>
    <row r="76" ht="39.6" customHeight="1">
      <c r="A76" s="164" t="inlineStr">
        <is>
          <t>1707-130</t>
        </is>
      </c>
      <c r="B76" s="105" t="inlineStr">
        <is>
          <t>■ズッキーニ緑 １本袋(せっせと)</t>
        </is>
      </c>
      <c r="C76" s="213" t="n">
        <v>0</v>
      </c>
      <c r="D76" s="57" t="n"/>
      <c r="E76" s="57" t="n"/>
    </row>
    <row r="77" ht="39.6" customHeight="1">
      <c r="A77" s="164" t="inlineStr">
        <is>
          <t>1723-10</t>
        </is>
      </c>
      <c r="B77" s="105" t="inlineStr">
        <is>
          <t>■そら豆　1ｋｇ（萩原）</t>
        </is>
      </c>
      <c r="C77" s="213" t="n">
        <v>0</v>
      </c>
      <c r="D77" s="57" t="n"/>
      <c r="E77" s="57" t="n"/>
    </row>
    <row r="78" ht="39.6" customHeight="1">
      <c r="A78" s="164" t="inlineStr">
        <is>
          <t>1856-86</t>
        </is>
      </c>
      <c r="B78" s="105" t="inlineStr">
        <is>
          <t>■にんにく　裸１玉(せっせと畑)</t>
        </is>
      </c>
      <c r="C78" s="213" t="n">
        <v>0</v>
      </c>
      <c r="D78" s="57" t="n"/>
      <c r="E78" s="57" t="n"/>
    </row>
    <row r="79" ht="39.6" customHeight="1">
      <c r="A79" s="164" t="inlineStr">
        <is>
          <t>2206</t>
        </is>
      </c>
      <c r="B79" s="105" t="inlineStr">
        <is>
          <t>■浅間とり牧場の自然卵　１０ｋｇ　Ｌ</t>
        </is>
      </c>
      <c r="C79" s="213" t="n">
        <v>0</v>
      </c>
      <c r="D79" s="57" t="n"/>
      <c r="E79" s="57" t="n"/>
    </row>
    <row r="80" ht="39.6" customHeight="1">
      <c r="A80" s="164" t="inlineStr">
        <is>
          <t>2210-1</t>
        </is>
      </c>
      <c r="B80" s="105" t="inlineStr">
        <is>
          <t>■卵「もみじ」Ｌ 10㎏(大松)</t>
        </is>
      </c>
      <c r="C80" s="213" t="n">
        <v>0</v>
      </c>
      <c r="D80" s="57" t="n"/>
      <c r="E80" s="57" t="n"/>
    </row>
    <row r="81" ht="39.6" customHeight="1">
      <c r="A81" s="164" t="inlineStr">
        <is>
          <t>2210-2</t>
        </is>
      </c>
      <c r="B81" s="105" t="inlineStr">
        <is>
          <t>■卵「もみじ」Ｍ 10㎏(大松)</t>
        </is>
      </c>
      <c r="C81" s="213" t="n">
        <v>0</v>
      </c>
      <c r="D81" s="57" t="n"/>
      <c r="E81" s="57" t="n"/>
    </row>
    <row r="82" ht="39.6" customHeight="1">
      <c r="A82" s="164" t="inlineStr">
        <is>
          <t>2210-3</t>
        </is>
      </c>
      <c r="B82" s="105" t="inlineStr">
        <is>
          <t>■卵「もみじ」Ｓ 10㎏(大松)</t>
        </is>
      </c>
      <c r="C82" s="213" t="n">
        <v>0</v>
      </c>
      <c r="D82" s="57" t="n"/>
      <c r="E82" s="57" t="n"/>
    </row>
    <row r="83" ht="39.6" customHeight="1">
      <c r="A83" s="164" t="inlineStr">
        <is>
          <t>2212-1</t>
        </is>
      </c>
      <c r="B83" s="105" t="inlineStr">
        <is>
          <t>■卵ﾊﾟｯｸ10個用OSK １包(200枚)</t>
        </is>
      </c>
      <c r="C83" s="213" t="n">
        <v>6</v>
      </c>
      <c r="D83" s="57" t="n"/>
      <c r="E83" s="57" t="n"/>
    </row>
    <row r="84" ht="39" customHeight="1">
      <c r="A84" s="164" t="inlineStr">
        <is>
          <t>2216-1</t>
        </is>
      </c>
      <c r="B84" s="105" t="inlineStr">
        <is>
          <t>■卵ﾊﾟｯｸ６個用 1包　2ﾊﾟｯｸ1組×200(400ｐ)</t>
        </is>
      </c>
      <c r="C84" s="213" t="n">
        <v>0</v>
      </c>
      <c r="D84" s="57" t="n"/>
      <c r="E84" s="57" t="n"/>
    </row>
    <row r="85" ht="39" customHeight="1">
      <c r="A85" s="164" t="inlineStr">
        <is>
          <t>54</t>
        </is>
      </c>
      <c r="B85" s="105" t="inlineStr">
        <is>
          <t>■かぼちゃ　10ｋｇ</t>
        </is>
      </c>
      <c r="C85" s="213" t="n">
        <v>29</v>
      </c>
      <c r="D85" s="57" t="n"/>
      <c r="E85" s="57" t="n"/>
    </row>
    <row r="86" ht="39.6" customHeight="1">
      <c r="A86" s="164" t="inlineStr">
        <is>
          <t>1009-11</t>
        </is>
      </c>
      <c r="B86" s="105" t="inlineStr">
        <is>
          <t>有機ニューサマーｵﾚﾝｼﾞ 600g(早藤)◇</t>
        </is>
      </c>
      <c r="C86" s="213" t="n">
        <v>0</v>
      </c>
      <c r="D86" s="57" t="inlineStr">
        <is>
          <t>こもの</t>
        </is>
      </c>
      <c r="E86" s="57" t="n"/>
    </row>
    <row r="87" ht="39.6" customHeight="1">
      <c r="A87" s="164" t="inlineStr">
        <is>
          <t>1016-25</t>
        </is>
      </c>
      <c r="B87" s="105" t="inlineStr">
        <is>
          <t>有機あまなつ　600ｇ (早藤)◇</t>
        </is>
      </c>
      <c r="C87" s="213" t="n">
        <v>20</v>
      </c>
      <c r="D87" s="57" t="inlineStr">
        <is>
          <t>こもの</t>
        </is>
      </c>
      <c r="E87" s="57" t="n"/>
    </row>
    <row r="88" ht="39" customHeight="1">
      <c r="A88" s="164" t="inlineStr">
        <is>
          <t>1032-33</t>
        </is>
      </c>
      <c r="B88" s="105" t="inlineStr">
        <is>
          <t>有機清見オレンジ 500g(早藤)◇</t>
        </is>
      </c>
      <c r="C88" s="213" t="n">
        <v>21</v>
      </c>
      <c r="D88" s="57" t="inlineStr">
        <is>
          <t>こもの</t>
        </is>
      </c>
      <c r="E88" s="57" t="n"/>
    </row>
    <row r="89" ht="39.6" customHeight="1">
      <c r="A89" s="164" t="inlineStr">
        <is>
          <t>1049-67</t>
        </is>
      </c>
      <c r="B89" s="105" t="inlineStr">
        <is>
          <t>有機レモン 1kg袋 (中川栄)◇</t>
        </is>
      </c>
      <c r="C89" s="213" t="n">
        <v>0</v>
      </c>
      <c r="D89" s="57" t="inlineStr">
        <is>
          <t>こもの</t>
        </is>
      </c>
      <c r="E89" s="57" t="n"/>
    </row>
    <row r="90" ht="39.6" customHeight="1">
      <c r="A90" s="164" t="inlineStr">
        <is>
          <t>1049-99</t>
        </is>
      </c>
      <c r="B90" s="105" t="inlineStr">
        <is>
          <t>有機レモン １個袋(中川栄)◇</t>
        </is>
      </c>
      <c r="C90" s="213" t="n">
        <v>9</v>
      </c>
      <c r="D90" s="57" t="inlineStr">
        <is>
          <t>こもの</t>
        </is>
      </c>
      <c r="E90" s="57" t="n"/>
    </row>
    <row r="91" ht="39.6" customHeight="1">
      <c r="A91" s="164" t="inlineStr">
        <is>
          <t>1050-26</t>
        </is>
      </c>
      <c r="B91" s="105" t="inlineStr">
        <is>
          <t>河内晩柑　600ｇ（大矢野有機）◇</t>
        </is>
      </c>
      <c r="C91" s="213" t="n">
        <v>0</v>
      </c>
      <c r="D91" s="57" t="inlineStr">
        <is>
          <t>こもの</t>
        </is>
      </c>
      <c r="E91" s="57" t="n"/>
    </row>
    <row r="92" ht="39.6" customHeight="1">
      <c r="A92" s="164" t="inlineStr">
        <is>
          <t>1063-6</t>
        </is>
      </c>
      <c r="B92" s="105" t="inlineStr">
        <is>
          <t>□りんご「ｼﾅﾉｺﾞｰﾙﾄﾞ」5kg(片桐)</t>
        </is>
      </c>
      <c r="C92" s="213" t="n">
        <v>3</v>
      </c>
      <c r="D92" s="57" t="inlineStr">
        <is>
          <t>こもの</t>
        </is>
      </c>
      <c r="E92" s="57" t="n"/>
    </row>
    <row r="93" ht="39" customHeight="1">
      <c r="A93" s="164" t="inlineStr">
        <is>
          <t>1109-9</t>
        </is>
      </c>
      <c r="B93" s="105" t="inlineStr">
        <is>
          <t>□タカミメロン ４kg箱 (長有研）</t>
        </is>
      </c>
      <c r="C93" s="213" t="n">
        <v>0</v>
      </c>
      <c r="D93" s="57" t="inlineStr">
        <is>
          <t>こもの</t>
        </is>
      </c>
      <c r="E93" s="57" t="n"/>
    </row>
    <row r="94" ht="39.6" customHeight="1">
      <c r="A94" s="164" t="inlineStr">
        <is>
          <t>1117-12</t>
        </is>
      </c>
      <c r="B94" s="105" t="inlineStr">
        <is>
          <t>□タカミレッドメロン 4kg箱 (長有研）</t>
        </is>
      </c>
      <c r="C94" s="213" t="n">
        <v>16</v>
      </c>
      <c r="D94" s="57" t="inlineStr">
        <is>
          <t>こもの</t>
        </is>
      </c>
      <c r="E94" s="57" t="n"/>
    </row>
    <row r="95" ht="39.6" customHeight="1">
      <c r="A95" s="164" t="inlineStr">
        <is>
          <t>1148-149</t>
        </is>
      </c>
      <c r="B95" s="105" t="inlineStr">
        <is>
          <t>有機ｻﾝｺﾞｰﾙﾄﾞｷｳｲﾌﾙｰﾂ ３玉(ゼスプリ)◇</t>
        </is>
      </c>
      <c r="C95" s="213" t="n">
        <v>30</v>
      </c>
      <c r="D95" s="57" t="inlineStr">
        <is>
          <t>こもの</t>
        </is>
      </c>
      <c r="E95" s="57" t="n"/>
    </row>
    <row r="96" ht="39.6" customHeight="1">
      <c r="A96" s="164" t="inlineStr">
        <is>
          <t>1148-152</t>
        </is>
      </c>
      <c r="B96" s="105" t="inlineStr">
        <is>
          <t>有機グリーンｷｳｲﾌﾙｰﾂ ３玉(ゼスプリ)◇</t>
        </is>
      </c>
      <c r="C96" s="213" t="n">
        <v>8</v>
      </c>
      <c r="D96" s="57" t="inlineStr">
        <is>
          <t>こもの</t>
        </is>
      </c>
      <c r="E96" s="57" t="n"/>
    </row>
    <row r="97" ht="39.6" customHeight="1">
      <c r="A97" s="164" t="inlineStr">
        <is>
          <t>1151-24</t>
        </is>
      </c>
      <c r="B97" s="105" t="inlineStr">
        <is>
          <t>青梅 1kg袋 (高生連)</t>
        </is>
      </c>
      <c r="C97" s="213" t="n">
        <v>0</v>
      </c>
      <c r="D97" s="57" t="inlineStr">
        <is>
          <t>こもの</t>
        </is>
      </c>
      <c r="E97" s="57" t="n"/>
    </row>
    <row r="98" ht="39.6" customHeight="1">
      <c r="A98" s="164" t="inlineStr">
        <is>
          <t>1171-3</t>
        </is>
      </c>
      <c r="B98" s="105" t="inlineStr">
        <is>
          <t>ピーチパイン　1個（アララガマ）</t>
        </is>
      </c>
      <c r="C98" s="213" t="n">
        <v>7</v>
      </c>
      <c r="D98" s="57" t="inlineStr">
        <is>
          <t>こもの</t>
        </is>
      </c>
      <c r="E98" s="57" t="n"/>
    </row>
    <row r="99" ht="39.6" customHeight="1">
      <c r="A99" s="164" t="inlineStr">
        <is>
          <t>1216-362</t>
        </is>
      </c>
      <c r="B99" s="105" t="inlineStr">
        <is>
          <t>じゃが芋「ﾒｰｸｲﾝ」500g(長有研)◇</t>
        </is>
      </c>
      <c r="C99" s="213" t="n">
        <v>14</v>
      </c>
      <c r="D99" s="57" t="inlineStr">
        <is>
          <t>こもの</t>
        </is>
      </c>
      <c r="E99" s="57" t="n"/>
    </row>
    <row r="100" ht="39.6" customHeight="1">
      <c r="A100" s="164" t="inlineStr">
        <is>
          <t>1225-373</t>
        </is>
      </c>
      <c r="B100" s="105" t="inlineStr">
        <is>
          <t>玉ねぎ　500ｇ(せっせと畑)</t>
        </is>
      </c>
      <c r="C100" s="213" t="n">
        <v>5</v>
      </c>
      <c r="D100" s="57" t="inlineStr">
        <is>
          <t>こもの</t>
        </is>
      </c>
      <c r="E100" s="57" t="n"/>
    </row>
    <row r="101" ht="39.6" customHeight="1">
      <c r="A101" s="164" t="inlineStr">
        <is>
          <t>1226-200</t>
        </is>
      </c>
      <c r="B101" s="105" t="inlineStr">
        <is>
          <t>有機玉ねぎ　500ｇ(長有研)◇</t>
        </is>
      </c>
      <c r="C101" s="213" t="n">
        <v>37</v>
      </c>
      <c r="D101" s="57" t="inlineStr">
        <is>
          <t>こもの</t>
        </is>
      </c>
      <c r="E101" s="57" t="n"/>
    </row>
    <row r="102" ht="39.6" customHeight="1">
      <c r="A102" s="164" t="inlineStr">
        <is>
          <t>1226-437</t>
        </is>
      </c>
      <c r="B102" s="105" t="inlineStr">
        <is>
          <t>有機玉ねぎ　500ｇ×10(雲仙)◇東一</t>
        </is>
      </c>
      <c r="C102" s="213" t="n">
        <v>0</v>
      </c>
      <c r="D102" s="57" t="inlineStr">
        <is>
          <t>こもの</t>
        </is>
      </c>
      <c r="E102" s="57" t="inlineStr">
        <is>
          <t>○</t>
        </is>
      </c>
    </row>
    <row r="103" ht="39.6" customHeight="1">
      <c r="A103" s="164" t="inlineStr">
        <is>
          <t>1226-438</t>
        </is>
      </c>
      <c r="B103" s="105" t="inlineStr">
        <is>
          <t>有機玉ねぎ　500ｇ(雲仙)◇</t>
        </is>
      </c>
      <c r="C103" s="213" t="n">
        <v>0</v>
      </c>
      <c r="D103" s="57" t="inlineStr">
        <is>
          <t>こもの</t>
        </is>
      </c>
      <c r="E103" s="57" t="n"/>
    </row>
    <row r="104" ht="39.6" customHeight="1">
      <c r="A104" s="164" t="inlineStr">
        <is>
          <t>1232-114</t>
        </is>
      </c>
      <c r="B104" s="105" t="inlineStr">
        <is>
          <t>じゃが芋｢ﾆｼﾕﾀｶ｣ 500g(長有研)◇不不</t>
        </is>
      </c>
      <c r="C104" s="213" t="n">
        <v>0</v>
      </c>
      <c r="D104" s="57" t="inlineStr">
        <is>
          <t>こもの</t>
        </is>
      </c>
      <c r="E104" s="57" t="n"/>
    </row>
    <row r="105" ht="39.6" customHeight="1">
      <c r="A105" s="164" t="inlineStr">
        <is>
          <t>1238-190</t>
        </is>
      </c>
      <c r="B105" s="105" t="inlineStr">
        <is>
          <t>有機「ﾆｼﾕﾀｶ」500g(長有研)◇×10 東一</t>
        </is>
      </c>
      <c r="C105" s="213" t="n">
        <v>0</v>
      </c>
      <c r="D105" s="57" t="inlineStr">
        <is>
          <t>こもの</t>
        </is>
      </c>
      <c r="E105" s="57" t="inlineStr">
        <is>
          <t>○</t>
        </is>
      </c>
    </row>
    <row r="106" ht="39.6" customHeight="1">
      <c r="A106" s="164" t="inlineStr">
        <is>
          <t>1238-20</t>
        </is>
      </c>
      <c r="B106" s="105" t="inlineStr">
        <is>
          <t>有機じゃがいも「ﾆｼﾕﾀｶ」500g(長有研)◇</t>
        </is>
      </c>
      <c r="C106" s="213" t="n">
        <v>9</v>
      </c>
      <c r="D106" s="57" t="inlineStr">
        <is>
          <t>こもの</t>
        </is>
      </c>
      <c r="E106" s="57" t="n"/>
    </row>
    <row r="107" ht="39.6" customHeight="1">
      <c r="A107" s="164" t="inlineStr">
        <is>
          <t>1239-233</t>
        </is>
      </c>
      <c r="B107" s="105" t="inlineStr">
        <is>
          <t>人参　洗い  400g(長有研)◇</t>
        </is>
      </c>
      <c r="C107" s="213" t="n">
        <v>25</v>
      </c>
      <c r="D107" s="57" t="inlineStr">
        <is>
          <t>こもの</t>
        </is>
      </c>
      <c r="E107" s="57" t="n"/>
    </row>
    <row r="108" ht="39.6" customHeight="1">
      <c r="A108" s="164" t="inlineStr">
        <is>
          <t>1241-321</t>
        </is>
      </c>
      <c r="B108" s="105" t="inlineStr">
        <is>
          <t>有機人参 洗い 400g(吉水)◇</t>
        </is>
      </c>
      <c r="C108" s="213" t="n">
        <v>131</v>
      </c>
      <c r="D108" s="57" t="inlineStr">
        <is>
          <t>こもの</t>
        </is>
      </c>
      <c r="E108" s="57" t="n"/>
    </row>
    <row r="109" ht="39.6" customHeight="1">
      <c r="A109" s="164" t="inlineStr">
        <is>
          <t>1241-519</t>
        </is>
      </c>
      <c r="B109" s="105" t="inlineStr">
        <is>
          <t>有機人参 洗い 400ｇ(キテレツ・産ﾊﾟ)</t>
        </is>
      </c>
      <c r="C109" s="213" t="n">
        <v>10</v>
      </c>
      <c r="D109" s="57" t="inlineStr">
        <is>
          <t>こもの</t>
        </is>
      </c>
      <c r="E109" s="57" t="n"/>
    </row>
    <row r="110" ht="39.6" customHeight="1">
      <c r="A110" s="164" t="inlineStr">
        <is>
          <t>1241-644</t>
        </is>
      </c>
      <c r="B110" s="105" t="inlineStr">
        <is>
          <t>有機人参 洗い 400ｇ◇×10(吉水)東一</t>
        </is>
      </c>
      <c r="C110" s="213" t="n">
        <v>0</v>
      </c>
      <c r="D110" s="57" t="inlineStr">
        <is>
          <t>こもの</t>
        </is>
      </c>
      <c r="E110" s="57" t="inlineStr">
        <is>
          <t>○</t>
        </is>
      </c>
    </row>
    <row r="111" ht="39.6" customHeight="1">
      <c r="A111" s="164" t="inlineStr">
        <is>
          <t>1248-25</t>
        </is>
      </c>
      <c r="B111" s="105" t="inlineStr">
        <is>
          <t>有機葉付人参 2～4本入 (加瀬)</t>
        </is>
      </c>
      <c r="C111" s="213" t="n">
        <v>45</v>
      </c>
      <c r="D111" s="57" t="inlineStr">
        <is>
          <t>こもの</t>
        </is>
      </c>
      <c r="E111" s="57" t="n"/>
    </row>
    <row r="112" ht="39.6" customHeight="1">
      <c r="A112" s="164" t="inlineStr">
        <is>
          <t>1250-35</t>
        </is>
      </c>
      <c r="B112" s="105" t="inlineStr">
        <is>
          <t>有機ごぼう 泥  200ｇ（みちのく）</t>
        </is>
      </c>
      <c r="C112" s="213" t="n">
        <v>52</v>
      </c>
      <c r="D112" s="57" t="inlineStr">
        <is>
          <t>こもの</t>
        </is>
      </c>
      <c r="E112" s="57" t="n"/>
    </row>
    <row r="113" ht="39.6" customHeight="1">
      <c r="A113" s="164" t="inlineStr">
        <is>
          <t>1250-70</t>
        </is>
      </c>
      <c r="B113" s="105" t="inlineStr">
        <is>
          <t>有機ごぼう 泥200g×５(みちのく)東一</t>
        </is>
      </c>
      <c r="C113" s="213" t="n">
        <v>0</v>
      </c>
      <c r="D113" s="57" t="inlineStr">
        <is>
          <t>こもの</t>
        </is>
      </c>
      <c r="E113" s="57" t="inlineStr">
        <is>
          <t>○</t>
        </is>
      </c>
    </row>
    <row r="114" ht="39.6" customHeight="1">
      <c r="A114" s="164" t="inlineStr">
        <is>
          <t>1250-91</t>
        </is>
      </c>
      <c r="B114" s="105" t="inlineStr">
        <is>
          <t>ごぼう 泥  200ｇ(津軽産直組合)不不</t>
        </is>
      </c>
      <c r="C114" s="213" t="n">
        <v>164</v>
      </c>
      <c r="D114" s="57" t="inlineStr">
        <is>
          <t>こもの</t>
        </is>
      </c>
      <c r="E114" s="57" t="n"/>
    </row>
    <row r="115" ht="39.6" customHeight="1">
      <c r="A115" s="164" t="inlineStr">
        <is>
          <t>1261-148</t>
        </is>
      </c>
      <c r="B115" s="105" t="inlineStr">
        <is>
          <t>有機大根 洗い 1本袋 (丸和)◇</t>
        </is>
      </c>
      <c r="C115" s="213" t="n">
        <v>9</v>
      </c>
      <c r="D115" s="57" t="inlineStr">
        <is>
          <t>こもの</t>
        </is>
      </c>
      <c r="E115" s="57" t="n"/>
    </row>
    <row r="116" ht="39.6" customHeight="1">
      <c r="A116" s="164" t="inlineStr">
        <is>
          <t>1261-149</t>
        </is>
      </c>
      <c r="B116" s="105" t="inlineStr">
        <is>
          <t>有機カット大根 洗い 1/2本袋×4 (丸和)◇</t>
        </is>
      </c>
      <c r="C116" s="213" t="n">
        <v>0</v>
      </c>
      <c r="D116" s="57" t="inlineStr">
        <is>
          <t>こもの</t>
        </is>
      </c>
      <c r="E116" s="57" t="n"/>
    </row>
    <row r="117" ht="39.6" customHeight="1">
      <c r="A117" s="164" t="inlineStr">
        <is>
          <t>1261-239</t>
        </is>
      </c>
      <c r="B117" s="105" t="inlineStr">
        <is>
          <t>有機短大根（葉切り洗い）1本袋(加瀬)</t>
        </is>
      </c>
      <c r="C117" s="213" t="n">
        <v>88</v>
      </c>
      <c r="D117" s="57" t="inlineStr">
        <is>
          <t>こもの</t>
        </is>
      </c>
      <c r="E117" s="57" t="n"/>
    </row>
    <row r="118" ht="39.6" customHeight="1">
      <c r="A118" s="164" t="inlineStr">
        <is>
          <t>1261-369</t>
        </is>
      </c>
      <c r="B118" s="105" t="inlineStr">
        <is>
          <t>大根　 1本袋(多田孝一)虫2・不　千葉</t>
        </is>
      </c>
      <c r="C118" s="213" t="n">
        <v>3</v>
      </c>
      <c r="D118" s="57" t="inlineStr">
        <is>
          <t>こもの</t>
        </is>
      </c>
      <c r="E118" s="57" t="n"/>
    </row>
    <row r="119" ht="39.6" customHeight="1">
      <c r="A119" s="164" t="inlineStr">
        <is>
          <t>1261-405</t>
        </is>
      </c>
      <c r="B119" s="105" t="inlineStr">
        <is>
          <t>むらさき大根加工用 裸　1本(加瀬)不不</t>
        </is>
      </c>
      <c r="C119" s="213" t="n">
        <v>2</v>
      </c>
      <c r="D119" s="57" t="inlineStr">
        <is>
          <t>こもの</t>
        </is>
      </c>
      <c r="E119" s="57" t="n"/>
    </row>
    <row r="120" ht="39.6" customHeight="1">
      <c r="A120" s="164" t="inlineStr">
        <is>
          <t>1266-272</t>
        </is>
      </c>
      <c r="B120" s="105" t="inlineStr">
        <is>
          <t>有機ミニ大根　洗い　1本袋(キテレツ)</t>
        </is>
      </c>
      <c r="C120" s="213" t="n">
        <v>21</v>
      </c>
      <c r="D120" s="57" t="inlineStr">
        <is>
          <t>こもの</t>
        </is>
      </c>
      <c r="E120" s="57" t="n"/>
    </row>
    <row r="121" ht="39.6" customHeight="1">
      <c r="A121" s="164" t="inlineStr">
        <is>
          <t>1277-130</t>
        </is>
      </c>
      <c r="B121" s="105" t="inlineStr">
        <is>
          <t>有機かぶ白　２～３玉袋（飯田）</t>
        </is>
      </c>
      <c r="C121" s="213" t="n">
        <v>67</v>
      </c>
      <c r="D121" s="57" t="inlineStr">
        <is>
          <t>こもの</t>
        </is>
      </c>
      <c r="E121" s="57" t="n"/>
    </row>
    <row r="122" ht="39.6" customHeight="1">
      <c r="A122" s="164" t="inlineStr">
        <is>
          <t>1277-179</t>
        </is>
      </c>
      <c r="B122" s="105" t="inlineStr">
        <is>
          <t>有機ビーツ 300g袋(かごしま)◇</t>
        </is>
      </c>
      <c r="C122" s="213" t="n">
        <v>14</v>
      </c>
      <c r="D122" s="57" t="inlineStr">
        <is>
          <t>こもの</t>
        </is>
      </c>
      <c r="E122" s="57" t="n"/>
    </row>
    <row r="123" ht="39.6" customHeight="1">
      <c r="A123" s="164" t="inlineStr">
        <is>
          <t>1316-307</t>
        </is>
      </c>
      <c r="B123" s="105" t="inlineStr">
        <is>
          <t>ｻﾂﾏ芋「すずほっくり」700g(斉藤光正)◇</t>
        </is>
      </c>
      <c r="C123" s="213" t="n">
        <v>6</v>
      </c>
      <c r="D123" s="57" t="inlineStr">
        <is>
          <t>こもの</t>
        </is>
      </c>
      <c r="E123" s="57" t="n"/>
    </row>
    <row r="124" ht="39.6" customHeight="1">
      <c r="A124" s="164" t="inlineStr">
        <is>
          <t>1316-313</t>
        </is>
      </c>
      <c r="B124" s="105" t="inlineStr">
        <is>
          <t>ｻﾂﾏ芋「シルクスイート」700g(齊藤光正)◇</t>
        </is>
      </c>
      <c r="C124" s="213" t="n">
        <v>19</v>
      </c>
      <c r="D124" s="57" t="inlineStr">
        <is>
          <t>こもの</t>
        </is>
      </c>
      <c r="E124" s="57" t="n"/>
    </row>
    <row r="125" ht="39.6" customHeight="1">
      <c r="A125" s="164" t="inlineStr">
        <is>
          <t>1353-18</t>
        </is>
      </c>
      <c r="B125" s="105" t="inlineStr">
        <is>
          <t>有機長いも　200gﾊﾟｯｸ×５(みちのく)東一</t>
        </is>
      </c>
      <c r="C125" s="213" t="n">
        <v>0</v>
      </c>
      <c r="D125" s="57" t="inlineStr">
        <is>
          <t>こもの</t>
        </is>
      </c>
      <c r="E125" s="57" t="inlineStr">
        <is>
          <t>○</t>
        </is>
      </c>
    </row>
    <row r="126" ht="39.6" customHeight="1">
      <c r="A126" s="164" t="inlineStr">
        <is>
          <t>1353-5</t>
        </is>
      </c>
      <c r="B126" s="105" t="inlineStr">
        <is>
          <t>有機長いも　200ｇ（みちのく）</t>
        </is>
      </c>
      <c r="C126" s="213" t="n">
        <v>65</v>
      </c>
      <c r="D126" s="57" t="inlineStr">
        <is>
          <t>こもの</t>
        </is>
      </c>
      <c r="E126" s="57" t="n"/>
    </row>
    <row r="127" ht="39.6" customHeight="1">
      <c r="A127" s="164" t="inlineStr">
        <is>
          <t>1358-50</t>
        </is>
      </c>
      <c r="B127" s="105" t="inlineStr">
        <is>
          <t>有機 赤玉ねぎ 混 400g(雲仙)◇</t>
        </is>
      </c>
      <c r="C127" s="213" t="n">
        <v>38</v>
      </c>
      <c r="D127" s="57" t="inlineStr">
        <is>
          <t>こもの</t>
        </is>
      </c>
      <c r="E127" s="57" t="n"/>
    </row>
    <row r="128" ht="39.6" customHeight="1">
      <c r="A128" s="164" t="inlineStr">
        <is>
          <t>1365-14</t>
        </is>
      </c>
      <c r="B128" s="105" t="inlineStr">
        <is>
          <t>有機らっきょう 1kg袋 (かごしま)◇</t>
        </is>
      </c>
      <c r="C128" s="213" t="n">
        <v>8</v>
      </c>
      <c r="D128" s="57" t="inlineStr">
        <is>
          <t>こもの</t>
        </is>
      </c>
      <c r="E128" s="57" t="n"/>
    </row>
    <row r="129" ht="39.6" customHeight="1">
      <c r="A129" s="164" t="inlineStr">
        <is>
          <t>1393-3</t>
        </is>
      </c>
      <c r="B129" s="105" t="inlineStr">
        <is>
          <t>瀬戸さん（野菜の里）の有機野菜セット</t>
        </is>
      </c>
      <c r="C129" s="213" t="n">
        <v>0</v>
      </c>
      <c r="D129" s="57" t="inlineStr">
        <is>
          <t>こもの</t>
        </is>
      </c>
      <c r="E129" s="57" t="n"/>
    </row>
    <row r="130" ht="39.6" customHeight="1">
      <c r="A130" s="164" t="inlineStr">
        <is>
          <t>1393-40</t>
        </is>
      </c>
      <c r="B130" s="105" t="inlineStr">
        <is>
          <t>ｷﾃﾚﾂﾌｧｰﾑの野菜ｾｯﾄ</t>
        </is>
      </c>
      <c r="C130" s="213" t="n">
        <v>0</v>
      </c>
      <c r="D130" s="57" t="inlineStr">
        <is>
          <t>こもの</t>
        </is>
      </c>
      <c r="E130" s="57" t="n"/>
    </row>
    <row r="131" ht="39.6" customHeight="1">
      <c r="A131" s="164" t="inlineStr">
        <is>
          <t>1407-14</t>
        </is>
      </c>
      <c r="B131" s="105" t="inlineStr">
        <is>
          <t>有機ルッコラ 50g袋 (わ～ふぁ)</t>
        </is>
      </c>
      <c r="C131" s="213" t="n">
        <v>54</v>
      </c>
      <c r="D131" s="57" t="inlineStr">
        <is>
          <t>こもの</t>
        </is>
      </c>
      <c r="E131" s="57" t="n"/>
    </row>
    <row r="132" ht="39.6" customHeight="1">
      <c r="A132" s="164" t="inlineStr">
        <is>
          <t>1407-20</t>
        </is>
      </c>
      <c r="B132" s="105" t="inlineStr">
        <is>
          <t>有機ルッコラ 50g袋×５(わ～ふぁ)東一</t>
        </is>
      </c>
      <c r="C132" s="213" t="n">
        <v>0</v>
      </c>
      <c r="D132" s="57" t="inlineStr">
        <is>
          <t>こもの</t>
        </is>
      </c>
      <c r="E132" s="57" t="inlineStr">
        <is>
          <t>○</t>
        </is>
      </c>
    </row>
    <row r="133" ht="39.6" customHeight="1">
      <c r="A133" s="164" t="inlineStr">
        <is>
          <t>1408-166</t>
        </is>
      </c>
      <c r="B133" s="105" t="inlineStr">
        <is>
          <t>有機ほうれん草　150ｇ(北総)</t>
        </is>
      </c>
      <c r="C133" s="213" t="n">
        <v>252</v>
      </c>
      <c r="D133" s="57" t="inlineStr">
        <is>
          <t>こもの</t>
        </is>
      </c>
      <c r="E133" s="57" t="n"/>
    </row>
    <row r="134" ht="39.6" customHeight="1">
      <c r="A134" s="164" t="inlineStr">
        <is>
          <t>1408-172</t>
        </is>
      </c>
      <c r="B134" s="105" t="inlineStr">
        <is>
          <t>有機ほうれん草　150g袋×４(北総)東一</t>
        </is>
      </c>
      <c r="C134" s="213" t="n">
        <v>0</v>
      </c>
      <c r="D134" s="57" t="inlineStr">
        <is>
          <t>こもの</t>
        </is>
      </c>
      <c r="E134" s="57" t="inlineStr">
        <is>
          <t>○</t>
        </is>
      </c>
    </row>
    <row r="135" ht="39.6" customHeight="1">
      <c r="A135" s="164" t="inlineStr">
        <is>
          <t>1408-72</t>
        </is>
      </c>
      <c r="B135" s="105" t="inlineStr">
        <is>
          <t>有機ほうれん草　150g袋 (わ～ふぁ)</t>
        </is>
      </c>
      <c r="C135" s="213" t="n">
        <v>11</v>
      </c>
      <c r="D135" s="57" t="inlineStr">
        <is>
          <t>こもの</t>
        </is>
      </c>
      <c r="E135" s="57" t="n"/>
    </row>
    <row r="136" ht="39.6" customHeight="1">
      <c r="A136" s="164" t="inlineStr">
        <is>
          <t>1409-160</t>
        </is>
      </c>
      <c r="B136" s="105" t="inlineStr">
        <is>
          <t>有機小松菜　200g(北総)</t>
        </is>
      </c>
      <c r="C136" s="213" t="n">
        <v>155</v>
      </c>
      <c r="D136" s="57" t="inlineStr">
        <is>
          <t>こもの</t>
        </is>
      </c>
      <c r="E136" s="57" t="n"/>
    </row>
    <row r="137" ht="39.6" customHeight="1">
      <c r="A137" s="164" t="inlineStr">
        <is>
          <t>1409-166</t>
        </is>
      </c>
      <c r="B137" s="105" t="inlineStr">
        <is>
          <t>有機小松菜　200g袋×４(北総)東一</t>
        </is>
      </c>
      <c r="C137" s="213" t="n">
        <v>0</v>
      </c>
      <c r="D137" s="57" t="inlineStr">
        <is>
          <t>こもの</t>
        </is>
      </c>
      <c r="E137" s="57" t="inlineStr">
        <is>
          <t>○</t>
        </is>
      </c>
    </row>
    <row r="138" ht="39.6" customHeight="1">
      <c r="A138" s="164" t="inlineStr">
        <is>
          <t>1409-81</t>
        </is>
      </c>
      <c r="B138" s="105" t="inlineStr">
        <is>
          <t>有機小松菜　200g袋 (わ～ふぁ)</t>
        </is>
      </c>
      <c r="C138" s="213" t="n">
        <v>13</v>
      </c>
      <c r="D138" s="57" t="inlineStr">
        <is>
          <t>こもの</t>
        </is>
      </c>
      <c r="E138" s="57" t="n"/>
    </row>
    <row r="139" ht="39.6" customHeight="1">
      <c r="A139" s="164" t="inlineStr">
        <is>
          <t>1419-1</t>
        </is>
      </c>
      <c r="B139" s="105" t="inlineStr">
        <is>
          <t>有機フリルケール　３枚入（わ～ふぁ）</t>
        </is>
      </c>
      <c r="C139" s="213" t="n">
        <v>40</v>
      </c>
      <c r="D139" s="57" t="inlineStr">
        <is>
          <t>こもの</t>
        </is>
      </c>
      <c r="E139" s="57" t="n"/>
    </row>
    <row r="140" ht="39.6" customHeight="1">
      <c r="A140" s="164" t="inlineStr">
        <is>
          <t>1419-15</t>
        </is>
      </c>
      <c r="B140" s="105" t="inlineStr">
        <is>
          <t>有機ケール　緑 80ｇ(富岡)</t>
        </is>
      </c>
      <c r="C140" s="213" t="n">
        <v>4</v>
      </c>
      <c r="D140" s="57" t="inlineStr">
        <is>
          <t>こもの</t>
        </is>
      </c>
      <c r="E140" s="57" t="n"/>
    </row>
    <row r="141" ht="39.6" customHeight="1">
      <c r="A141" s="164" t="inlineStr">
        <is>
          <t>1419-35</t>
        </is>
      </c>
      <c r="B141" s="105" t="inlineStr">
        <is>
          <t>有機ケール　80ｇ(まるた)</t>
        </is>
      </c>
      <c r="C141" s="213" t="n">
        <v>2</v>
      </c>
      <c r="D141" s="57" t="inlineStr">
        <is>
          <t>こもの</t>
        </is>
      </c>
      <c r="E141" s="57" t="n"/>
    </row>
    <row r="142" ht="39.6" customHeight="1">
      <c r="A142" s="164" t="inlineStr">
        <is>
          <t>1443-28</t>
        </is>
      </c>
      <c r="B142" s="105" t="inlineStr">
        <is>
          <t>有機ちんげん菜　２株(わ～ふぁ)</t>
        </is>
      </c>
      <c r="C142" s="213" t="n">
        <v>21</v>
      </c>
      <c r="D142" s="57" t="inlineStr">
        <is>
          <t>こもの</t>
        </is>
      </c>
      <c r="E142" s="57" t="n"/>
    </row>
    <row r="143" ht="39.6" customHeight="1">
      <c r="A143" s="164" t="inlineStr">
        <is>
          <t>1448-17</t>
        </is>
      </c>
      <c r="B143" s="105" t="inlineStr">
        <is>
          <t>春菊　150g(さんぶ)</t>
        </is>
      </c>
      <c r="C143" s="213" t="n">
        <v>21</v>
      </c>
      <c r="D143" s="57" t="inlineStr">
        <is>
          <t>こもの</t>
        </is>
      </c>
      <c r="E143" s="57" t="n"/>
    </row>
    <row r="144" ht="39.6" customHeight="1">
      <c r="A144" s="164" t="inlineStr">
        <is>
          <t>1448-36</t>
        </is>
      </c>
      <c r="B144" s="105" t="inlineStr">
        <is>
          <t>有機春菊　100ｇ(わ～ふぁ)</t>
        </is>
      </c>
      <c r="C144" s="213" t="n">
        <v>15</v>
      </c>
      <c r="D144" s="57" t="inlineStr">
        <is>
          <t>こもの</t>
        </is>
      </c>
      <c r="E144" s="57" t="n"/>
    </row>
    <row r="145" ht="39.6" customHeight="1">
      <c r="A145" s="164" t="inlineStr">
        <is>
          <t>1468-3</t>
        </is>
      </c>
      <c r="B145" s="105" t="inlineStr">
        <is>
          <t>有機山東菜　150ｇ（わ～ふぁ）</t>
        </is>
      </c>
      <c r="C145" s="213" t="n">
        <v>20</v>
      </c>
      <c r="D145" s="57" t="inlineStr">
        <is>
          <t>こもの</t>
        </is>
      </c>
      <c r="E145" s="57" t="n"/>
    </row>
    <row r="146" ht="39.6" customHeight="1">
      <c r="A146" s="164" t="inlineStr">
        <is>
          <t>1470-55</t>
        </is>
      </c>
      <c r="B146" s="105" t="inlineStr">
        <is>
          <t>有機水菜 200g袋 (わ～ふぁ・産ﾊﾟ)</t>
        </is>
      </c>
      <c r="C146" s="213" t="n">
        <v>15</v>
      </c>
      <c r="D146" s="57" t="inlineStr">
        <is>
          <t>こもの</t>
        </is>
      </c>
      <c r="E146" s="57" t="n"/>
    </row>
    <row r="147" ht="39.6" customHeight="1">
      <c r="A147" s="164" t="inlineStr">
        <is>
          <t>1502-148</t>
        </is>
      </c>
      <c r="B147" s="105" t="inlineStr">
        <is>
          <t>キャベツ　1個袋(キテレツ)不不</t>
        </is>
      </c>
      <c r="C147" s="213" t="n">
        <v>10</v>
      </c>
      <c r="D147" s="57" t="inlineStr">
        <is>
          <t>こもの</t>
        </is>
      </c>
      <c r="E147" s="57" t="n"/>
    </row>
    <row r="148" ht="39.6" customHeight="1">
      <c r="A148" s="164" t="inlineStr">
        <is>
          <t>1503</t>
        </is>
      </c>
      <c r="B148" s="105" t="inlineStr">
        <is>
          <t>キャベツ　１個　（加工使用分）</t>
        </is>
      </c>
      <c r="C148" s="213" t="n">
        <v>0</v>
      </c>
      <c r="D148" s="57" t="inlineStr">
        <is>
          <t>こもの</t>
        </is>
      </c>
      <c r="E148" s="57" t="n"/>
    </row>
    <row r="149" ht="39.6" customHeight="1">
      <c r="A149" s="164" t="inlineStr">
        <is>
          <t>1509-108</t>
        </is>
      </c>
      <c r="B149" s="105" t="inlineStr">
        <is>
          <t>有機グリーンボール　1玉(ﾌｧｰﾏｰｽﾞ)◇</t>
        </is>
      </c>
      <c r="C149" s="213" t="n">
        <v>13</v>
      </c>
      <c r="D149" s="57" t="inlineStr">
        <is>
          <t>こもの</t>
        </is>
      </c>
      <c r="E149" s="57" t="n"/>
    </row>
    <row r="150" ht="39.6" customHeight="1">
      <c r="A150" s="164" t="inlineStr">
        <is>
          <t>1509-118</t>
        </is>
      </c>
      <c r="B150" s="105" t="inlineStr">
        <is>
          <t>有機キャベツ １玉包（丸和）◇</t>
        </is>
      </c>
      <c r="C150" s="213" t="n">
        <v>1</v>
      </c>
      <c r="D150" s="57" t="inlineStr">
        <is>
          <t>こもの</t>
        </is>
      </c>
      <c r="E150" s="57" t="n"/>
    </row>
    <row r="151" ht="39.6" customHeight="1">
      <c r="A151" s="164" t="inlineStr">
        <is>
          <t>1516-38</t>
        </is>
      </c>
      <c r="B151" s="105" t="inlineStr">
        <is>
          <t>有機サニーﾚﾀｽ　ﾗｯﾌﾟ 1個(ﾌｧｰﾏｰｽﾞ)◇</t>
        </is>
      </c>
      <c r="C151" s="213" t="n">
        <v>9</v>
      </c>
      <c r="D151" s="57" t="inlineStr">
        <is>
          <t>こもの</t>
        </is>
      </c>
      <c r="E151" s="57" t="n"/>
    </row>
    <row r="152" ht="39.6" customHeight="1">
      <c r="A152" s="164" t="inlineStr">
        <is>
          <t>1521-17</t>
        </is>
      </c>
      <c r="B152" s="105" t="inlineStr">
        <is>
          <t>グリーンボール　１個袋(せっせと畑)◇</t>
        </is>
      </c>
      <c r="C152" s="213" t="n">
        <v>27</v>
      </c>
      <c r="D152" s="57" t="inlineStr">
        <is>
          <t>こもの</t>
        </is>
      </c>
      <c r="E152" s="57" t="n"/>
    </row>
    <row r="153" ht="39.6" customHeight="1">
      <c r="A153" s="164" t="inlineStr">
        <is>
          <t>1533-150</t>
        </is>
      </c>
      <c r="B153" s="105" t="inlineStr">
        <is>
          <t>有機 玉レタス ﾗｯﾌﾟ 1個(ﾌｧｰﾏｰｽﾞ)◇</t>
        </is>
      </c>
      <c r="C153" s="213" t="n">
        <v>5</v>
      </c>
      <c r="D153" s="57" t="inlineStr">
        <is>
          <t>こもの</t>
        </is>
      </c>
      <c r="E153" s="57" t="n"/>
    </row>
    <row r="154" ht="39.6" customHeight="1">
      <c r="A154" s="164" t="inlineStr">
        <is>
          <t>1543-134</t>
        </is>
      </c>
      <c r="B154" s="105" t="inlineStr">
        <is>
          <t>ブロッコリー1個袋(那須・益子美好)6割・不</t>
        </is>
      </c>
      <c r="C154" s="213" t="n">
        <v>27</v>
      </c>
      <c r="D154" s="57" t="inlineStr">
        <is>
          <t>こもの</t>
        </is>
      </c>
      <c r="E154" s="57" t="n"/>
    </row>
    <row r="155" ht="39.6" customHeight="1">
      <c r="A155" s="164" t="inlineStr">
        <is>
          <t>1561-54</t>
        </is>
      </c>
      <c r="B155" s="105" t="inlineStr">
        <is>
          <t>長ねぎ ムキ 300g (さんぶ)不不</t>
        </is>
      </c>
      <c r="C155" s="213" t="n">
        <v>60</v>
      </c>
      <c r="D155" s="57" t="inlineStr">
        <is>
          <t>こもの</t>
        </is>
      </c>
      <c r="E155" s="57" t="n"/>
    </row>
    <row r="156" ht="39.6" customHeight="1">
      <c r="A156" s="164" t="inlineStr">
        <is>
          <t>1564-100</t>
        </is>
      </c>
      <c r="B156" s="105" t="inlineStr">
        <is>
          <t>長ねぎ　ﾑｷ ２本袋(ﾊｲﾊｰﾊﾞｰ)◇</t>
        </is>
      </c>
      <c r="C156" s="213" t="n">
        <v>145</v>
      </c>
      <c r="D156" s="57" t="inlineStr">
        <is>
          <t>こもの</t>
        </is>
      </c>
      <c r="E156" s="57" t="n"/>
    </row>
    <row r="157" ht="39.6" customHeight="1">
      <c r="A157" s="164" t="inlineStr">
        <is>
          <t>1569-23</t>
        </is>
      </c>
      <c r="B157" s="105" t="inlineStr">
        <is>
          <t>有機長ねぎ　ムキ　300ｇ(よしだ農園)</t>
        </is>
      </c>
      <c r="C157" s="213" t="n">
        <v>100</v>
      </c>
      <c r="D157" s="57" t="inlineStr">
        <is>
          <t>こもの</t>
        </is>
      </c>
      <c r="E157" s="57" t="n"/>
    </row>
    <row r="158" ht="39.6" customHeight="1">
      <c r="A158" s="164" t="inlineStr">
        <is>
          <t>1584-39</t>
        </is>
      </c>
      <c r="B158" s="105" t="inlineStr">
        <is>
          <t>有機ロメインﾚﾀｽ ﾗｯﾌﾟ 1個(ﾌｧｰﾏｰｽﾞ)◇</t>
        </is>
      </c>
      <c r="C158" s="213" t="n">
        <v>0</v>
      </c>
      <c r="D158" s="57" t="inlineStr">
        <is>
          <t>こもの</t>
        </is>
      </c>
      <c r="E158" s="57" t="n"/>
    </row>
    <row r="159" ht="39.6" customHeight="1">
      <c r="A159" s="164" t="inlineStr">
        <is>
          <t>1588-15</t>
        </is>
      </c>
      <c r="B159" s="105" t="inlineStr">
        <is>
          <t>有機フリルレタス ﾗｯﾌﾟ １個(ﾌｧｰﾏｰｽﾞ)◇</t>
        </is>
      </c>
      <c r="C159" s="213" t="n">
        <v>8</v>
      </c>
      <c r="D159" s="57" t="inlineStr">
        <is>
          <t>こもの</t>
        </is>
      </c>
      <c r="E159" s="57" t="n"/>
    </row>
    <row r="160" ht="39.6" customHeight="1">
      <c r="A160" s="164" t="inlineStr">
        <is>
          <t>1588-25</t>
        </is>
      </c>
      <c r="B160" s="105" t="inlineStr">
        <is>
          <t>有機レッドフリルﾚﾀｽ ﾗｯﾌﾟ １個(ﾌｧｰﾏｰｽﾞ)◇</t>
        </is>
      </c>
      <c r="C160" s="213" t="n">
        <v>4</v>
      </c>
      <c r="D160" s="57" t="inlineStr">
        <is>
          <t>こもの</t>
        </is>
      </c>
      <c r="E160" s="57" t="n"/>
    </row>
    <row r="161" ht="39.6" customHeight="1">
      <c r="A161" s="164" t="inlineStr">
        <is>
          <t>1589-138</t>
        </is>
      </c>
      <c r="B161" s="105" t="inlineStr">
        <is>
          <t>有機リーフﾚﾀｽ ﾗｯﾌﾟ1個(やさと・産ﾊﾟ)</t>
        </is>
      </c>
      <c r="C161" s="213" t="n">
        <v>0</v>
      </c>
      <c r="D161" s="57" t="inlineStr">
        <is>
          <t>こもの</t>
        </is>
      </c>
      <c r="E161" s="57" t="n"/>
    </row>
    <row r="162" ht="39.6" customHeight="1">
      <c r="A162" s="164" t="inlineStr">
        <is>
          <t>1589-57</t>
        </is>
      </c>
      <c r="B162" s="105" t="inlineStr">
        <is>
          <t>有機リーフレタス　ﾗｯﾌﾟ 1個(ﾌｧｰﾏｰｽﾞ)◇</t>
        </is>
      </c>
      <c r="C162" s="213" t="n">
        <v>30</v>
      </c>
      <c r="D162" s="57" t="inlineStr">
        <is>
          <t>こもの</t>
        </is>
      </c>
      <c r="E162" s="57" t="n"/>
    </row>
    <row r="163" ht="39.6" customHeight="1">
      <c r="A163" s="164" t="inlineStr">
        <is>
          <t>1593-113</t>
        </is>
      </c>
      <c r="B163" s="105" t="inlineStr">
        <is>
          <t>ミニ白菜　1個袋(せっせと畑)◇不不</t>
        </is>
      </c>
      <c r="C163" s="213" t="n">
        <v>22</v>
      </c>
      <c r="D163" s="57" t="inlineStr">
        <is>
          <t>こもの</t>
        </is>
      </c>
      <c r="E163" s="57" t="n"/>
    </row>
    <row r="164" ht="39.6" customHeight="1">
      <c r="A164" s="164" t="inlineStr">
        <is>
          <t>1593-22</t>
        </is>
      </c>
      <c r="B164" s="105" t="inlineStr">
        <is>
          <t>有機ベビー白菜 １個袋 (さんぶ)</t>
        </is>
      </c>
      <c r="C164" s="213" t="n">
        <v>53</v>
      </c>
      <c r="D164" s="57" t="inlineStr">
        <is>
          <t>こもの</t>
        </is>
      </c>
      <c r="E164" s="57" t="n"/>
    </row>
    <row r="165" ht="39.6" customHeight="1">
      <c r="A165" s="164" t="inlineStr">
        <is>
          <t>1601-37</t>
        </is>
      </c>
      <c r="B165" s="105" t="inlineStr">
        <is>
          <t>□トマト ４ｋｇ箱（沃土会）８割減・不</t>
        </is>
      </c>
      <c r="C165" s="213" t="n">
        <v>8</v>
      </c>
      <c r="D165" s="57" t="inlineStr">
        <is>
          <t>こもの</t>
        </is>
      </c>
      <c r="E165" s="57" t="n"/>
    </row>
    <row r="166" ht="39.6" customHeight="1">
      <c r="A166" s="164" t="inlineStr">
        <is>
          <t>1601-46</t>
        </is>
      </c>
      <c r="B166" s="105" t="inlineStr">
        <is>
          <t>トマト 約350g～(沃土会)◇</t>
        </is>
      </c>
      <c r="C166" s="213" t="n">
        <v>19</v>
      </c>
      <c r="D166" s="57" t="inlineStr">
        <is>
          <t>こもの</t>
        </is>
      </c>
      <c r="E166" s="57" t="n"/>
    </row>
    <row r="167" ht="39.6" customHeight="1">
      <c r="A167" s="164" t="inlineStr">
        <is>
          <t>1606-42</t>
        </is>
      </c>
      <c r="B167" s="105" t="inlineStr">
        <is>
          <t>□有機トマト４kg箱 (澤村)</t>
        </is>
      </c>
      <c r="C167" s="213" t="n">
        <v>8</v>
      </c>
      <c r="D167" s="57" t="inlineStr">
        <is>
          <t>こもの</t>
        </is>
      </c>
      <c r="E167" s="57" t="n"/>
    </row>
    <row r="168" ht="39.6" customHeight="1">
      <c r="A168" s="164" t="inlineStr">
        <is>
          <t>1606-96</t>
        </is>
      </c>
      <c r="B168" s="105" t="inlineStr">
        <is>
          <t>有機トマト１袋（220ｇ～)(澤村)◇</t>
        </is>
      </c>
      <c r="C168" s="213" t="n">
        <v>9</v>
      </c>
      <c r="D168" s="57" t="inlineStr">
        <is>
          <t>こもの</t>
        </is>
      </c>
      <c r="E168" s="57" t="n"/>
    </row>
    <row r="169" ht="39.6" customHeight="1">
      <c r="A169" s="164" t="inlineStr">
        <is>
          <t>1612-10</t>
        </is>
      </c>
      <c r="B169" s="105" t="inlineStr">
        <is>
          <t>□有機ミニトマト 3kg箱（吉水）</t>
        </is>
      </c>
      <c r="C169" s="213" t="n">
        <v>4</v>
      </c>
      <c r="D169" s="57" t="inlineStr">
        <is>
          <t>こもの</t>
        </is>
      </c>
      <c r="E169" s="57" t="n"/>
    </row>
    <row r="170" ht="39.6" customHeight="1">
      <c r="A170" s="164" t="inlineStr">
        <is>
          <t>1614-251</t>
        </is>
      </c>
      <c r="B170" s="105" t="inlineStr">
        <is>
          <t>有機ミニトマト　150g（吉水)◇</t>
        </is>
      </c>
      <c r="C170" s="213" t="n">
        <v>14</v>
      </c>
      <c r="D170" s="57" t="inlineStr">
        <is>
          <t>こもの</t>
        </is>
      </c>
      <c r="E170" s="57" t="n"/>
    </row>
    <row r="171" ht="39.6" customHeight="1">
      <c r="A171" s="164" t="inlineStr">
        <is>
          <t>1614-279</t>
        </is>
      </c>
      <c r="B171" s="105" t="inlineStr">
        <is>
          <t>有機ﾐﾆﾄﾏﾄ「アイコ」150ｇ(肥後あゆみ)◇</t>
        </is>
      </c>
      <c r="C171" s="213" t="n">
        <v>1</v>
      </c>
      <c r="D171" s="57" t="inlineStr">
        <is>
          <t>こもの</t>
        </is>
      </c>
      <c r="E171" s="57" t="n"/>
    </row>
    <row r="172" ht="39.6" customHeight="1">
      <c r="A172" s="164" t="inlineStr">
        <is>
          <t>1614-280</t>
        </is>
      </c>
      <c r="B172" s="105" t="inlineStr">
        <is>
          <t>□有機ﾐﾆﾄﾏﾄ「ｱｲｺ」３kg(肥後あゆみ)</t>
        </is>
      </c>
      <c r="C172" s="213" t="n">
        <v>4</v>
      </c>
      <c r="D172" s="57" t="inlineStr">
        <is>
          <t>こもの</t>
        </is>
      </c>
      <c r="E172" s="57" t="n"/>
    </row>
    <row r="173" ht="39.6" customHeight="1">
      <c r="A173" s="164" t="inlineStr">
        <is>
          <t>1614-3</t>
        </is>
      </c>
      <c r="B173" s="105" t="inlineStr">
        <is>
          <t>ミニトマト　150ｇ（沃土会）</t>
        </is>
      </c>
      <c r="C173" s="213" t="n">
        <v>93</v>
      </c>
      <c r="D173" s="57" t="inlineStr">
        <is>
          <t>こもの</t>
        </is>
      </c>
      <c r="E173" s="57" t="n"/>
    </row>
    <row r="174" ht="39.6" customHeight="1">
      <c r="A174" s="164" t="inlineStr">
        <is>
          <t>1619-68</t>
        </is>
      </c>
      <c r="B174" s="105" t="inlineStr">
        <is>
          <t>きゅうり　２本袋（沃土会）</t>
        </is>
      </c>
      <c r="C174" s="213" t="n">
        <v>10</v>
      </c>
      <c r="D174" s="57" t="inlineStr">
        <is>
          <t>こもの</t>
        </is>
      </c>
      <c r="E174" s="57" t="n"/>
    </row>
    <row r="175" ht="39.6" customHeight="1">
      <c r="A175" s="164" t="inlineStr">
        <is>
          <t>1621-64</t>
        </is>
      </c>
      <c r="B175" s="105" t="inlineStr">
        <is>
          <t>□きゅうり 5kg箱(太一興陽石毛)菌5虫8・不</t>
        </is>
      </c>
      <c r="C175" s="213" t="n">
        <v>50</v>
      </c>
      <c r="D175" s="57" t="inlineStr">
        <is>
          <t>こもの</t>
        </is>
      </c>
      <c r="E175" s="57" t="n"/>
    </row>
    <row r="176" ht="39.6" customHeight="1">
      <c r="A176" s="164" t="inlineStr">
        <is>
          <t>1621-65</t>
        </is>
      </c>
      <c r="B176" s="105" t="inlineStr">
        <is>
          <t>きゅうり　２本袋(石毛)◇</t>
        </is>
      </c>
      <c r="C176" s="213" t="n">
        <v>18</v>
      </c>
      <c r="D176" s="57" t="inlineStr">
        <is>
          <t>こもの</t>
        </is>
      </c>
      <c r="E176" s="57" t="n"/>
    </row>
    <row r="177" ht="39.6" customHeight="1">
      <c r="A177" s="164" t="inlineStr">
        <is>
          <t>1621-73</t>
        </is>
      </c>
      <c r="B177" s="105" t="inlineStr">
        <is>
          <t>きゅうり　３本袋(石毛)◇</t>
        </is>
      </c>
      <c r="C177" s="213" t="n">
        <v>0</v>
      </c>
      <c r="D177" s="57" t="inlineStr">
        <is>
          <t>こもの</t>
        </is>
      </c>
      <c r="E177" s="57" t="n"/>
    </row>
    <row r="178" ht="39.6" customHeight="1">
      <c r="A178" s="164" t="inlineStr">
        <is>
          <t>1638-110</t>
        </is>
      </c>
      <c r="B178" s="105" t="inlineStr">
        <is>
          <t>有機なす１袋 (浦部)</t>
        </is>
      </c>
      <c r="C178" s="213" t="n">
        <v>46</v>
      </c>
      <c r="D178" s="57" t="inlineStr">
        <is>
          <t>こもの</t>
        </is>
      </c>
      <c r="E178" s="57" t="n"/>
    </row>
    <row r="179" ht="39.6" customHeight="1">
      <c r="A179" s="164" t="inlineStr">
        <is>
          <t>1638-112</t>
        </is>
      </c>
      <c r="B179" s="105" t="inlineStr">
        <is>
          <t>なす　400ｇ(石毛)菌2虫1(=9割減)・不</t>
        </is>
      </c>
      <c r="C179" s="213" t="n">
        <v>262</v>
      </c>
      <c r="D179" s="57" t="inlineStr">
        <is>
          <t>こもの</t>
        </is>
      </c>
      <c r="E179" s="57" t="n"/>
    </row>
    <row r="180" ht="39.6" customHeight="1">
      <c r="A180" s="164" t="inlineStr">
        <is>
          <t>1647-2</t>
        </is>
      </c>
      <c r="B180" s="105" t="inlineStr">
        <is>
          <t>中玉とまと 200g (さんぶ)</t>
        </is>
      </c>
      <c r="C180" s="213" t="n">
        <v>23</v>
      </c>
      <c r="D180" s="57" t="inlineStr">
        <is>
          <t>こもの</t>
        </is>
      </c>
      <c r="E180" s="57" t="n"/>
    </row>
    <row r="181" ht="39.6" customHeight="1">
      <c r="A181" s="164" t="inlineStr">
        <is>
          <t>1647-50</t>
        </is>
      </c>
      <c r="B181" s="105" t="inlineStr">
        <is>
          <t>中玉トマト 250g (沃土会)</t>
        </is>
      </c>
      <c r="C181" s="213" t="n">
        <v>121</v>
      </c>
      <c r="D181" s="57" t="inlineStr">
        <is>
          <t>こもの</t>
        </is>
      </c>
      <c r="E181" s="57" t="n"/>
    </row>
    <row r="182" ht="39.6" customHeight="1">
      <c r="A182" s="164" t="inlineStr">
        <is>
          <t>1654-75</t>
        </is>
      </c>
      <c r="B182" s="105" t="inlineStr">
        <is>
          <t>有機ピーマン　150g（SOHﾌｧｰﾑ）◇</t>
        </is>
      </c>
      <c r="C182" s="213" t="n">
        <v>202</v>
      </c>
      <c r="D182" s="57" t="inlineStr">
        <is>
          <t>こもの</t>
        </is>
      </c>
      <c r="E182" s="57" t="n"/>
    </row>
    <row r="183" ht="39.6" customHeight="1">
      <c r="A183" s="164" t="inlineStr">
        <is>
          <t>1654-98</t>
        </is>
      </c>
      <c r="B183" s="105" t="inlineStr">
        <is>
          <t>有機ピーマン　150g◇×５(SOHﾌｧｰﾑ）東一</t>
        </is>
      </c>
      <c r="C183" s="213" t="n">
        <v>0</v>
      </c>
      <c r="D183" s="57" t="inlineStr">
        <is>
          <t>こもの</t>
        </is>
      </c>
      <c r="E183" s="57" t="inlineStr">
        <is>
          <t>○</t>
        </is>
      </c>
    </row>
    <row r="184" ht="39.6" customHeight="1">
      <c r="A184" s="164" t="inlineStr">
        <is>
          <t>1661-15</t>
        </is>
      </c>
      <c r="B184" s="105" t="inlineStr">
        <is>
          <t>パプリカ　１個袋200ｇ(高生連)</t>
        </is>
      </c>
      <c r="C184" s="213" t="n">
        <v>17</v>
      </c>
      <c r="D184" s="57" t="inlineStr">
        <is>
          <t>こもの</t>
        </is>
      </c>
      <c r="E184" s="57" t="n"/>
    </row>
    <row r="185" ht="39.6" customHeight="1">
      <c r="A185" s="164" t="inlineStr">
        <is>
          <t>1684-94</t>
        </is>
      </c>
      <c r="B185" s="105" t="inlineStr">
        <is>
          <t>スイートコーン　１本袋(高生連)</t>
        </is>
      </c>
      <c r="C185" s="213" t="n">
        <v>42</v>
      </c>
      <c r="D185" s="57" t="inlineStr">
        <is>
          <t>こもの</t>
        </is>
      </c>
      <c r="E185" s="57" t="n"/>
    </row>
    <row r="186" ht="39.6" customHeight="1">
      <c r="A186" s="164" t="inlineStr">
        <is>
          <t>1707-103</t>
        </is>
      </c>
      <c r="B186" s="105" t="inlineStr">
        <is>
          <t>有機ズッキーニ緑 １本袋(キテレツ)◇</t>
        </is>
      </c>
      <c r="C186" s="213" t="n">
        <v>15</v>
      </c>
      <c r="D186" s="57" t="inlineStr">
        <is>
          <t>こもの</t>
        </is>
      </c>
      <c r="E186" s="57" t="n"/>
    </row>
    <row r="187" ht="39.6" customHeight="1">
      <c r="A187" s="164" t="inlineStr">
        <is>
          <t>1707-104</t>
        </is>
      </c>
      <c r="B187" s="105" t="inlineStr">
        <is>
          <t>有機ズッキーニ黄色 １本袋(キテレツ)◇</t>
        </is>
      </c>
      <c r="C187" s="213" t="n">
        <v>5</v>
      </c>
      <c r="D187" s="57" t="inlineStr">
        <is>
          <t>こもの</t>
        </is>
      </c>
      <c r="E187" s="57" t="n"/>
    </row>
    <row r="188" ht="39.6" customHeight="1">
      <c r="A188" s="164" t="inlineStr">
        <is>
          <t>1707-127</t>
        </is>
      </c>
      <c r="B188" s="105" t="inlineStr">
        <is>
          <t>ズッキーニ １本袋（沃土会)不不</t>
        </is>
      </c>
      <c r="C188" s="213" t="n">
        <v>33</v>
      </c>
      <c r="D188" s="57" t="inlineStr">
        <is>
          <t>こもの</t>
        </is>
      </c>
      <c r="E188" s="57" t="n"/>
    </row>
    <row r="189" ht="39.6" customHeight="1">
      <c r="A189" s="164" t="inlineStr">
        <is>
          <t>1707-129</t>
        </is>
      </c>
      <c r="B189" s="105" t="inlineStr">
        <is>
          <t>ズッキーニ緑 １本袋(せっせと)◇</t>
        </is>
      </c>
      <c r="C189" s="213" t="n">
        <v>0</v>
      </c>
      <c r="D189" s="57" t="inlineStr">
        <is>
          <t>こもの</t>
        </is>
      </c>
      <c r="E189" s="57" t="n"/>
    </row>
    <row r="190" ht="39.6" customHeight="1">
      <c r="A190" s="164" t="inlineStr">
        <is>
          <t>1707-9</t>
        </is>
      </c>
      <c r="B190" s="105" t="inlineStr">
        <is>
          <t>有機ズッキーニ　１本袋（さんぶ・産ﾊﾟ）</t>
        </is>
      </c>
      <c r="C190" s="213" t="n">
        <v>0</v>
      </c>
      <c r="D190" s="57" t="inlineStr">
        <is>
          <t>こもの</t>
        </is>
      </c>
      <c r="E190" s="57" t="n"/>
    </row>
    <row r="191" ht="39.6" customHeight="1">
      <c r="A191" s="164" t="inlineStr">
        <is>
          <t>1720-22</t>
        </is>
      </c>
      <c r="B191" s="105" t="inlineStr">
        <is>
          <t>枝豆　200g袋（さんぶ）</t>
        </is>
      </c>
      <c r="C191" s="213" t="n">
        <v>12</v>
      </c>
      <c r="D191" s="57" t="inlineStr">
        <is>
          <t>こもの</t>
        </is>
      </c>
      <c r="E191" s="57" t="n"/>
    </row>
    <row r="192" ht="39.6" customHeight="1">
      <c r="A192" s="164" t="inlineStr">
        <is>
          <t>1723-11</t>
        </is>
      </c>
      <c r="B192" s="105" t="inlineStr">
        <is>
          <t>そら豆　300ｇ袋(萩原)◇</t>
        </is>
      </c>
      <c r="C192" s="213" t="n">
        <v>25</v>
      </c>
      <c r="D192" s="57" t="inlineStr">
        <is>
          <t>こもの</t>
        </is>
      </c>
      <c r="E192" s="57" t="n"/>
    </row>
    <row r="193">
      <c r="A193" s="164" t="inlineStr">
        <is>
          <t>1804-1</t>
        </is>
      </c>
      <c r="B193" s="105" t="inlineStr">
        <is>
          <t>しめじほぐし(ｶｯﾄぶなしめじ)　500ｇ(ﾐｽｽﾞ)</t>
        </is>
      </c>
      <c r="C193" s="213" t="n">
        <v>17</v>
      </c>
      <c r="D193" s="57" t="inlineStr">
        <is>
          <t>こもの</t>
        </is>
      </c>
      <c r="E193" s="57" t="n"/>
    </row>
    <row r="194">
      <c r="A194" s="164" t="inlineStr">
        <is>
          <t>1804-5</t>
        </is>
      </c>
      <c r="B194" s="105" t="inlineStr">
        <is>
          <t>ｶｯﾄぶなしめじ 90ｇ(ﾐｽｽﾞ)</t>
        </is>
      </c>
      <c r="C194" s="213" t="n">
        <v>54</v>
      </c>
      <c r="D194" s="57" t="inlineStr">
        <is>
          <t>こもの</t>
        </is>
      </c>
      <c r="E194" s="57" t="n"/>
    </row>
    <row r="195">
      <c r="A195" s="164" t="inlineStr">
        <is>
          <t>1806-2</t>
        </is>
      </c>
      <c r="B195" s="105" t="inlineStr">
        <is>
          <t>ぶなクイーン　１００ｇ(ﾐｽｽﾞ)</t>
        </is>
      </c>
      <c r="C195" s="213" t="n">
        <v>34</v>
      </c>
      <c r="D195" s="57" t="inlineStr">
        <is>
          <t>こもの</t>
        </is>
      </c>
      <c r="E195" s="57" t="n"/>
    </row>
    <row r="196">
      <c r="A196" s="164" t="inlineStr">
        <is>
          <t>1807-55</t>
        </is>
      </c>
      <c r="B196" s="105" t="inlineStr">
        <is>
          <t>有機生しいたけ(菌床)100gﾄﾚｰ(太洋社)</t>
        </is>
      </c>
      <c r="C196" s="213" t="n">
        <v>35</v>
      </c>
      <c r="D196" s="57" t="inlineStr">
        <is>
          <t>こもの</t>
        </is>
      </c>
      <c r="E196" s="57" t="n"/>
    </row>
    <row r="197">
      <c r="A197" s="164" t="inlineStr">
        <is>
          <t>1807-56</t>
        </is>
      </c>
      <c r="B197" s="105" t="inlineStr">
        <is>
          <t>有機生しいたけ(菌床)不揃200g袋(太洋社)</t>
        </is>
      </c>
      <c r="C197" s="213" t="n">
        <v>56</v>
      </c>
      <c r="D197" s="57" t="inlineStr">
        <is>
          <t>こもの</t>
        </is>
      </c>
      <c r="E197" s="57" t="n"/>
    </row>
    <row r="198">
      <c r="A198" s="164" t="inlineStr">
        <is>
          <t>1812</t>
        </is>
      </c>
      <c r="B198" s="105" t="inlineStr">
        <is>
          <t>えのき茸 １００ｇ(ﾐｽｽﾞ)</t>
        </is>
      </c>
      <c r="C198" s="213" t="n">
        <v>79</v>
      </c>
      <c r="D198" s="57" t="inlineStr">
        <is>
          <t>こもの</t>
        </is>
      </c>
      <c r="E198" s="57" t="n"/>
    </row>
    <row r="199">
      <c r="A199" s="164" t="inlineStr">
        <is>
          <t>1820</t>
        </is>
      </c>
      <c r="B199" s="105" t="inlineStr">
        <is>
          <t>一株なめこ １７０ｇ(ﾐｽｽﾞ)</t>
        </is>
      </c>
      <c r="C199" s="213" t="n">
        <v>31</v>
      </c>
      <c r="D199" s="57" t="inlineStr">
        <is>
          <t>こもの</t>
        </is>
      </c>
      <c r="E199" s="57" t="n"/>
    </row>
    <row r="200">
      <c r="A200" s="164" t="inlineStr">
        <is>
          <t>1820-5</t>
        </is>
      </c>
      <c r="B200" s="105" t="inlineStr">
        <is>
          <t>小粒なめこ 100ｇ(熊谷)</t>
        </is>
      </c>
      <c r="C200" s="213" t="n">
        <v>83</v>
      </c>
      <c r="D200" s="57" t="inlineStr">
        <is>
          <t>こもの</t>
        </is>
      </c>
      <c r="E200" s="57" t="n"/>
    </row>
    <row r="201">
      <c r="A201" s="164" t="inlineStr">
        <is>
          <t>1821-2</t>
        </is>
      </c>
      <c r="B201" s="105" t="inlineStr">
        <is>
          <t>エリンギ 100g (ミスズ)</t>
        </is>
      </c>
      <c r="C201" s="213" t="n">
        <v>21</v>
      </c>
      <c r="D201" s="57" t="inlineStr">
        <is>
          <t>こもの</t>
        </is>
      </c>
      <c r="E201" s="57" t="n"/>
    </row>
    <row r="202">
      <c r="A202" s="164" t="inlineStr">
        <is>
          <t>1823-2</t>
        </is>
      </c>
      <c r="B202" s="105" t="inlineStr">
        <is>
          <t>有機おかひじき 70gﾊﾟｯｸ (寺島)</t>
        </is>
      </c>
      <c r="C202" s="213" t="n">
        <v>27</v>
      </c>
      <c r="D202" s="57" t="inlineStr">
        <is>
          <t>こもの</t>
        </is>
      </c>
      <c r="E202" s="57" t="n"/>
    </row>
    <row r="203">
      <c r="A203" s="164" t="inlineStr">
        <is>
          <t>1823-7</t>
        </is>
      </c>
      <c r="B203" s="105" t="inlineStr">
        <is>
          <t>有機おかひじき 70gﾊﾟｯｸ×５(寺島)　東一</t>
        </is>
      </c>
      <c r="C203" s="213" t="n">
        <v>0</v>
      </c>
      <c r="D203" s="57" t="inlineStr">
        <is>
          <t>こもの</t>
        </is>
      </c>
      <c r="E203" s="57" t="inlineStr">
        <is>
          <t>○</t>
        </is>
      </c>
    </row>
    <row r="204">
      <c r="A204" s="164" t="inlineStr">
        <is>
          <t>1824-2</t>
        </is>
      </c>
      <c r="B204" s="105" t="inlineStr">
        <is>
          <t>有機パセリ 30g袋 (大地と自然)</t>
        </is>
      </c>
      <c r="C204" s="213" t="n">
        <v>11</v>
      </c>
      <c r="D204" s="57" t="inlineStr">
        <is>
          <t>こもの</t>
        </is>
      </c>
      <c r="E204" s="57" t="n"/>
    </row>
    <row r="205">
      <c r="A205" s="164" t="inlineStr">
        <is>
          <t>1835-4</t>
        </is>
      </c>
      <c r="B205" s="105" t="inlineStr">
        <is>
          <t>□小ねぎ 100ｇ×20入(伊藤昇)7割減・5割減</t>
        </is>
      </c>
      <c r="C205" s="213" t="n">
        <v>2</v>
      </c>
      <c r="D205" s="57" t="inlineStr">
        <is>
          <t>こもの</t>
        </is>
      </c>
      <c r="E205" s="57" t="n"/>
    </row>
    <row r="206">
      <c r="A206" s="164" t="inlineStr">
        <is>
          <t>1838-12</t>
        </is>
      </c>
      <c r="B206" s="105" t="inlineStr">
        <is>
          <t>有機青ねぎ 100ｇ (大地と自然)</t>
        </is>
      </c>
      <c r="C206" s="213" t="n">
        <v>44</v>
      </c>
      <c r="D206" s="57" t="inlineStr">
        <is>
          <t>こもの</t>
        </is>
      </c>
      <c r="E206" s="57" t="n"/>
    </row>
    <row r="207">
      <c r="A207" s="164" t="inlineStr">
        <is>
          <t>1840-14</t>
        </is>
      </c>
      <c r="B207" s="105" t="inlineStr">
        <is>
          <t>有機にら 100ｇ (北総)</t>
        </is>
      </c>
      <c r="C207" s="213" t="n">
        <v>83</v>
      </c>
      <c r="D207" s="57" t="inlineStr">
        <is>
          <t>こもの</t>
        </is>
      </c>
      <c r="E207" s="57" t="n"/>
    </row>
    <row r="208">
      <c r="A208" s="164" t="inlineStr">
        <is>
          <t>1854-27</t>
        </is>
      </c>
      <c r="B208" s="105" t="inlineStr">
        <is>
          <t>にんにくの芽 100ｇ(ハレノヒ)不不</t>
        </is>
      </c>
      <c r="C208" s="213" t="n">
        <v>0</v>
      </c>
      <c r="D208" s="57" t="inlineStr">
        <is>
          <t>こもの</t>
        </is>
      </c>
      <c r="E208" s="57" t="n"/>
    </row>
    <row r="209">
      <c r="A209" s="164" t="inlineStr">
        <is>
          <t>1854-28</t>
        </is>
      </c>
      <c r="B209" s="105" t="inlineStr">
        <is>
          <t>有機にんにくの芽 100ｇ(シェアガーデン)</t>
        </is>
      </c>
      <c r="C209" s="213" t="n">
        <v>30</v>
      </c>
      <c r="D209" s="57" t="inlineStr">
        <is>
          <t>こもの</t>
        </is>
      </c>
      <c r="E209" s="57" t="n"/>
    </row>
    <row r="210">
      <c r="A210" s="164" t="inlineStr">
        <is>
          <t>1856-76</t>
        </is>
      </c>
      <c r="B210" s="105" t="inlineStr">
        <is>
          <t>有機黒（くろ）にんにく　80ｇ（ｼｪｱｶﾞｰﾃﾞﾝ)</t>
        </is>
      </c>
      <c r="C210" s="213" t="n">
        <v>33</v>
      </c>
      <c r="D210" s="57" t="inlineStr">
        <is>
          <t>こもの</t>
        </is>
      </c>
      <c r="E210" s="57" t="n"/>
    </row>
    <row r="211">
      <c r="A211" s="164" t="inlineStr">
        <is>
          <t>1856-85</t>
        </is>
      </c>
      <c r="B211" s="105" t="inlineStr">
        <is>
          <t>にんにく　1玉(せっせと畑)◇</t>
        </is>
      </c>
      <c r="C211" s="213" t="n">
        <v>0</v>
      </c>
      <c r="D211" s="57" t="inlineStr">
        <is>
          <t>こもの</t>
        </is>
      </c>
      <c r="E211" s="57" t="n"/>
    </row>
    <row r="212">
      <c r="A212" s="164" t="inlineStr">
        <is>
          <t>1857-29</t>
        </is>
      </c>
      <c r="B212" s="105" t="inlineStr">
        <is>
          <t>有機しょうが　100g袋 (夢有民・産ﾊﾟ)</t>
        </is>
      </c>
      <c r="C212" s="213" t="n">
        <v>85</v>
      </c>
      <c r="D212" s="57" t="inlineStr">
        <is>
          <t>こもの</t>
        </is>
      </c>
      <c r="E212" s="57" t="n"/>
    </row>
    <row r="213">
      <c r="A213" s="164" t="inlineStr">
        <is>
          <t>1857-56</t>
        </is>
      </c>
      <c r="B213" s="105" t="inlineStr">
        <is>
          <t>有機しょうが100ｇ×５(夢有民)東一</t>
        </is>
      </c>
      <c r="C213" s="213" t="n">
        <v>0</v>
      </c>
      <c r="D213" s="57" t="inlineStr">
        <is>
          <t>こもの</t>
        </is>
      </c>
      <c r="E213" s="57" t="inlineStr">
        <is>
          <t>○</t>
        </is>
      </c>
    </row>
    <row r="214">
      <c r="A214" s="164" t="inlineStr">
        <is>
          <t>1868-21</t>
        </is>
      </c>
      <c r="B214" s="105" t="inlineStr">
        <is>
          <t>有機生きくらげ(菌床) 50ｇ(太洋社)</t>
        </is>
      </c>
      <c r="C214" s="213" t="n">
        <v>55</v>
      </c>
      <c r="D214" s="57" t="inlineStr">
        <is>
          <t>こもの</t>
        </is>
      </c>
      <c r="E214" s="57" t="n"/>
    </row>
    <row r="215">
      <c r="A215" s="164" t="inlineStr">
        <is>
          <t>1869-1</t>
        </is>
      </c>
      <c r="B215" s="105" t="inlineStr">
        <is>
          <t>有機パクチー　30ｇ（わ～ふぁ）</t>
        </is>
      </c>
      <c r="C215" s="213" t="n">
        <v>43</v>
      </c>
      <c r="D215" s="57" t="inlineStr">
        <is>
          <t>こもの</t>
        </is>
      </c>
      <c r="E215" s="57" t="n"/>
    </row>
    <row r="216">
      <c r="A216" s="164" t="inlineStr">
        <is>
          <t>1869-9</t>
        </is>
      </c>
      <c r="B216" s="105" t="inlineStr">
        <is>
          <t>有機パクチー　30ｇ×５(わ～ふぁ)東一</t>
        </is>
      </c>
      <c r="C216" s="213" t="n">
        <v>0</v>
      </c>
      <c r="D216" s="57" t="inlineStr">
        <is>
          <t>こもの</t>
        </is>
      </c>
      <c r="E216" s="57" t="inlineStr">
        <is>
          <t>○</t>
        </is>
      </c>
    </row>
    <row r="217">
      <c r="A217" s="164" t="inlineStr">
        <is>
          <t>1875-15</t>
        </is>
      </c>
      <c r="B217" s="105" t="inlineStr">
        <is>
          <t>有機ラディッシュ　4～6玉袋(やさと)</t>
        </is>
      </c>
      <c r="C217" s="213" t="n">
        <v>20</v>
      </c>
      <c r="D217" s="57" t="inlineStr">
        <is>
          <t>こもの</t>
        </is>
      </c>
      <c r="E217" s="57" t="n"/>
    </row>
    <row r="218">
      <c r="A218" s="164" t="inlineStr">
        <is>
          <t>1878-10</t>
        </is>
      </c>
      <c r="B218" s="105" t="inlineStr">
        <is>
          <t>□有機緑豆もやし　200g×10 (ｻﾗﾀﾞｺｽﾓ)</t>
        </is>
      </c>
      <c r="C218" s="213" t="n">
        <v>0</v>
      </c>
      <c r="D218" s="57" t="inlineStr">
        <is>
          <t>こもの</t>
        </is>
      </c>
      <c r="E218" s="57" t="n"/>
    </row>
    <row r="219">
      <c r="A219" s="164" t="inlineStr">
        <is>
          <t>1878-21</t>
        </is>
      </c>
      <c r="B219" s="105" t="inlineStr">
        <is>
          <t>□有機アルファルファ 60ｇ×6 (ｻﾗﾀﾞｺｽﾓ)</t>
        </is>
      </c>
      <c r="C219" s="213" t="n">
        <v>0</v>
      </c>
      <c r="D219" s="57" t="inlineStr">
        <is>
          <t>こもの</t>
        </is>
      </c>
      <c r="E219" s="57" t="n"/>
    </row>
    <row r="220">
      <c r="A220" s="164" t="inlineStr">
        <is>
          <t>1881-8</t>
        </is>
      </c>
      <c r="B220" s="105" t="inlineStr">
        <is>
          <t>有機たかのつめ(唐辛子) 8g袋 (吉水)</t>
        </is>
      </c>
      <c r="C220" s="213" t="n">
        <v>94</v>
      </c>
      <c r="D220" s="57" t="inlineStr">
        <is>
          <t>こもの</t>
        </is>
      </c>
      <c r="E220" s="57" t="n"/>
    </row>
    <row r="221">
      <c r="A221" s="164" t="inlineStr">
        <is>
          <t>1881-9</t>
        </is>
      </c>
      <c r="B221" s="105" t="inlineStr">
        <is>
          <t>有機たかのつめ(唐辛子)8g袋×10(吉水)東一</t>
        </is>
      </c>
      <c r="C221" s="213" t="n">
        <v>0</v>
      </c>
      <c r="D221" s="57" t="inlineStr">
        <is>
          <t>こもの</t>
        </is>
      </c>
      <c r="E221" s="57" t="inlineStr">
        <is>
          <t>○</t>
        </is>
      </c>
    </row>
    <row r="222">
      <c r="A222" s="164" t="inlineStr">
        <is>
          <t>1883-15</t>
        </is>
      </c>
      <c r="B222" s="105" t="inlineStr">
        <is>
          <t>有機ｻﾗﾀﾞﾍﾞﾋﾞｰﾐｯｸｽ 40gﾊﾟｯｸ (わ～ふぁ)</t>
        </is>
      </c>
      <c r="C222" s="213" t="n">
        <v>69</v>
      </c>
      <c r="D222" s="57" t="inlineStr">
        <is>
          <t>こもの</t>
        </is>
      </c>
      <c r="E222" s="57" t="n"/>
    </row>
    <row r="223">
      <c r="A223" s="164" t="inlineStr">
        <is>
          <t>1883-17</t>
        </is>
      </c>
      <c r="B223" s="105" t="inlineStr">
        <is>
          <t>有機ｻﾗﾀﾞﾍﾞﾋﾞｰﾐｯｸｽ 40g×５(わ～ふぁ)東一</t>
        </is>
      </c>
      <c r="C223" s="213" t="n">
        <v>0</v>
      </c>
      <c r="D223" s="57" t="inlineStr">
        <is>
          <t>こもの</t>
        </is>
      </c>
      <c r="E223" s="57" t="inlineStr">
        <is>
          <t>○</t>
        </is>
      </c>
    </row>
    <row r="224">
      <c r="A224" s="164" t="inlineStr">
        <is>
          <t>1883-55</t>
        </is>
      </c>
      <c r="B224" s="105" t="inlineStr">
        <is>
          <t>有機ﾍﾞﾋﾞｰﾘｰﾌ 30gﾊﾟｯｸ (HATAKE)</t>
        </is>
      </c>
      <c r="C224" s="213" t="n">
        <v>1</v>
      </c>
      <c r="D224" s="57" t="inlineStr">
        <is>
          <t>こもの</t>
        </is>
      </c>
      <c r="E224" s="57" t="n"/>
    </row>
    <row r="225">
      <c r="A225" s="164" t="inlineStr">
        <is>
          <t>1883-56</t>
        </is>
      </c>
      <c r="B225" s="105" t="inlineStr">
        <is>
          <t>有機ベビーリーフ　大袋　500ｇ(HATAKE)</t>
        </is>
      </c>
      <c r="C225" s="213" t="n">
        <v>4</v>
      </c>
      <c r="D225" s="57" t="inlineStr">
        <is>
          <t>こもの</t>
        </is>
      </c>
      <c r="E225" s="57" t="n"/>
    </row>
    <row r="226">
      <c r="A226" s="164" t="inlineStr">
        <is>
          <t>1883-58</t>
        </is>
      </c>
      <c r="B226" s="105" t="inlineStr">
        <is>
          <t>□有機ﾍﾞﾋﾞｰﾘｰﾌ 30gﾊﾟｯｸ×10入 (HATAKE)</t>
        </is>
      </c>
      <c r="C226" s="213" t="n">
        <v>0</v>
      </c>
      <c r="D226" s="57" t="inlineStr">
        <is>
          <t>こもの</t>
        </is>
      </c>
      <c r="E226" s="57" t="n"/>
    </row>
    <row r="227">
      <c r="A227" s="164" t="inlineStr">
        <is>
          <t>1889-15</t>
        </is>
      </c>
      <c r="B227" s="105" t="inlineStr">
        <is>
          <t>有機大葉 １０枚ﾊﾟｯｸ (矢澤園芸)</t>
        </is>
      </c>
      <c r="C227" s="213" t="n">
        <v>155</v>
      </c>
      <c r="D227" s="57" t="inlineStr">
        <is>
          <t>こもの</t>
        </is>
      </c>
      <c r="E227" s="57" t="n"/>
    </row>
    <row r="228">
      <c r="A228" s="164" t="inlineStr">
        <is>
          <t>1889-3</t>
        </is>
      </c>
      <c r="B228" s="105" t="inlineStr">
        <is>
          <t>有機大葉 １０枚ﾊﾟｯｸ (生々農園・産ﾊﾟ)</t>
        </is>
      </c>
      <c r="C228" s="213" t="n">
        <v>0</v>
      </c>
      <c r="D228" s="57" t="inlineStr">
        <is>
          <t>こもの</t>
        </is>
      </c>
      <c r="E228" s="57" t="n"/>
    </row>
    <row r="229">
      <c r="A229" s="164" t="inlineStr">
        <is>
          <t>1889-6</t>
        </is>
      </c>
      <c r="B229" s="105" t="inlineStr">
        <is>
          <t>有機大葉 １ﾊﾟｯｸ×10入(生々農園)東一</t>
        </is>
      </c>
      <c r="C229" s="213" t="n">
        <v>0</v>
      </c>
      <c r="D229" s="57" t="inlineStr">
        <is>
          <t>こもの</t>
        </is>
      </c>
      <c r="E229" s="57" t="inlineStr">
        <is>
          <t>○</t>
        </is>
      </c>
    </row>
    <row r="230">
      <c r="A230" s="164" t="inlineStr">
        <is>
          <t>1898-12</t>
        </is>
      </c>
      <c r="B230" s="105" t="inlineStr">
        <is>
          <t>有機ブラウンﾏｯｼｭﾙｰﾑ 150ｇﾍﾞﾋﾞｰﾍﾞﾗ(舟形)</t>
        </is>
      </c>
      <c r="C230" s="213" t="n">
        <v>7</v>
      </c>
      <c r="D230" s="57" t="inlineStr">
        <is>
          <t>こもの</t>
        </is>
      </c>
      <c r="E230" s="57" t="n"/>
    </row>
    <row r="231">
      <c r="A231" s="164" t="inlineStr">
        <is>
          <t>1898-3</t>
        </is>
      </c>
      <c r="B231" s="105" t="inlineStr">
        <is>
          <t>有機ホワイトマッシュルーム 70g(舟形)</t>
        </is>
      </c>
      <c r="C231" s="213" t="n">
        <v>80</v>
      </c>
      <c r="D231" s="57" t="inlineStr">
        <is>
          <t>こもの</t>
        </is>
      </c>
      <c r="E231" s="57" t="n"/>
    </row>
    <row r="232">
      <c r="A232" s="164" t="inlineStr">
        <is>
          <t>1898-5</t>
        </is>
      </c>
      <c r="B232" s="105" t="inlineStr">
        <is>
          <t>有機ブラウンマッシュルーム 70g(舟形)</t>
        </is>
      </c>
      <c r="C232" s="213" t="n">
        <v>82</v>
      </c>
      <c r="D232" s="57" t="inlineStr">
        <is>
          <t>こもの</t>
        </is>
      </c>
      <c r="E232" s="57" t="n"/>
    </row>
    <row r="233">
      <c r="A233" s="164" t="inlineStr">
        <is>
          <t>2209-15</t>
        </is>
      </c>
      <c r="B233" s="105" t="inlineStr">
        <is>
          <t>平飼い 10個入ﾊﾟｯｸ（会田）</t>
        </is>
      </c>
      <c r="C233" s="213" t="n">
        <v>0</v>
      </c>
      <c r="D233" s="57" t="inlineStr">
        <is>
          <t>こもの</t>
        </is>
      </c>
      <c r="E233" s="57" t="n"/>
    </row>
    <row r="234">
      <c r="A234" s="164" t="inlineStr">
        <is>
          <t>2209-16</t>
        </is>
      </c>
      <c r="B234" s="105" t="inlineStr">
        <is>
          <t>米たまご 10個入ﾊﾟｯｸ（会田）</t>
        </is>
      </c>
      <c r="C234" s="213" t="n">
        <v>0</v>
      </c>
      <c r="D234" s="57" t="inlineStr">
        <is>
          <t>こもの</t>
        </is>
      </c>
      <c r="E234" s="57" t="n"/>
    </row>
    <row r="235">
      <c r="A235" s="164" t="inlineStr">
        <is>
          <t>2209-17</t>
        </is>
      </c>
      <c r="B235" s="105" t="inlineStr">
        <is>
          <t>平飼い Ｓ10個入ﾊﾟｯｸ（会田）</t>
        </is>
      </c>
      <c r="C235" s="213" t="n">
        <v>0</v>
      </c>
      <c r="D235" s="57" t="inlineStr">
        <is>
          <t>こもの</t>
        </is>
      </c>
      <c r="E235" s="57" t="n"/>
    </row>
    <row r="236">
      <c r="A236" s="164" t="inlineStr">
        <is>
          <t>5130-33</t>
        </is>
      </c>
      <c r="B236" s="105" t="inlineStr">
        <is>
          <t>木綿豆腐　１丁（名水会）</t>
        </is>
      </c>
      <c r="C236" s="213" t="n">
        <v>0</v>
      </c>
      <c r="D236" s="57" t="inlineStr">
        <is>
          <t>こもの</t>
        </is>
      </c>
      <c r="E236" s="57" t="n"/>
    </row>
    <row r="237">
      <c r="A237" s="164" t="inlineStr">
        <is>
          <t>5130-34</t>
        </is>
      </c>
      <c r="B237" s="105" t="inlineStr">
        <is>
          <t>くみだし豆腐　１丁（名水会）</t>
        </is>
      </c>
      <c r="C237" s="213" t="n">
        <v>0</v>
      </c>
      <c r="D237" s="57" t="inlineStr">
        <is>
          <t>こもの</t>
        </is>
      </c>
      <c r="E237" s="57" t="n"/>
    </row>
    <row r="238">
      <c r="A238" s="164" t="inlineStr">
        <is>
          <t>5301-7</t>
        </is>
      </c>
      <c r="B238" s="105" t="inlineStr">
        <is>
          <t>もみしそ 300g(ﾊﾟﾝﾄﾞﾗ)</t>
        </is>
      </c>
      <c r="C238" s="213" t="n">
        <v>17</v>
      </c>
      <c r="D238" s="57" t="inlineStr">
        <is>
          <t>こもの</t>
        </is>
      </c>
      <c r="E238" s="57" t="n"/>
    </row>
    <row r="239">
      <c r="A239" s="164" t="inlineStr">
        <is>
          <t>6206-1</t>
        </is>
      </c>
      <c r="B239" s="105" t="inlineStr">
        <is>
          <t>米粉カステラ　１斤（1本）</t>
        </is>
      </c>
      <c r="C239" s="213" t="n">
        <v>0</v>
      </c>
      <c r="D239" s="57" t="inlineStr">
        <is>
          <t>こもの</t>
        </is>
      </c>
      <c r="E239" s="57" t="n"/>
    </row>
    <row r="240">
      <c r="A240" s="164" t="inlineStr">
        <is>
          <t>6206-2</t>
        </is>
      </c>
      <c r="B240" s="105" t="inlineStr">
        <is>
          <t>米粉カステラ　１切</t>
        </is>
      </c>
      <c r="C240" s="213" t="n">
        <v>0</v>
      </c>
      <c r="D240" s="57" t="inlineStr">
        <is>
          <t>こもの</t>
        </is>
      </c>
      <c r="E240" s="57" t="n"/>
    </row>
    <row r="241">
      <c r="A241" s="164" t="inlineStr">
        <is>
          <t>1248-35</t>
        </is>
      </c>
      <c r="B241" s="105" t="inlineStr">
        <is>
          <t>有機葉付人参 300ｇ(ｷﾃﾚﾂ)</t>
        </is>
      </c>
      <c r="C241" s="213" t="n">
        <v>0</v>
      </c>
      <c r="D241" s="57" t="n"/>
      <c r="E241" s="57" t="n"/>
    </row>
    <row r="242">
      <c r="A242" s="164" t="inlineStr">
        <is>
          <t>1277-228</t>
        </is>
      </c>
      <c r="B242" s="105" t="inlineStr">
        <is>
          <t>有機ビーツ 300g袋(椎屋農園)◇</t>
        </is>
      </c>
      <c r="C242" s="213" t="n">
        <v>0</v>
      </c>
      <c r="D242" s="57" t="n"/>
      <c r="E242" s="57" t="n"/>
    </row>
    <row r="243">
      <c r="A243" s="164" t="inlineStr">
        <is>
          <t>1516-106</t>
        </is>
      </c>
      <c r="B243" s="105" t="inlineStr">
        <is>
          <t>サニーレタス ﾗｯﾌﾟ1個(せっせと畑)◇</t>
        </is>
      </c>
      <c r="C243" s="213" t="n">
        <v>0</v>
      </c>
      <c r="D243" s="57" t="n"/>
      <c r="E243" s="57" t="n"/>
    </row>
    <row r="244">
      <c r="A244" s="164" t="inlineStr">
        <is>
          <t>1521-15</t>
        </is>
      </c>
      <c r="B244" s="105" t="inlineStr">
        <is>
          <t>グリーンボール　1個袋(キテレツ)不不</t>
        </is>
      </c>
      <c r="C244" s="213" t="n">
        <v>0</v>
      </c>
      <c r="D244" s="57" t="n"/>
      <c r="E244" s="57" t="n"/>
    </row>
    <row r="245">
      <c r="A245" s="164" t="inlineStr">
        <is>
          <t>1878-15</t>
        </is>
      </c>
      <c r="B245" s="105" t="inlineStr">
        <is>
          <t>□有機緑豆根取りもやし 200g×10(ｻﾗﾀﾞｺｽﾓ)</t>
        </is>
      </c>
      <c r="C245" s="213" t="n">
        <v>0</v>
      </c>
      <c r="D245" s="57" t="n"/>
      <c r="E245" s="57" t="n"/>
    </row>
    <row r="246">
      <c r="A246" s="164" t="inlineStr">
        <is>
          <t>1878-17</t>
        </is>
      </c>
      <c r="B246" s="105" t="inlineStr">
        <is>
          <t>□有機かいわれ大根　１束×12 (ｻﾗﾀﾞｺｽﾓ)</t>
        </is>
      </c>
      <c r="C246" s="213" t="n">
        <v>0</v>
      </c>
      <c r="D246" s="57" t="n"/>
      <c r="E246" s="57" t="n"/>
    </row>
    <row r="247">
      <c r="A247" s="164" t="inlineStr">
        <is>
          <t>1878-18</t>
        </is>
      </c>
      <c r="B247" s="105" t="inlineStr">
        <is>
          <t>□有機ﾌﾞﾛｯｺﾘｰの新芽　１束×12 (ｻﾗﾀﾞｺｽﾓ)</t>
        </is>
      </c>
      <c r="C247" s="213" t="n">
        <v>0</v>
      </c>
      <c r="D247" s="57" t="n"/>
      <c r="E247" s="57" t="n"/>
    </row>
    <row r="248">
      <c r="A248" s="164" t="inlineStr">
        <is>
          <t>1878-19</t>
        </is>
      </c>
      <c r="B248" s="105" t="inlineStr">
        <is>
          <t>□有機豆苗　２束×6 (ｻﾗﾀﾞｺｽﾓ)</t>
        </is>
      </c>
      <c r="C248" s="213" t="n">
        <v>0</v>
      </c>
      <c r="D248" s="57" t="n"/>
      <c r="E248" s="57" t="n"/>
    </row>
    <row r="249">
      <c r="A249" s="164" t="inlineStr">
        <is>
          <t>1878-20</t>
        </is>
      </c>
      <c r="B249" s="105" t="inlineStr">
        <is>
          <t>□有機赤ﾗﾃﾞｨｯｼｭの新芽 １束×9 (ｻﾗﾀﾞｺｽﾓ)</t>
        </is>
      </c>
      <c r="C249" s="213" t="n">
        <v>0</v>
      </c>
      <c r="D249" s="57" t="n"/>
      <c r="E249" s="57" t="n"/>
    </row>
    <row r="250">
      <c r="A250" s="164" t="inlineStr">
        <is>
          <t>2209-22</t>
        </is>
      </c>
      <c r="B250" s="105" t="inlineStr">
        <is>
          <t>■平飼いたまご10個ﾓｳﾙﾄﾞﾊﾟｯｸ×24（会田）</t>
        </is>
      </c>
      <c r="C250" s="213" t="n">
        <v>0</v>
      </c>
      <c r="D250" s="57" t="n"/>
      <c r="E250" s="57" t="n"/>
    </row>
    <row r="251">
      <c r="A251" s="164" t="inlineStr">
        <is>
          <t>2392-15</t>
        </is>
      </c>
      <c r="B251" s="105" t="inlineStr">
        <is>
          <t>ひきわりカップ　30ｇ×２ｐ</t>
        </is>
      </c>
      <c r="C251" s="213" t="n">
        <v>0</v>
      </c>
      <c r="D251" s="57" t="n"/>
      <c r="E251" s="57" t="n"/>
    </row>
    <row r="252">
      <c r="A252" s="164" t="inlineStr">
        <is>
          <t>2392-20</t>
        </is>
      </c>
      <c r="B252" s="105" t="inlineStr">
        <is>
          <t>十勝の息吹　小粒　40ｇ×２ｐ</t>
        </is>
      </c>
      <c r="C252" s="213" t="n">
        <v>0</v>
      </c>
      <c r="D252" s="57" t="n"/>
      <c r="E252" s="57" t="n"/>
    </row>
    <row r="253">
      <c r="A253" s="164" t="inlineStr">
        <is>
          <t>2392-21</t>
        </is>
      </c>
      <c r="B253" s="105" t="inlineStr">
        <is>
          <t>十勝の息吹　大粒　40ｇ×２ｐ</t>
        </is>
      </c>
      <c r="C253" s="213" t="n">
        <v>0</v>
      </c>
      <c r="D253" s="57" t="n"/>
      <c r="E253" s="57" t="n"/>
    </row>
    <row r="254">
      <c r="A254" s="164" t="inlineStr">
        <is>
          <t>2392-22</t>
        </is>
      </c>
      <c r="B254" s="105" t="inlineStr">
        <is>
          <t>十勝の息吹　ひきわり　40ｇ×２ｐ</t>
        </is>
      </c>
      <c r="C254" s="213" t="n">
        <v>0</v>
      </c>
      <c r="D254" s="57" t="n"/>
      <c r="E254" s="57" t="n"/>
    </row>
    <row r="255">
      <c r="A255" s="164" t="inlineStr">
        <is>
          <t>2392-29</t>
        </is>
      </c>
      <c r="B255" s="105" t="inlineStr">
        <is>
          <t>有機納豆　日本の農　40ｇ×2</t>
        </is>
      </c>
      <c r="C255" s="213" t="n">
        <v>0</v>
      </c>
      <c r="D255" s="57" t="n"/>
      <c r="E255" s="57" t="n"/>
    </row>
    <row r="256">
      <c r="A256" s="164" t="inlineStr">
        <is>
          <t>2392-31</t>
        </is>
      </c>
      <c r="B256" s="105" t="inlineStr">
        <is>
          <t>有機ひきわりカップ２　みのり　20ｇ×2</t>
        </is>
      </c>
      <c r="C256" s="213" t="n">
        <v>0</v>
      </c>
      <c r="D256" s="57" t="n"/>
      <c r="E256" s="57" t="n"/>
    </row>
    <row r="257">
      <c r="A257" s="164" t="inlineStr">
        <is>
          <t>2392-32</t>
        </is>
      </c>
      <c r="B257" s="105" t="inlineStr">
        <is>
          <t>丸大豆てんぺ(Sﾊﾟｯｸ１個組)　100ｇ</t>
        </is>
      </c>
      <c r="C257" s="213" t="n">
        <v>0</v>
      </c>
      <c r="D257" s="57" t="n"/>
      <c r="E257" s="57" t="n"/>
    </row>
    <row r="258">
      <c r="A258" s="164" t="inlineStr">
        <is>
          <t>4002</t>
        </is>
      </c>
      <c r="B258" s="105" t="inlineStr">
        <is>
          <t>配達料　1500円(税抜）</t>
        </is>
      </c>
      <c r="C258" s="213" t="n">
        <v>0</v>
      </c>
      <c r="D258" s="57" t="n"/>
      <c r="E258" s="57" t="n"/>
    </row>
    <row r="259">
      <c r="A259" s="164" t="inlineStr">
        <is>
          <t>4003</t>
        </is>
      </c>
      <c r="B259" s="105" t="inlineStr">
        <is>
          <t>配達料　2000円(税抜）</t>
        </is>
      </c>
      <c r="C259" s="213" t="n">
        <v>0</v>
      </c>
      <c r="D259" s="57" t="n"/>
      <c r="E259" s="57" t="n"/>
    </row>
    <row r="260">
      <c r="A260" s="164" t="inlineStr">
        <is>
          <t>4011</t>
        </is>
      </c>
      <c r="B260" s="105" t="inlineStr">
        <is>
          <t>運賃(税抜)</t>
        </is>
      </c>
      <c r="C260" s="213" t="n">
        <v>0</v>
      </c>
      <c r="D260" s="57" t="n"/>
      <c r="E260" s="57" t="n"/>
    </row>
    <row r="261">
      <c r="A261" s="164" t="inlineStr">
        <is>
          <t>8003</t>
        </is>
      </c>
      <c r="B261" s="105" t="inlineStr">
        <is>
          <t>諸口</t>
        </is>
      </c>
      <c r="C261" s="213" t="n">
        <v>0</v>
      </c>
      <c r="D261" s="57" t="n"/>
      <c r="E261" s="57" t="n"/>
    </row>
    <row r="57581">
      <c r="E57581" s="211" t="n"/>
    </row>
    <row r="57582">
      <c r="A57582" s="17" t="n">
        <v>1</v>
      </c>
      <c r="B57582" s="17" t="inlineStr">
        <is>
          <t>日</t>
        </is>
      </c>
      <c r="C57582" s="214" t="n"/>
      <c r="D57582" s="211" t="n"/>
      <c r="E57582" s="211" t="n"/>
    </row>
    <row r="57583">
      <c r="A57583" s="17" t="n">
        <v>2</v>
      </c>
      <c r="B57583" s="17" t="inlineStr">
        <is>
          <t>月</t>
        </is>
      </c>
      <c r="C57583" s="214" t="n"/>
      <c r="D57583" s="211" t="n"/>
      <c r="E57583" s="211" t="n"/>
    </row>
    <row r="57584">
      <c r="A57584" s="17" t="n">
        <v>3</v>
      </c>
      <c r="B57584" s="17" t="inlineStr">
        <is>
          <t>火</t>
        </is>
      </c>
      <c r="C57584" s="214" t="n"/>
      <c r="D57584" s="211" t="n"/>
      <c r="E57584" s="211" t="n"/>
    </row>
    <row r="57585">
      <c r="A57585" s="17" t="n">
        <v>4</v>
      </c>
      <c r="B57585" s="17" t="inlineStr">
        <is>
          <t>水</t>
        </is>
      </c>
      <c r="C57585" s="214" t="n"/>
      <c r="D57585" s="211" t="n"/>
      <c r="E57585" s="211" t="n"/>
    </row>
    <row r="57586">
      <c r="A57586" s="17" t="n">
        <v>5</v>
      </c>
      <c r="B57586" s="17" t="inlineStr">
        <is>
          <t>木</t>
        </is>
      </c>
      <c r="C57586" s="214" t="n"/>
      <c r="D57586" s="211" t="n"/>
      <c r="E57586" s="211" t="n"/>
    </row>
    <row r="57587">
      <c r="A57587" s="17" t="n">
        <v>6</v>
      </c>
      <c r="B57587" s="17" t="inlineStr">
        <is>
          <t>金</t>
        </is>
      </c>
      <c r="C57587" s="214" t="n"/>
      <c r="D57587" s="211" t="n"/>
      <c r="E57587" s="211" t="n"/>
    </row>
    <row r="57588">
      <c r="A57588" s="17" t="n">
        <v>7</v>
      </c>
      <c r="B57588" s="17" t="inlineStr">
        <is>
          <t>土</t>
        </is>
      </c>
      <c r="C57588" s="214" t="n"/>
      <c r="D57588" s="211" t="n"/>
    </row>
    <row r="58597">
      <c r="A58597" s="211" t="n"/>
      <c r="B58597" s="211" t="n"/>
    </row>
    <row r="58598">
      <c r="A58598" s="211" t="n"/>
      <c r="B58598" s="211" t="n"/>
    </row>
    <row r="58599">
      <c r="A58599" s="211" t="n"/>
      <c r="B58599" s="211" t="n"/>
    </row>
    <row r="58600">
      <c r="A58600" s="211" t="n"/>
      <c r="B58600" s="211" t="n"/>
    </row>
    <row r="58601">
      <c r="A58601" s="211" t="n"/>
      <c r="B58601" s="211" t="n"/>
    </row>
    <row r="58602">
      <c r="A58602" s="211" t="n"/>
      <c r="B58602" s="211" t="n"/>
    </row>
    <row r="58603">
      <c r="A58603" s="211" t="n"/>
      <c r="B58603" s="211" t="n"/>
    </row>
  </sheetData>
  <pageMargins left="0.7874015748031497" right="0" top="0.7874015748031497" bottom="0.3937007874015748" header="0.5118110236220472" footer="0.5118110236220472"/>
  <pageSetup orientation="portrait" paperSize="9" scale="80" fitToHeight="4"/>
</worksheet>
</file>

<file path=xl/worksheets/sheet7.xml><?xml version="1.0" encoding="utf-8"?>
<worksheet xmlns="http://schemas.openxmlformats.org/spreadsheetml/2006/main">
  <sheetPr codeName="Sheet6">
    <tabColor indexed="24"/>
    <outlinePr summaryBelow="1" summaryRight="1"/>
    <pageSetUpPr fitToPage="1"/>
  </sheetPr>
  <dimension ref="A1:E39033"/>
  <sheetViews>
    <sheetView view="pageBreakPreview" zoomScale="40" zoomScaleNormal="40" zoomScaleSheetLayoutView="40" workbookViewId="0">
      <pane ySplit="2" topLeftCell="A46" activePane="bottomLeft" state="frozen"/>
      <selection pane="bottomLeft" activeCell="A95" sqref="A95:XFD140"/>
    </sheetView>
  </sheetViews>
  <sheetFormatPr baseColWidth="8" defaultColWidth="36.625" defaultRowHeight="42"/>
  <cols>
    <col width="25.625" customWidth="1" style="101" min="1" max="1"/>
    <col width="86.5" customWidth="1" style="101" min="2" max="2"/>
    <col width="9.875" customWidth="1" style="102" min="3" max="3"/>
    <col width="18.625" customWidth="1" style="101" min="4" max="4"/>
    <col width="5.5" customWidth="1" style="17" min="5" max="5"/>
    <col width="36.625" customWidth="1" style="211" min="6" max="16384"/>
  </cols>
  <sheetData>
    <row r="1">
      <c r="A1" s="95" t="n"/>
      <c r="B1" s="96" t="inlineStr">
        <is>
          <t>こもの　2025（R7）</t>
        </is>
      </c>
      <c r="C1" s="97" t="n"/>
      <c r="D1" s="215">
        <f>TODAY()</f>
        <v/>
      </c>
      <c r="E1" s="50" t="n"/>
    </row>
    <row r="2" ht="40.5" customHeight="1">
      <c r="A2" s="93" t="inlineStr">
        <is>
          <t>商品コード</t>
        </is>
      </c>
      <c r="B2" s="93" t="inlineStr">
        <is>
          <t>商品名</t>
        </is>
      </c>
      <c r="C2" s="99" t="inlineStr">
        <is>
          <t>前夜本残</t>
        </is>
      </c>
      <c r="D2" s="100">
        <f>VLOOKUP(E2,$A$37691:$B$39895,2,0)</f>
        <v/>
      </c>
      <c r="E2" s="54">
        <f>WEEKDAY(D1)</f>
        <v/>
      </c>
    </row>
    <row r="3" ht="39.6" customHeight="1">
      <c r="A3" s="164" t="inlineStr">
        <is>
          <t>1009-11</t>
        </is>
      </c>
      <c r="B3" s="105" t="inlineStr">
        <is>
          <t>有機ニューサマーｵﾚﾝｼﾞ 600g(早藤)◇</t>
        </is>
      </c>
      <c r="C3" s="213" t="n">
        <v>0</v>
      </c>
      <c r="D3" s="57" t="n"/>
      <c r="E3" s="57" t="n"/>
    </row>
    <row r="4" ht="39.6" customHeight="1">
      <c r="A4" s="164" t="inlineStr">
        <is>
          <t>1016-25</t>
        </is>
      </c>
      <c r="B4" s="105" t="inlineStr">
        <is>
          <t>有機あまなつ　600ｇ (早藤)◇</t>
        </is>
      </c>
      <c r="C4" s="213" t="n">
        <v>20</v>
      </c>
      <c r="D4" s="57" t="n"/>
      <c r="E4" s="57" t="n"/>
    </row>
    <row r="5" ht="39.6" customHeight="1">
      <c r="A5" s="164" t="inlineStr">
        <is>
          <t>1032-33</t>
        </is>
      </c>
      <c r="B5" s="105" t="inlineStr">
        <is>
          <t>有機清見オレンジ 500g(早藤)◇</t>
        </is>
      </c>
      <c r="C5" s="213" t="n">
        <v>21</v>
      </c>
      <c r="D5" s="57" t="n"/>
      <c r="E5" s="57" t="n"/>
    </row>
    <row r="6" ht="39.6" customHeight="1">
      <c r="A6" s="164" t="inlineStr">
        <is>
          <t>1049-67</t>
        </is>
      </c>
      <c r="B6" s="105" t="inlineStr">
        <is>
          <t>有機レモン 1kg袋 (中川栄)◇</t>
        </is>
      </c>
      <c r="C6" s="213" t="n">
        <v>0</v>
      </c>
      <c r="D6" s="57" t="n"/>
      <c r="E6" s="57" t="n"/>
    </row>
    <row r="7" ht="39.6" customHeight="1">
      <c r="A7" s="164" t="inlineStr">
        <is>
          <t>1049-99</t>
        </is>
      </c>
      <c r="B7" s="105" t="inlineStr">
        <is>
          <t>有機レモン １個袋(中川栄)◇</t>
        </is>
      </c>
      <c r="C7" s="213" t="n">
        <v>9</v>
      </c>
      <c r="D7" s="57" t="n"/>
      <c r="E7" s="57" t="n"/>
    </row>
    <row r="8" ht="39.6" customHeight="1">
      <c r="A8" s="164" t="inlineStr">
        <is>
          <t>1050-26</t>
        </is>
      </c>
      <c r="B8" s="105" t="inlineStr">
        <is>
          <t>河内晩柑　600ｇ（大矢野有機）◇</t>
        </is>
      </c>
      <c r="C8" s="213" t="n">
        <v>0</v>
      </c>
      <c r="D8" s="57" t="n"/>
      <c r="E8" s="57" t="n"/>
    </row>
    <row r="9" ht="39.6" customHeight="1">
      <c r="A9" s="164" t="inlineStr">
        <is>
          <t>1063-6</t>
        </is>
      </c>
      <c r="B9" s="105" t="inlineStr">
        <is>
          <t>□りんご「ｼﾅﾉｺﾞｰﾙﾄﾞ」5kg(片桐)</t>
        </is>
      </c>
      <c r="C9" s="213" t="n">
        <v>3</v>
      </c>
      <c r="D9" s="57" t="n"/>
      <c r="E9" s="57" t="n"/>
    </row>
    <row r="10" ht="39.6" customHeight="1">
      <c r="A10" s="164" t="inlineStr">
        <is>
          <t>1109-9</t>
        </is>
      </c>
      <c r="B10" s="105" t="inlineStr">
        <is>
          <t>□タカミメロン ４kg箱 (長有研）</t>
        </is>
      </c>
      <c r="C10" s="213" t="n">
        <v>0</v>
      </c>
      <c r="D10" s="57" t="n"/>
      <c r="E10" s="57" t="n"/>
    </row>
    <row r="11" ht="39.6" customHeight="1">
      <c r="A11" s="164" t="inlineStr">
        <is>
          <t>1117-12</t>
        </is>
      </c>
      <c r="B11" s="105" t="inlineStr">
        <is>
          <t>□タカミレッドメロン 4kg箱 (長有研）</t>
        </is>
      </c>
      <c r="C11" s="213" t="n">
        <v>16</v>
      </c>
      <c r="D11" s="57" t="n"/>
      <c r="E11" s="57" t="n"/>
    </row>
    <row r="12" ht="39.6" customHeight="1">
      <c r="A12" s="164" t="inlineStr">
        <is>
          <t>1148-149</t>
        </is>
      </c>
      <c r="B12" s="105" t="inlineStr">
        <is>
          <t>有機ｻﾝｺﾞｰﾙﾄﾞｷｳｲﾌﾙｰﾂ ３玉(ゼスプリ)◇</t>
        </is>
      </c>
      <c r="C12" s="213" t="n">
        <v>30</v>
      </c>
      <c r="D12" s="57" t="n"/>
      <c r="E12" s="57" t="n"/>
    </row>
    <row r="13" ht="39.6" customHeight="1">
      <c r="A13" s="164" t="inlineStr">
        <is>
          <t>1148-152</t>
        </is>
      </c>
      <c r="B13" s="105" t="inlineStr">
        <is>
          <t>有機グリーンｷｳｲﾌﾙｰﾂ ３玉(ゼスプリ)◇</t>
        </is>
      </c>
      <c r="C13" s="213" t="n">
        <v>8</v>
      </c>
      <c r="D13" s="57" t="n"/>
      <c r="E13" s="57" t="n"/>
    </row>
    <row r="14" ht="39.6" customHeight="1">
      <c r="A14" s="164" t="inlineStr">
        <is>
          <t>1151-24</t>
        </is>
      </c>
      <c r="B14" s="105" t="inlineStr">
        <is>
          <t>青梅 1kg袋 (高生連)</t>
        </is>
      </c>
      <c r="C14" s="213" t="n">
        <v>0</v>
      </c>
      <c r="D14" s="57" t="n"/>
      <c r="E14" s="57" t="n"/>
    </row>
    <row r="15" ht="39.6" customHeight="1">
      <c r="A15" s="164" t="inlineStr">
        <is>
          <t>1171-3</t>
        </is>
      </c>
      <c r="B15" s="105" t="inlineStr">
        <is>
          <t>ピーチパイン　1個（アララガマ）</t>
        </is>
      </c>
      <c r="C15" s="213" t="n">
        <v>7</v>
      </c>
      <c r="D15" s="57" t="n"/>
      <c r="E15" s="57" t="n"/>
    </row>
    <row r="16" ht="39.6" customHeight="1">
      <c r="A16" s="164" t="inlineStr">
        <is>
          <t>1216-362</t>
        </is>
      </c>
      <c r="B16" s="105" t="inlineStr">
        <is>
          <t>じゃが芋「ﾒｰｸｲﾝ」500g(長有研)◇</t>
        </is>
      </c>
      <c r="C16" s="213" t="n">
        <v>14</v>
      </c>
      <c r="D16" s="57" t="n"/>
      <c r="E16" s="57" t="n"/>
    </row>
    <row r="17" ht="39.6" customHeight="1">
      <c r="A17" s="164" t="inlineStr">
        <is>
          <t>1225-373</t>
        </is>
      </c>
      <c r="B17" s="105" t="inlineStr">
        <is>
          <t>玉ねぎ　500ｇ(せっせと畑)</t>
        </is>
      </c>
      <c r="C17" s="213" t="n">
        <v>5</v>
      </c>
      <c r="D17" s="57" t="n"/>
      <c r="E17" s="57" t="n"/>
    </row>
    <row r="18" ht="39.6" customHeight="1">
      <c r="A18" s="164" t="inlineStr">
        <is>
          <t>1226-200</t>
        </is>
      </c>
      <c r="B18" s="105" t="inlineStr">
        <is>
          <t>有機玉ねぎ　500ｇ(長有研)◇</t>
        </is>
      </c>
      <c r="C18" s="213" t="n">
        <v>37</v>
      </c>
      <c r="D18" s="57" t="n"/>
      <c r="E18" s="57" t="n"/>
    </row>
    <row r="19" ht="39.6" customHeight="1">
      <c r="A19" s="164" t="inlineStr">
        <is>
          <t>1226-438</t>
        </is>
      </c>
      <c r="B19" s="105" t="inlineStr">
        <is>
          <t>有機玉ねぎ　500ｇ(雲仙)◇</t>
        </is>
      </c>
      <c r="C19" s="213" t="n">
        <v>0</v>
      </c>
      <c r="D19" s="57" t="n"/>
      <c r="E19" s="57" t="n"/>
    </row>
    <row r="20" ht="39.6" customHeight="1">
      <c r="A20" s="164" t="inlineStr">
        <is>
          <t>1232-114</t>
        </is>
      </c>
      <c r="B20" s="105" t="inlineStr">
        <is>
          <t>じゃが芋｢ﾆｼﾕﾀｶ｣ 500g(長有研)◇不不</t>
        </is>
      </c>
      <c r="C20" s="213" t="n">
        <v>0</v>
      </c>
      <c r="D20" s="57" t="n"/>
      <c r="E20" s="57" t="n"/>
    </row>
    <row r="21" ht="39.6" customHeight="1">
      <c r="A21" s="164" t="inlineStr">
        <is>
          <t>1238-20</t>
        </is>
      </c>
      <c r="B21" s="105" t="inlineStr">
        <is>
          <t>有機じゃがいも「ﾆｼﾕﾀｶ」500g(長有研)◇</t>
        </is>
      </c>
      <c r="C21" s="213" t="n">
        <v>9</v>
      </c>
      <c r="D21" s="57" t="n"/>
      <c r="E21" s="57" t="n"/>
    </row>
    <row r="22" ht="39.6" customHeight="1">
      <c r="A22" s="164" t="inlineStr">
        <is>
          <t>1239-233</t>
        </is>
      </c>
      <c r="B22" s="105" t="inlineStr">
        <is>
          <t>人参　洗い  400g(長有研)◇</t>
        </is>
      </c>
      <c r="C22" s="213" t="n">
        <v>25</v>
      </c>
      <c r="D22" s="57" t="n"/>
      <c r="E22" s="57" t="n"/>
    </row>
    <row r="23" ht="39.6" customHeight="1">
      <c r="A23" s="164" t="inlineStr">
        <is>
          <t>1241-321</t>
        </is>
      </c>
      <c r="B23" s="105" t="inlineStr">
        <is>
          <t>有機人参 洗い 400g(吉水)◇</t>
        </is>
      </c>
      <c r="C23" s="213" t="n">
        <v>131</v>
      </c>
      <c r="D23" s="57" t="n"/>
      <c r="E23" s="57" t="n"/>
    </row>
    <row r="24" ht="39.6" customHeight="1">
      <c r="A24" s="164" t="inlineStr">
        <is>
          <t>1241-519</t>
        </is>
      </c>
      <c r="B24" s="105" t="inlineStr">
        <is>
          <t>有機人参 洗い 400ｇ(キテレツ・産ﾊﾟ)</t>
        </is>
      </c>
      <c r="C24" s="213" t="n">
        <v>10</v>
      </c>
      <c r="D24" s="57" t="n"/>
      <c r="E24" s="57" t="n"/>
    </row>
    <row r="25" ht="39.6" customHeight="1">
      <c r="A25" s="164" t="inlineStr">
        <is>
          <t>1248-25</t>
        </is>
      </c>
      <c r="B25" s="105" t="inlineStr">
        <is>
          <t>有機葉付人参 2～4本入 (加瀬)</t>
        </is>
      </c>
      <c r="C25" s="213" t="n">
        <v>45</v>
      </c>
      <c r="D25" s="57" t="n"/>
      <c r="E25" s="57" t="n"/>
    </row>
    <row r="26" ht="39.6" customHeight="1">
      <c r="A26" s="164" t="inlineStr">
        <is>
          <t>1250-35</t>
        </is>
      </c>
      <c r="B26" s="105" t="inlineStr">
        <is>
          <t>有機ごぼう 泥  200ｇ（みちのく）</t>
        </is>
      </c>
      <c r="C26" s="213" t="n">
        <v>52</v>
      </c>
      <c r="D26" s="57" t="n"/>
      <c r="E26" s="57" t="n"/>
    </row>
    <row r="27" ht="39.6" customHeight="1">
      <c r="A27" s="164" t="inlineStr">
        <is>
          <t>1250-91</t>
        </is>
      </c>
      <c r="B27" s="105" t="inlineStr">
        <is>
          <t>ごぼう 泥  200ｇ(津軽産直組合)不不</t>
        </is>
      </c>
      <c r="C27" s="213" t="n">
        <v>164</v>
      </c>
      <c r="D27" s="57" t="n"/>
      <c r="E27" s="57" t="n"/>
    </row>
    <row r="28" ht="39.6" customHeight="1">
      <c r="A28" s="164" t="inlineStr">
        <is>
          <t>1261-148</t>
        </is>
      </c>
      <c r="B28" s="105" t="inlineStr">
        <is>
          <t>有機大根 洗い 1本袋 (丸和)◇</t>
        </is>
      </c>
      <c r="C28" s="213" t="n">
        <v>9</v>
      </c>
      <c r="D28" s="57" t="n"/>
      <c r="E28" s="57" t="n"/>
    </row>
    <row r="29" ht="39.6" customHeight="1">
      <c r="A29" s="164" t="inlineStr">
        <is>
          <t>1261-149</t>
        </is>
      </c>
      <c r="B29" s="105" t="inlineStr">
        <is>
          <t>有機カット大根 洗い 1/2本袋×4 (丸和)◇</t>
        </is>
      </c>
      <c r="C29" s="213" t="n">
        <v>0</v>
      </c>
      <c r="D29" s="57" t="n"/>
      <c r="E29" s="57" t="n"/>
    </row>
    <row r="30" ht="39.6" customHeight="1">
      <c r="A30" s="164" t="inlineStr">
        <is>
          <t>1261-239</t>
        </is>
      </c>
      <c r="B30" s="105" t="inlineStr">
        <is>
          <t>有機短大根（葉切り洗い）1本袋(加瀬)</t>
        </is>
      </c>
      <c r="C30" s="213" t="n">
        <v>88</v>
      </c>
      <c r="D30" s="57" t="n"/>
      <c r="E30" s="57" t="n"/>
    </row>
    <row r="31" ht="39.6" customHeight="1">
      <c r="A31" s="164" t="inlineStr">
        <is>
          <t>1261-369</t>
        </is>
      </c>
      <c r="B31" s="105" t="inlineStr">
        <is>
          <t>大根　 1本袋(多田孝一)虫2・不　千葉</t>
        </is>
      </c>
      <c r="C31" s="213" t="n">
        <v>3</v>
      </c>
      <c r="D31" s="57" t="n"/>
      <c r="E31" s="57" t="n"/>
    </row>
    <row r="32" ht="39.6" customHeight="1">
      <c r="A32" s="164" t="inlineStr">
        <is>
          <t>1261-405</t>
        </is>
      </c>
      <c r="B32" s="105" t="inlineStr">
        <is>
          <t>むらさき大根加工用 裸　1本(加瀬)不不</t>
        </is>
      </c>
      <c r="C32" s="213" t="n">
        <v>2</v>
      </c>
      <c r="D32" s="57" t="n"/>
      <c r="E32" s="57" t="n"/>
    </row>
    <row r="33" ht="39.6" customHeight="1">
      <c r="A33" s="164" t="inlineStr">
        <is>
          <t>1266-272</t>
        </is>
      </c>
      <c r="B33" s="105" t="inlineStr">
        <is>
          <t>有機ミニ大根　洗い　1本袋(キテレツ)</t>
        </is>
      </c>
      <c r="C33" s="213" t="n">
        <v>21</v>
      </c>
      <c r="D33" s="57" t="n"/>
      <c r="E33" s="57" t="n"/>
    </row>
    <row r="34" ht="39.6" customHeight="1">
      <c r="A34" s="164" t="inlineStr">
        <is>
          <t>1277-130</t>
        </is>
      </c>
      <c r="B34" s="105" t="inlineStr">
        <is>
          <t>有機かぶ白　２～３玉袋（飯田）</t>
        </is>
      </c>
      <c r="C34" s="213" t="n">
        <v>67</v>
      </c>
      <c r="D34" s="57" t="n"/>
      <c r="E34" s="57" t="n"/>
    </row>
    <row r="35" ht="39.6" customHeight="1">
      <c r="A35" s="164" t="inlineStr">
        <is>
          <t>1277-179</t>
        </is>
      </c>
      <c r="B35" s="105" t="inlineStr">
        <is>
          <t>有機ビーツ 300g袋(かごしま)◇</t>
        </is>
      </c>
      <c r="C35" s="213" t="n">
        <v>14</v>
      </c>
      <c r="D35" s="57" t="n"/>
      <c r="E35" s="57" t="n"/>
    </row>
    <row r="36" ht="39.6" customHeight="1">
      <c r="A36" s="164" t="inlineStr">
        <is>
          <t>1316-307</t>
        </is>
      </c>
      <c r="B36" s="105" t="inlineStr">
        <is>
          <t>ｻﾂﾏ芋「すずほっくり」700g(斉藤光正)◇</t>
        </is>
      </c>
      <c r="C36" s="213" t="n">
        <v>6</v>
      </c>
      <c r="D36" s="57" t="n"/>
      <c r="E36" s="57" t="n"/>
    </row>
    <row r="37" ht="39.6" customHeight="1">
      <c r="A37" s="164" t="inlineStr">
        <is>
          <t>1316-313</t>
        </is>
      </c>
      <c r="B37" s="105" t="inlineStr">
        <is>
          <t>ｻﾂﾏ芋「シルクスイート」700g(齊藤光正)◇</t>
        </is>
      </c>
      <c r="C37" s="213" t="n">
        <v>19</v>
      </c>
      <c r="D37" s="57" t="n"/>
      <c r="E37" s="57" t="n"/>
    </row>
    <row r="38" ht="39.6" customHeight="1">
      <c r="A38" s="164" t="inlineStr">
        <is>
          <t>1353-5</t>
        </is>
      </c>
      <c r="B38" s="105" t="inlineStr">
        <is>
          <t>有機長いも　200ｇ（みちのく）</t>
        </is>
      </c>
      <c r="C38" s="213" t="n">
        <v>65</v>
      </c>
      <c r="D38" s="57" t="n"/>
      <c r="E38" s="57" t="n"/>
    </row>
    <row r="39" ht="39.6" customHeight="1">
      <c r="A39" s="164" t="inlineStr">
        <is>
          <t>1358-50</t>
        </is>
      </c>
      <c r="B39" s="105" t="inlineStr">
        <is>
          <t>有機 赤玉ねぎ 混 400g(雲仙)◇</t>
        </is>
      </c>
      <c r="C39" s="213" t="n">
        <v>38</v>
      </c>
      <c r="D39" s="57" t="n"/>
      <c r="E39" s="57" t="n"/>
    </row>
    <row r="40" ht="39.6" customHeight="1">
      <c r="A40" s="164" t="inlineStr">
        <is>
          <t>1365-14</t>
        </is>
      </c>
      <c r="B40" s="105" t="inlineStr">
        <is>
          <t>有機らっきょう 1kg袋 (かごしま)◇</t>
        </is>
      </c>
      <c r="C40" s="213" t="n">
        <v>8</v>
      </c>
      <c r="D40" s="57" t="n"/>
      <c r="E40" s="57" t="n"/>
    </row>
    <row r="41" ht="39.6" customHeight="1">
      <c r="A41" s="164" t="inlineStr">
        <is>
          <t>1393-3</t>
        </is>
      </c>
      <c r="B41" s="105" t="inlineStr">
        <is>
          <t>瀬戸さん（野菜の里）の有機野菜セット</t>
        </is>
      </c>
      <c r="C41" s="213" t="n">
        <v>0</v>
      </c>
      <c r="D41" s="57" t="n"/>
      <c r="E41" s="57" t="n"/>
    </row>
    <row r="42" ht="39.6" customHeight="1">
      <c r="A42" s="164" t="inlineStr">
        <is>
          <t>1393-40</t>
        </is>
      </c>
      <c r="B42" s="105" t="inlineStr">
        <is>
          <t>ｷﾃﾚﾂﾌｧｰﾑの野菜ｾｯﾄ</t>
        </is>
      </c>
      <c r="C42" s="213" t="n">
        <v>0</v>
      </c>
      <c r="D42" s="57" t="n"/>
      <c r="E42" s="57" t="n"/>
    </row>
    <row r="43" ht="39.6" customHeight="1">
      <c r="A43" s="164" t="inlineStr">
        <is>
          <t>1407-14</t>
        </is>
      </c>
      <c r="B43" s="105" t="inlineStr">
        <is>
          <t>有機ルッコラ 50g袋 (わ～ふぁ)</t>
        </is>
      </c>
      <c r="C43" s="213" t="n">
        <v>54</v>
      </c>
      <c r="D43" s="57" t="n"/>
      <c r="E43" s="57" t="n"/>
    </row>
    <row r="44" ht="39.6" customHeight="1">
      <c r="A44" s="164" t="inlineStr">
        <is>
          <t>1408-166</t>
        </is>
      </c>
      <c r="B44" s="105" t="inlineStr">
        <is>
          <t>有機ほうれん草　150ｇ(北総)</t>
        </is>
      </c>
      <c r="C44" s="213" t="n">
        <v>252</v>
      </c>
      <c r="D44" s="57" t="n"/>
      <c r="E44" s="57" t="n"/>
    </row>
    <row r="45" ht="39.6" customHeight="1">
      <c r="A45" s="164" t="inlineStr">
        <is>
          <t>1408-72</t>
        </is>
      </c>
      <c r="B45" s="105" t="inlineStr">
        <is>
          <t>有機ほうれん草　150g袋 (わ～ふぁ)</t>
        </is>
      </c>
      <c r="C45" s="213" t="n">
        <v>11</v>
      </c>
      <c r="D45" s="57" t="n"/>
      <c r="E45" s="57" t="n"/>
    </row>
    <row r="46" ht="39.6" customHeight="1">
      <c r="A46" s="164" t="inlineStr">
        <is>
          <t>1409-160</t>
        </is>
      </c>
      <c r="B46" s="105" t="inlineStr">
        <is>
          <t>有機小松菜　200g(北総)</t>
        </is>
      </c>
      <c r="C46" s="213" t="n">
        <v>155</v>
      </c>
      <c r="D46" s="57" t="n"/>
      <c r="E46" s="57" t="n"/>
    </row>
    <row r="47" ht="39.6" customHeight="1">
      <c r="A47" s="164" t="inlineStr">
        <is>
          <t>1409-81</t>
        </is>
      </c>
      <c r="B47" s="105" t="inlineStr">
        <is>
          <t>有機小松菜　200g袋 (わ～ふぁ)</t>
        </is>
      </c>
      <c r="C47" s="213" t="n">
        <v>13</v>
      </c>
      <c r="D47" s="57" t="n"/>
      <c r="E47" s="57" t="n"/>
    </row>
    <row r="48" ht="39.6" customHeight="1">
      <c r="A48" s="164" t="inlineStr">
        <is>
          <t>1419-1</t>
        </is>
      </c>
      <c r="B48" s="105" t="inlineStr">
        <is>
          <t>有機フリルケール　３枚入（わ～ふぁ）</t>
        </is>
      </c>
      <c r="C48" s="213" t="n">
        <v>40</v>
      </c>
      <c r="D48" s="57" t="n"/>
      <c r="E48" s="57" t="n"/>
    </row>
    <row r="49" ht="39.6" customHeight="1">
      <c r="A49" s="164" t="inlineStr">
        <is>
          <t>1419-15</t>
        </is>
      </c>
      <c r="B49" s="105" t="inlineStr">
        <is>
          <t>有機ケール　緑 80ｇ(富岡)</t>
        </is>
      </c>
      <c r="C49" s="213" t="n">
        <v>4</v>
      </c>
      <c r="D49" s="57" t="n"/>
      <c r="E49" s="57" t="n"/>
    </row>
    <row r="50" ht="39.6" customHeight="1">
      <c r="A50" s="164" t="inlineStr">
        <is>
          <t>1419-35</t>
        </is>
      </c>
      <c r="B50" s="105" t="inlineStr">
        <is>
          <t>有機ケール　80ｇ(まるた)</t>
        </is>
      </c>
      <c r="C50" s="213" t="n">
        <v>2</v>
      </c>
      <c r="D50" s="57" t="n"/>
      <c r="E50" s="57" t="n"/>
    </row>
    <row r="51" ht="39.6" customHeight="1">
      <c r="A51" s="164" t="inlineStr">
        <is>
          <t>1443-28</t>
        </is>
      </c>
      <c r="B51" s="105" t="inlineStr">
        <is>
          <t>有機ちんげん菜　２株(わ～ふぁ)</t>
        </is>
      </c>
      <c r="C51" s="213" t="n">
        <v>21</v>
      </c>
      <c r="D51" s="57" t="n"/>
      <c r="E51" s="57" t="n"/>
    </row>
    <row r="52" ht="39.6" customHeight="1">
      <c r="A52" s="164" t="inlineStr">
        <is>
          <t>1448-17</t>
        </is>
      </c>
      <c r="B52" s="105" t="inlineStr">
        <is>
          <t>春菊　150g(さんぶ)</t>
        </is>
      </c>
      <c r="C52" s="213" t="n">
        <v>21</v>
      </c>
      <c r="D52" s="57" t="n"/>
      <c r="E52" s="57" t="n"/>
    </row>
    <row r="53" ht="39.6" customHeight="1">
      <c r="A53" s="164" t="inlineStr">
        <is>
          <t>1448-36</t>
        </is>
      </c>
      <c r="B53" s="105" t="inlineStr">
        <is>
          <t>有機春菊　100ｇ(わ～ふぁ)</t>
        </is>
      </c>
      <c r="C53" s="213" t="n">
        <v>15</v>
      </c>
      <c r="D53" s="57" t="n"/>
      <c r="E53" s="57" t="n"/>
    </row>
    <row r="54" ht="39.6" customHeight="1">
      <c r="A54" s="164" t="inlineStr">
        <is>
          <t>1468-3</t>
        </is>
      </c>
      <c r="B54" s="105" t="inlineStr">
        <is>
          <t>有機山東菜　150ｇ（わ～ふぁ）</t>
        </is>
      </c>
      <c r="C54" s="213" t="n">
        <v>20</v>
      </c>
      <c r="D54" s="57" t="n"/>
      <c r="E54" s="57" t="n"/>
    </row>
    <row r="55" ht="39.6" customHeight="1">
      <c r="A55" s="164" t="inlineStr">
        <is>
          <t>1470-55</t>
        </is>
      </c>
      <c r="B55" s="105" t="inlineStr">
        <is>
          <t>有機水菜 200g袋 (わ～ふぁ・産ﾊﾟ)</t>
        </is>
      </c>
      <c r="C55" s="213" t="n">
        <v>15</v>
      </c>
      <c r="D55" s="57" t="n"/>
      <c r="E55" s="57" t="n"/>
    </row>
    <row r="56" ht="39.6" customHeight="1">
      <c r="A56" s="164" t="inlineStr">
        <is>
          <t>1502-148</t>
        </is>
      </c>
      <c r="B56" s="105" t="inlineStr">
        <is>
          <t>キャベツ　1個袋(キテレツ)不不</t>
        </is>
      </c>
      <c r="C56" s="213" t="n">
        <v>10</v>
      </c>
      <c r="D56" s="57" t="n"/>
      <c r="E56" s="57" t="n"/>
    </row>
    <row r="57" ht="39.6" customHeight="1">
      <c r="A57" s="164" t="inlineStr">
        <is>
          <t>1503</t>
        </is>
      </c>
      <c r="B57" s="105" t="inlineStr">
        <is>
          <t>キャベツ　１個　（加工使用分）</t>
        </is>
      </c>
      <c r="C57" s="213" t="n">
        <v>0</v>
      </c>
      <c r="D57" s="57" t="n"/>
      <c r="E57" s="57" t="n"/>
    </row>
    <row r="58" ht="39.6" customHeight="1">
      <c r="A58" s="164" t="inlineStr">
        <is>
          <t>1509-108</t>
        </is>
      </c>
      <c r="B58" s="105" t="inlineStr">
        <is>
          <t>有機グリーンボール　1玉(ﾌｧｰﾏｰｽﾞ)◇</t>
        </is>
      </c>
      <c r="C58" s="213" t="n">
        <v>13</v>
      </c>
      <c r="D58" s="57" t="n"/>
      <c r="E58" s="57" t="n"/>
    </row>
    <row r="59" ht="39.6" customHeight="1">
      <c r="A59" s="164" t="inlineStr">
        <is>
          <t>1509-118</t>
        </is>
      </c>
      <c r="B59" s="105" t="inlineStr">
        <is>
          <t>有機キャベツ １玉包（丸和）◇</t>
        </is>
      </c>
      <c r="C59" s="213" t="n">
        <v>1</v>
      </c>
      <c r="D59" s="57" t="n"/>
      <c r="E59" s="57" t="n"/>
    </row>
    <row r="60" ht="39.6" customHeight="1">
      <c r="A60" s="164" t="inlineStr">
        <is>
          <t>1516-38</t>
        </is>
      </c>
      <c r="B60" s="105" t="inlineStr">
        <is>
          <t>有機サニーﾚﾀｽ　ﾗｯﾌﾟ 1個(ﾌｧｰﾏｰｽﾞ)◇</t>
        </is>
      </c>
      <c r="C60" s="213" t="n">
        <v>9</v>
      </c>
      <c r="D60" s="57" t="n"/>
      <c r="E60" s="57" t="n"/>
    </row>
    <row r="61" ht="39.6" customHeight="1">
      <c r="A61" s="164" t="inlineStr">
        <is>
          <t>1521-17</t>
        </is>
      </c>
      <c r="B61" s="105" t="inlineStr">
        <is>
          <t>グリーンボール　１個袋(せっせと畑)◇</t>
        </is>
      </c>
      <c r="C61" s="213" t="n">
        <v>27</v>
      </c>
      <c r="D61" s="57" t="n"/>
      <c r="E61" s="57" t="n"/>
    </row>
    <row r="62" ht="39.6" customHeight="1">
      <c r="A62" s="164" t="inlineStr">
        <is>
          <t>1533-150</t>
        </is>
      </c>
      <c r="B62" s="105" t="inlineStr">
        <is>
          <t>有機 玉レタス ﾗｯﾌﾟ 1個(ﾌｧｰﾏｰｽﾞ)◇</t>
        </is>
      </c>
      <c r="C62" s="213" t="n">
        <v>5</v>
      </c>
      <c r="D62" s="57" t="n"/>
      <c r="E62" s="57" t="n"/>
    </row>
    <row r="63" ht="39.6" customHeight="1">
      <c r="A63" s="164" t="inlineStr">
        <is>
          <t>1543-134</t>
        </is>
      </c>
      <c r="B63" s="105" t="inlineStr">
        <is>
          <t>ブロッコリー1個袋(那須・益子美好)6割・不</t>
        </is>
      </c>
      <c r="C63" s="213" t="n">
        <v>27</v>
      </c>
      <c r="D63" s="57" t="n"/>
      <c r="E63" s="57" t="n"/>
    </row>
    <row r="64" ht="39.6" customHeight="1">
      <c r="A64" s="164" t="inlineStr">
        <is>
          <t>1561-54</t>
        </is>
      </c>
      <c r="B64" s="105" t="inlineStr">
        <is>
          <t>長ねぎ ムキ 300g (さんぶ)不不</t>
        </is>
      </c>
      <c r="C64" s="213" t="n">
        <v>60</v>
      </c>
      <c r="D64" s="57" t="n"/>
      <c r="E64" s="57" t="n"/>
    </row>
    <row r="65" ht="39.6" customHeight="1">
      <c r="A65" s="164" t="inlineStr">
        <is>
          <t>1564-100</t>
        </is>
      </c>
      <c r="B65" s="105" t="inlineStr">
        <is>
          <t>長ねぎ　ﾑｷ ２本袋(ﾊｲﾊｰﾊﾞｰ)◇</t>
        </is>
      </c>
      <c r="C65" s="213" t="n">
        <v>145</v>
      </c>
      <c r="D65" s="57" t="n"/>
      <c r="E65" s="57" t="n"/>
    </row>
    <row r="66" ht="39.6" customHeight="1">
      <c r="A66" s="164" t="inlineStr">
        <is>
          <t>1569-23</t>
        </is>
      </c>
      <c r="B66" s="105" t="inlineStr">
        <is>
          <t>有機長ねぎ　ムキ　300ｇ(よしだ農園)</t>
        </is>
      </c>
      <c r="C66" s="213" t="n">
        <v>100</v>
      </c>
      <c r="D66" s="57" t="n"/>
      <c r="E66" s="57" t="n"/>
    </row>
    <row r="67" ht="39.6" customHeight="1">
      <c r="A67" s="164" t="inlineStr">
        <is>
          <t>1584-39</t>
        </is>
      </c>
      <c r="B67" s="105" t="inlineStr">
        <is>
          <t>有機ロメインﾚﾀｽ ﾗｯﾌﾟ 1個(ﾌｧｰﾏｰｽﾞ)◇</t>
        </is>
      </c>
      <c r="C67" s="213" t="n">
        <v>0</v>
      </c>
      <c r="D67" s="57" t="n"/>
      <c r="E67" s="57" t="n"/>
    </row>
    <row r="68" ht="39.6" customHeight="1">
      <c r="A68" s="164" t="inlineStr">
        <is>
          <t>1588-15</t>
        </is>
      </c>
      <c r="B68" s="105" t="inlineStr">
        <is>
          <t>有機フリルレタス ﾗｯﾌﾟ １個(ﾌｧｰﾏｰｽﾞ)◇</t>
        </is>
      </c>
      <c r="C68" s="213" t="n">
        <v>8</v>
      </c>
      <c r="D68" s="57" t="n"/>
      <c r="E68" s="57" t="n"/>
    </row>
    <row r="69" ht="39.6" customHeight="1">
      <c r="A69" s="164" t="inlineStr">
        <is>
          <t>1588-25</t>
        </is>
      </c>
      <c r="B69" s="105" t="inlineStr">
        <is>
          <t>有機レッドフリルﾚﾀｽ ﾗｯﾌﾟ １個(ﾌｧｰﾏｰｽﾞ)◇</t>
        </is>
      </c>
      <c r="C69" s="213" t="n">
        <v>4</v>
      </c>
      <c r="D69" s="57" t="n"/>
      <c r="E69" s="57" t="n"/>
    </row>
    <row r="70" ht="39.6" customHeight="1">
      <c r="A70" s="164" t="inlineStr">
        <is>
          <t>1589-138</t>
        </is>
      </c>
      <c r="B70" s="105" t="inlineStr">
        <is>
          <t>有機リーフﾚﾀｽ ﾗｯﾌﾟ1個(やさと・産ﾊﾟ)</t>
        </is>
      </c>
      <c r="C70" s="213" t="n">
        <v>0</v>
      </c>
      <c r="D70" s="57" t="n"/>
      <c r="E70" s="57" t="n"/>
    </row>
    <row r="71" ht="39.6" customHeight="1">
      <c r="A71" s="164" t="inlineStr">
        <is>
          <t>1589-57</t>
        </is>
      </c>
      <c r="B71" s="105" t="inlineStr">
        <is>
          <t>有機リーフレタス　ﾗｯﾌﾟ 1個(ﾌｧｰﾏｰｽﾞ)◇</t>
        </is>
      </c>
      <c r="C71" s="213" t="n">
        <v>30</v>
      </c>
      <c r="D71" s="57" t="n"/>
      <c r="E71" s="57" t="n"/>
    </row>
    <row r="72" ht="39.6" customHeight="1">
      <c r="A72" s="164" t="inlineStr">
        <is>
          <t>1593-113</t>
        </is>
      </c>
      <c r="B72" s="105" t="inlineStr">
        <is>
          <t>ミニ白菜　1個袋(せっせと畑)◇不不</t>
        </is>
      </c>
      <c r="C72" s="213" t="n">
        <v>22</v>
      </c>
      <c r="D72" s="57" t="n"/>
      <c r="E72" s="57" t="n"/>
    </row>
    <row r="73" ht="39.6" customHeight="1">
      <c r="A73" s="164" t="inlineStr">
        <is>
          <t>1593-22</t>
        </is>
      </c>
      <c r="B73" s="105" t="inlineStr">
        <is>
          <t>有機ベビー白菜 １個袋 (さんぶ)</t>
        </is>
      </c>
      <c r="C73" s="213" t="n">
        <v>53</v>
      </c>
      <c r="D73" s="57" t="n"/>
      <c r="E73" s="57" t="n"/>
    </row>
    <row r="74" ht="39.6" customHeight="1">
      <c r="A74" s="164" t="inlineStr">
        <is>
          <t>1601-37</t>
        </is>
      </c>
      <c r="B74" s="105" t="inlineStr">
        <is>
          <t>□トマト ４ｋｇ箱（沃土会）８割減・不</t>
        </is>
      </c>
      <c r="C74" s="213" t="n">
        <v>8</v>
      </c>
      <c r="D74" s="57" t="n"/>
      <c r="E74" s="57" t="n"/>
    </row>
    <row r="75" ht="39.6" customHeight="1">
      <c r="A75" s="164" t="inlineStr">
        <is>
          <t>1601-46</t>
        </is>
      </c>
      <c r="B75" s="105" t="inlineStr">
        <is>
          <t>トマト 約350g～(沃土会)◇</t>
        </is>
      </c>
      <c r="C75" s="213" t="n">
        <v>19</v>
      </c>
      <c r="D75" s="57" t="n"/>
      <c r="E75" s="57" t="n"/>
    </row>
    <row r="76" ht="39.6" customHeight="1">
      <c r="A76" s="164" t="inlineStr">
        <is>
          <t>1606-42</t>
        </is>
      </c>
      <c r="B76" s="105" t="inlineStr">
        <is>
          <t>□有機トマト４kg箱 (澤村)</t>
        </is>
      </c>
      <c r="C76" s="213" t="n">
        <v>8</v>
      </c>
      <c r="D76" s="57" t="n"/>
      <c r="E76" s="57" t="n"/>
    </row>
    <row r="77" ht="39.6" customHeight="1">
      <c r="A77" s="164" t="inlineStr">
        <is>
          <t>1606-96</t>
        </is>
      </c>
      <c r="B77" s="105" t="inlineStr">
        <is>
          <t>有機トマト１袋（220ｇ～)(澤村)◇</t>
        </is>
      </c>
      <c r="C77" s="213" t="n">
        <v>9</v>
      </c>
      <c r="D77" s="57" t="n"/>
      <c r="E77" s="57" t="n"/>
    </row>
    <row r="78" ht="39.6" customHeight="1">
      <c r="A78" s="164" t="inlineStr">
        <is>
          <t>1612-10</t>
        </is>
      </c>
      <c r="B78" s="105" t="inlineStr">
        <is>
          <t>□有機ミニトマト 3kg箱（吉水）</t>
        </is>
      </c>
      <c r="C78" s="213" t="n">
        <v>4</v>
      </c>
      <c r="D78" s="57" t="n"/>
      <c r="E78" s="57" t="n"/>
    </row>
    <row r="79" ht="39.6" customHeight="1">
      <c r="A79" s="164" t="inlineStr">
        <is>
          <t>1614-251</t>
        </is>
      </c>
      <c r="B79" s="105" t="inlineStr">
        <is>
          <t>有機ミニトマト　150g（吉水)◇</t>
        </is>
      </c>
      <c r="C79" s="213" t="n">
        <v>14</v>
      </c>
      <c r="D79" s="57" t="n"/>
      <c r="E79" s="57" t="n"/>
    </row>
    <row r="80" ht="39.6" customHeight="1">
      <c r="A80" s="164" t="inlineStr">
        <is>
          <t>1614-279</t>
        </is>
      </c>
      <c r="B80" s="105" t="inlineStr">
        <is>
          <t>有機ﾐﾆﾄﾏﾄ「アイコ」150ｇ(肥後あゆみ)◇</t>
        </is>
      </c>
      <c r="C80" s="213" t="n">
        <v>1</v>
      </c>
      <c r="D80" s="57" t="n"/>
      <c r="E80" s="57" t="n"/>
    </row>
    <row r="81" ht="39.6" customHeight="1">
      <c r="A81" s="164" t="inlineStr">
        <is>
          <t>1614-280</t>
        </is>
      </c>
      <c r="B81" s="105" t="inlineStr">
        <is>
          <t>□有機ﾐﾆﾄﾏﾄ「ｱｲｺ」３kg(肥後あゆみ)</t>
        </is>
      </c>
      <c r="C81" s="213" t="n">
        <v>4</v>
      </c>
      <c r="D81" s="57" t="n"/>
      <c r="E81" s="57" t="n"/>
    </row>
    <row r="82" ht="39.6" customHeight="1">
      <c r="A82" s="164" t="inlineStr">
        <is>
          <t>1614-3</t>
        </is>
      </c>
      <c r="B82" s="105" t="inlineStr">
        <is>
          <t>ミニトマト　150ｇ（沃土会）</t>
        </is>
      </c>
      <c r="C82" s="213" t="n">
        <v>93</v>
      </c>
      <c r="D82" s="57" t="n"/>
      <c r="E82" s="57" t="n"/>
    </row>
    <row r="83" ht="39.6" customHeight="1">
      <c r="A83" s="164" t="inlineStr">
        <is>
          <t>1619-68</t>
        </is>
      </c>
      <c r="B83" s="105" t="inlineStr">
        <is>
          <t>きゅうり　２本袋（沃土会）</t>
        </is>
      </c>
      <c r="C83" s="213" t="n">
        <v>10</v>
      </c>
      <c r="D83" s="57" t="n"/>
      <c r="E83" s="57" t="n"/>
    </row>
    <row r="84" ht="39.6" customHeight="1">
      <c r="A84" s="164" t="inlineStr">
        <is>
          <t>1621-64</t>
        </is>
      </c>
      <c r="B84" s="105" t="inlineStr">
        <is>
          <t>□きゅうり 5kg箱(太一興陽石毛)菌5虫8・不</t>
        </is>
      </c>
      <c r="C84" s="213" t="n">
        <v>50</v>
      </c>
      <c r="D84" s="57" t="n"/>
      <c r="E84" s="57" t="n"/>
    </row>
    <row r="85" ht="39.6" customHeight="1">
      <c r="A85" s="164" t="inlineStr">
        <is>
          <t>1621-65</t>
        </is>
      </c>
      <c r="B85" s="105" t="inlineStr">
        <is>
          <t>きゅうり　２本袋(石毛)◇</t>
        </is>
      </c>
      <c r="C85" s="213" t="n">
        <v>18</v>
      </c>
      <c r="D85" s="57" t="n"/>
      <c r="E85" s="57" t="n"/>
    </row>
    <row r="86" ht="39.6" customHeight="1">
      <c r="A86" s="164" t="inlineStr">
        <is>
          <t>1621-73</t>
        </is>
      </c>
      <c r="B86" s="105" t="inlineStr">
        <is>
          <t>きゅうり　３本袋(石毛)◇</t>
        </is>
      </c>
      <c r="C86" s="213" t="n">
        <v>0</v>
      </c>
      <c r="D86" s="57" t="n"/>
      <c r="E86" s="57" t="n"/>
    </row>
    <row r="87" ht="39.6" customHeight="1">
      <c r="A87" s="164" t="inlineStr">
        <is>
          <t>1638-110</t>
        </is>
      </c>
      <c r="B87" s="105" t="inlineStr">
        <is>
          <t>有機なす１袋 (浦部)</t>
        </is>
      </c>
      <c r="C87" s="213" t="n">
        <v>46</v>
      </c>
      <c r="D87" s="57" t="n"/>
      <c r="E87" s="57" t="n"/>
    </row>
    <row r="88" ht="39.6" customHeight="1">
      <c r="A88" s="164" t="inlineStr">
        <is>
          <t>1638-112</t>
        </is>
      </c>
      <c r="B88" s="105" t="inlineStr">
        <is>
          <t>なす　400ｇ(石毛)菌2虫1(=9割減)・不</t>
        </is>
      </c>
      <c r="C88" s="213" t="n">
        <v>262</v>
      </c>
      <c r="D88" s="57" t="n"/>
      <c r="E88" s="57" t="n"/>
    </row>
    <row r="89" ht="39.6" customHeight="1">
      <c r="A89" s="164" t="inlineStr">
        <is>
          <t>1647-2</t>
        </is>
      </c>
      <c r="B89" s="105" t="inlineStr">
        <is>
          <t>中玉とまと 200g (さんぶ)</t>
        </is>
      </c>
      <c r="C89" s="213" t="n">
        <v>23</v>
      </c>
      <c r="D89" s="57" t="n"/>
      <c r="E89" s="57" t="n"/>
    </row>
    <row r="90" ht="39.6" customHeight="1">
      <c r="A90" s="164" t="inlineStr">
        <is>
          <t>1647-50</t>
        </is>
      </c>
      <c r="B90" s="105" t="inlineStr">
        <is>
          <t>中玉トマト 250g (沃土会)</t>
        </is>
      </c>
      <c r="C90" s="213" t="n">
        <v>121</v>
      </c>
      <c r="D90" s="57" t="n"/>
      <c r="E90" s="57" t="n"/>
    </row>
    <row r="91" ht="39.6" customHeight="1">
      <c r="A91" s="164" t="inlineStr">
        <is>
          <t>1654-75</t>
        </is>
      </c>
      <c r="B91" s="105" t="inlineStr">
        <is>
          <t>有機ピーマン　150g（SOHﾌｧｰﾑ）◇</t>
        </is>
      </c>
      <c r="C91" s="213" t="n">
        <v>202</v>
      </c>
      <c r="D91" s="57" t="n"/>
      <c r="E91" s="57" t="n"/>
    </row>
    <row r="92" ht="39.6" customHeight="1">
      <c r="A92" s="164" t="inlineStr">
        <is>
          <t>1661-15</t>
        </is>
      </c>
      <c r="B92" s="105" t="inlineStr">
        <is>
          <t>パプリカ　１個袋200ｇ(高生連)</t>
        </is>
      </c>
      <c r="C92" s="213" t="n">
        <v>17</v>
      </c>
      <c r="D92" s="57" t="n"/>
      <c r="E92" s="57" t="n"/>
    </row>
    <row r="93" ht="39.6" customHeight="1">
      <c r="A93" s="164" t="inlineStr">
        <is>
          <t>1684-94</t>
        </is>
      </c>
      <c r="B93" s="105" t="inlineStr">
        <is>
          <t>スイートコーン　１本袋(高生連)</t>
        </is>
      </c>
      <c r="C93" s="213" t="n">
        <v>42</v>
      </c>
      <c r="D93" s="57" t="n"/>
      <c r="E93" s="57" t="n"/>
    </row>
    <row r="94" ht="39.6" customHeight="1">
      <c r="A94" s="164" t="inlineStr">
        <is>
          <t>1707-103</t>
        </is>
      </c>
      <c r="B94" s="105" t="inlineStr">
        <is>
          <t>有機ズッキーニ緑 １本袋(キテレツ)◇</t>
        </is>
      </c>
      <c r="C94" s="213" t="n">
        <v>15</v>
      </c>
      <c r="D94" s="57" t="n"/>
      <c r="E94" s="57" t="n"/>
    </row>
    <row r="95" ht="39.6" customHeight="1">
      <c r="A95" s="164" t="inlineStr">
        <is>
          <t>1707-104</t>
        </is>
      </c>
      <c r="B95" s="105" t="inlineStr">
        <is>
          <t>有機ズッキーニ黄色 １本袋(キテレツ)◇</t>
        </is>
      </c>
      <c r="C95" s="213" t="n">
        <v>5</v>
      </c>
      <c r="D95" s="57" t="n"/>
      <c r="E95" s="57" t="n"/>
    </row>
    <row r="96" ht="39.6" customHeight="1">
      <c r="A96" s="164" t="inlineStr">
        <is>
          <t>1707-127</t>
        </is>
      </c>
      <c r="B96" s="105" t="inlineStr">
        <is>
          <t>ズッキーニ １本袋（沃土会)不不</t>
        </is>
      </c>
      <c r="C96" s="213" t="n">
        <v>33</v>
      </c>
      <c r="D96" s="57" t="n"/>
      <c r="E96" s="57" t="n"/>
    </row>
    <row r="97" ht="39.6" customHeight="1">
      <c r="A97" s="164" t="inlineStr">
        <is>
          <t>1707-129</t>
        </is>
      </c>
      <c r="B97" s="105" t="inlineStr">
        <is>
          <t>ズッキーニ緑 １本袋(せっせと)◇</t>
        </is>
      </c>
      <c r="C97" s="213" t="n">
        <v>0</v>
      </c>
      <c r="D97" s="57" t="n"/>
      <c r="E97" s="57" t="n"/>
    </row>
    <row r="98" ht="39.6" customHeight="1">
      <c r="A98" s="164" t="inlineStr">
        <is>
          <t>1707-9</t>
        </is>
      </c>
      <c r="B98" s="105" t="inlineStr">
        <is>
          <t>有機ズッキーニ　１本袋（さんぶ・産ﾊﾟ）</t>
        </is>
      </c>
      <c r="C98" s="213" t="n">
        <v>0</v>
      </c>
      <c r="D98" s="57" t="n"/>
      <c r="E98" s="57" t="n"/>
    </row>
    <row r="99" ht="39.6" customHeight="1">
      <c r="A99" s="164" t="inlineStr">
        <is>
          <t>1720-22</t>
        </is>
      </c>
      <c r="B99" s="105" t="inlineStr">
        <is>
          <t>枝豆　200g袋（さんぶ）</t>
        </is>
      </c>
      <c r="C99" s="213" t="n">
        <v>12</v>
      </c>
      <c r="D99" s="57" t="n"/>
      <c r="E99" s="57" t="n"/>
    </row>
    <row r="100" ht="39.6" customHeight="1">
      <c r="A100" s="164" t="inlineStr">
        <is>
          <t>1723-11</t>
        </is>
      </c>
      <c r="B100" s="105" t="inlineStr">
        <is>
          <t>そら豆　300ｇ袋(萩原)◇</t>
        </is>
      </c>
      <c r="C100" s="213" t="n">
        <v>25</v>
      </c>
      <c r="D100" s="57" t="n"/>
      <c r="E100" s="57" t="n"/>
    </row>
    <row r="101" ht="39.6" customHeight="1">
      <c r="A101" s="164" t="inlineStr">
        <is>
          <t>1804-1</t>
        </is>
      </c>
      <c r="B101" s="105" t="inlineStr">
        <is>
          <t>しめじほぐし(ｶｯﾄぶなしめじ)　500ｇ(ﾐｽｽﾞ)</t>
        </is>
      </c>
      <c r="C101" s="213" t="n">
        <v>17</v>
      </c>
      <c r="D101" s="57" t="n"/>
      <c r="E101" s="57" t="n"/>
    </row>
    <row r="102" ht="39.6" customHeight="1">
      <c r="A102" s="164" t="inlineStr">
        <is>
          <t>1804-5</t>
        </is>
      </c>
      <c r="B102" s="105" t="inlineStr">
        <is>
          <t>ｶｯﾄぶなしめじ 90ｇ(ﾐｽｽﾞ)</t>
        </is>
      </c>
      <c r="C102" s="213" t="n">
        <v>54</v>
      </c>
      <c r="D102" s="57" t="n"/>
      <c r="E102" s="57" t="n"/>
    </row>
    <row r="103" ht="39.6" customHeight="1">
      <c r="A103" s="164" t="inlineStr">
        <is>
          <t>1806-2</t>
        </is>
      </c>
      <c r="B103" s="105" t="inlineStr">
        <is>
          <t>ぶなクイーン　１００ｇ(ﾐｽｽﾞ)</t>
        </is>
      </c>
      <c r="C103" s="213" t="n">
        <v>34</v>
      </c>
      <c r="D103" s="57" t="n"/>
      <c r="E103" s="57" t="n"/>
    </row>
    <row r="104" ht="39.6" customHeight="1">
      <c r="A104" s="164" t="inlineStr">
        <is>
          <t>1807-55</t>
        </is>
      </c>
      <c r="B104" s="105" t="inlineStr">
        <is>
          <t>有機生しいたけ(菌床)100gﾄﾚｰ(太洋社)</t>
        </is>
      </c>
      <c r="C104" s="213" t="n">
        <v>35</v>
      </c>
      <c r="D104" s="57" t="n"/>
      <c r="E104" s="57" t="n"/>
    </row>
    <row r="105" ht="39.6" customHeight="1">
      <c r="A105" s="164" t="inlineStr">
        <is>
          <t>1807-56</t>
        </is>
      </c>
      <c r="B105" s="105" t="inlineStr">
        <is>
          <t>有機生しいたけ(菌床)不揃200g袋(太洋社)</t>
        </is>
      </c>
      <c r="C105" s="213" t="n">
        <v>56</v>
      </c>
      <c r="D105" s="57" t="n"/>
      <c r="E105" s="57" t="n"/>
    </row>
    <row r="106" ht="39.6" customHeight="1">
      <c r="A106" s="164" t="inlineStr">
        <is>
          <t>1812</t>
        </is>
      </c>
      <c r="B106" s="105" t="inlineStr">
        <is>
          <t>えのき茸 １００ｇ(ﾐｽｽﾞ)</t>
        </is>
      </c>
      <c r="C106" s="213" t="n">
        <v>79</v>
      </c>
      <c r="D106" s="57" t="n"/>
      <c r="E106" s="57" t="n"/>
    </row>
    <row r="107" ht="39.6" customHeight="1">
      <c r="A107" s="164" t="inlineStr">
        <is>
          <t>1820</t>
        </is>
      </c>
      <c r="B107" s="105" t="inlineStr">
        <is>
          <t>一株なめこ １７０ｇ(ﾐｽｽﾞ)</t>
        </is>
      </c>
      <c r="C107" s="213" t="n">
        <v>31</v>
      </c>
      <c r="D107" s="57" t="n"/>
      <c r="E107" s="57" t="n"/>
    </row>
    <row r="108" ht="39.6" customHeight="1">
      <c r="A108" s="164" t="inlineStr">
        <is>
          <t>1820-5</t>
        </is>
      </c>
      <c r="B108" s="105" t="inlineStr">
        <is>
          <t>小粒なめこ 100ｇ(熊谷)</t>
        </is>
      </c>
      <c r="C108" s="213" t="n">
        <v>83</v>
      </c>
      <c r="D108" s="57" t="n"/>
      <c r="E108" s="57" t="n"/>
    </row>
    <row r="109" ht="39.6" customHeight="1">
      <c r="A109" s="164" t="inlineStr">
        <is>
          <t>1821-2</t>
        </is>
      </c>
      <c r="B109" s="105" t="inlineStr">
        <is>
          <t>エリンギ 100g (ミスズ)</t>
        </is>
      </c>
      <c r="C109" s="213" t="n">
        <v>21</v>
      </c>
      <c r="D109" s="57" t="n"/>
      <c r="E109" s="57" t="n"/>
    </row>
    <row r="110" ht="39.6" customHeight="1">
      <c r="A110" s="164" t="inlineStr">
        <is>
          <t>1823-2</t>
        </is>
      </c>
      <c r="B110" s="105" t="inlineStr">
        <is>
          <t>有機おかひじき 70gﾊﾟｯｸ (寺島)</t>
        </is>
      </c>
      <c r="C110" s="213" t="n">
        <v>27</v>
      </c>
      <c r="D110" s="57" t="n"/>
      <c r="E110" s="57" t="n"/>
    </row>
    <row r="111" ht="39.6" customHeight="1">
      <c r="A111" s="164" t="inlineStr">
        <is>
          <t>1824-2</t>
        </is>
      </c>
      <c r="B111" s="105" t="inlineStr">
        <is>
          <t>有機パセリ 30g袋 (大地と自然)</t>
        </is>
      </c>
      <c r="C111" s="213" t="n">
        <v>11</v>
      </c>
      <c r="D111" s="57" t="n"/>
      <c r="E111" s="57" t="n"/>
    </row>
    <row r="112" ht="39.6" customHeight="1">
      <c r="A112" s="164" t="inlineStr">
        <is>
          <t>1835-4</t>
        </is>
      </c>
      <c r="B112" s="105" t="inlineStr">
        <is>
          <t>□小ねぎ 100ｇ×20入(伊藤昇)7割減・5割減</t>
        </is>
      </c>
      <c r="C112" s="213" t="n">
        <v>2</v>
      </c>
      <c r="D112" s="57" t="n"/>
      <c r="E112" s="57" t="n"/>
    </row>
    <row r="113" ht="39.6" customHeight="1">
      <c r="A113" s="164" t="inlineStr">
        <is>
          <t>1838-12</t>
        </is>
      </c>
      <c r="B113" s="105" t="inlineStr">
        <is>
          <t>有機青ねぎ 100ｇ (大地と自然)</t>
        </is>
      </c>
      <c r="C113" s="213" t="n">
        <v>44</v>
      </c>
      <c r="D113" s="57" t="n"/>
      <c r="E113" s="57" t="n"/>
    </row>
    <row r="114" ht="39.6" customHeight="1">
      <c r="A114" s="164" t="inlineStr">
        <is>
          <t>1840-14</t>
        </is>
      </c>
      <c r="B114" s="105" t="inlineStr">
        <is>
          <t>有機にら 100ｇ (北総)</t>
        </is>
      </c>
      <c r="C114" s="213" t="n">
        <v>83</v>
      </c>
      <c r="D114" s="57" t="n"/>
      <c r="E114" s="57" t="n"/>
    </row>
    <row r="115" ht="39.6" customHeight="1">
      <c r="A115" s="164" t="inlineStr">
        <is>
          <t>1854-27</t>
        </is>
      </c>
      <c r="B115" s="105" t="inlineStr">
        <is>
          <t>にんにくの芽 100ｇ(ハレノヒ)不不</t>
        </is>
      </c>
      <c r="C115" s="213" t="n">
        <v>0</v>
      </c>
      <c r="D115" s="57" t="n"/>
      <c r="E115" s="57" t="n"/>
    </row>
    <row r="116" ht="39.6" customHeight="1">
      <c r="A116" s="164" t="inlineStr">
        <is>
          <t>1854-28</t>
        </is>
      </c>
      <c r="B116" s="105" t="inlineStr">
        <is>
          <t>有機にんにくの芽 100ｇ(シェアガーデン)</t>
        </is>
      </c>
      <c r="C116" s="213" t="n">
        <v>30</v>
      </c>
      <c r="D116" s="57" t="n"/>
      <c r="E116" s="57" t="n"/>
    </row>
    <row r="117" ht="39.6" customHeight="1">
      <c r="A117" s="164" t="inlineStr">
        <is>
          <t>1856-76</t>
        </is>
      </c>
      <c r="B117" s="105" t="inlineStr">
        <is>
          <t>有機黒（くろ）にんにく　80ｇ（ｼｪｱｶﾞｰﾃﾞﾝ)</t>
        </is>
      </c>
      <c r="C117" s="213" t="n">
        <v>33</v>
      </c>
      <c r="D117" s="57" t="n"/>
      <c r="E117" s="57" t="n"/>
    </row>
    <row r="118" ht="39.6" customHeight="1">
      <c r="A118" s="164" t="inlineStr">
        <is>
          <t>1856-85</t>
        </is>
      </c>
      <c r="B118" s="105" t="inlineStr">
        <is>
          <t>にんにく　1玉(せっせと畑)◇</t>
        </is>
      </c>
      <c r="C118" s="213" t="n">
        <v>0</v>
      </c>
      <c r="D118" s="57" t="n"/>
      <c r="E118" s="57" t="n"/>
    </row>
    <row r="119" ht="39.6" customHeight="1">
      <c r="A119" s="164" t="inlineStr">
        <is>
          <t>1857-29</t>
        </is>
      </c>
      <c r="B119" s="105" t="inlineStr">
        <is>
          <t>有機しょうが　100g袋 (夢有民・産ﾊﾟ)</t>
        </is>
      </c>
      <c r="C119" s="213" t="n">
        <v>85</v>
      </c>
      <c r="D119" s="57" t="n"/>
      <c r="E119" s="57" t="n"/>
    </row>
    <row r="120" ht="39.6" customHeight="1">
      <c r="A120" s="164" t="inlineStr">
        <is>
          <t>1868-21</t>
        </is>
      </c>
      <c r="B120" s="105" t="inlineStr">
        <is>
          <t>有機生きくらげ(菌床) 50ｇ(太洋社)</t>
        </is>
      </c>
      <c r="C120" s="213" t="n">
        <v>55</v>
      </c>
      <c r="D120" s="57" t="n"/>
      <c r="E120" s="57" t="n"/>
    </row>
    <row r="121" ht="39.6" customHeight="1">
      <c r="A121" s="164" t="inlineStr">
        <is>
          <t>1869-1</t>
        </is>
      </c>
      <c r="B121" s="105" t="inlineStr">
        <is>
          <t>有機パクチー　30ｇ（わ～ふぁ）</t>
        </is>
      </c>
      <c r="C121" s="213" t="n">
        <v>43</v>
      </c>
      <c r="D121" s="57" t="n"/>
      <c r="E121" s="57" t="n"/>
    </row>
    <row r="122" ht="39.6" customHeight="1">
      <c r="A122" s="164" t="inlineStr">
        <is>
          <t>1875-15</t>
        </is>
      </c>
      <c r="B122" s="105" t="inlineStr">
        <is>
          <t>有機ラディッシュ　4～6玉袋(やさと)</t>
        </is>
      </c>
      <c r="C122" s="213" t="n">
        <v>20</v>
      </c>
      <c r="D122" s="57" t="n"/>
      <c r="E122" s="57" t="n"/>
    </row>
    <row r="123" ht="39.6" customHeight="1">
      <c r="A123" s="164" t="inlineStr">
        <is>
          <t>1878-10</t>
        </is>
      </c>
      <c r="B123" s="105" t="inlineStr">
        <is>
          <t>□有機緑豆もやし　200g×10 (ｻﾗﾀﾞｺｽﾓ)</t>
        </is>
      </c>
      <c r="C123" s="213" t="n">
        <v>0</v>
      </c>
      <c r="D123" s="57" t="n"/>
      <c r="E123" s="57" t="n"/>
    </row>
    <row r="124" ht="39.6" customHeight="1">
      <c r="A124" s="164" t="inlineStr">
        <is>
          <t>1878-21</t>
        </is>
      </c>
      <c r="B124" s="105" t="inlineStr">
        <is>
          <t>□有機アルファルファ 60ｇ×6 (ｻﾗﾀﾞｺｽﾓ)</t>
        </is>
      </c>
      <c r="C124" s="213" t="n">
        <v>0</v>
      </c>
      <c r="D124" s="57" t="n"/>
      <c r="E124" s="57" t="n"/>
    </row>
    <row r="125" ht="39.6" customHeight="1">
      <c r="A125" s="164" t="inlineStr">
        <is>
          <t>1881-8</t>
        </is>
      </c>
      <c r="B125" s="105" t="inlineStr">
        <is>
          <t>有機たかのつめ(唐辛子) 8g袋 (吉水)</t>
        </is>
      </c>
      <c r="C125" s="213" t="n">
        <v>94</v>
      </c>
      <c r="D125" s="57" t="n"/>
      <c r="E125" s="57" t="n"/>
    </row>
    <row r="126" ht="39.6" customHeight="1">
      <c r="A126" s="164" t="inlineStr">
        <is>
          <t>1883-15</t>
        </is>
      </c>
      <c r="B126" s="105" t="inlineStr">
        <is>
          <t>有機ｻﾗﾀﾞﾍﾞﾋﾞｰﾐｯｸｽ 40gﾊﾟｯｸ (わ～ふぁ)</t>
        </is>
      </c>
      <c r="C126" s="213" t="n">
        <v>69</v>
      </c>
      <c r="D126" s="57" t="n"/>
      <c r="E126" s="57" t="n"/>
    </row>
    <row r="127" ht="39.6" customHeight="1">
      <c r="A127" s="164" t="inlineStr">
        <is>
          <t>1883-55</t>
        </is>
      </c>
      <c r="B127" s="105" t="inlineStr">
        <is>
          <t>有機ﾍﾞﾋﾞｰﾘｰﾌ 30gﾊﾟｯｸ (HATAKE)</t>
        </is>
      </c>
      <c r="C127" s="213" t="n">
        <v>1</v>
      </c>
      <c r="D127" s="57" t="n"/>
      <c r="E127" s="57" t="n"/>
    </row>
    <row r="128" ht="39.6" customHeight="1">
      <c r="A128" s="164" t="inlineStr">
        <is>
          <t>1883-56</t>
        </is>
      </c>
      <c r="B128" s="105" t="inlineStr">
        <is>
          <t>有機ベビーリーフ　大袋　500ｇ(HATAKE)</t>
        </is>
      </c>
      <c r="C128" s="213" t="n">
        <v>4</v>
      </c>
      <c r="D128" s="57" t="n"/>
      <c r="E128" s="57" t="n"/>
    </row>
    <row r="129" ht="39.6" customHeight="1">
      <c r="A129" s="164" t="inlineStr">
        <is>
          <t>1883-58</t>
        </is>
      </c>
      <c r="B129" s="105" t="inlineStr">
        <is>
          <t>□有機ﾍﾞﾋﾞｰﾘｰﾌ 30gﾊﾟｯｸ×10入 (HATAKE)</t>
        </is>
      </c>
      <c r="C129" s="213" t="n">
        <v>0</v>
      </c>
      <c r="D129" s="57" t="n"/>
      <c r="E129" s="57" t="n"/>
    </row>
    <row r="130" ht="39.6" customHeight="1">
      <c r="A130" s="164" t="inlineStr">
        <is>
          <t>1889-15</t>
        </is>
      </c>
      <c r="B130" s="105" t="inlineStr">
        <is>
          <t>有機大葉 １０枚ﾊﾟｯｸ (矢澤園芸)</t>
        </is>
      </c>
      <c r="C130" s="213" t="n">
        <v>155</v>
      </c>
      <c r="D130" s="57" t="n"/>
      <c r="E130" s="57" t="n"/>
    </row>
    <row r="131" ht="39.6" customHeight="1">
      <c r="A131" s="164" t="inlineStr">
        <is>
          <t>1889-3</t>
        </is>
      </c>
      <c r="B131" s="105" t="inlineStr">
        <is>
          <t>有機大葉 １０枚ﾊﾟｯｸ (生々農園・産ﾊﾟ)</t>
        </is>
      </c>
      <c r="C131" s="213" t="n">
        <v>0</v>
      </c>
      <c r="D131" s="57" t="n"/>
      <c r="E131" s="57" t="n"/>
    </row>
    <row r="132" ht="39.6" customHeight="1">
      <c r="A132" s="164" t="inlineStr">
        <is>
          <t>1898-12</t>
        </is>
      </c>
      <c r="B132" s="105" t="inlineStr">
        <is>
          <t>有機ブラウンﾏｯｼｭﾙｰﾑ 150ｇﾍﾞﾋﾞｰﾍﾞﾗ(舟形)</t>
        </is>
      </c>
      <c r="C132" s="213" t="n">
        <v>7</v>
      </c>
      <c r="D132" s="57" t="n"/>
      <c r="E132" s="57" t="n"/>
    </row>
    <row r="133" ht="39.6" customHeight="1">
      <c r="A133" s="164" t="inlineStr">
        <is>
          <t>1898-3</t>
        </is>
      </c>
      <c r="B133" s="105" t="inlineStr">
        <is>
          <t>有機ホワイトマッシュルーム 70g(舟形)</t>
        </is>
      </c>
      <c r="C133" s="213" t="n">
        <v>80</v>
      </c>
      <c r="D133" s="57" t="n"/>
      <c r="E133" s="57" t="n"/>
    </row>
    <row r="134" ht="39.6" customHeight="1">
      <c r="A134" s="164" t="inlineStr">
        <is>
          <t>1898-5</t>
        </is>
      </c>
      <c r="B134" s="105" t="inlineStr">
        <is>
          <t>有機ブラウンマッシュルーム 70g(舟形)</t>
        </is>
      </c>
      <c r="C134" s="213" t="n">
        <v>82</v>
      </c>
      <c r="D134" s="57" t="n"/>
      <c r="E134" s="57" t="n"/>
    </row>
    <row r="135" ht="39.6" customHeight="1">
      <c r="A135" s="164" t="inlineStr">
        <is>
          <t>2209-15</t>
        </is>
      </c>
      <c r="B135" s="105" t="inlineStr">
        <is>
          <t>平飼い 10個入ﾊﾟｯｸ（会田）</t>
        </is>
      </c>
      <c r="C135" s="213" t="n">
        <v>0</v>
      </c>
      <c r="D135" s="57" t="n"/>
      <c r="E135" s="57" t="n"/>
    </row>
    <row r="136" ht="39.6" customHeight="1">
      <c r="A136" s="164" t="inlineStr">
        <is>
          <t>2209-16</t>
        </is>
      </c>
      <c r="B136" s="105" t="inlineStr">
        <is>
          <t>米たまご 10個入ﾊﾟｯｸ（会田）</t>
        </is>
      </c>
      <c r="C136" s="213" t="n">
        <v>0</v>
      </c>
      <c r="D136" s="57" t="n"/>
      <c r="E136" s="57" t="n"/>
    </row>
    <row r="137" ht="39.6" customHeight="1">
      <c r="A137" s="164" t="inlineStr">
        <is>
          <t>2209-17</t>
        </is>
      </c>
      <c r="B137" s="105" t="inlineStr">
        <is>
          <t>平飼い Ｓ10個入ﾊﾟｯｸ（会田）</t>
        </is>
      </c>
      <c r="C137" s="213" t="n">
        <v>0</v>
      </c>
      <c r="D137" s="57" t="n"/>
      <c r="E137" s="57" t="n"/>
    </row>
    <row r="138" ht="39.6" customHeight="1">
      <c r="A138" s="164" t="inlineStr">
        <is>
          <t>5130-33</t>
        </is>
      </c>
      <c r="B138" s="105" t="inlineStr">
        <is>
          <t>木綿豆腐　１丁（名水会）</t>
        </is>
      </c>
      <c r="C138" s="213" t="n">
        <v>0</v>
      </c>
      <c r="D138" s="57" t="n"/>
      <c r="E138" s="57" t="n"/>
    </row>
    <row r="139" ht="39.6" customHeight="1">
      <c r="A139" s="164" t="inlineStr">
        <is>
          <t>5130-34</t>
        </is>
      </c>
      <c r="B139" s="105" t="inlineStr">
        <is>
          <t>くみだし豆腐　１丁（名水会）</t>
        </is>
      </c>
      <c r="C139" s="213" t="n">
        <v>0</v>
      </c>
      <c r="D139" s="57" t="n"/>
      <c r="E139" s="57" t="n"/>
    </row>
    <row r="140" ht="39.6" customHeight="1">
      <c r="A140" s="164" t="inlineStr">
        <is>
          <t>5301-7</t>
        </is>
      </c>
      <c r="B140" s="105" t="inlineStr">
        <is>
          <t>もみしそ 300g(ﾊﾟﾝﾄﾞﾗ)</t>
        </is>
      </c>
      <c r="C140" s="213" t="n">
        <v>17</v>
      </c>
      <c r="D140" s="57" t="n"/>
      <c r="E140" s="57" t="n"/>
    </row>
    <row r="37691">
      <c r="A37691" s="101" t="n">
        <v>1</v>
      </c>
      <c r="B37691" s="101" t="inlineStr">
        <is>
          <t>日</t>
        </is>
      </c>
      <c r="C37691" s="216" t="n"/>
      <c r="D37691" s="216" t="n"/>
      <c r="E37691" s="211" t="n"/>
    </row>
    <row r="37692">
      <c r="A37692" s="101" t="n">
        <v>2</v>
      </c>
      <c r="B37692" s="101" t="inlineStr">
        <is>
          <t>月</t>
        </is>
      </c>
      <c r="C37692" s="216" t="n"/>
      <c r="D37692" s="216" t="n"/>
      <c r="E37692" s="211" t="n"/>
    </row>
    <row r="37693">
      <c r="A37693" s="101" t="n">
        <v>3</v>
      </c>
      <c r="B37693" s="101" t="inlineStr">
        <is>
          <t>火</t>
        </is>
      </c>
      <c r="C37693" s="216" t="n"/>
      <c r="D37693" s="216" t="n"/>
      <c r="E37693" s="211" t="n"/>
    </row>
    <row r="37694">
      <c r="A37694" s="101" t="n">
        <v>4</v>
      </c>
      <c r="B37694" s="101" t="inlineStr">
        <is>
          <t>水</t>
        </is>
      </c>
      <c r="C37694" s="216" t="n"/>
      <c r="D37694" s="216" t="n"/>
      <c r="E37694" s="211" t="n"/>
    </row>
    <row r="37695">
      <c r="A37695" s="101" t="n">
        <v>5</v>
      </c>
      <c r="B37695" s="101" t="inlineStr">
        <is>
          <t>木</t>
        </is>
      </c>
      <c r="C37695" s="216" t="n"/>
      <c r="D37695" s="216" t="n"/>
      <c r="E37695" s="211" t="n"/>
    </row>
    <row r="37696">
      <c r="A37696" s="101" t="n">
        <v>6</v>
      </c>
      <c r="B37696" s="101" t="inlineStr">
        <is>
          <t>金</t>
        </is>
      </c>
      <c r="C37696" s="216" t="n"/>
      <c r="D37696" s="216" t="n"/>
      <c r="E37696" s="211" t="n"/>
    </row>
    <row r="37697">
      <c r="A37697" s="101" t="n">
        <v>7</v>
      </c>
      <c r="B37697" s="101" t="inlineStr">
        <is>
          <t>土</t>
        </is>
      </c>
      <c r="C37697" s="216" t="n"/>
      <c r="D37697" s="216" t="n"/>
      <c r="E37697" s="211" t="n"/>
    </row>
    <row r="39027">
      <c r="A39027" s="216" t="n"/>
      <c r="B39027" s="216" t="n"/>
    </row>
    <row r="39028">
      <c r="A39028" s="216" t="n"/>
      <c r="B39028" s="216" t="n"/>
    </row>
    <row r="39029">
      <c r="A39029" s="216" t="n"/>
      <c r="B39029" s="216" t="n"/>
    </row>
    <row r="39030">
      <c r="A39030" s="216" t="n"/>
      <c r="B39030" s="216" t="n"/>
    </row>
    <row r="39031">
      <c r="A39031" s="216" t="n"/>
      <c r="B39031" s="216" t="n"/>
    </row>
    <row r="39032">
      <c r="A39032" s="216" t="n"/>
      <c r="B39032" s="216" t="n"/>
    </row>
    <row r="39033">
      <c r="A39033" s="216" t="n"/>
      <c r="B39033" s="216" t="n"/>
    </row>
  </sheetData>
  <pageMargins left="0.7874015748031497" right="0" top="0.3937007874015748" bottom="0.3937007874015748" header="0.5118110236220472" footer="0.5118110236220472"/>
  <pageSetup orientation="portrait" paperSize="9" scale="69" fitToHeight="6"/>
</worksheet>
</file>

<file path=xl/worksheets/sheet8.xml><?xml version="1.0" encoding="utf-8"?>
<worksheet xmlns="http://schemas.openxmlformats.org/spreadsheetml/2006/main">
  <sheetPr codeName="Sheet4">
    <tabColor indexed="43"/>
    <outlinePr summaryBelow="1" summaryRight="1"/>
    <pageSetUpPr fitToPage="1"/>
  </sheetPr>
  <dimension ref="A1:CB20"/>
  <sheetViews>
    <sheetView zoomScale="70" zoomScaleNormal="70" workbookViewId="0">
      <pane xSplit="3" ySplit="2" topLeftCell="D3" activePane="bottomRight" state="frozen"/>
      <selection pane="topRight" activeCell="D1" sqref="D1"/>
      <selection pane="bottomLeft" activeCell="A3" sqref="A3"/>
      <selection pane="bottomRight" activeCell="AW25" sqref="B1:AW25"/>
    </sheetView>
  </sheetViews>
  <sheetFormatPr baseColWidth="8" defaultColWidth="9" defaultRowHeight="13.5"/>
  <cols>
    <col width="4.25" customWidth="1" style="217" min="1" max="1"/>
    <col width="26.5" customWidth="1" style="200" min="2" max="2"/>
    <col hidden="1" width="2.5" customWidth="1" style="217" min="3" max="3"/>
    <col width="3.75" customWidth="1" style="200" min="4" max="6"/>
    <col width="3.75" customWidth="1" style="217" min="7" max="9"/>
    <col width="3.75" customWidth="1" style="200" min="10" max="12"/>
    <col width="3.75" customWidth="1" style="217" min="13" max="43"/>
    <col width="3.875" customWidth="1" style="217" min="44" max="48"/>
    <col width="3.75" customWidth="1" style="217" min="49" max="50"/>
    <col width="3.875" customWidth="1" style="217" min="51" max="53"/>
    <col width="9" customWidth="1" style="217" min="54" max="16384"/>
  </cols>
  <sheetData>
    <row r="1" ht="20.45" customFormat="1" customHeight="1" s="22">
      <c r="A1" s="217" t="n"/>
      <c r="B1" s="218" t="inlineStr">
        <is>
          <t>2/17（月）店着　ラミ便（こだ）</t>
        </is>
      </c>
      <c r="C1" s="200" t="n"/>
      <c r="D1" s="200" t="n"/>
      <c r="E1" s="217" t="n"/>
      <c r="F1" s="217" t="n"/>
      <c r="G1" s="217" t="n"/>
      <c r="H1" s="217" t="n"/>
      <c r="I1" s="200" t="n"/>
      <c r="J1" s="217" t="n"/>
      <c r="K1" s="200" t="n"/>
      <c r="L1" s="200" t="n"/>
    </row>
    <row r="2" ht="56.25" customFormat="1" customHeight="1" s="109">
      <c r="A2" s="107" t="inlineStr">
        <is>
          <t>商品コード</t>
        </is>
      </c>
      <c r="B2" s="107" t="inlineStr">
        <is>
          <t>商品名</t>
        </is>
      </c>
      <c r="C2" s="107" t="inlineStr">
        <is>
          <t>箱/こ/不</t>
        </is>
      </c>
      <c r="D2" s="107" t="inlineStr">
        <is>
          <t>こだISP</t>
        </is>
      </c>
      <c r="E2" s="107" t="inlineStr">
        <is>
          <t>こだ丸広川越</t>
        </is>
      </c>
      <c r="F2" s="107" t="inlineStr">
        <is>
          <t>こだ市川</t>
        </is>
      </c>
      <c r="G2" s="107" t="inlineStr">
        <is>
          <t>こだ中村橋</t>
        </is>
      </c>
      <c r="H2" s="107" t="inlineStr">
        <is>
          <t>こだ溝口</t>
        </is>
      </c>
      <c r="I2" s="107" t="inlineStr">
        <is>
          <t>こだ大船</t>
        </is>
      </c>
      <c r="J2" s="107" t="inlineStr">
        <is>
          <t>こだ金町</t>
        </is>
      </c>
      <c r="K2" s="107" t="inlineStr">
        <is>
          <t>こだ八王子</t>
        </is>
      </c>
      <c r="L2" s="107" t="inlineStr">
        <is>
          <t>こだ船橋</t>
        </is>
      </c>
      <c r="M2" s="107" t="inlineStr">
        <is>
          <t>こだ吉祥寺</t>
        </is>
      </c>
      <c r="N2" s="107" t="inlineStr">
        <is>
          <t>こだｾﾝﾀｰ北</t>
        </is>
      </c>
      <c r="O2" s="107" t="inlineStr">
        <is>
          <t>こだおおたか</t>
        </is>
      </c>
      <c r="P2" s="107" t="inlineStr">
        <is>
          <t>こだ自由が丘</t>
        </is>
      </c>
      <c r="Q2" s="107" t="inlineStr">
        <is>
          <t>こだ上野</t>
        </is>
      </c>
      <c r="R2" s="107" t="inlineStr">
        <is>
          <t>こだ新百合</t>
        </is>
      </c>
      <c r="S2" s="107" t="inlineStr">
        <is>
          <t>こだ中野</t>
        </is>
      </c>
      <c r="T2" s="107" t="inlineStr">
        <is>
          <t>こだ平塚</t>
        </is>
      </c>
      <c r="U2" s="107" t="inlineStr">
        <is>
          <t>こだ海老名</t>
        </is>
      </c>
      <c r="V2" s="107" t="inlineStr">
        <is>
          <t>こだ戸塚</t>
        </is>
      </c>
      <c r="W2" s="107" t="inlineStr">
        <is>
          <t>こだ辻堂</t>
        </is>
      </c>
      <c r="X2" s="107" t="inlineStr">
        <is>
          <t>こだ三軒茶屋</t>
        </is>
      </c>
      <c r="Y2" s="107" t="inlineStr">
        <is>
          <t>こだ国分寺</t>
        </is>
      </c>
      <c r="Z2" s="107" t="inlineStr">
        <is>
          <t>こだ池袋</t>
        </is>
      </c>
      <c r="AA2" s="107" t="inlineStr">
        <is>
          <t>こだ田無</t>
        </is>
      </c>
      <c r="AB2" s="107" t="inlineStr">
        <is>
          <t>こだ新宿</t>
        </is>
      </c>
      <c r="AC2" s="107" t="inlineStr">
        <is>
          <t>こだ横浜</t>
        </is>
      </c>
      <c r="AD2" s="107" t="inlineStr">
        <is>
          <t>こだ港南台</t>
        </is>
      </c>
      <c r="AE2" s="107" t="inlineStr">
        <is>
          <t>こだ藤沢</t>
        </is>
      </c>
      <c r="AF2" s="107" t="inlineStr">
        <is>
          <t>こだ東戸塚</t>
        </is>
      </c>
      <c r="AG2" s="107" t="inlineStr">
        <is>
          <t>こだ大宮</t>
        </is>
      </c>
      <c r="AH2" s="107" t="inlineStr">
        <is>
          <t>こだ狛江</t>
        </is>
      </c>
      <c r="AI2" s="107" t="inlineStr">
        <is>
          <t>こだ本厚</t>
        </is>
      </c>
      <c r="AJ2" s="107" t="inlineStr">
        <is>
          <t>こだ調布</t>
        </is>
      </c>
      <c r="AK2" s="107" t="inlineStr">
        <is>
          <t>こだ所沢</t>
        </is>
      </c>
      <c r="AL2" s="107" t="inlineStr">
        <is>
          <t>こだ千葉</t>
        </is>
      </c>
      <c r="AM2" s="107" t="inlineStr">
        <is>
          <t>こだ川崎</t>
        </is>
      </c>
      <c r="AN2" s="107" t="inlineStr">
        <is>
          <t>こだ浦和</t>
        </is>
      </c>
      <c r="AO2" s="107" t="inlineStr">
        <is>
          <t>こだ昭島</t>
        </is>
      </c>
      <c r="AP2" s="107" t="inlineStr">
        <is>
          <t>こだ草加</t>
        </is>
      </c>
      <c r="AQ2" s="107" t="inlineStr">
        <is>
          <t>こだ錦糸町</t>
        </is>
      </c>
      <c r="AR2" s="107" t="inlineStr">
        <is>
          <t>こだ大野</t>
        </is>
      </c>
      <c r="AS2" s="107" t="inlineStr">
        <is>
          <t>こだ三鷹</t>
        </is>
      </c>
      <c r="AT2" s="107" t="inlineStr">
        <is>
          <t>こだ永福町</t>
        </is>
      </c>
      <c r="AU2" s="107" t="inlineStr">
        <is>
          <t>こだ稲毛</t>
        </is>
      </c>
      <c r="AV2" s="116" t="inlineStr">
        <is>
          <t>こだｵﾀﾞｻｶﾞ</t>
        </is>
      </c>
      <c r="AW2" s="120" t="n"/>
      <c r="AX2" s="108" t="n"/>
      <c r="AY2" s="108" t="n"/>
      <c r="AZ2" s="108" t="n"/>
      <c r="BA2" s="108" t="n"/>
      <c r="BB2" s="108" t="n"/>
      <c r="BC2" s="108" t="n"/>
      <c r="BD2" s="108" t="n"/>
      <c r="BE2" s="108" t="n"/>
      <c r="BF2" s="108" t="n"/>
      <c r="BG2" s="108" t="n"/>
      <c r="BH2" s="108" t="n"/>
      <c r="BI2" s="108" t="n"/>
      <c r="BJ2" s="108" t="n"/>
      <c r="BK2" s="108" t="n"/>
      <c r="BL2" s="108" t="n"/>
      <c r="BM2" s="108" t="n"/>
      <c r="BN2" s="108" t="n"/>
      <c r="BO2" s="108" t="n"/>
      <c r="BP2" s="108" t="n"/>
      <c r="BQ2" s="108" t="n"/>
      <c r="BR2" s="108" t="n"/>
      <c r="BS2" s="108" t="n"/>
      <c r="BT2" s="108" t="n"/>
      <c r="BU2" s="108" t="n"/>
      <c r="BV2" s="108" t="n"/>
      <c r="BW2" s="108" t="n"/>
      <c r="BX2" s="108" t="n"/>
      <c r="BY2" s="108" t="n"/>
      <c r="BZ2" s="108" t="n"/>
      <c r="CA2" s="108" t="n"/>
      <c r="CB2" s="108" t="n"/>
    </row>
    <row r="3" ht="34.5" customFormat="1" customHeight="1" s="22">
      <c r="A3" s="148" t="inlineStr">
        <is>
          <t>1031</t>
        </is>
      </c>
      <c r="B3" s="130" t="inlineStr">
        <is>
          <t>■有機パール柑　10kg(高岡)</t>
        </is>
      </c>
      <c r="C3" s="111" t="inlineStr">
        <is>
          <t>箱</t>
        </is>
      </c>
      <c r="D3" s="111" t="n"/>
      <c r="E3" s="111" t="n"/>
      <c r="F3" s="111" t="n"/>
      <c r="G3" s="111" t="n"/>
      <c r="H3" s="111" t="n"/>
      <c r="I3" s="111" t="n"/>
      <c r="J3" s="111" t="n"/>
      <c r="K3" s="111" t="n"/>
      <c r="L3" s="111" t="n"/>
      <c r="M3" s="111" t="n"/>
      <c r="N3" s="111" t="n"/>
      <c r="O3" s="111" t="n"/>
      <c r="P3" s="111" t="n"/>
      <c r="Q3" s="111" t="n"/>
      <c r="R3" s="111" t="n"/>
      <c r="S3" s="111" t="n"/>
      <c r="T3" s="111" t="n"/>
      <c r="U3" s="111" t="n"/>
      <c r="V3" s="111" t="n"/>
      <c r="W3" s="111" t="n"/>
      <c r="X3" s="111" t="n"/>
      <c r="Y3" s="111" t="n"/>
      <c r="Z3" s="111" t="n">
        <v>1</v>
      </c>
      <c r="AA3" s="111" t="n"/>
      <c r="AB3" s="111" t="n"/>
      <c r="AC3" s="111" t="n"/>
      <c r="AD3" s="111" t="n"/>
      <c r="AE3" s="111" t="n"/>
      <c r="AF3" s="111" t="n"/>
      <c r="AG3" s="111" t="n"/>
      <c r="AH3" s="111" t="n"/>
      <c r="AI3" s="111" t="n"/>
      <c r="AJ3" s="111" t="n"/>
      <c r="AK3" s="111" t="n"/>
      <c r="AL3" s="111" t="n"/>
      <c r="AM3" s="111" t="n"/>
      <c r="AN3" s="111" t="n"/>
      <c r="AO3" s="111" t="n"/>
      <c r="AP3" s="111" t="n"/>
      <c r="AQ3" s="111" t="n"/>
      <c r="AR3" s="111" t="n"/>
      <c r="AS3" s="111" t="n"/>
      <c r="AT3" s="111" t="n"/>
      <c r="AU3" s="111" t="n"/>
      <c r="AV3" s="151" t="n"/>
      <c r="AW3" s="154" t="n">
        <v>1</v>
      </c>
    </row>
    <row r="4" ht="34.5" customFormat="1" customHeight="1" s="114">
      <c r="A4" s="149" t="inlineStr">
        <is>
          <t>1225-429</t>
        </is>
      </c>
      <c r="B4" s="131" t="inlineStr">
        <is>
          <t>■有機玉ねぎ　M・L 20kg(宇野聡一)</t>
        </is>
      </c>
      <c r="C4" s="119" t="inlineStr">
        <is>
          <t>箱</t>
        </is>
      </c>
      <c r="D4" s="119" t="n"/>
      <c r="E4" s="119" t="n"/>
      <c r="F4" s="119" t="n"/>
      <c r="G4" s="119" t="n"/>
      <c r="H4" s="119" t="n"/>
      <c r="I4" s="119" t="n"/>
      <c r="J4" s="119" t="n"/>
      <c r="K4" s="119" t="n">
        <v>1</v>
      </c>
      <c r="L4" s="119" t="n"/>
      <c r="M4" s="119" t="n"/>
      <c r="N4" s="119" t="n"/>
      <c r="O4" s="119" t="n"/>
      <c r="P4" s="119" t="n"/>
      <c r="Q4" s="119" t="n"/>
      <c r="R4" s="119" t="n"/>
      <c r="S4" s="119" t="n"/>
      <c r="T4" s="119" t="n"/>
      <c r="U4" s="119" t="n"/>
      <c r="V4" s="119" t="n"/>
      <c r="W4" s="119" t="n"/>
      <c r="X4" s="119" t="n"/>
      <c r="Y4" s="119" t="n"/>
      <c r="Z4" s="119" t="n"/>
      <c r="AA4" s="119" t="n"/>
      <c r="AB4" s="119" t="n"/>
      <c r="AC4" s="119" t="n"/>
      <c r="AD4" s="119" t="n"/>
      <c r="AE4" s="119" t="n"/>
      <c r="AF4" s="119" t="n"/>
      <c r="AG4" s="119" t="n"/>
      <c r="AH4" s="119" t="n"/>
      <c r="AI4" s="119" t="n"/>
      <c r="AJ4" s="119" t="n"/>
      <c r="AK4" s="119" t="n"/>
      <c r="AL4" s="119" t="n"/>
      <c r="AM4" s="119" t="n"/>
      <c r="AN4" s="119" t="n"/>
      <c r="AO4" s="119" t="n"/>
      <c r="AP4" s="119" t="n"/>
      <c r="AQ4" s="119" t="n"/>
      <c r="AR4" s="119" t="n"/>
      <c r="AS4" s="119" t="n"/>
      <c r="AT4" s="119" t="n"/>
      <c r="AU4" s="119" t="n"/>
      <c r="AV4" s="152" t="n"/>
      <c r="AW4" s="155" t="n">
        <v>1</v>
      </c>
      <c r="AX4" s="113" t="n"/>
      <c r="AY4" s="113" t="n"/>
      <c r="AZ4" s="113" t="n"/>
      <c r="BA4" s="113" t="n"/>
      <c r="BB4" s="113" t="n"/>
      <c r="BC4" s="113" t="n"/>
      <c r="BD4" s="113" t="n"/>
      <c r="BE4" s="113" t="n"/>
      <c r="BF4" s="113" t="n"/>
      <c r="BG4" s="113" t="n"/>
      <c r="BH4" s="113" t="n"/>
      <c r="BI4" s="113" t="n"/>
      <c r="BJ4" s="113" t="n"/>
      <c r="BK4" s="113" t="n"/>
      <c r="BL4" s="113" t="n"/>
      <c r="BM4" s="113" t="n"/>
      <c r="BN4" s="113" t="n"/>
      <c r="BO4" s="113" t="n"/>
      <c r="BP4" s="113" t="n"/>
      <c r="BQ4" s="113" t="n"/>
      <c r="BR4" s="113" t="n"/>
      <c r="BS4" s="113" t="n"/>
      <c r="BT4" s="113" t="n"/>
      <c r="BU4" s="113" t="n"/>
      <c r="BV4" s="113" t="n"/>
      <c r="BW4" s="113" t="n"/>
      <c r="BX4" s="113" t="n"/>
      <c r="BY4" s="113" t="n"/>
      <c r="BZ4" s="113" t="n"/>
      <c r="CA4" s="113" t="n"/>
      <c r="CB4" s="113" t="n"/>
    </row>
    <row r="5" ht="34.5" customFormat="1" customHeight="1" s="22">
      <c r="A5" s="148" t="inlineStr">
        <is>
          <t>1225-434</t>
        </is>
      </c>
      <c r="B5" s="130" t="inlineStr">
        <is>
          <t>■有機玉ねぎ　10kg(宇野聡一)◇</t>
        </is>
      </c>
      <c r="C5" s="111" t="inlineStr">
        <is>
          <t>箱</t>
        </is>
      </c>
      <c r="D5" s="111" t="n"/>
      <c r="E5" s="111" t="n"/>
      <c r="F5" s="111" t="n"/>
      <c r="G5" s="111" t="n"/>
      <c r="H5" s="111" t="n"/>
      <c r="I5" s="111" t="n">
        <v>1</v>
      </c>
      <c r="J5" s="111" t="n"/>
      <c r="K5" s="111" t="n"/>
      <c r="L5" s="111" t="n"/>
      <c r="M5" s="111" t="n"/>
      <c r="N5" s="111" t="n"/>
      <c r="O5" s="111" t="n"/>
      <c r="P5" s="111" t="n">
        <v>1</v>
      </c>
      <c r="Q5" s="111" t="n"/>
      <c r="R5" s="111" t="n"/>
      <c r="S5" s="111" t="n"/>
      <c r="T5" s="111" t="n"/>
      <c r="U5" s="111" t="n"/>
      <c r="V5" s="111" t="n"/>
      <c r="W5" s="111" t="n"/>
      <c r="X5" s="111" t="n"/>
      <c r="Y5" s="111" t="n"/>
      <c r="Z5" s="111" t="n"/>
      <c r="AA5" s="111" t="n"/>
      <c r="AB5" s="111" t="n"/>
      <c r="AC5" s="111" t="n"/>
      <c r="AD5" s="111" t="n"/>
      <c r="AE5" s="111" t="n"/>
      <c r="AF5" s="111" t="n"/>
      <c r="AG5" s="111" t="n"/>
      <c r="AH5" s="111" t="n"/>
      <c r="AI5" s="111" t="n"/>
      <c r="AJ5" s="111" t="n"/>
      <c r="AK5" s="111" t="n"/>
      <c r="AL5" s="111" t="n"/>
      <c r="AM5" s="111" t="n"/>
      <c r="AN5" s="111" t="n"/>
      <c r="AO5" s="111" t="n"/>
      <c r="AP5" s="111" t="n"/>
      <c r="AQ5" s="111" t="n"/>
      <c r="AR5" s="111" t="n"/>
      <c r="AS5" s="111" t="n"/>
      <c r="AT5" s="111" t="n"/>
      <c r="AU5" s="111" t="n"/>
      <c r="AV5" s="151" t="n">
        <v>1</v>
      </c>
      <c r="AW5" s="154" t="n">
        <v>3</v>
      </c>
    </row>
    <row r="6" ht="34.5" customFormat="1" customHeight="1" s="114">
      <c r="A6" s="149" t="inlineStr">
        <is>
          <t>1232-306</t>
        </is>
      </c>
      <c r="B6" s="131" t="inlineStr">
        <is>
          <t>■有機じゃがいも｢男爵｣ 混 10kg (坂本）</t>
        </is>
      </c>
      <c r="C6" s="119" t="inlineStr">
        <is>
          <t>箱</t>
        </is>
      </c>
      <c r="D6" s="119" t="n">
        <v>1</v>
      </c>
      <c r="E6" s="119" t="n"/>
      <c r="F6" s="119" t="n"/>
      <c r="G6" s="119" t="n"/>
      <c r="H6" s="119" t="n"/>
      <c r="I6" s="119" t="n"/>
      <c r="J6" s="119" t="n"/>
      <c r="K6" s="119" t="n"/>
      <c r="L6" s="119" t="n"/>
      <c r="M6" s="119" t="n"/>
      <c r="N6" s="119" t="n"/>
      <c r="O6" s="119" t="n">
        <v>1</v>
      </c>
      <c r="P6" s="119" t="n"/>
      <c r="Q6" s="119" t="n"/>
      <c r="R6" s="119" t="n"/>
      <c r="S6" s="119" t="n"/>
      <c r="T6" s="119" t="n"/>
      <c r="U6" s="119" t="n"/>
      <c r="V6" s="119" t="n"/>
      <c r="W6" s="119" t="n"/>
      <c r="X6" s="119" t="n"/>
      <c r="Y6" s="119" t="n"/>
      <c r="Z6" s="119" t="n"/>
      <c r="AA6" s="119" t="n"/>
      <c r="AB6" s="119" t="n"/>
      <c r="AC6" s="119" t="n">
        <v>1</v>
      </c>
      <c r="AD6" s="119" t="n"/>
      <c r="AE6" s="119" t="n"/>
      <c r="AF6" s="119" t="n"/>
      <c r="AG6" s="119" t="n"/>
      <c r="AH6" s="119" t="n"/>
      <c r="AI6" s="119" t="n"/>
      <c r="AJ6" s="119" t="n"/>
      <c r="AK6" s="119" t="n"/>
      <c r="AL6" s="119" t="n"/>
      <c r="AM6" s="119" t="n"/>
      <c r="AN6" s="119" t="n"/>
      <c r="AO6" s="119" t="n">
        <v>1</v>
      </c>
      <c r="AP6" s="119" t="n"/>
      <c r="AQ6" s="119" t="n"/>
      <c r="AR6" s="119" t="n"/>
      <c r="AS6" s="119" t="n"/>
      <c r="AT6" s="119" t="n"/>
      <c r="AU6" s="119" t="n"/>
      <c r="AV6" s="152" t="n"/>
      <c r="AW6" s="155" t="n">
        <v>4</v>
      </c>
      <c r="AX6" s="113" t="n"/>
      <c r="AY6" s="113" t="n"/>
      <c r="AZ6" s="113" t="n"/>
      <c r="BA6" s="113" t="n"/>
      <c r="BB6" s="113" t="n"/>
      <c r="BC6" s="113" t="n"/>
      <c r="BD6" s="113" t="n"/>
      <c r="BE6" s="113" t="n"/>
      <c r="BF6" s="113" t="n"/>
      <c r="BG6" s="113" t="n"/>
      <c r="BH6" s="113" t="n"/>
      <c r="BI6" s="113" t="n"/>
      <c r="BJ6" s="113" t="n"/>
      <c r="BK6" s="113" t="n"/>
      <c r="BL6" s="113" t="n"/>
      <c r="BM6" s="113" t="n"/>
      <c r="BN6" s="113" t="n"/>
      <c r="BO6" s="113" t="n"/>
      <c r="BP6" s="113" t="n"/>
      <c r="BQ6" s="113" t="n"/>
      <c r="BR6" s="113" t="n"/>
      <c r="BS6" s="113" t="n"/>
      <c r="BT6" s="113" t="n"/>
      <c r="BU6" s="113" t="n"/>
      <c r="BV6" s="113" t="n"/>
      <c r="BW6" s="113" t="n"/>
      <c r="BX6" s="113" t="n"/>
      <c r="BY6" s="113" t="n"/>
      <c r="BZ6" s="113" t="n"/>
      <c r="CA6" s="113" t="n"/>
      <c r="CB6" s="113" t="n"/>
    </row>
    <row r="7" ht="34.5" customFormat="1" customHeight="1" s="22">
      <c r="A7" s="148" t="inlineStr">
        <is>
          <t>1241-39</t>
        </is>
      </c>
      <c r="B7" s="130" t="inlineStr">
        <is>
          <t>■有機人参 洗い 10kg（さんぶ・産ﾊﾟ）</t>
        </is>
      </c>
      <c r="C7" s="111" t="inlineStr">
        <is>
          <t>箱</t>
        </is>
      </c>
      <c r="D7" s="111" t="n"/>
      <c r="E7" s="111" t="n"/>
      <c r="F7" s="111" t="n"/>
      <c r="G7" s="111" t="n"/>
      <c r="H7" s="111" t="n"/>
      <c r="I7" s="111" t="n"/>
      <c r="J7" s="111" t="n"/>
      <c r="K7" s="111" t="n"/>
      <c r="L7" s="111" t="n"/>
      <c r="M7" s="111" t="n"/>
      <c r="N7" s="111" t="n"/>
      <c r="O7" s="111" t="n"/>
      <c r="P7" s="111" t="n"/>
      <c r="Q7" s="111" t="n"/>
      <c r="R7" s="111" t="n"/>
      <c r="S7" s="111" t="n"/>
      <c r="T7" s="111" t="n"/>
      <c r="U7" s="111" t="n"/>
      <c r="V7" s="111" t="n"/>
      <c r="W7" s="111" t="n"/>
      <c r="X7" s="111" t="n"/>
      <c r="Y7" s="111" t="n"/>
      <c r="Z7" s="111" t="n"/>
      <c r="AA7" s="111" t="n"/>
      <c r="AB7" s="111" t="n"/>
      <c r="AC7" s="111" t="n">
        <v>1</v>
      </c>
      <c r="AD7" s="111" t="n"/>
      <c r="AE7" s="111" t="n"/>
      <c r="AF7" s="111" t="n"/>
      <c r="AG7" s="111" t="n"/>
      <c r="AH7" s="111" t="n"/>
      <c r="AI7" s="111" t="n"/>
      <c r="AJ7" s="111" t="n"/>
      <c r="AK7" s="111" t="n"/>
      <c r="AL7" s="111" t="n"/>
      <c r="AM7" s="111" t="n"/>
      <c r="AN7" s="111" t="n"/>
      <c r="AO7" s="111" t="n"/>
      <c r="AP7" s="111" t="n"/>
      <c r="AQ7" s="111" t="n"/>
      <c r="AR7" s="111" t="n"/>
      <c r="AS7" s="111" t="n"/>
      <c r="AT7" s="111" t="n"/>
      <c r="AU7" s="111" t="n"/>
      <c r="AV7" s="151" t="n"/>
      <c r="AW7" s="154" t="n">
        <v>1</v>
      </c>
    </row>
    <row r="8" ht="34.5" customFormat="1" customHeight="1" s="114">
      <c r="A8" s="149" t="inlineStr">
        <is>
          <t>1241-500</t>
        </is>
      </c>
      <c r="B8" s="131" t="inlineStr">
        <is>
          <t>■有機人参 洗Ｃ(わけあり) 10kg(加瀬)</t>
        </is>
      </c>
      <c r="C8" s="119" t="inlineStr">
        <is>
          <t>箱</t>
        </is>
      </c>
      <c r="D8" s="119" t="n"/>
      <c r="E8" s="119" t="n"/>
      <c r="F8" s="119" t="n"/>
      <c r="G8" s="119" t="n"/>
      <c r="H8" s="119" t="n"/>
      <c r="I8" s="119" t="n"/>
      <c r="J8" s="119" t="n"/>
      <c r="K8" s="119" t="n">
        <v>1</v>
      </c>
      <c r="L8" s="119" t="n">
        <v>1</v>
      </c>
      <c r="M8" s="119" t="n"/>
      <c r="N8" s="119" t="n"/>
      <c r="O8" s="119" t="n"/>
      <c r="P8" s="119" t="n"/>
      <c r="Q8" s="119" t="n"/>
      <c r="R8" s="119" t="n"/>
      <c r="S8" s="119" t="n"/>
      <c r="T8" s="119" t="n"/>
      <c r="U8" s="119" t="n"/>
      <c r="V8" s="119" t="n"/>
      <c r="W8" s="119" t="n"/>
      <c r="X8" s="119" t="n"/>
      <c r="Y8" s="119" t="n"/>
      <c r="Z8" s="119" t="n"/>
      <c r="AA8" s="119" t="n"/>
      <c r="AB8" s="119" t="n"/>
      <c r="AC8" s="119" t="n"/>
      <c r="AD8" s="119" t="n"/>
      <c r="AE8" s="119" t="n"/>
      <c r="AF8" s="119" t="n"/>
      <c r="AG8" s="119" t="n"/>
      <c r="AH8" s="119" t="n"/>
      <c r="AI8" s="119" t="n"/>
      <c r="AJ8" s="119" t="n"/>
      <c r="AK8" s="119" t="n"/>
      <c r="AL8" s="119" t="n"/>
      <c r="AM8" s="119" t="n"/>
      <c r="AN8" s="119" t="n"/>
      <c r="AO8" s="119" t="n"/>
      <c r="AP8" s="119" t="n"/>
      <c r="AQ8" s="119" t="n"/>
      <c r="AR8" s="119" t="n"/>
      <c r="AS8" s="119" t="n"/>
      <c r="AT8" s="119" t="n"/>
      <c r="AU8" s="119" t="n"/>
      <c r="AV8" s="152" t="n"/>
      <c r="AW8" s="155" t="n">
        <v>2</v>
      </c>
      <c r="AX8" s="113" t="n"/>
      <c r="AY8" s="113" t="n"/>
      <c r="AZ8" s="113" t="n"/>
      <c r="BA8" s="113" t="n"/>
      <c r="BB8" s="113" t="n"/>
      <c r="BC8" s="113" t="n"/>
      <c r="BD8" s="113" t="n"/>
      <c r="BE8" s="113" t="n"/>
      <c r="BF8" s="113" t="n"/>
      <c r="BG8" s="113" t="n"/>
      <c r="BH8" s="113" t="n"/>
      <c r="BI8" s="113" t="n"/>
      <c r="BJ8" s="113" t="n"/>
      <c r="BK8" s="113" t="n"/>
      <c r="BL8" s="113" t="n"/>
      <c r="BM8" s="113" t="n"/>
      <c r="BN8" s="113" t="n"/>
      <c r="BO8" s="113" t="n"/>
      <c r="BP8" s="113" t="n"/>
      <c r="BQ8" s="113" t="n"/>
      <c r="BR8" s="113" t="n"/>
      <c r="BS8" s="113" t="n"/>
      <c r="BT8" s="113" t="n"/>
      <c r="BU8" s="113" t="n"/>
      <c r="BV8" s="113" t="n"/>
      <c r="BW8" s="113" t="n"/>
      <c r="BX8" s="113" t="n"/>
      <c r="BY8" s="113" t="n"/>
      <c r="BZ8" s="113" t="n"/>
      <c r="CA8" s="113" t="n"/>
      <c r="CB8" s="113" t="n"/>
    </row>
    <row r="9" ht="34.5" customFormat="1" customHeight="1" s="22">
      <c r="A9" s="148" t="inlineStr">
        <is>
          <t>1241-86</t>
        </is>
      </c>
      <c r="B9" s="130" t="inlineStr">
        <is>
          <t>■有機人参 洗い 10kg（吉水農園）</t>
        </is>
      </c>
      <c r="C9" s="111" t="inlineStr">
        <is>
          <t>箱</t>
        </is>
      </c>
      <c r="D9" s="111" t="n"/>
      <c r="E9" s="111" t="n"/>
      <c r="F9" s="111" t="n"/>
      <c r="G9" s="111" t="n"/>
      <c r="H9" s="111" t="n"/>
      <c r="I9" s="111" t="n"/>
      <c r="J9" s="111" t="n"/>
      <c r="K9" s="111" t="n"/>
      <c r="L9" s="111" t="n"/>
      <c r="M9" s="111" t="n"/>
      <c r="N9" s="111" t="n"/>
      <c r="O9" s="111" t="n"/>
      <c r="P9" s="111" t="n"/>
      <c r="Q9" s="111" t="n"/>
      <c r="R9" s="111" t="n"/>
      <c r="S9" s="111" t="n"/>
      <c r="T9" s="111" t="n"/>
      <c r="U9" s="111" t="n"/>
      <c r="V9" s="111" t="n"/>
      <c r="W9" s="111" t="n"/>
      <c r="X9" s="111" t="n"/>
      <c r="Y9" s="111" t="n"/>
      <c r="Z9" s="111" t="n"/>
      <c r="AA9" s="111" t="n"/>
      <c r="AB9" s="111" t="n"/>
      <c r="AC9" s="111" t="n"/>
      <c r="AD9" s="111" t="n"/>
      <c r="AE9" s="111" t="n"/>
      <c r="AF9" s="111" t="n"/>
      <c r="AG9" s="111" t="n"/>
      <c r="AH9" s="111" t="n"/>
      <c r="AI9" s="111" t="n"/>
      <c r="AJ9" s="111" t="n"/>
      <c r="AK9" s="111" t="n"/>
      <c r="AL9" s="111" t="n"/>
      <c r="AM9" s="111" t="n"/>
      <c r="AN9" s="111" t="n"/>
      <c r="AO9" s="111" t="n"/>
      <c r="AP9" s="111" t="n">
        <v>1</v>
      </c>
      <c r="AQ9" s="111" t="n"/>
      <c r="AR9" s="111" t="n"/>
      <c r="AS9" s="111" t="n"/>
      <c r="AT9" s="111" t="n"/>
      <c r="AU9" s="111" t="n"/>
      <c r="AV9" s="151" t="n"/>
      <c r="AW9" s="154" t="n">
        <v>1</v>
      </c>
    </row>
    <row r="10" ht="34.5" customFormat="1" customHeight="1" s="114">
      <c r="A10" s="149" t="inlineStr">
        <is>
          <t>1261-370</t>
        </is>
      </c>
      <c r="B10" s="131" t="inlineStr">
        <is>
          <t>■大根　裸10本(多田孝一)虫2・不　千葉</t>
        </is>
      </c>
      <c r="C10" s="119" t="inlineStr">
        <is>
          <t>箱</t>
        </is>
      </c>
      <c r="D10" s="119" t="n"/>
      <c r="E10" s="119" t="n"/>
      <c r="F10" s="119" t="n"/>
      <c r="G10" s="119" t="n"/>
      <c r="H10" s="119" t="n"/>
      <c r="I10" s="119" t="n"/>
      <c r="J10" s="119" t="n"/>
      <c r="K10" s="119" t="n"/>
      <c r="L10" s="119" t="n"/>
      <c r="M10" s="119" t="n"/>
      <c r="N10" s="119" t="n"/>
      <c r="O10" s="119" t="n"/>
      <c r="P10" s="119" t="n"/>
      <c r="Q10" s="119" t="n"/>
      <c r="R10" s="119" t="n"/>
      <c r="S10" s="119" t="n"/>
      <c r="T10" s="119" t="n"/>
      <c r="U10" s="119" t="n"/>
      <c r="V10" s="119" t="n"/>
      <c r="W10" s="119" t="n"/>
      <c r="X10" s="119" t="n"/>
      <c r="Y10" s="119" t="n">
        <v>1</v>
      </c>
      <c r="Z10" s="119" t="n"/>
      <c r="AA10" s="119" t="n">
        <v>1</v>
      </c>
      <c r="AB10" s="119" t="n">
        <v>1</v>
      </c>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52" t="n"/>
      <c r="AW10" s="155" t="n">
        <v>3</v>
      </c>
      <c r="AX10" s="113" t="n"/>
      <c r="AY10" s="113" t="n"/>
      <c r="AZ10" s="113" t="n"/>
      <c r="BA10" s="113" t="n"/>
      <c r="BB10" s="113" t="n"/>
      <c r="BC10" s="113" t="n"/>
      <c r="BD10" s="113" t="n"/>
      <c r="BE10" s="113" t="n"/>
      <c r="BF10" s="113" t="n"/>
      <c r="BG10" s="113" t="n"/>
      <c r="BH10" s="113" t="n"/>
      <c r="BI10" s="113" t="n"/>
      <c r="BJ10" s="113" t="n"/>
      <c r="BK10" s="113" t="n"/>
      <c r="BL10" s="113" t="n"/>
      <c r="BM10" s="113" t="n"/>
      <c r="BN10" s="113" t="n"/>
      <c r="BO10" s="113" t="n"/>
      <c r="BP10" s="113" t="n"/>
      <c r="BQ10" s="113" t="n"/>
      <c r="BR10" s="113" t="n"/>
      <c r="BS10" s="113" t="n"/>
      <c r="BT10" s="113" t="n"/>
      <c r="BU10" s="113" t="n"/>
      <c r="BV10" s="113" t="n"/>
      <c r="BW10" s="113" t="n"/>
      <c r="BX10" s="113" t="n"/>
      <c r="BY10" s="113" t="n"/>
      <c r="BZ10" s="113" t="n"/>
      <c r="CA10" s="113" t="n"/>
      <c r="CB10" s="113" t="n"/>
    </row>
    <row r="11" ht="34.5" customFormat="1" customHeight="1" s="22">
      <c r="A11" s="148" t="inlineStr">
        <is>
          <t>1261-55</t>
        </is>
      </c>
      <c r="B11" s="130" t="inlineStr">
        <is>
          <t>■大根 洗い 10本　ｺﾝﾃﾅ(萩原)不・不</t>
        </is>
      </c>
      <c r="C11" s="111" t="inlineStr">
        <is>
          <t>箱</t>
        </is>
      </c>
      <c r="D11" s="111" t="n">
        <v>1</v>
      </c>
      <c r="E11" s="111" t="n"/>
      <c r="F11" s="111" t="n"/>
      <c r="G11" s="111" t="n"/>
      <c r="H11" s="111" t="n">
        <v>1</v>
      </c>
      <c r="I11" s="111" t="n"/>
      <c r="J11" s="111" t="n"/>
      <c r="K11" s="111" t="n"/>
      <c r="L11" s="111" t="n"/>
      <c r="M11" s="111" t="n"/>
      <c r="N11" s="111" t="n"/>
      <c r="O11" s="111" t="n"/>
      <c r="P11" s="111" t="n"/>
      <c r="Q11" s="111" t="n"/>
      <c r="R11" s="111" t="n"/>
      <c r="S11" s="111" t="n"/>
      <c r="T11" s="111" t="n"/>
      <c r="U11" s="111" t="n">
        <v>1</v>
      </c>
      <c r="V11" s="111" t="n">
        <v>1</v>
      </c>
      <c r="W11" s="111" t="n">
        <v>1</v>
      </c>
      <c r="X11" s="111" t="n"/>
      <c r="Y11" s="111" t="n"/>
      <c r="Z11" s="111" t="n"/>
      <c r="AA11" s="111" t="n"/>
      <c r="AB11" s="111" t="n"/>
      <c r="AC11" s="111" t="n"/>
      <c r="AD11" s="111" t="n"/>
      <c r="AE11" s="111" t="n">
        <v>1</v>
      </c>
      <c r="AF11" s="111" t="n"/>
      <c r="AG11" s="111" t="n"/>
      <c r="AH11" s="111" t="n"/>
      <c r="AI11" s="111" t="n"/>
      <c r="AJ11" s="111" t="n">
        <v>1</v>
      </c>
      <c r="AK11" s="111" t="n"/>
      <c r="AL11" s="111" t="n">
        <v>1</v>
      </c>
      <c r="AM11" s="111" t="n">
        <v>2</v>
      </c>
      <c r="AN11" s="111" t="n"/>
      <c r="AO11" s="111" t="n">
        <v>1</v>
      </c>
      <c r="AP11" s="111" t="n">
        <v>1</v>
      </c>
      <c r="AQ11" s="111" t="n"/>
      <c r="AR11" s="111" t="n"/>
      <c r="AS11" s="111" t="n">
        <v>1</v>
      </c>
      <c r="AT11" s="111" t="n">
        <v>1</v>
      </c>
      <c r="AU11" s="111" t="n"/>
      <c r="AV11" s="151" t="n">
        <v>1</v>
      </c>
      <c r="AW11" s="154" t="n">
        <v>15</v>
      </c>
    </row>
    <row r="12" ht="34.5" customFormat="1" customHeight="1" s="114">
      <c r="A12" s="149" t="inlineStr">
        <is>
          <t>1316-287</t>
        </is>
      </c>
      <c r="B12" s="131" t="inlineStr">
        <is>
          <t>■ｻﾂﾏ芋「紅はるか」ML10kg(工藤)草1・不</t>
        </is>
      </c>
      <c r="C12" s="119" t="inlineStr">
        <is>
          <t>箱</t>
        </is>
      </c>
      <c r="D12" s="119" t="n"/>
      <c r="E12" s="119" t="n"/>
      <c r="F12" s="119" t="n"/>
      <c r="G12" s="119" t="n"/>
      <c r="H12" s="119" t="n"/>
      <c r="I12" s="119" t="n"/>
      <c r="J12" s="119" t="n"/>
      <c r="K12" s="119" t="n"/>
      <c r="L12" s="119" t="n"/>
      <c r="M12" s="119" t="n"/>
      <c r="N12" s="119" t="n"/>
      <c r="O12" s="119" t="n"/>
      <c r="P12" s="119" t="n"/>
      <c r="Q12" s="119" t="n"/>
      <c r="R12" s="119" t="n"/>
      <c r="S12" s="119" t="n"/>
      <c r="T12" s="119" t="n"/>
      <c r="U12" s="119" t="n"/>
      <c r="V12" s="119" t="n"/>
      <c r="W12" s="119" t="n">
        <v>1</v>
      </c>
      <c r="X12" s="119" t="n"/>
      <c r="Y12" s="119" t="n"/>
      <c r="Z12" s="119" t="n"/>
      <c r="AA12" s="119" t="n"/>
      <c r="AB12" s="119" t="n"/>
      <c r="AC12" s="119" t="n"/>
      <c r="AD12" s="119" t="n"/>
      <c r="AE12" s="119" t="n"/>
      <c r="AF12" s="119" t="n"/>
      <c r="AG12" s="119" t="n"/>
      <c r="AH12" s="119" t="n"/>
      <c r="AI12" s="119" t="n"/>
      <c r="AJ12" s="119" t="n"/>
      <c r="AK12" s="119" t="n"/>
      <c r="AL12" s="119" t="n"/>
      <c r="AM12" s="119" t="n"/>
      <c r="AN12" s="119" t="n"/>
      <c r="AO12" s="119" t="n"/>
      <c r="AP12" s="119" t="n"/>
      <c r="AQ12" s="119" t="n"/>
      <c r="AR12" s="119" t="n"/>
      <c r="AS12" s="119" t="n"/>
      <c r="AT12" s="119" t="n"/>
      <c r="AU12" s="119" t="n"/>
      <c r="AV12" s="152" t="n"/>
      <c r="AW12" s="155" t="n">
        <v>1</v>
      </c>
      <c r="AX12" s="113" t="n"/>
      <c r="AY12" s="113" t="n"/>
      <c r="AZ12" s="113" t="n"/>
      <c r="BA12" s="113" t="n"/>
      <c r="BB12" s="113" t="n"/>
      <c r="BC12" s="113" t="n"/>
      <c r="BD12" s="113" t="n"/>
      <c r="BE12" s="113" t="n"/>
      <c r="BF12" s="113" t="n"/>
      <c r="BG12" s="113" t="n"/>
      <c r="BH12" s="113" t="n"/>
      <c r="BI12" s="113" t="n"/>
      <c r="BJ12" s="113" t="n"/>
      <c r="BK12" s="113" t="n"/>
      <c r="BL12" s="113" t="n"/>
      <c r="BM12" s="113" t="n"/>
      <c r="BN12" s="113" t="n"/>
      <c r="BO12" s="113" t="n"/>
      <c r="BP12" s="113" t="n"/>
      <c r="BQ12" s="113" t="n"/>
      <c r="BR12" s="113" t="n"/>
      <c r="BS12" s="113" t="n"/>
      <c r="BT12" s="113" t="n"/>
      <c r="BU12" s="113" t="n"/>
      <c r="BV12" s="113" t="n"/>
      <c r="BW12" s="113" t="n"/>
      <c r="BX12" s="113" t="n"/>
      <c r="BY12" s="113" t="n"/>
      <c r="BZ12" s="113" t="n"/>
      <c r="CA12" s="113" t="n"/>
      <c r="CB12" s="113" t="n"/>
    </row>
    <row r="13" ht="34.5" customFormat="1" customHeight="1" s="22">
      <c r="A13" s="148" t="inlineStr">
        <is>
          <t>1593-50</t>
        </is>
      </c>
      <c r="B13" s="130" t="inlineStr">
        <is>
          <t>■白菜15㎏箱(長有)菌3虫3(＝5割減)・不</t>
        </is>
      </c>
      <c r="C13" s="111" t="inlineStr">
        <is>
          <t>箱</t>
        </is>
      </c>
      <c r="D13" s="111" t="n"/>
      <c r="E13" s="111" t="n"/>
      <c r="F13" s="111" t="n"/>
      <c r="G13" s="111" t="n"/>
      <c r="H13" s="111" t="n"/>
      <c r="I13" s="111" t="n"/>
      <c r="J13" s="111" t="n"/>
      <c r="K13" s="111" t="n"/>
      <c r="L13" s="111" t="n"/>
      <c r="M13" s="111" t="n">
        <v>1</v>
      </c>
      <c r="N13" s="111" t="n"/>
      <c r="O13" s="111" t="n"/>
      <c r="P13" s="111" t="n"/>
      <c r="Q13" s="111" t="n">
        <v>1</v>
      </c>
      <c r="R13" s="111" t="n">
        <v>1</v>
      </c>
      <c r="S13" s="111" t="n"/>
      <c r="T13" s="111" t="n"/>
      <c r="U13" s="111" t="n"/>
      <c r="V13" s="111" t="n"/>
      <c r="W13" s="111" t="n">
        <v>1</v>
      </c>
      <c r="X13" s="111" t="n"/>
      <c r="Y13" s="111" t="n"/>
      <c r="Z13" s="111" t="n"/>
      <c r="AA13" s="111" t="n"/>
      <c r="AB13" s="111" t="n"/>
      <c r="AC13" s="111" t="n"/>
      <c r="AD13" s="111" t="n"/>
      <c r="AE13" s="111" t="n">
        <v>1</v>
      </c>
      <c r="AF13" s="111" t="n"/>
      <c r="AG13" s="111" t="n"/>
      <c r="AH13" s="111" t="n"/>
      <c r="AI13" s="111" t="n"/>
      <c r="AJ13" s="111" t="n"/>
      <c r="AK13" s="111" t="n"/>
      <c r="AL13" s="111" t="n">
        <v>1</v>
      </c>
      <c r="AM13" s="111" t="n"/>
      <c r="AN13" s="111" t="n"/>
      <c r="AO13" s="111" t="n"/>
      <c r="AP13" s="111" t="n"/>
      <c r="AQ13" s="111" t="n"/>
      <c r="AR13" s="111" t="n">
        <v>1</v>
      </c>
      <c r="AS13" s="111" t="n">
        <v>1</v>
      </c>
      <c r="AT13" s="111" t="n"/>
      <c r="AU13" s="111" t="n"/>
      <c r="AV13" s="151" t="n"/>
      <c r="AW13" s="154" t="n">
        <v>8</v>
      </c>
    </row>
    <row r="14" ht="35.25" customFormat="1" customHeight="1" s="114" thickBot="1">
      <c r="A14" s="150" t="inlineStr">
        <is>
          <t>1665-32</t>
        </is>
      </c>
      <c r="B14" s="132" t="inlineStr">
        <is>
          <t>■有機かぼちゃ｢ほっこり」10kg(石田)</t>
        </is>
      </c>
      <c r="C14" s="128" t="inlineStr">
        <is>
          <t>箱</t>
        </is>
      </c>
      <c r="D14" s="128" t="n"/>
      <c r="E14" s="128" t="n"/>
      <c r="F14" s="128" t="n"/>
      <c r="G14" s="128" t="n"/>
      <c r="H14" s="128" t="n"/>
      <c r="I14" s="128" t="n"/>
      <c r="J14" s="128" t="n"/>
      <c r="K14" s="128" t="n"/>
      <c r="L14" s="128" t="n"/>
      <c r="M14" s="128" t="n"/>
      <c r="N14" s="128" t="n"/>
      <c r="O14" s="128" t="n"/>
      <c r="P14" s="128" t="n"/>
      <c r="Q14" s="128" t="n"/>
      <c r="R14" s="128" t="n"/>
      <c r="S14" s="128" t="n"/>
      <c r="T14" s="128" t="n"/>
      <c r="U14" s="128" t="n"/>
      <c r="V14" s="128" t="n"/>
      <c r="W14" s="128" t="n"/>
      <c r="X14" s="128" t="n"/>
      <c r="Y14" s="128" t="n"/>
      <c r="Z14" s="128" t="n">
        <v>1</v>
      </c>
      <c r="AA14" s="128" t="n"/>
      <c r="AB14" s="128" t="n"/>
      <c r="AC14" s="128" t="n">
        <v>1</v>
      </c>
      <c r="AD14" s="128" t="n"/>
      <c r="AE14" s="128" t="n"/>
      <c r="AF14" s="128" t="n"/>
      <c r="AG14" s="128" t="n"/>
      <c r="AH14" s="128" t="n"/>
      <c r="AI14" s="128" t="n"/>
      <c r="AJ14" s="128" t="n"/>
      <c r="AK14" s="128" t="n"/>
      <c r="AL14" s="128" t="n"/>
      <c r="AM14" s="128" t="n"/>
      <c r="AN14" s="128" t="n"/>
      <c r="AO14" s="128" t="n"/>
      <c r="AP14" s="128" t="n"/>
      <c r="AQ14" s="128" t="n"/>
      <c r="AR14" s="128" t="n"/>
      <c r="AS14" s="128" t="n"/>
      <c r="AT14" s="128" t="n"/>
      <c r="AU14" s="128" t="n"/>
      <c r="AV14" s="153" t="n"/>
      <c r="AW14" s="156" t="n">
        <v>2</v>
      </c>
      <c r="AX14" s="113" t="n"/>
      <c r="AY14" s="113" t="n"/>
      <c r="AZ14" s="113" t="n"/>
      <c r="BA14" s="113" t="n"/>
      <c r="BB14" s="113" t="n"/>
      <c r="BC14" s="113" t="n"/>
      <c r="BD14" s="113" t="n"/>
      <c r="BE14" s="113" t="n"/>
      <c r="BF14" s="113" t="n"/>
      <c r="BG14" s="113" t="n"/>
      <c r="BH14" s="113" t="n"/>
      <c r="BI14" s="113" t="n"/>
      <c r="BJ14" s="113" t="n"/>
      <c r="BK14" s="113" t="n"/>
      <c r="BL14" s="113" t="n"/>
      <c r="BM14" s="113" t="n"/>
      <c r="BN14" s="113" t="n"/>
      <c r="BO14" s="113" t="n"/>
      <c r="BP14" s="113" t="n"/>
      <c r="BQ14" s="113" t="n"/>
      <c r="BR14" s="113" t="n"/>
      <c r="BS14" s="113" t="n"/>
      <c r="BT14" s="113" t="n"/>
      <c r="BU14" s="113" t="n"/>
      <c r="BV14" s="113" t="n"/>
      <c r="BW14" s="113" t="n"/>
      <c r="BX14" s="113" t="n"/>
      <c r="BY14" s="113" t="n"/>
      <c r="BZ14" s="113" t="n"/>
      <c r="CA14" s="113" t="n"/>
      <c r="CB14" s="113" t="n"/>
    </row>
    <row r="15" ht="56.25" customFormat="1" customHeight="1" s="109">
      <c r="A15" s="123" t="inlineStr">
        <is>
          <t>商品コード</t>
        </is>
      </c>
      <c r="B15" s="123" t="inlineStr">
        <is>
          <t>商品名</t>
        </is>
      </c>
      <c r="C15" s="123" t="inlineStr">
        <is>
          <t>箱/こ/不</t>
        </is>
      </c>
      <c r="D15" s="123" t="inlineStr">
        <is>
          <t>こだISP</t>
        </is>
      </c>
      <c r="E15" s="123" t="inlineStr">
        <is>
          <t>こだ丸広川越</t>
        </is>
      </c>
      <c r="F15" s="123" t="inlineStr">
        <is>
          <t>こだ市川</t>
        </is>
      </c>
      <c r="G15" s="123" t="inlineStr">
        <is>
          <t>こだ中村橋</t>
        </is>
      </c>
      <c r="H15" s="123" t="inlineStr">
        <is>
          <t>こだ溝口</t>
        </is>
      </c>
      <c r="I15" s="123" t="inlineStr">
        <is>
          <t>こだ大船</t>
        </is>
      </c>
      <c r="J15" s="123" t="inlineStr">
        <is>
          <t>こだ金町</t>
        </is>
      </c>
      <c r="K15" s="123" t="inlineStr">
        <is>
          <t>こだ八王子</t>
        </is>
      </c>
      <c r="L15" s="123" t="inlineStr">
        <is>
          <t>こだ船橋</t>
        </is>
      </c>
      <c r="M15" s="123" t="inlineStr">
        <is>
          <t>こだ吉祥寺</t>
        </is>
      </c>
      <c r="N15" s="123" t="inlineStr">
        <is>
          <t>こだｾﾝﾀｰ北</t>
        </is>
      </c>
      <c r="O15" s="123" t="inlineStr">
        <is>
          <t>こだおおたか</t>
        </is>
      </c>
      <c r="P15" s="123" t="inlineStr">
        <is>
          <t>こだ自由が丘</t>
        </is>
      </c>
      <c r="Q15" s="123" t="inlineStr">
        <is>
          <t>こだ上野</t>
        </is>
      </c>
      <c r="R15" s="123" t="inlineStr">
        <is>
          <t>こだ新百合</t>
        </is>
      </c>
      <c r="S15" s="123" t="inlineStr">
        <is>
          <t>こだ中野</t>
        </is>
      </c>
      <c r="T15" s="123" t="inlineStr">
        <is>
          <t>こだ平塚</t>
        </is>
      </c>
      <c r="U15" s="123" t="inlineStr">
        <is>
          <t>こだ海老名</t>
        </is>
      </c>
      <c r="V15" s="123" t="inlineStr">
        <is>
          <t>こだ戸塚</t>
        </is>
      </c>
      <c r="W15" s="123" t="inlineStr">
        <is>
          <t>こだ辻堂</t>
        </is>
      </c>
      <c r="X15" s="123" t="inlineStr">
        <is>
          <t>こだ三軒茶屋</t>
        </is>
      </c>
      <c r="Y15" s="123" t="inlineStr">
        <is>
          <t>こだ国分寺</t>
        </is>
      </c>
      <c r="Z15" s="123" t="inlineStr">
        <is>
          <t>こだ池袋</t>
        </is>
      </c>
      <c r="AA15" s="123" t="inlineStr">
        <is>
          <t>こだ田無</t>
        </is>
      </c>
      <c r="AB15" s="123" t="inlineStr">
        <is>
          <t>こだ新宿</t>
        </is>
      </c>
      <c r="AC15" s="123" t="inlineStr">
        <is>
          <t>こだ横浜</t>
        </is>
      </c>
      <c r="AD15" s="123" t="inlineStr">
        <is>
          <t>こだ港南台</t>
        </is>
      </c>
      <c r="AE15" s="123" t="inlineStr">
        <is>
          <t>こだ藤沢</t>
        </is>
      </c>
      <c r="AF15" s="123" t="inlineStr">
        <is>
          <t>こだ東戸塚</t>
        </is>
      </c>
      <c r="AG15" s="123" t="inlineStr">
        <is>
          <t>こだ大宮</t>
        </is>
      </c>
      <c r="AH15" s="123" t="inlineStr">
        <is>
          <t>こだ狛江</t>
        </is>
      </c>
      <c r="AI15" s="123" t="inlineStr">
        <is>
          <t>こだ本厚</t>
        </is>
      </c>
      <c r="AJ15" s="123" t="inlineStr">
        <is>
          <t>こだ調布</t>
        </is>
      </c>
      <c r="AK15" s="123" t="inlineStr">
        <is>
          <t>こだ所沢</t>
        </is>
      </c>
      <c r="AL15" s="123" t="inlineStr">
        <is>
          <t>こだ千葉</t>
        </is>
      </c>
      <c r="AM15" s="123" t="inlineStr">
        <is>
          <t>こだ川崎</t>
        </is>
      </c>
      <c r="AN15" s="123" t="inlineStr">
        <is>
          <t>こだ浦和</t>
        </is>
      </c>
      <c r="AO15" s="123" t="inlineStr">
        <is>
          <t>こだ昭島</t>
        </is>
      </c>
      <c r="AP15" s="123" t="inlineStr">
        <is>
          <t>こだ草加</t>
        </is>
      </c>
      <c r="AQ15" s="123" t="inlineStr">
        <is>
          <t>こだ錦糸町</t>
        </is>
      </c>
      <c r="AR15" s="123" t="inlineStr">
        <is>
          <t>こだ大野</t>
        </is>
      </c>
      <c r="AS15" s="123" t="inlineStr">
        <is>
          <t>こだ三鷹</t>
        </is>
      </c>
      <c r="AT15" s="123" t="inlineStr">
        <is>
          <t>こだ永福町</t>
        </is>
      </c>
      <c r="AU15" s="123" t="inlineStr">
        <is>
          <t>こだ稲毛</t>
        </is>
      </c>
      <c r="AV15" s="124" t="inlineStr">
        <is>
          <t>こだｵﾀﾞｻｶﾞ</t>
        </is>
      </c>
      <c r="AW15" s="125" t="n"/>
      <c r="AX15" s="108" t="n"/>
      <c r="AY15" s="108" t="n"/>
      <c r="AZ15" s="108" t="n"/>
      <c r="BA15" s="108" t="n"/>
      <c r="BB15" s="108" t="n"/>
      <c r="BC15" s="108" t="n"/>
      <c r="BD15" s="108" t="n"/>
      <c r="BE15" s="108" t="n"/>
      <c r="BF15" s="108" t="n"/>
      <c r="BG15" s="108" t="n"/>
      <c r="BH15" s="108" t="n"/>
      <c r="BI15" s="108" t="n"/>
      <c r="BJ15" s="108" t="n"/>
      <c r="BK15" s="108" t="n"/>
      <c r="BL15" s="108" t="n"/>
      <c r="BM15" s="108" t="n"/>
      <c r="BN15" s="108" t="n"/>
      <c r="BO15" s="108" t="n"/>
      <c r="BP15" s="108" t="n"/>
      <c r="BQ15" s="108" t="n"/>
      <c r="BR15" s="108" t="n"/>
      <c r="BS15" s="108" t="n"/>
      <c r="BT15" s="108" t="n"/>
      <c r="BU15" s="108" t="n"/>
      <c r="BV15" s="108" t="n"/>
      <c r="BW15" s="108" t="n"/>
      <c r="BX15" s="108" t="n"/>
      <c r="BY15" s="108" t="n"/>
      <c r="BZ15" s="108" t="n"/>
      <c r="CA15" s="108" t="n"/>
      <c r="CB15" s="108" t="n"/>
    </row>
    <row r="16" ht="24.75" customFormat="1" customHeight="1" s="114">
      <c r="A16" s="149" t="n"/>
      <c r="B16" s="119" t="inlineStr">
        <is>
          <t>箱もの計</t>
        </is>
      </c>
      <c r="C16" s="119" t="n"/>
      <c r="D16" s="119">
        <f>SUM(D3:D14)</f>
        <v/>
      </c>
      <c r="E16" s="119">
        <f>SUM(E3:E14)</f>
        <v/>
      </c>
      <c r="F16" s="119">
        <f>SUM(F3:F14)</f>
        <v/>
      </c>
      <c r="G16" s="119">
        <f>SUM(G3:G14)</f>
        <v/>
      </c>
      <c r="H16" s="119">
        <f>SUM(H3:H14)</f>
        <v/>
      </c>
      <c r="I16" s="119">
        <f>SUM(I3:I14)</f>
        <v/>
      </c>
      <c r="J16" s="119">
        <f>SUM(J3:J14)</f>
        <v/>
      </c>
      <c r="K16" s="119">
        <f>SUM(K3:K14)</f>
        <v/>
      </c>
      <c r="L16" s="119">
        <f>SUM(L3:L14)</f>
        <v/>
      </c>
      <c r="M16" s="119">
        <f>SUM(M3:M14)</f>
        <v/>
      </c>
      <c r="N16" s="119">
        <f>SUM(N3:N14)</f>
        <v/>
      </c>
      <c r="O16" s="119">
        <f>SUM(O3:O14)</f>
        <v/>
      </c>
      <c r="P16" s="119">
        <f>SUM(P3:P14)</f>
        <v/>
      </c>
      <c r="Q16" s="119">
        <f>SUM(Q3:Q14)</f>
        <v/>
      </c>
      <c r="R16" s="119">
        <f>SUM(R3:R14)</f>
        <v/>
      </c>
      <c r="S16" s="119">
        <f>SUM(S3:S14)</f>
        <v/>
      </c>
      <c r="T16" s="119">
        <f>SUM(T3:T14)</f>
        <v/>
      </c>
      <c r="U16" s="119">
        <f>SUM(U3:U14)</f>
        <v/>
      </c>
      <c r="V16" s="119">
        <f>SUM(V3:V14)</f>
        <v/>
      </c>
      <c r="W16" s="119">
        <f>SUM(W3:W14)</f>
        <v/>
      </c>
      <c r="X16" s="119">
        <f>SUM(X3:X14)</f>
        <v/>
      </c>
      <c r="Y16" s="119">
        <f>SUM(Y3:Y14)</f>
        <v/>
      </c>
      <c r="Z16" s="119">
        <f>SUM(Z3:Z14)</f>
        <v/>
      </c>
      <c r="AA16" s="119">
        <f>SUM(AA3:AA14)</f>
        <v/>
      </c>
      <c r="AB16" s="119">
        <f>SUM(AB3:AB14)</f>
        <v/>
      </c>
      <c r="AC16" s="119">
        <f>SUM(AC3:AC14)</f>
        <v/>
      </c>
      <c r="AD16" s="119">
        <f>SUM(AD3:AD14)</f>
        <v/>
      </c>
      <c r="AE16" s="119">
        <f>SUM(AE3:AE14)</f>
        <v/>
      </c>
      <c r="AF16" s="119">
        <f>SUM(AF3:AF14)</f>
        <v/>
      </c>
      <c r="AG16" s="119">
        <f>SUM(AG3:AG14)</f>
        <v/>
      </c>
      <c r="AH16" s="119">
        <f>SUM(AH3:AH14)</f>
        <v/>
      </c>
      <c r="AI16" s="119">
        <f>SUM(AI3:AI14)</f>
        <v/>
      </c>
      <c r="AJ16" s="119">
        <f>SUM(AJ3:AJ14)</f>
        <v/>
      </c>
      <c r="AK16" s="119">
        <f>SUM(AK3:AK14)</f>
        <v/>
      </c>
      <c r="AL16" s="119">
        <f>SUM(AL3:AL14)</f>
        <v/>
      </c>
      <c r="AM16" s="119">
        <f>SUM(AM3:AM14)</f>
        <v/>
      </c>
      <c r="AN16" s="119">
        <f>SUM(AN3:AN14)</f>
        <v/>
      </c>
      <c r="AO16" s="119">
        <f>SUM(AO3:AO14)</f>
        <v/>
      </c>
      <c r="AP16" s="119">
        <f>SUM(AP3:AP14)</f>
        <v/>
      </c>
      <c r="AQ16" s="119">
        <f>SUM(AQ3:AQ14)</f>
        <v/>
      </c>
      <c r="AR16" s="119">
        <f>SUM(AR3:AR14)</f>
        <v/>
      </c>
      <c r="AS16" s="119">
        <f>SUM(AS3:AS14)</f>
        <v/>
      </c>
      <c r="AT16" s="119">
        <f>SUM(AT3:AT14)</f>
        <v/>
      </c>
      <c r="AU16" s="119">
        <f>SUM(AU3:AU14)</f>
        <v/>
      </c>
      <c r="AV16" s="152">
        <f>SUM(AV3:AV14)</f>
        <v/>
      </c>
      <c r="AW16" s="155">
        <f>SUM(AW3:AW14)</f>
        <v/>
      </c>
      <c r="AX16" s="113" t="n"/>
      <c r="AY16" s="113" t="n"/>
      <c r="AZ16" s="113" t="n"/>
      <c r="BA16" s="113" t="n"/>
      <c r="BB16" s="113" t="n"/>
      <c r="BC16" s="113" t="n"/>
      <c r="BD16" s="113" t="n"/>
      <c r="BE16" s="113" t="n"/>
      <c r="BF16" s="113" t="n"/>
      <c r="BG16" s="113" t="n"/>
      <c r="BH16" s="113" t="n"/>
      <c r="BI16" s="113" t="n"/>
      <c r="BJ16" s="113" t="n"/>
      <c r="BK16" s="113" t="n"/>
      <c r="BL16" s="113" t="n"/>
      <c r="BM16" s="113" t="n"/>
      <c r="BN16" s="113" t="n"/>
      <c r="BO16" s="113" t="n"/>
      <c r="BP16" s="113" t="n"/>
      <c r="BQ16" s="113" t="n"/>
      <c r="BR16" s="113" t="n"/>
      <c r="BS16" s="113" t="n"/>
      <c r="BT16" s="113" t="n"/>
      <c r="BU16" s="113" t="n"/>
      <c r="BV16" s="113" t="n"/>
      <c r="BW16" s="113" t="n"/>
      <c r="BX16" s="113" t="n"/>
      <c r="BY16" s="113" t="n"/>
      <c r="BZ16" s="113" t="n"/>
      <c r="CA16" s="113" t="n"/>
      <c r="CB16" s="113" t="n"/>
    </row>
    <row r="17" ht="24.75" customFormat="1" customHeight="1" s="114">
      <c r="A17" s="149" t="n"/>
      <c r="B17" s="119" t="inlineStr">
        <is>
          <t>こもの計</t>
        </is>
      </c>
      <c r="C17" s="119" t="n"/>
      <c r="D17" s="119" t="n"/>
      <c r="E17" s="119" t="n"/>
      <c r="F17" s="119" t="n"/>
      <c r="G17" s="119" t="n"/>
      <c r="H17" s="119" t="n"/>
      <c r="I17" s="119" t="n"/>
      <c r="J17" s="119" t="n"/>
      <c r="K17" s="119" t="n"/>
      <c r="L17" s="119" t="n"/>
      <c r="M17" s="119" t="n"/>
      <c r="N17" s="119" t="n"/>
      <c r="O17" s="119" t="n"/>
      <c r="P17" s="119" t="n"/>
      <c r="Q17" s="119" t="n"/>
      <c r="R17" s="119" t="n"/>
      <c r="S17" s="119" t="n"/>
      <c r="T17" s="119" t="n"/>
      <c r="U17" s="119" t="n"/>
      <c r="V17" s="119" t="n"/>
      <c r="W17" s="119" t="n"/>
      <c r="X17" s="119" t="n"/>
      <c r="Y17" s="119" t="n"/>
      <c r="Z17" s="119" t="n"/>
      <c r="AA17" s="119" t="n"/>
      <c r="AB17" s="119" t="n"/>
      <c r="AC17" s="119" t="n"/>
      <c r="AD17" s="119" t="n"/>
      <c r="AE17" s="119" t="n"/>
      <c r="AF17" s="119" t="n"/>
      <c r="AG17" s="119" t="n"/>
      <c r="AH17" s="119" t="n"/>
      <c r="AI17" s="119" t="n"/>
      <c r="AJ17" s="119" t="n"/>
      <c r="AK17" s="119" t="n"/>
      <c r="AL17" s="119" t="n"/>
      <c r="AM17" s="119" t="n"/>
      <c r="AN17" s="119" t="n"/>
      <c r="AO17" s="119" t="n"/>
      <c r="AP17" s="119" t="n"/>
      <c r="AQ17" s="119" t="n"/>
      <c r="AR17" s="119" t="n"/>
      <c r="AS17" s="119" t="n"/>
      <c r="AT17" s="119" t="n"/>
      <c r="AU17" s="119" t="n"/>
      <c r="AV17" s="152" t="n"/>
      <c r="AW17" s="155" t="n"/>
      <c r="AX17" s="113" t="n"/>
      <c r="AY17" s="113" t="n"/>
      <c r="AZ17" s="113" t="n"/>
      <c r="BA17" s="113" t="n"/>
      <c r="BB17" s="113" t="n"/>
      <c r="BC17" s="113" t="n"/>
      <c r="BD17" s="113" t="n"/>
      <c r="BE17" s="113" t="n"/>
      <c r="BF17" s="113" t="n"/>
      <c r="BG17" s="113" t="n"/>
      <c r="BH17" s="113" t="n"/>
      <c r="BI17" s="113" t="n"/>
      <c r="BJ17" s="113" t="n"/>
      <c r="BK17" s="113" t="n"/>
      <c r="BL17" s="113" t="n"/>
      <c r="BM17" s="113" t="n"/>
      <c r="BN17" s="113" t="n"/>
      <c r="BO17" s="113" t="n"/>
      <c r="BP17" s="113" t="n"/>
      <c r="BQ17" s="113" t="n"/>
      <c r="BR17" s="113" t="n"/>
      <c r="BS17" s="113" t="n"/>
      <c r="BT17" s="113" t="n"/>
      <c r="BU17" s="113" t="n"/>
      <c r="BV17" s="113" t="n"/>
      <c r="BW17" s="113" t="n"/>
      <c r="BX17" s="113" t="n"/>
      <c r="BY17" s="113" t="n"/>
      <c r="BZ17" s="113" t="n"/>
      <c r="CA17" s="113" t="n"/>
      <c r="CB17" s="113" t="n"/>
    </row>
    <row r="18" ht="24.75" customFormat="1" customHeight="1" s="22">
      <c r="A18" s="148" t="n"/>
      <c r="B18" s="111" t="inlineStr">
        <is>
          <t>合計</t>
        </is>
      </c>
      <c r="C18" s="111" t="n"/>
      <c r="D18" s="111" t="n"/>
      <c r="E18" s="111" t="n"/>
      <c r="F18" s="111" t="n"/>
      <c r="G18" s="111" t="n"/>
      <c r="H18" s="111" t="n"/>
      <c r="I18" s="111" t="n"/>
      <c r="J18" s="111" t="n"/>
      <c r="K18" s="111" t="n"/>
      <c r="L18" s="111" t="n"/>
      <c r="M18" s="111" t="n"/>
      <c r="N18" s="111" t="n"/>
      <c r="O18" s="111" t="n"/>
      <c r="P18" s="111" t="n"/>
      <c r="Q18" s="111" t="n"/>
      <c r="R18" s="111" t="n"/>
      <c r="S18" s="111" t="n"/>
      <c r="T18" s="111" t="n"/>
      <c r="U18" s="111" t="n"/>
      <c r="V18" s="111" t="n"/>
      <c r="W18" s="111" t="n"/>
      <c r="X18" s="111" t="n"/>
      <c r="Y18" s="111" t="n"/>
      <c r="Z18" s="111" t="n"/>
      <c r="AA18" s="111" t="n"/>
      <c r="AB18" s="111" t="n"/>
      <c r="AC18" s="111" t="n"/>
      <c r="AD18" s="111" t="n"/>
      <c r="AE18" s="111" t="n"/>
      <c r="AF18" s="111" t="n"/>
      <c r="AG18" s="111" t="n"/>
      <c r="AH18" s="111" t="n"/>
      <c r="AI18" s="111" t="n"/>
      <c r="AJ18" s="111" t="n"/>
      <c r="AK18" s="111" t="n"/>
      <c r="AL18" s="111" t="n"/>
      <c r="AM18" s="111" t="n"/>
      <c r="AN18" s="111" t="n"/>
      <c r="AO18" s="111" t="n"/>
      <c r="AP18" s="111" t="n"/>
      <c r="AQ18" s="111" t="n"/>
      <c r="AR18" s="111" t="n"/>
      <c r="AS18" s="111" t="n"/>
      <c r="AT18" s="111" t="n"/>
      <c r="AU18" s="111" t="n"/>
      <c r="AV18" s="151" t="n"/>
      <c r="AW18" s="154" t="n"/>
    </row>
    <row r="20">
      <c r="B20" s="219" t="inlineStr">
        <is>
          <t>事務所チェック済み印→</t>
        </is>
      </c>
    </row>
  </sheetData>
  <pageMargins left="0.7874015748031497" right="0" top="0.7874015748031497" bottom="0.1968503937007874" header="0" footer="0"/>
  <pageSetup orientation="landscape" paperSize="12" scale="86"/>
</worksheet>
</file>

<file path=xl/worksheets/sheet9.xml><?xml version="1.0" encoding="utf-8"?>
<worksheet xmlns="http://schemas.openxmlformats.org/spreadsheetml/2006/main">
  <sheetPr codeName="Sheet8">
    <tabColor indexed="43"/>
    <outlinePr summaryBelow="1" summaryRight="1"/>
    <pageSetUpPr fitToPage="1"/>
  </sheetPr>
  <dimension ref="A1:CB161"/>
  <sheetViews>
    <sheetView zoomScale="70" zoomScaleNormal="70" workbookViewId="0">
      <pane ySplit="3" topLeftCell="A10" activePane="bottomLeft" state="frozen"/>
      <selection pane="bottomLeft" activeCell="AL8" sqref="AL8"/>
    </sheetView>
  </sheetViews>
  <sheetFormatPr baseColWidth="8" defaultColWidth="9" defaultRowHeight="13.5"/>
  <cols>
    <col width="4.25" customWidth="1" style="217" min="1" max="1"/>
    <col width="42.125" customWidth="1" style="200" min="2" max="2"/>
    <col hidden="1" width="2.5" customWidth="1" style="217" min="3" max="3"/>
    <col width="4.25" customWidth="1" style="217" min="4" max="4"/>
    <col width="4.375" customWidth="1" style="200" min="5" max="7"/>
    <col width="4.375" customWidth="1" style="217" min="8" max="9"/>
    <col width="4.375" customWidth="1" style="200" min="10" max="12"/>
    <col width="4.375" customWidth="1" style="217" min="13" max="36"/>
    <col width="4.875" customWidth="1" style="217" min="37" max="37"/>
    <col width="3.75" customWidth="1" style="217" min="38" max="46"/>
    <col width="3.875" customWidth="1" style="217" min="47" max="50"/>
    <col width="5.125" customWidth="1" style="217" min="51" max="51"/>
    <col width="3.75" customWidth="1" style="217" min="52" max="53"/>
    <col width="3.875" customWidth="1" style="217" min="54" max="54"/>
    <col width="3.75" customWidth="1" style="217" min="55" max="55"/>
    <col width="5.5" customWidth="1" style="217" min="56" max="56"/>
    <col width="9" customWidth="1" style="217" min="57" max="16384"/>
  </cols>
  <sheetData>
    <row r="1" ht="20.45" customFormat="1" customHeight="1" s="22">
      <c r="A1" s="217" t="n"/>
      <c r="B1" s="218" t="inlineStr">
        <is>
          <t>2/17（月）店着　ラミ便・その他</t>
        </is>
      </c>
      <c r="C1" s="200" t="n"/>
      <c r="D1" s="217" t="n"/>
      <c r="F1" s="217" t="n"/>
      <c r="H1" s="217" t="n"/>
      <c r="N1" s="200" t="n"/>
      <c r="P1" s="217" t="n"/>
      <c r="Q1" s="200" t="n"/>
      <c r="AA1" s="200" t="n"/>
      <c r="AD1" s="200" t="n"/>
      <c r="AH1" s="200" t="n"/>
      <c r="AI1" s="217" t="n"/>
    </row>
    <row r="2" ht="33.75" customFormat="1" customHeight="1" s="109">
      <c r="A2" s="110" t="n"/>
      <c r="B2" s="110" t="n"/>
      <c r="C2" s="110" t="n"/>
      <c r="D2" s="107" t="inlineStr">
        <is>
          <t>ﾗﾐ</t>
        </is>
      </c>
      <c r="E2" s="107" t="inlineStr">
        <is>
          <t>ﾗﾐ</t>
        </is>
      </c>
      <c r="F2" s="107" t="inlineStr">
        <is>
          <t>ﾗﾐ</t>
        </is>
      </c>
      <c r="G2" s="107" t="inlineStr">
        <is>
          <t>ﾗﾐ</t>
        </is>
      </c>
      <c r="H2" s="117" t="inlineStr">
        <is>
          <t>ﾗﾐ</t>
        </is>
      </c>
      <c r="I2" s="115" t="inlineStr">
        <is>
          <t>ﾗﾐ(ｻﾈｯﾄ行)</t>
        </is>
      </c>
      <c r="J2" s="107" t="inlineStr">
        <is>
          <t>ﾗﾐ(ｻﾈｯﾄ行)</t>
        </is>
      </c>
      <c r="K2" s="107" t="inlineStr">
        <is>
          <t>ﾗﾐ(ｻﾈｯﾄ行)</t>
        </is>
      </c>
      <c r="L2" s="107" t="inlineStr">
        <is>
          <t>ﾗﾐ(ｻﾈｯﾄ行)</t>
        </is>
      </c>
      <c r="M2" s="107" t="inlineStr">
        <is>
          <t>ﾗﾐ(ｻﾈｯﾄ行)</t>
        </is>
      </c>
      <c r="N2" s="107" t="inlineStr">
        <is>
          <t>ﾗﾐ(ｻﾈｯﾄ行)</t>
        </is>
      </c>
      <c r="O2" s="107" t="inlineStr">
        <is>
          <t>ﾗﾐ(ｻﾈｯﾄ行)</t>
        </is>
      </c>
      <c r="P2" s="107" t="inlineStr">
        <is>
          <t>ﾗﾐ(ｻﾈｯﾄ行)</t>
        </is>
      </c>
      <c r="Q2" s="107" t="inlineStr">
        <is>
          <t>ﾗﾐ(ｻﾈｯﾄ行)</t>
        </is>
      </c>
      <c r="R2" s="117" t="inlineStr">
        <is>
          <t>ﾗﾐ(ｻﾈｯﾄ行)</t>
        </is>
      </c>
      <c r="S2" s="115" t="inlineStr">
        <is>
          <t>桜花便</t>
        </is>
      </c>
      <c r="T2" s="107" t="inlineStr">
        <is>
          <t>社内便1</t>
        </is>
      </c>
      <c r="U2" s="107" t="inlineStr">
        <is>
          <t>社内便1</t>
        </is>
      </c>
      <c r="V2" s="107" t="inlineStr">
        <is>
          <t>社内便1</t>
        </is>
      </c>
      <c r="W2" s="107" t="inlineStr">
        <is>
          <t>社内便1</t>
        </is>
      </c>
      <c r="X2" s="107" t="inlineStr">
        <is>
          <t>社内便1</t>
        </is>
      </c>
      <c r="Y2" s="107" t="inlineStr">
        <is>
          <t>社内便1</t>
        </is>
      </c>
      <c r="Z2" s="107" t="inlineStr">
        <is>
          <t>社内便2</t>
        </is>
      </c>
      <c r="AA2" s="107" t="inlineStr">
        <is>
          <t>社内便3</t>
        </is>
      </c>
      <c r="AB2" s="107" t="inlineStr">
        <is>
          <t>社内便3</t>
        </is>
      </c>
      <c r="AC2" s="107" t="inlineStr">
        <is>
          <t>社内便3</t>
        </is>
      </c>
      <c r="AD2" s="107" t="inlineStr">
        <is>
          <t>社内便3</t>
        </is>
      </c>
      <c r="AE2" s="116" t="inlineStr">
        <is>
          <t>社内便3</t>
        </is>
      </c>
      <c r="AF2" s="120" t="n"/>
      <c r="AG2" s="108" t="n"/>
      <c r="AH2" s="108" t="n"/>
      <c r="AI2" s="108" t="n"/>
      <c r="AJ2" s="108" t="n"/>
      <c r="AK2" s="108" t="n"/>
      <c r="AL2" s="108" t="n"/>
      <c r="AM2" s="108" t="n"/>
      <c r="AN2" s="108" t="n"/>
      <c r="AO2" s="108" t="n"/>
      <c r="AP2" s="108" t="n"/>
      <c r="AQ2" s="108" t="n"/>
      <c r="AR2" s="108" t="n"/>
      <c r="AS2" s="108" t="n"/>
      <c r="AT2" s="108" t="n"/>
      <c r="AU2" s="108" t="n"/>
      <c r="AV2" s="108" t="n"/>
      <c r="AW2" s="108" t="n"/>
      <c r="AX2" s="108" t="n"/>
      <c r="AY2" s="108" t="n"/>
      <c r="AZ2" s="108" t="n"/>
      <c r="BA2" s="108" t="n"/>
      <c r="BB2" s="108" t="n"/>
      <c r="BC2" s="108" t="n"/>
      <c r="BD2" s="108" t="n"/>
      <c r="BE2" s="108" t="n"/>
      <c r="BF2" s="108" t="n"/>
      <c r="BG2" s="108" t="n"/>
      <c r="BH2" s="108" t="n"/>
      <c r="BI2" s="108" t="n"/>
      <c r="BJ2" s="108" t="n"/>
      <c r="BK2" s="108" t="n"/>
      <c r="BL2" s="108" t="n"/>
      <c r="BM2" s="108" t="n"/>
      <c r="BN2" s="108" t="n"/>
      <c r="BO2" s="108" t="n"/>
      <c r="BP2" s="108" t="n"/>
      <c r="BQ2" s="108" t="n"/>
      <c r="BR2" s="108" t="n"/>
      <c r="BS2" s="108" t="n"/>
      <c r="BT2" s="108" t="n"/>
      <c r="BU2" s="108" t="n"/>
      <c r="BV2" s="108" t="n"/>
      <c r="BW2" s="108" t="n"/>
      <c r="BX2" s="108" t="n"/>
      <c r="BY2" s="108" t="n"/>
      <c r="BZ2" s="108" t="n"/>
      <c r="CA2" s="108" t="n"/>
      <c r="CB2" s="108" t="n"/>
    </row>
    <row r="3" ht="56.25" customFormat="1" customHeight="1" s="109">
      <c r="A3" s="107" t="inlineStr">
        <is>
          <t>商品コード</t>
        </is>
      </c>
      <c r="B3" s="107" t="inlineStr">
        <is>
          <t>商品名</t>
        </is>
      </c>
      <c r="C3" s="107" t="inlineStr">
        <is>
          <t>箱/こ/不</t>
        </is>
      </c>
      <c r="D3" s="107" t="inlineStr">
        <is>
          <t>プロ</t>
        </is>
      </c>
      <c r="E3" s="107" t="inlineStr">
        <is>
          <t>あしたば</t>
        </is>
      </c>
      <c r="F3" s="107" t="inlineStr">
        <is>
          <t>六本木</t>
        </is>
      </c>
      <c r="G3" s="107" t="inlineStr">
        <is>
          <t>六本木惣菜</t>
        </is>
      </c>
      <c r="H3" s="117" t="inlineStr">
        <is>
          <t>六本木(日配)</t>
        </is>
      </c>
      <c r="I3" s="115" t="inlineStr">
        <is>
          <t>ﾅﾓ商会</t>
        </is>
      </c>
      <c r="J3" s="107" t="inlineStr">
        <is>
          <t>松戸</t>
        </is>
      </c>
      <c r="K3" s="107" t="inlineStr">
        <is>
          <t>ひばりが丘</t>
        </is>
      </c>
      <c r="L3" s="107" t="inlineStr">
        <is>
          <t>ｱﾝﾄﾞ大泉</t>
        </is>
      </c>
      <c r="M3" s="107" t="inlineStr">
        <is>
          <t>えころじあ</t>
        </is>
      </c>
      <c r="N3" s="107" t="inlineStr">
        <is>
          <t>ﾎﾞﾝ永山</t>
        </is>
      </c>
      <c r="O3" s="107" t="inlineStr">
        <is>
          <t>ﾎﾞﾝ横浜</t>
        </is>
      </c>
      <c r="P3" s="107" t="inlineStr">
        <is>
          <t>ﾌｰﾄﾞ学芸大</t>
        </is>
      </c>
      <c r="Q3" s="107" t="inlineStr">
        <is>
          <t>ﾌｰﾄﾞ湘南</t>
        </is>
      </c>
      <c r="R3" s="117" t="inlineStr">
        <is>
          <t>代官山</t>
        </is>
      </c>
      <c r="S3" s="115" t="inlineStr">
        <is>
          <t>長岡</t>
        </is>
      </c>
      <c r="T3" s="107" t="inlineStr">
        <is>
          <t>ﾋﾞｰﾝｽﾞ</t>
        </is>
      </c>
      <c r="U3" s="107" t="inlineStr">
        <is>
          <t>東一</t>
        </is>
      </c>
      <c r="V3" s="107" t="inlineStr">
        <is>
          <t>虎ノ門</t>
        </is>
      </c>
      <c r="W3" s="107" t="inlineStr">
        <is>
          <t>虎ノ門惣菜</t>
        </is>
      </c>
      <c r="X3" s="107" t="inlineStr">
        <is>
          <t>虎ノ門(日配)</t>
        </is>
      </c>
      <c r="Y3" s="107" t="inlineStr">
        <is>
          <t>アキバ惣菜</t>
        </is>
      </c>
      <c r="Z3" s="107" t="inlineStr">
        <is>
          <t>おちかわ屋</t>
        </is>
      </c>
      <c r="AA3" s="107" t="inlineStr">
        <is>
          <t>福・本店</t>
        </is>
      </c>
      <c r="AB3" s="107" t="inlineStr">
        <is>
          <t>福・本店惣菜</t>
        </is>
      </c>
      <c r="AC3" s="107" t="inlineStr">
        <is>
          <t>福本店(加工)</t>
        </is>
      </c>
      <c r="AD3" s="107" t="inlineStr">
        <is>
          <t>ﾌｧﾝﾀｽ</t>
        </is>
      </c>
      <c r="AE3" s="116" t="inlineStr">
        <is>
          <t>四季菜</t>
        </is>
      </c>
      <c r="AF3" s="120" t="n"/>
      <c r="AG3" s="108" t="n"/>
      <c r="AH3" s="108" t="n"/>
      <c r="AI3" s="108" t="n"/>
      <c r="AJ3" s="108" t="n"/>
      <c r="AK3" s="108" t="n"/>
      <c r="AL3" s="108" t="n"/>
      <c r="AM3" s="108" t="n"/>
      <c r="AN3" s="108" t="n"/>
      <c r="AO3" s="108" t="n"/>
      <c r="AP3" s="108" t="n"/>
      <c r="AQ3" s="108" t="n"/>
      <c r="AR3" s="108" t="n"/>
      <c r="AS3" s="108" t="n"/>
      <c r="AT3" s="108" t="n"/>
      <c r="AU3" s="108" t="n"/>
      <c r="AV3" s="108" t="n"/>
      <c r="AW3" s="108" t="n"/>
      <c r="AX3" s="108" t="n"/>
      <c r="AY3" s="108" t="n"/>
      <c r="AZ3" s="108" t="n"/>
      <c r="BA3" s="108" t="n"/>
      <c r="BB3" s="108" t="n"/>
      <c r="BC3" s="108" t="n"/>
      <c r="BD3" s="108" t="n"/>
      <c r="BE3" s="108" t="n"/>
      <c r="BF3" s="108" t="n"/>
      <c r="BG3" s="108" t="n"/>
      <c r="BH3" s="108" t="n"/>
      <c r="BI3" s="108" t="n"/>
      <c r="BJ3" s="108" t="n"/>
      <c r="BK3" s="108" t="n"/>
      <c r="BL3" s="108" t="n"/>
      <c r="BM3" s="108" t="n"/>
      <c r="BN3" s="108" t="n"/>
      <c r="BO3" s="108" t="n"/>
      <c r="BP3" s="108" t="n"/>
      <c r="BQ3" s="108" t="n"/>
      <c r="BR3" s="108" t="n"/>
      <c r="BS3" s="108" t="n"/>
      <c r="BT3" s="108" t="n"/>
      <c r="BU3" s="108" t="n"/>
      <c r="BV3" s="108" t="n"/>
      <c r="BW3" s="108" t="n"/>
      <c r="BX3" s="108" t="n"/>
      <c r="BY3" s="108" t="n"/>
      <c r="BZ3" s="108" t="n"/>
      <c r="CA3" s="108" t="n"/>
      <c r="CB3" s="108" t="n"/>
    </row>
    <row r="4" ht="19.5" customFormat="1" customHeight="1" s="22">
      <c r="A4" s="148" t="inlineStr">
        <is>
          <t>1026-13</t>
        </is>
      </c>
      <c r="B4" s="111" t="inlineStr">
        <is>
          <t>■有機ポンカン 9kg（和歌山）</t>
        </is>
      </c>
      <c r="C4" s="111" t="inlineStr">
        <is>
          <t>箱</t>
        </is>
      </c>
      <c r="D4" s="111" t="n"/>
      <c r="E4" s="111" t="n">
        <v>1</v>
      </c>
      <c r="F4" s="111" t="n"/>
      <c r="G4" s="111" t="n"/>
      <c r="H4" s="159" t="n"/>
      <c r="I4" s="157" t="n"/>
      <c r="J4" s="111" t="n"/>
      <c r="K4" s="111" t="n"/>
      <c r="L4" s="111" t="n">
        <v>1</v>
      </c>
      <c r="M4" s="111" t="n"/>
      <c r="N4" s="111" t="n"/>
      <c r="O4" s="111" t="n"/>
      <c r="P4" s="111" t="n">
        <v>1</v>
      </c>
      <c r="Q4" s="111" t="n"/>
      <c r="R4" s="159" t="n"/>
      <c r="S4" s="157" t="n"/>
      <c r="T4" s="111" t="n">
        <v>3</v>
      </c>
      <c r="U4" s="111" t="n"/>
      <c r="V4" s="111" t="n"/>
      <c r="W4" s="111" t="n"/>
      <c r="X4" s="111" t="n"/>
      <c r="Y4" s="111" t="n"/>
      <c r="Z4" s="111" t="n"/>
      <c r="AA4" s="111" t="n"/>
      <c r="AB4" s="111" t="n"/>
      <c r="AC4" s="111" t="n"/>
      <c r="AD4" s="111" t="n"/>
      <c r="AE4" s="151" t="n"/>
      <c r="AF4" s="154" t="n">
        <v>6</v>
      </c>
    </row>
    <row r="5" ht="19.5" customFormat="1" customHeight="1" s="114">
      <c r="A5" s="149" t="inlineStr">
        <is>
          <t>1031</t>
        </is>
      </c>
      <c r="B5" s="119" t="inlineStr">
        <is>
          <t>■有機パール柑　10kg(高岡)</t>
        </is>
      </c>
      <c r="C5" s="119" t="inlineStr">
        <is>
          <t>箱</t>
        </is>
      </c>
      <c r="D5" s="119" t="n"/>
      <c r="E5" s="119" t="n"/>
      <c r="F5" s="119" t="n"/>
      <c r="G5" s="119" t="n"/>
      <c r="H5" s="160" t="n"/>
      <c r="I5" s="158" t="n">
        <v>1</v>
      </c>
      <c r="J5" s="119" t="n"/>
      <c r="K5" s="119" t="n"/>
      <c r="L5" s="119" t="n"/>
      <c r="M5" s="119" t="n"/>
      <c r="N5" s="119" t="n"/>
      <c r="O5" s="119" t="n"/>
      <c r="P5" s="119" t="n"/>
      <c r="Q5" s="119" t="n"/>
      <c r="R5" s="160" t="n"/>
      <c r="S5" s="158" t="n"/>
      <c r="T5" s="119" t="n"/>
      <c r="U5" s="119" t="n"/>
      <c r="V5" s="119" t="n"/>
      <c r="W5" s="119" t="n"/>
      <c r="X5" s="119" t="n"/>
      <c r="Y5" s="119" t="n"/>
      <c r="Z5" s="119" t="n"/>
      <c r="AA5" s="119" t="n"/>
      <c r="AB5" s="119" t="n"/>
      <c r="AC5" s="119" t="n"/>
      <c r="AD5" s="119" t="n"/>
      <c r="AE5" s="152" t="n"/>
      <c r="AF5" s="155" t="n">
        <v>1</v>
      </c>
      <c r="AG5" s="113" t="n"/>
      <c r="AH5" s="113" t="n"/>
      <c r="AI5" s="113" t="n"/>
      <c r="AJ5" s="113" t="n"/>
      <c r="AK5" s="113" t="n"/>
      <c r="AL5" s="113" t="n"/>
      <c r="AM5" s="113" t="n"/>
      <c r="AN5" s="113" t="n"/>
      <c r="AO5" s="113" t="n"/>
      <c r="AP5" s="113" t="n"/>
      <c r="AQ5" s="113" t="n"/>
      <c r="AR5" s="113" t="n"/>
      <c r="AS5" s="113" t="n"/>
      <c r="AT5" s="113" t="n"/>
      <c r="AU5" s="113" t="n"/>
      <c r="AV5" s="113" t="n"/>
      <c r="AW5" s="113" t="n"/>
      <c r="AX5" s="113" t="n"/>
      <c r="AY5" s="113" t="n"/>
      <c r="AZ5" s="113" t="n"/>
      <c r="BA5" s="113" t="n"/>
      <c r="BB5" s="113" t="n"/>
      <c r="BC5" s="113" t="n"/>
      <c r="BD5" s="113" t="n"/>
      <c r="BE5" s="113" t="n"/>
      <c r="BF5" s="113" t="n"/>
      <c r="BG5" s="113" t="n"/>
      <c r="BH5" s="113" t="n"/>
      <c r="BI5" s="113" t="n"/>
      <c r="BJ5" s="113" t="n"/>
      <c r="BK5" s="113" t="n"/>
      <c r="BL5" s="113" t="n"/>
      <c r="BM5" s="113" t="n"/>
      <c r="BN5" s="113" t="n"/>
      <c r="BO5" s="113" t="n"/>
      <c r="BP5" s="113" t="n"/>
      <c r="BQ5" s="113" t="n"/>
      <c r="BR5" s="113" t="n"/>
      <c r="BS5" s="113" t="n"/>
      <c r="BT5" s="113" t="n"/>
      <c r="BU5" s="113" t="n"/>
      <c r="BV5" s="113" t="n"/>
      <c r="BW5" s="113" t="n"/>
      <c r="BX5" s="113" t="n"/>
      <c r="BY5" s="113" t="n"/>
      <c r="BZ5" s="113" t="n"/>
      <c r="CA5" s="113" t="n"/>
      <c r="CB5" s="113" t="n"/>
    </row>
    <row r="6" ht="19.5" customFormat="1" customHeight="1" s="22">
      <c r="A6" s="148" t="inlineStr">
        <is>
          <t>1041-39</t>
        </is>
      </c>
      <c r="B6" s="111" t="inlineStr">
        <is>
          <t>■はるか 10kg箱（白石）菌４・不</t>
        </is>
      </c>
      <c r="C6" s="111" t="inlineStr">
        <is>
          <t>箱</t>
        </is>
      </c>
      <c r="D6" s="111" t="n"/>
      <c r="E6" s="111" t="n"/>
      <c r="F6" s="111" t="n"/>
      <c r="G6" s="111" t="n"/>
      <c r="H6" s="159" t="n"/>
      <c r="I6" s="157" t="n"/>
      <c r="J6" s="111" t="n"/>
      <c r="K6" s="111" t="n"/>
      <c r="L6" s="111" t="n"/>
      <c r="M6" s="111" t="n"/>
      <c r="N6" s="111" t="n"/>
      <c r="O6" s="111" t="n"/>
      <c r="P6" s="111" t="n"/>
      <c r="Q6" s="111" t="n"/>
      <c r="R6" s="159" t="n"/>
      <c r="S6" s="157" t="n"/>
      <c r="T6" s="111" t="n"/>
      <c r="U6" s="111" t="n"/>
      <c r="V6" s="111" t="n">
        <v>1</v>
      </c>
      <c r="W6" s="111" t="n"/>
      <c r="X6" s="111" t="n"/>
      <c r="Y6" s="111" t="n"/>
      <c r="Z6" s="111" t="n"/>
      <c r="AA6" s="111" t="n"/>
      <c r="AB6" s="111" t="n"/>
      <c r="AC6" s="111" t="n"/>
      <c r="AD6" s="111" t="n"/>
      <c r="AE6" s="151" t="n"/>
      <c r="AF6" s="154" t="n">
        <v>1</v>
      </c>
    </row>
    <row r="7" ht="19.5" customFormat="1" customHeight="1" s="114">
      <c r="A7" s="149" t="inlineStr">
        <is>
          <t>1072-1</t>
        </is>
      </c>
      <c r="B7" s="119" t="inlineStr">
        <is>
          <t>■りんご「サンふじ」10ｋｇ（津軽）</t>
        </is>
      </c>
      <c r="C7" s="119" t="inlineStr">
        <is>
          <t>箱</t>
        </is>
      </c>
      <c r="D7" s="119" t="n"/>
      <c r="E7" s="119" t="n">
        <v>1</v>
      </c>
      <c r="F7" s="119" t="n"/>
      <c r="G7" s="119" t="n"/>
      <c r="H7" s="160" t="n"/>
      <c r="I7" s="158" t="n"/>
      <c r="J7" s="119" t="n"/>
      <c r="K7" s="119" t="n"/>
      <c r="L7" s="119" t="n"/>
      <c r="M7" s="119" t="n"/>
      <c r="N7" s="119" t="n"/>
      <c r="O7" s="119" t="n"/>
      <c r="P7" s="119" t="n"/>
      <c r="Q7" s="119" t="n"/>
      <c r="R7" s="160" t="n"/>
      <c r="S7" s="158" t="n"/>
      <c r="T7" s="119" t="n"/>
      <c r="U7" s="119" t="n"/>
      <c r="V7" s="119" t="n"/>
      <c r="W7" s="119" t="n"/>
      <c r="X7" s="119" t="n"/>
      <c r="Y7" s="119" t="n"/>
      <c r="Z7" s="119" t="n"/>
      <c r="AA7" s="119" t="n"/>
      <c r="AB7" s="119" t="n"/>
      <c r="AC7" s="119" t="n"/>
      <c r="AD7" s="119" t="n"/>
      <c r="AE7" s="152" t="n"/>
      <c r="AF7" s="155" t="n">
        <v>1</v>
      </c>
      <c r="AG7" s="113" t="n"/>
      <c r="AH7" s="113" t="n"/>
      <c r="AI7" s="113" t="n"/>
      <c r="AJ7" s="113" t="n"/>
      <c r="AK7" s="113" t="n"/>
      <c r="AL7" s="113" t="n"/>
      <c r="AM7" s="113" t="n"/>
      <c r="AN7" s="113" t="n"/>
      <c r="AO7" s="113" t="n"/>
      <c r="AP7" s="113" t="n"/>
      <c r="AQ7" s="113" t="n"/>
      <c r="AR7" s="113" t="n"/>
      <c r="AS7" s="113" t="n"/>
      <c r="AT7" s="113" t="n"/>
      <c r="AU7" s="113" t="n"/>
      <c r="AV7" s="113" t="n"/>
      <c r="AW7" s="113" t="n"/>
      <c r="AX7" s="113" t="n"/>
      <c r="AY7" s="113" t="n"/>
      <c r="AZ7" s="113" t="n"/>
      <c r="BA7" s="113" t="n"/>
      <c r="BB7" s="113" t="n"/>
      <c r="BC7" s="113" t="n"/>
      <c r="BD7" s="113" t="n"/>
      <c r="BE7" s="113" t="n"/>
      <c r="BF7" s="113" t="n"/>
      <c r="BG7" s="113" t="n"/>
      <c r="BH7" s="113" t="n"/>
      <c r="BI7" s="113" t="n"/>
      <c r="BJ7" s="113" t="n"/>
      <c r="BK7" s="113" t="n"/>
      <c r="BL7" s="113" t="n"/>
      <c r="BM7" s="113" t="n"/>
      <c r="BN7" s="113" t="n"/>
      <c r="BO7" s="113" t="n"/>
      <c r="BP7" s="113" t="n"/>
      <c r="BQ7" s="113" t="n"/>
      <c r="BR7" s="113" t="n"/>
      <c r="BS7" s="113" t="n"/>
      <c r="BT7" s="113" t="n"/>
      <c r="BU7" s="113" t="n"/>
      <c r="BV7" s="113" t="n"/>
      <c r="BW7" s="113" t="n"/>
      <c r="BX7" s="113" t="n"/>
      <c r="BY7" s="113" t="n"/>
      <c r="BZ7" s="113" t="n"/>
      <c r="CA7" s="113" t="n"/>
      <c r="CB7" s="113" t="n"/>
    </row>
    <row r="8" ht="19.5" customFormat="1" customHeight="1" s="22">
      <c r="A8" s="148" t="inlineStr">
        <is>
          <t>1170-25</t>
        </is>
      </c>
      <c r="B8" s="111" t="inlineStr">
        <is>
          <t>■有機インカバナナ 600g袋×１６入</t>
        </is>
      </c>
      <c r="C8" s="111" t="inlineStr">
        <is>
          <t>箱</t>
        </is>
      </c>
      <c r="D8" s="111" t="n"/>
      <c r="E8" s="111" t="n"/>
      <c r="F8" s="111" t="n"/>
      <c r="G8" s="111" t="n"/>
      <c r="H8" s="159" t="n"/>
      <c r="I8" s="157" t="n"/>
      <c r="J8" s="111" t="n"/>
      <c r="K8" s="111" t="n"/>
      <c r="L8" s="111" t="n"/>
      <c r="M8" s="111" t="n"/>
      <c r="N8" s="111" t="n"/>
      <c r="O8" s="111" t="n"/>
      <c r="P8" s="111" t="n"/>
      <c r="Q8" s="111" t="n"/>
      <c r="R8" s="159" t="n"/>
      <c r="S8" s="157" t="n"/>
      <c r="T8" s="111" t="n"/>
      <c r="U8" s="111" t="n"/>
      <c r="V8" s="111" t="n"/>
      <c r="W8" s="111" t="n"/>
      <c r="X8" s="111" t="n"/>
      <c r="Y8" s="111" t="n"/>
      <c r="Z8" s="111" t="n">
        <v>1</v>
      </c>
      <c r="AA8" s="111" t="n"/>
      <c r="AB8" s="111" t="n"/>
      <c r="AC8" s="111" t="n"/>
      <c r="AD8" s="111" t="n"/>
      <c r="AE8" s="151" t="n"/>
      <c r="AF8" s="154" t="n">
        <v>1</v>
      </c>
    </row>
    <row r="9" ht="19.5" customFormat="1" customHeight="1" s="114">
      <c r="A9" s="149" t="inlineStr">
        <is>
          <t>1215-8</t>
        </is>
      </c>
      <c r="B9" s="119" t="inlineStr">
        <is>
          <t>■じゃがいも「男爵」10kg（剣淵)不・5割減</t>
        </is>
      </c>
      <c r="C9" s="119" t="inlineStr">
        <is>
          <t>箱</t>
        </is>
      </c>
      <c r="D9" s="119" t="n"/>
      <c r="E9" s="119" t="n"/>
      <c r="F9" s="119" t="n"/>
      <c r="G9" s="119" t="n"/>
      <c r="H9" s="160" t="n"/>
      <c r="I9" s="158" t="n"/>
      <c r="J9" s="119" t="n"/>
      <c r="K9" s="119" t="n"/>
      <c r="L9" s="119" t="n"/>
      <c r="M9" s="119" t="n"/>
      <c r="N9" s="119" t="n"/>
      <c r="O9" s="119" t="n"/>
      <c r="P9" s="119" t="n"/>
      <c r="Q9" s="119" t="n"/>
      <c r="R9" s="160" t="n"/>
      <c r="S9" s="158" t="n"/>
      <c r="T9" s="119" t="n">
        <v>2</v>
      </c>
      <c r="U9" s="119" t="n"/>
      <c r="V9" s="119" t="n"/>
      <c r="W9" s="119" t="n"/>
      <c r="X9" s="119" t="n"/>
      <c r="Y9" s="119" t="n"/>
      <c r="Z9" s="119" t="n"/>
      <c r="AA9" s="119" t="n"/>
      <c r="AB9" s="119" t="n"/>
      <c r="AC9" s="119" t="n"/>
      <c r="AD9" s="119" t="n"/>
      <c r="AE9" s="152" t="n"/>
      <c r="AF9" s="155" t="n">
        <v>2</v>
      </c>
      <c r="AG9" s="113" t="n"/>
      <c r="AH9" s="113" t="n"/>
      <c r="AI9" s="113" t="n"/>
      <c r="AJ9" s="113" t="n"/>
      <c r="AK9" s="113" t="n"/>
      <c r="AL9" s="113" t="n"/>
      <c r="AM9" s="113" t="n"/>
      <c r="AN9" s="113" t="n"/>
      <c r="AO9" s="113" t="n"/>
      <c r="AP9" s="113" t="n"/>
      <c r="AQ9" s="113" t="n"/>
      <c r="AR9" s="113" t="n"/>
      <c r="AS9" s="113" t="n"/>
      <c r="AT9" s="113" t="n"/>
      <c r="AU9" s="113" t="n"/>
      <c r="AV9" s="113" t="n"/>
      <c r="AW9" s="113" t="n"/>
      <c r="AX9" s="113" t="n"/>
      <c r="AY9" s="113" t="n"/>
      <c r="AZ9" s="113" t="n"/>
      <c r="BA9" s="113" t="n"/>
      <c r="BB9" s="113" t="n"/>
      <c r="BC9" s="113" t="n"/>
      <c r="BD9" s="113" t="n"/>
      <c r="BE9" s="113" t="n"/>
      <c r="BF9" s="113" t="n"/>
      <c r="BG9" s="113" t="n"/>
      <c r="BH9" s="113" t="n"/>
      <c r="BI9" s="113" t="n"/>
      <c r="BJ9" s="113" t="n"/>
      <c r="BK9" s="113" t="n"/>
      <c r="BL9" s="113" t="n"/>
      <c r="BM9" s="113" t="n"/>
      <c r="BN9" s="113" t="n"/>
      <c r="BO9" s="113" t="n"/>
      <c r="BP9" s="113" t="n"/>
      <c r="BQ9" s="113" t="n"/>
      <c r="BR9" s="113" t="n"/>
      <c r="BS9" s="113" t="n"/>
      <c r="BT9" s="113" t="n"/>
      <c r="BU9" s="113" t="n"/>
      <c r="BV9" s="113" t="n"/>
      <c r="BW9" s="113" t="n"/>
      <c r="BX9" s="113" t="n"/>
      <c r="BY9" s="113" t="n"/>
      <c r="BZ9" s="113" t="n"/>
      <c r="CA9" s="113" t="n"/>
      <c r="CB9" s="113" t="n"/>
    </row>
    <row r="10" ht="19.5" customFormat="1" customHeight="1" s="22">
      <c r="A10" s="148" t="inlineStr">
        <is>
          <t>1216-346</t>
        </is>
      </c>
      <c r="B10" s="111" t="inlineStr">
        <is>
          <t>■有機じゃが芋｢ﾚｯﾄﾞﾑｰﾝ｣　10kg(坂本)</t>
        </is>
      </c>
      <c r="C10" s="111" t="inlineStr">
        <is>
          <t>箱</t>
        </is>
      </c>
      <c r="D10" s="111" t="n"/>
      <c r="E10" s="111" t="n"/>
      <c r="F10" s="111" t="n"/>
      <c r="G10" s="111" t="n"/>
      <c r="H10" s="159" t="n"/>
      <c r="I10" s="157" t="n"/>
      <c r="J10" s="111" t="n"/>
      <c r="K10" s="111" t="n"/>
      <c r="L10" s="111" t="n"/>
      <c r="M10" s="111" t="n"/>
      <c r="N10" s="111" t="n"/>
      <c r="O10" s="111" t="n"/>
      <c r="P10" s="111" t="n"/>
      <c r="Q10" s="111" t="n"/>
      <c r="R10" s="159" t="n"/>
      <c r="S10" s="157" t="n"/>
      <c r="T10" s="111" t="n">
        <v>1</v>
      </c>
      <c r="U10" s="111" t="n"/>
      <c r="V10" s="111" t="n"/>
      <c r="W10" s="111" t="n"/>
      <c r="X10" s="111" t="n"/>
      <c r="Y10" s="111" t="n"/>
      <c r="Z10" s="111" t="n"/>
      <c r="AA10" s="111" t="n"/>
      <c r="AB10" s="111" t="n"/>
      <c r="AC10" s="111" t="n"/>
      <c r="AD10" s="111" t="n"/>
      <c r="AE10" s="151" t="n"/>
      <c r="AF10" s="154" t="n">
        <v>1</v>
      </c>
    </row>
    <row r="11" ht="19.5" customFormat="1" customHeight="1" s="114">
      <c r="A11" s="149" t="inlineStr">
        <is>
          <t>1225-398</t>
        </is>
      </c>
      <c r="B11" s="119" t="inlineStr">
        <is>
          <t>■新 玉ねぎ 混 10kg(ｾｲｼﾝﾌｧｰﾑ)5割・5割</t>
        </is>
      </c>
      <c r="C11" s="119" t="inlineStr">
        <is>
          <t>箱</t>
        </is>
      </c>
      <c r="D11" s="119" t="n"/>
      <c r="E11" s="119" t="n"/>
      <c r="F11" s="119" t="n"/>
      <c r="G11" s="119" t="n"/>
      <c r="H11" s="160" t="n"/>
      <c r="I11" s="158" t="n"/>
      <c r="J11" s="119" t="n"/>
      <c r="K11" s="119" t="n"/>
      <c r="L11" s="119" t="n">
        <v>1</v>
      </c>
      <c r="M11" s="119" t="n"/>
      <c r="N11" s="119" t="n"/>
      <c r="O11" s="119" t="n"/>
      <c r="P11" s="119" t="n"/>
      <c r="Q11" s="119" t="n"/>
      <c r="R11" s="160" t="n"/>
      <c r="S11" s="158" t="n"/>
      <c r="T11" s="119" t="n"/>
      <c r="U11" s="119" t="n"/>
      <c r="V11" s="119" t="n"/>
      <c r="W11" s="119" t="n"/>
      <c r="X11" s="119" t="n"/>
      <c r="Y11" s="119" t="n"/>
      <c r="Z11" s="119" t="n"/>
      <c r="AA11" s="119" t="n"/>
      <c r="AB11" s="119" t="n"/>
      <c r="AC11" s="119" t="n"/>
      <c r="AD11" s="119" t="n"/>
      <c r="AE11" s="152" t="n"/>
      <c r="AF11" s="155" t="n">
        <v>1</v>
      </c>
      <c r="AG11" s="113" t="n"/>
      <c r="AH11" s="113" t="n"/>
      <c r="AI11" s="113" t="n"/>
      <c r="AJ11" s="113" t="n"/>
      <c r="AK11" s="113" t="n"/>
      <c r="AL11" s="113" t="n"/>
      <c r="AM11" s="113" t="n"/>
      <c r="AN11" s="113" t="n"/>
      <c r="AO11" s="113" t="n"/>
      <c r="AP11" s="113" t="n"/>
      <c r="AQ11" s="113" t="n"/>
      <c r="AR11" s="113" t="n"/>
      <c r="AS11" s="113" t="n"/>
      <c r="AT11" s="113" t="n"/>
      <c r="AU11" s="113" t="n"/>
      <c r="AV11" s="113" t="n"/>
      <c r="AW11" s="113" t="n"/>
      <c r="AX11" s="113" t="n"/>
      <c r="AY11" s="113" t="n"/>
      <c r="AZ11" s="113" t="n"/>
      <c r="BA11" s="113" t="n"/>
      <c r="BB11" s="113" t="n"/>
      <c r="BC11" s="113" t="n"/>
      <c r="BD11" s="113" t="n"/>
      <c r="BE11" s="113" t="n"/>
      <c r="BF11" s="113" t="n"/>
      <c r="BG11" s="113" t="n"/>
      <c r="BH11" s="113" t="n"/>
      <c r="BI11" s="113" t="n"/>
      <c r="BJ11" s="113" t="n"/>
      <c r="BK11" s="113" t="n"/>
      <c r="BL11" s="113" t="n"/>
      <c r="BM11" s="113" t="n"/>
      <c r="BN11" s="113" t="n"/>
      <c r="BO11" s="113" t="n"/>
      <c r="BP11" s="113" t="n"/>
      <c r="BQ11" s="113" t="n"/>
      <c r="BR11" s="113" t="n"/>
      <c r="BS11" s="113" t="n"/>
      <c r="BT11" s="113" t="n"/>
      <c r="BU11" s="113" t="n"/>
      <c r="BV11" s="113" t="n"/>
      <c r="BW11" s="113" t="n"/>
      <c r="BX11" s="113" t="n"/>
      <c r="BY11" s="113" t="n"/>
      <c r="BZ11" s="113" t="n"/>
      <c r="CA11" s="113" t="n"/>
      <c r="CB11" s="113" t="n"/>
    </row>
    <row r="12" ht="19.5" customFormat="1" customHeight="1" s="22">
      <c r="A12" s="148" t="inlineStr">
        <is>
          <t>1225-429</t>
        </is>
      </c>
      <c r="B12" s="111" t="inlineStr">
        <is>
          <t>■有機玉ねぎ　M・L 20kg(宇野聡一)</t>
        </is>
      </c>
      <c r="C12" s="111" t="inlineStr">
        <is>
          <t>箱</t>
        </is>
      </c>
      <c r="D12" s="111" t="n"/>
      <c r="E12" s="111" t="n"/>
      <c r="F12" s="111" t="n"/>
      <c r="G12" s="111" t="n"/>
      <c r="H12" s="159" t="n"/>
      <c r="I12" s="157" t="n"/>
      <c r="J12" s="111" t="n"/>
      <c r="K12" s="111" t="n"/>
      <c r="L12" s="111" t="n"/>
      <c r="M12" s="111" t="n"/>
      <c r="N12" s="111" t="n"/>
      <c r="O12" s="111" t="n"/>
      <c r="P12" s="111" t="n"/>
      <c r="Q12" s="111" t="n"/>
      <c r="R12" s="159" t="n"/>
      <c r="S12" s="157" t="n"/>
      <c r="T12" s="111" t="n">
        <v>2</v>
      </c>
      <c r="U12" s="111" t="n">
        <v>1</v>
      </c>
      <c r="V12" s="111" t="n"/>
      <c r="W12" s="111" t="n"/>
      <c r="X12" s="111" t="n"/>
      <c r="Y12" s="111" t="n"/>
      <c r="Z12" s="111" t="n"/>
      <c r="AA12" s="111" t="n"/>
      <c r="AB12" s="111" t="n"/>
      <c r="AC12" s="111" t="n"/>
      <c r="AD12" s="111" t="n"/>
      <c r="AE12" s="151" t="n"/>
      <c r="AF12" s="154" t="n">
        <v>3</v>
      </c>
    </row>
    <row r="13" ht="19.5" customFormat="1" customHeight="1" s="114">
      <c r="A13" s="149" t="inlineStr">
        <is>
          <t>1225-434</t>
        </is>
      </c>
      <c r="B13" s="119" t="inlineStr">
        <is>
          <t>■有機玉ねぎ　10kg(宇野聡一)◇</t>
        </is>
      </c>
      <c r="C13" s="119" t="inlineStr">
        <is>
          <t>箱</t>
        </is>
      </c>
      <c r="D13" s="119" t="n"/>
      <c r="E13" s="119" t="n"/>
      <c r="F13" s="119" t="n"/>
      <c r="G13" s="119" t="n"/>
      <c r="H13" s="160" t="n"/>
      <c r="I13" s="158" t="n"/>
      <c r="J13" s="119" t="n"/>
      <c r="K13" s="119" t="n"/>
      <c r="L13" s="119" t="n"/>
      <c r="M13" s="119" t="n"/>
      <c r="N13" s="119" t="n"/>
      <c r="O13" s="119" t="n"/>
      <c r="P13" s="119" t="n"/>
      <c r="Q13" s="119" t="n"/>
      <c r="R13" s="160" t="n">
        <v>1</v>
      </c>
      <c r="S13" s="158" t="n"/>
      <c r="T13" s="119" t="n"/>
      <c r="U13" s="119" t="n"/>
      <c r="V13" s="119" t="n"/>
      <c r="W13" s="119" t="n"/>
      <c r="X13" s="119" t="n"/>
      <c r="Y13" s="119" t="n"/>
      <c r="Z13" s="119" t="n">
        <v>1</v>
      </c>
      <c r="AA13" s="119" t="n"/>
      <c r="AB13" s="119" t="n"/>
      <c r="AC13" s="119" t="n"/>
      <c r="AD13" s="119" t="n"/>
      <c r="AE13" s="152" t="n"/>
      <c r="AF13" s="155" t="n">
        <v>2</v>
      </c>
      <c r="AG13" s="113" t="n"/>
      <c r="AH13" s="113" t="n"/>
      <c r="AI13" s="113" t="n"/>
      <c r="AJ13" s="113" t="n"/>
      <c r="AK13" s="113" t="n"/>
      <c r="AL13" s="113" t="n"/>
      <c r="AM13" s="113" t="n"/>
      <c r="AN13" s="113" t="n"/>
      <c r="AO13" s="113" t="n"/>
      <c r="AP13" s="113" t="n"/>
      <c r="AQ13" s="113" t="n"/>
      <c r="AR13" s="113" t="n"/>
      <c r="AS13" s="113" t="n"/>
      <c r="AT13" s="113" t="n"/>
      <c r="AU13" s="113" t="n"/>
      <c r="AV13" s="113" t="n"/>
      <c r="AW13" s="113" t="n"/>
      <c r="AX13" s="113" t="n"/>
      <c r="AY13" s="113" t="n"/>
      <c r="AZ13" s="113" t="n"/>
      <c r="BA13" s="113" t="n"/>
      <c r="BB13" s="113" t="n"/>
      <c r="BC13" s="113" t="n"/>
      <c r="BD13" s="113" t="n"/>
      <c r="BE13" s="113" t="n"/>
      <c r="BF13" s="113" t="n"/>
      <c r="BG13" s="113" t="n"/>
      <c r="BH13" s="113" t="n"/>
      <c r="BI13" s="113" t="n"/>
      <c r="BJ13" s="113" t="n"/>
      <c r="BK13" s="113" t="n"/>
      <c r="BL13" s="113" t="n"/>
      <c r="BM13" s="113" t="n"/>
      <c r="BN13" s="113" t="n"/>
      <c r="BO13" s="113" t="n"/>
      <c r="BP13" s="113" t="n"/>
      <c r="BQ13" s="113" t="n"/>
      <c r="BR13" s="113" t="n"/>
      <c r="BS13" s="113" t="n"/>
      <c r="BT13" s="113" t="n"/>
      <c r="BU13" s="113" t="n"/>
      <c r="BV13" s="113" t="n"/>
      <c r="BW13" s="113" t="n"/>
      <c r="BX13" s="113" t="n"/>
      <c r="BY13" s="113" t="n"/>
      <c r="BZ13" s="113" t="n"/>
      <c r="CA13" s="113" t="n"/>
      <c r="CB13" s="113" t="n"/>
    </row>
    <row r="14" ht="19.5" customFormat="1" customHeight="1" s="22">
      <c r="A14" s="148" t="inlineStr">
        <is>
          <t>1232-306</t>
        </is>
      </c>
      <c r="B14" s="111" t="inlineStr">
        <is>
          <t>■有機じゃがいも｢男爵｣ 混 10kg (坂本）</t>
        </is>
      </c>
      <c r="C14" s="111" t="inlineStr">
        <is>
          <t>箱</t>
        </is>
      </c>
      <c r="D14" s="111" t="n"/>
      <c r="E14" s="111" t="n"/>
      <c r="F14" s="111" t="n"/>
      <c r="G14" s="111" t="n"/>
      <c r="H14" s="159" t="n"/>
      <c r="I14" s="157" t="n"/>
      <c r="J14" s="111" t="n"/>
      <c r="K14" s="111" t="n"/>
      <c r="L14" s="111" t="n"/>
      <c r="M14" s="111" t="n"/>
      <c r="N14" s="111" t="n"/>
      <c r="O14" s="111" t="n"/>
      <c r="P14" s="111" t="n"/>
      <c r="Q14" s="111" t="n"/>
      <c r="R14" s="159" t="n"/>
      <c r="S14" s="157" t="n">
        <v>4</v>
      </c>
      <c r="T14" s="111" t="n"/>
      <c r="U14" s="111" t="n"/>
      <c r="V14" s="111" t="n"/>
      <c r="W14" s="111" t="n"/>
      <c r="X14" s="111" t="n"/>
      <c r="Y14" s="111" t="n"/>
      <c r="Z14" s="111" t="n"/>
      <c r="AA14" s="111" t="n"/>
      <c r="AB14" s="111" t="n"/>
      <c r="AC14" s="111" t="n"/>
      <c r="AD14" s="111" t="n"/>
      <c r="AE14" s="151" t="n"/>
      <c r="AF14" s="154" t="n">
        <v>4</v>
      </c>
    </row>
    <row r="15" ht="19.5" customFormat="1" customHeight="1" s="114">
      <c r="A15" s="149" t="inlineStr">
        <is>
          <t>1232-310</t>
        </is>
      </c>
      <c r="B15" s="119" t="inlineStr">
        <is>
          <t>■有機じゃが芋｢男爵｣ Ｂ 10kg (坂本）</t>
        </is>
      </c>
      <c r="C15" s="119" t="inlineStr">
        <is>
          <t>箱</t>
        </is>
      </c>
      <c r="D15" s="119" t="n"/>
      <c r="E15" s="119" t="n"/>
      <c r="F15" s="119" t="n"/>
      <c r="G15" s="119" t="n"/>
      <c r="H15" s="160" t="n"/>
      <c r="I15" s="158" t="n"/>
      <c r="J15" s="119" t="n"/>
      <c r="K15" s="119" t="n"/>
      <c r="L15" s="119" t="n"/>
      <c r="M15" s="119" t="n"/>
      <c r="N15" s="119" t="n"/>
      <c r="O15" s="119" t="n"/>
      <c r="P15" s="119" t="n"/>
      <c r="Q15" s="119" t="n"/>
      <c r="R15" s="160" t="n"/>
      <c r="S15" s="158" t="n"/>
      <c r="T15" s="119" t="n"/>
      <c r="U15" s="119" t="n"/>
      <c r="V15" s="119" t="n"/>
      <c r="W15" s="119" t="n"/>
      <c r="X15" s="119" t="n"/>
      <c r="Y15" s="119" t="n"/>
      <c r="Z15" s="119" t="n"/>
      <c r="AA15" s="119" t="n"/>
      <c r="AB15" s="119" t="n"/>
      <c r="AC15" s="119" t="n"/>
      <c r="AD15" s="119" t="n"/>
      <c r="AE15" s="152" t="n">
        <v>1</v>
      </c>
      <c r="AF15" s="155" t="n">
        <v>1</v>
      </c>
      <c r="AG15" s="113" t="n"/>
      <c r="AH15" s="113" t="n"/>
      <c r="AI15" s="113" t="n"/>
      <c r="AJ15" s="113" t="n"/>
      <c r="AK15" s="113" t="n"/>
      <c r="AL15" s="113" t="n"/>
      <c r="AM15" s="113" t="n"/>
      <c r="AN15" s="113" t="n"/>
      <c r="AO15" s="113" t="n"/>
      <c r="AP15" s="113" t="n"/>
      <c r="AQ15" s="113" t="n"/>
      <c r="AR15" s="113" t="n"/>
      <c r="AS15" s="113" t="n"/>
      <c r="AT15" s="113" t="n"/>
      <c r="AU15" s="113" t="n"/>
      <c r="AV15" s="113" t="n"/>
      <c r="AW15" s="113" t="n"/>
      <c r="AX15" s="113" t="n"/>
      <c r="AY15" s="113" t="n"/>
      <c r="AZ15" s="113" t="n"/>
      <c r="BA15" s="113" t="n"/>
      <c r="BB15" s="113" t="n"/>
      <c r="BC15" s="113" t="n"/>
      <c r="BD15" s="113" t="n"/>
      <c r="BE15" s="113" t="n"/>
      <c r="BF15" s="113" t="n"/>
      <c r="BG15" s="113" t="n"/>
      <c r="BH15" s="113" t="n"/>
      <c r="BI15" s="113" t="n"/>
      <c r="BJ15" s="113" t="n"/>
      <c r="BK15" s="113" t="n"/>
      <c r="BL15" s="113" t="n"/>
      <c r="BM15" s="113" t="n"/>
      <c r="BN15" s="113" t="n"/>
      <c r="BO15" s="113" t="n"/>
      <c r="BP15" s="113" t="n"/>
      <c r="BQ15" s="113" t="n"/>
      <c r="BR15" s="113" t="n"/>
      <c r="BS15" s="113" t="n"/>
      <c r="BT15" s="113" t="n"/>
      <c r="BU15" s="113" t="n"/>
      <c r="BV15" s="113" t="n"/>
      <c r="BW15" s="113" t="n"/>
      <c r="BX15" s="113" t="n"/>
      <c r="BY15" s="113" t="n"/>
      <c r="BZ15" s="113" t="n"/>
      <c r="CA15" s="113" t="n"/>
      <c r="CB15" s="113" t="n"/>
    </row>
    <row r="16" ht="19.5" customFormat="1" customHeight="1" s="22">
      <c r="A16" s="148" t="inlineStr">
        <is>
          <t>1241-39</t>
        </is>
      </c>
      <c r="B16" s="111" t="inlineStr">
        <is>
          <t>■有機人参 洗い 10kg（さんぶ・産ﾊﾟ）</t>
        </is>
      </c>
      <c r="C16" s="111" t="inlineStr">
        <is>
          <t>箱</t>
        </is>
      </c>
      <c r="D16" s="111" t="n"/>
      <c r="E16" s="111" t="n">
        <v>2</v>
      </c>
      <c r="F16" s="111" t="n"/>
      <c r="G16" s="111" t="n"/>
      <c r="H16" s="159" t="n"/>
      <c r="I16" s="157" t="n"/>
      <c r="J16" s="111" t="n"/>
      <c r="K16" s="111" t="n"/>
      <c r="L16" s="111" t="n"/>
      <c r="M16" s="111" t="n"/>
      <c r="N16" s="111" t="n"/>
      <c r="O16" s="111" t="n"/>
      <c r="P16" s="111" t="n"/>
      <c r="Q16" s="111" t="n"/>
      <c r="R16" s="159" t="n"/>
      <c r="S16" s="157" t="n"/>
      <c r="T16" s="111" t="n"/>
      <c r="U16" s="111" t="n"/>
      <c r="V16" s="111" t="n"/>
      <c r="W16" s="111" t="n"/>
      <c r="X16" s="111" t="n"/>
      <c r="Y16" s="111" t="n"/>
      <c r="Z16" s="111" t="n"/>
      <c r="AA16" s="111" t="n">
        <v>3</v>
      </c>
      <c r="AB16" s="111" t="n"/>
      <c r="AC16" s="111" t="n"/>
      <c r="AD16" s="111" t="n"/>
      <c r="AE16" s="151" t="n"/>
      <c r="AF16" s="154" t="n">
        <v>5</v>
      </c>
    </row>
    <row r="17" ht="19.5" customFormat="1" customHeight="1" s="114">
      <c r="A17" s="149" t="inlineStr">
        <is>
          <t>1241-500</t>
        </is>
      </c>
      <c r="B17" s="119" t="inlineStr">
        <is>
          <t>■有機人参 洗Ｃ(わけあり) 10kg(加瀬)</t>
        </is>
      </c>
      <c r="C17" s="119" t="inlineStr">
        <is>
          <t>箱</t>
        </is>
      </c>
      <c r="D17" s="119" t="n"/>
      <c r="E17" s="119" t="n"/>
      <c r="F17" s="119" t="n"/>
      <c r="G17" s="119" t="n"/>
      <c r="H17" s="160" t="n"/>
      <c r="I17" s="158" t="n"/>
      <c r="J17" s="119" t="n">
        <v>1</v>
      </c>
      <c r="K17" s="119" t="n"/>
      <c r="L17" s="119" t="n"/>
      <c r="M17" s="119" t="n"/>
      <c r="N17" s="119" t="n"/>
      <c r="O17" s="119" t="n"/>
      <c r="P17" s="119" t="n"/>
      <c r="Q17" s="119" t="n"/>
      <c r="R17" s="160" t="n"/>
      <c r="S17" s="158" t="n"/>
      <c r="T17" s="119" t="n"/>
      <c r="U17" s="119" t="n"/>
      <c r="V17" s="119" t="n"/>
      <c r="W17" s="119" t="n"/>
      <c r="X17" s="119" t="n"/>
      <c r="Y17" s="119" t="n"/>
      <c r="Z17" s="119" t="n"/>
      <c r="AA17" s="119" t="n"/>
      <c r="AB17" s="119" t="n"/>
      <c r="AC17" s="119" t="n"/>
      <c r="AD17" s="119" t="n"/>
      <c r="AE17" s="152" t="n"/>
      <c r="AF17" s="155" t="n">
        <v>1</v>
      </c>
      <c r="AG17" s="113" t="n"/>
      <c r="AH17" s="113" t="n"/>
      <c r="AI17" s="113" t="n"/>
      <c r="AJ17" s="113" t="n"/>
      <c r="AK17" s="113" t="n"/>
      <c r="AL17" s="113" t="n"/>
      <c r="AM17" s="113" t="n"/>
      <c r="AN17" s="113" t="n"/>
      <c r="AO17" s="113" t="n"/>
      <c r="AP17" s="113" t="n"/>
      <c r="AQ17" s="113" t="n"/>
      <c r="AR17" s="113" t="n"/>
      <c r="AS17" s="113" t="n"/>
      <c r="AT17" s="113" t="n"/>
      <c r="AU17" s="113" t="n"/>
      <c r="AV17" s="113" t="n"/>
      <c r="AW17" s="113" t="n"/>
      <c r="AX17" s="113" t="n"/>
      <c r="AY17" s="113" t="n"/>
      <c r="AZ17" s="113" t="n"/>
      <c r="BA17" s="113" t="n"/>
      <c r="BB17" s="113" t="n"/>
      <c r="BC17" s="113" t="n"/>
      <c r="BD17" s="113" t="n"/>
      <c r="BE17" s="113" t="n"/>
      <c r="BF17" s="113" t="n"/>
      <c r="BG17" s="113" t="n"/>
      <c r="BH17" s="113" t="n"/>
      <c r="BI17" s="113" t="n"/>
      <c r="BJ17" s="113" t="n"/>
      <c r="BK17" s="113" t="n"/>
      <c r="BL17" s="113" t="n"/>
      <c r="BM17" s="113" t="n"/>
      <c r="BN17" s="113" t="n"/>
      <c r="BO17" s="113" t="n"/>
      <c r="BP17" s="113" t="n"/>
      <c r="BQ17" s="113" t="n"/>
      <c r="BR17" s="113" t="n"/>
      <c r="BS17" s="113" t="n"/>
      <c r="BT17" s="113" t="n"/>
      <c r="BU17" s="113" t="n"/>
      <c r="BV17" s="113" t="n"/>
      <c r="BW17" s="113" t="n"/>
      <c r="BX17" s="113" t="n"/>
      <c r="BY17" s="113" t="n"/>
      <c r="BZ17" s="113" t="n"/>
      <c r="CA17" s="113" t="n"/>
      <c r="CB17" s="113" t="n"/>
    </row>
    <row r="18" ht="19.5" customFormat="1" customHeight="1" s="22">
      <c r="A18" s="148" t="inlineStr">
        <is>
          <t>1241-671</t>
        </is>
      </c>
      <c r="B18" s="111" t="inlineStr">
        <is>
          <t>■有機人参　洗い　大 10㎏(まるた)</t>
        </is>
      </c>
      <c r="C18" s="111" t="inlineStr">
        <is>
          <t>箱</t>
        </is>
      </c>
      <c r="D18" s="111" t="n"/>
      <c r="E18" s="111" t="n"/>
      <c r="F18" s="111" t="n"/>
      <c r="G18" s="111" t="n"/>
      <c r="H18" s="159" t="n"/>
      <c r="I18" s="157" t="n"/>
      <c r="J18" s="111" t="n"/>
      <c r="K18" s="111" t="n"/>
      <c r="L18" s="111" t="n"/>
      <c r="M18" s="111" t="n"/>
      <c r="N18" s="111" t="n"/>
      <c r="O18" s="111" t="n"/>
      <c r="P18" s="111" t="n"/>
      <c r="Q18" s="111" t="n"/>
      <c r="R18" s="159" t="n"/>
      <c r="S18" s="157" t="n"/>
      <c r="T18" s="111" t="n"/>
      <c r="U18" s="111" t="n"/>
      <c r="V18" s="111" t="n"/>
      <c r="W18" s="111" t="n"/>
      <c r="X18" s="111" t="n"/>
      <c r="Y18" s="111" t="n"/>
      <c r="Z18" s="111" t="n"/>
      <c r="AA18" s="111" t="n"/>
      <c r="AB18" s="111" t="n"/>
      <c r="AC18" s="111" t="n">
        <v>2</v>
      </c>
      <c r="AD18" s="111" t="n"/>
      <c r="AE18" s="151" t="n"/>
      <c r="AF18" s="154" t="n">
        <v>2</v>
      </c>
    </row>
    <row r="19" ht="19.5" customFormat="1" customHeight="1" s="114">
      <c r="A19" s="149" t="inlineStr">
        <is>
          <t>1261-370</t>
        </is>
      </c>
      <c r="B19" s="119" t="inlineStr">
        <is>
          <t>■大根　裸10本(多田孝一)虫2・不　千葉</t>
        </is>
      </c>
      <c r="C19" s="119" t="inlineStr">
        <is>
          <t>箱</t>
        </is>
      </c>
      <c r="D19" s="119" t="n"/>
      <c r="E19" s="119" t="n"/>
      <c r="F19" s="119" t="n"/>
      <c r="G19" s="119" t="n"/>
      <c r="H19" s="160" t="n"/>
      <c r="I19" s="158" t="n">
        <v>2</v>
      </c>
      <c r="J19" s="119" t="n"/>
      <c r="K19" s="119" t="n"/>
      <c r="L19" s="119" t="n"/>
      <c r="M19" s="119" t="n"/>
      <c r="N19" s="119" t="n"/>
      <c r="O19" s="119" t="n"/>
      <c r="P19" s="119" t="n">
        <v>1</v>
      </c>
      <c r="Q19" s="119" t="n"/>
      <c r="R19" s="160" t="n"/>
      <c r="S19" s="158" t="n"/>
      <c r="T19" s="119" t="n"/>
      <c r="U19" s="119" t="n"/>
      <c r="V19" s="119" t="n">
        <v>1</v>
      </c>
      <c r="W19" s="119" t="n"/>
      <c r="X19" s="119" t="n"/>
      <c r="Y19" s="119" t="n"/>
      <c r="Z19" s="119" t="n"/>
      <c r="AA19" s="119" t="n">
        <v>3</v>
      </c>
      <c r="AB19" s="119" t="n"/>
      <c r="AC19" s="119" t="n"/>
      <c r="AD19" s="119" t="n"/>
      <c r="AE19" s="152" t="n"/>
      <c r="AF19" s="155" t="n">
        <v>7</v>
      </c>
      <c r="AG19" s="113" t="n"/>
      <c r="AH19" s="113" t="n"/>
      <c r="AI19" s="113" t="n"/>
      <c r="AJ19" s="113" t="n"/>
      <c r="AK19" s="113" t="n"/>
      <c r="AL19" s="113" t="n"/>
      <c r="AM19" s="113" t="n"/>
      <c r="AN19" s="113" t="n"/>
      <c r="AO19" s="113" t="n"/>
      <c r="AP19" s="113" t="n"/>
      <c r="AQ19" s="113" t="n"/>
      <c r="AR19" s="113" t="n"/>
      <c r="AS19" s="113" t="n"/>
      <c r="AT19" s="113" t="n"/>
      <c r="AU19" s="113" t="n"/>
      <c r="AV19" s="113" t="n"/>
      <c r="AW19" s="113" t="n"/>
      <c r="AX19" s="113" t="n"/>
      <c r="AY19" s="113" t="n"/>
      <c r="AZ19" s="113" t="n"/>
      <c r="BA19" s="113" t="n"/>
      <c r="BB19" s="113" t="n"/>
      <c r="BC19" s="113" t="n"/>
      <c r="BD19" s="113" t="n"/>
      <c r="BE19" s="113" t="n"/>
      <c r="BF19" s="113" t="n"/>
      <c r="BG19" s="113" t="n"/>
      <c r="BH19" s="113" t="n"/>
      <c r="BI19" s="113" t="n"/>
      <c r="BJ19" s="113" t="n"/>
      <c r="BK19" s="113" t="n"/>
      <c r="BL19" s="113" t="n"/>
      <c r="BM19" s="113" t="n"/>
      <c r="BN19" s="113" t="n"/>
      <c r="BO19" s="113" t="n"/>
      <c r="BP19" s="113" t="n"/>
      <c r="BQ19" s="113" t="n"/>
      <c r="BR19" s="113" t="n"/>
      <c r="BS19" s="113" t="n"/>
      <c r="BT19" s="113" t="n"/>
      <c r="BU19" s="113" t="n"/>
      <c r="BV19" s="113" t="n"/>
      <c r="BW19" s="113" t="n"/>
      <c r="BX19" s="113" t="n"/>
      <c r="BY19" s="113" t="n"/>
      <c r="BZ19" s="113" t="n"/>
      <c r="CA19" s="113" t="n"/>
      <c r="CB19" s="113" t="n"/>
    </row>
    <row r="20" ht="19.5" customFormat="1" customHeight="1" s="22">
      <c r="A20" s="148" t="inlineStr">
        <is>
          <t>1261-55</t>
        </is>
      </c>
      <c r="B20" s="111" t="inlineStr">
        <is>
          <t>■大根 洗い 10本　ｺﾝﾃﾅ(萩原)不・不</t>
        </is>
      </c>
      <c r="C20" s="111" t="inlineStr">
        <is>
          <t>箱</t>
        </is>
      </c>
      <c r="D20" s="111" t="n"/>
      <c r="E20" s="111" t="n"/>
      <c r="F20" s="111" t="n"/>
      <c r="G20" s="111" t="n"/>
      <c r="H20" s="159" t="n"/>
      <c r="I20" s="157" t="n"/>
      <c r="J20" s="111" t="n"/>
      <c r="K20" s="111" t="n"/>
      <c r="L20" s="111" t="n"/>
      <c r="M20" s="111" t="n"/>
      <c r="N20" s="111" t="n"/>
      <c r="O20" s="111" t="n"/>
      <c r="P20" s="111" t="n"/>
      <c r="Q20" s="111" t="n"/>
      <c r="R20" s="159" t="n"/>
      <c r="S20" s="157" t="n"/>
      <c r="T20" s="111" t="n">
        <v>3</v>
      </c>
      <c r="U20" s="111" t="n"/>
      <c r="V20" s="111" t="n"/>
      <c r="W20" s="111" t="n"/>
      <c r="X20" s="111" t="n"/>
      <c r="Y20" s="111" t="n"/>
      <c r="Z20" s="111" t="n"/>
      <c r="AA20" s="111" t="n"/>
      <c r="AB20" s="111" t="n"/>
      <c r="AC20" s="111" t="n"/>
      <c r="AD20" s="111" t="n"/>
      <c r="AE20" s="151" t="n"/>
      <c r="AF20" s="154" t="n">
        <v>3</v>
      </c>
    </row>
    <row r="21" ht="19.5" customFormat="1" customHeight="1" s="114">
      <c r="A21" s="149" t="inlineStr">
        <is>
          <t>1261-59</t>
        </is>
      </c>
      <c r="B21" s="119" t="inlineStr">
        <is>
          <t>■大根 Ｂ 10kg（萩原）</t>
        </is>
      </c>
      <c r="C21" s="119" t="inlineStr">
        <is>
          <t>箱</t>
        </is>
      </c>
      <c r="D21" s="119" t="n"/>
      <c r="E21" s="119" t="n"/>
      <c r="F21" s="119" t="n"/>
      <c r="G21" s="119" t="n"/>
      <c r="H21" s="160" t="n"/>
      <c r="I21" s="158" t="n"/>
      <c r="J21" s="119" t="n"/>
      <c r="K21" s="119" t="n"/>
      <c r="L21" s="119" t="n"/>
      <c r="M21" s="119" t="n"/>
      <c r="N21" s="119" t="n"/>
      <c r="O21" s="119" t="n"/>
      <c r="P21" s="119" t="n"/>
      <c r="Q21" s="119" t="n"/>
      <c r="R21" s="160" t="n"/>
      <c r="S21" s="158" t="n"/>
      <c r="T21" s="119" t="n"/>
      <c r="U21" s="119" t="n"/>
      <c r="V21" s="119" t="n"/>
      <c r="W21" s="119" t="n"/>
      <c r="X21" s="119" t="n"/>
      <c r="Y21" s="119" t="n"/>
      <c r="Z21" s="119" t="n"/>
      <c r="AA21" s="119" t="n"/>
      <c r="AB21" s="119" t="n"/>
      <c r="AC21" s="119" t="n">
        <v>1</v>
      </c>
      <c r="AD21" s="119" t="n"/>
      <c r="AE21" s="152" t="n">
        <v>1</v>
      </c>
      <c r="AF21" s="155" t="n">
        <v>2</v>
      </c>
      <c r="AG21" s="113" t="n"/>
      <c r="AH21" s="113" t="n"/>
      <c r="AI21" s="113" t="n"/>
      <c r="AJ21" s="113" t="n"/>
      <c r="AK21" s="113" t="n"/>
      <c r="AL21" s="113" t="n"/>
      <c r="AM21" s="113" t="n"/>
      <c r="AN21" s="113" t="n"/>
      <c r="AO21" s="113" t="n"/>
      <c r="AP21" s="113" t="n"/>
      <c r="AQ21" s="113" t="n"/>
      <c r="AR21" s="113" t="n"/>
      <c r="AS21" s="113" t="n"/>
      <c r="AT21" s="113" t="n"/>
      <c r="AU21" s="113" t="n"/>
      <c r="AV21" s="113" t="n"/>
      <c r="AW21" s="113" t="n"/>
      <c r="AX21" s="113" t="n"/>
      <c r="AY21" s="113" t="n"/>
      <c r="AZ21" s="113" t="n"/>
      <c r="BA21" s="113" t="n"/>
      <c r="BB21" s="113" t="n"/>
      <c r="BC21" s="113" t="n"/>
      <c r="BD21" s="113" t="n"/>
      <c r="BE21" s="113" t="n"/>
      <c r="BF21" s="113" t="n"/>
      <c r="BG21" s="113" t="n"/>
      <c r="BH21" s="113" t="n"/>
      <c r="BI21" s="113" t="n"/>
      <c r="BJ21" s="113" t="n"/>
      <c r="BK21" s="113" t="n"/>
      <c r="BL21" s="113" t="n"/>
      <c r="BM21" s="113" t="n"/>
      <c r="BN21" s="113" t="n"/>
      <c r="BO21" s="113" t="n"/>
      <c r="BP21" s="113" t="n"/>
      <c r="BQ21" s="113" t="n"/>
      <c r="BR21" s="113" t="n"/>
      <c r="BS21" s="113" t="n"/>
      <c r="BT21" s="113" t="n"/>
      <c r="BU21" s="113" t="n"/>
      <c r="BV21" s="113" t="n"/>
      <c r="BW21" s="113" t="n"/>
      <c r="BX21" s="113" t="n"/>
      <c r="BY21" s="113" t="n"/>
      <c r="BZ21" s="113" t="n"/>
      <c r="CA21" s="113" t="n"/>
      <c r="CB21" s="113" t="n"/>
    </row>
    <row r="22" ht="19.5" customFormat="1" customHeight="1" s="22">
      <c r="A22" s="148" t="inlineStr">
        <is>
          <t>1281-24</t>
        </is>
      </c>
      <c r="B22" s="111" t="inlineStr">
        <is>
          <t>■れんこん　４kg(松信昌栄)</t>
        </is>
      </c>
      <c r="C22" s="111" t="inlineStr">
        <is>
          <t>箱</t>
        </is>
      </c>
      <c r="D22" s="111" t="n"/>
      <c r="E22" s="111" t="n"/>
      <c r="F22" s="111" t="n"/>
      <c r="G22" s="111" t="n"/>
      <c r="H22" s="159" t="n"/>
      <c r="I22" s="157" t="n"/>
      <c r="J22" s="111" t="n"/>
      <c r="K22" s="111" t="n"/>
      <c r="L22" s="111" t="n"/>
      <c r="M22" s="111" t="n"/>
      <c r="N22" s="111" t="n"/>
      <c r="O22" s="111" t="n"/>
      <c r="P22" s="111" t="n"/>
      <c r="Q22" s="111" t="n"/>
      <c r="R22" s="159" t="n"/>
      <c r="S22" s="157" t="n"/>
      <c r="T22" s="111" t="n">
        <v>1</v>
      </c>
      <c r="U22" s="111" t="n"/>
      <c r="V22" s="111" t="n"/>
      <c r="W22" s="111" t="n"/>
      <c r="X22" s="111" t="n"/>
      <c r="Y22" s="111" t="n"/>
      <c r="Z22" s="111" t="n"/>
      <c r="AA22" s="111" t="n">
        <v>2</v>
      </c>
      <c r="AB22" s="111" t="n"/>
      <c r="AC22" s="111" t="n"/>
      <c r="AD22" s="111" t="n"/>
      <c r="AE22" s="151" t="n"/>
      <c r="AF22" s="154" t="n">
        <v>3</v>
      </c>
    </row>
    <row r="23" ht="19.5" customFormat="1" customHeight="1" s="114">
      <c r="A23" s="149" t="inlineStr">
        <is>
          <t>1290-45</t>
        </is>
      </c>
      <c r="B23" s="119" t="inlineStr">
        <is>
          <t>■有機ごぼう２L　バラ10㎏箱 (栗又）</t>
        </is>
      </c>
      <c r="C23" s="119" t="inlineStr">
        <is>
          <t>箱</t>
        </is>
      </c>
      <c r="D23" s="119" t="n"/>
      <c r="E23" s="119" t="n"/>
      <c r="F23" s="119" t="n"/>
      <c r="G23" s="119" t="n"/>
      <c r="H23" s="160" t="n"/>
      <c r="I23" s="158" t="n"/>
      <c r="J23" s="119" t="n"/>
      <c r="K23" s="119" t="n"/>
      <c r="L23" s="119" t="n"/>
      <c r="M23" s="119" t="n"/>
      <c r="N23" s="119" t="n"/>
      <c r="O23" s="119" t="n"/>
      <c r="P23" s="119" t="n"/>
      <c r="Q23" s="119" t="n"/>
      <c r="R23" s="160" t="n"/>
      <c r="S23" s="158" t="n"/>
      <c r="T23" s="119" t="n"/>
      <c r="U23" s="119" t="n"/>
      <c r="V23" s="119" t="n"/>
      <c r="W23" s="119" t="n"/>
      <c r="X23" s="119" t="n"/>
      <c r="Y23" s="119" t="n"/>
      <c r="Z23" s="119" t="n"/>
      <c r="AA23" s="119" t="n"/>
      <c r="AB23" s="119" t="n"/>
      <c r="AC23" s="119" t="n">
        <v>1</v>
      </c>
      <c r="AD23" s="119" t="n"/>
      <c r="AE23" s="152" t="n"/>
      <c r="AF23" s="155" t="n">
        <v>1</v>
      </c>
      <c r="AG23" s="113" t="n"/>
      <c r="AH23" s="113" t="n"/>
      <c r="AI23" s="113" t="n"/>
      <c r="AJ23" s="113" t="n"/>
      <c r="AK23" s="113" t="n"/>
      <c r="AL23" s="113" t="n"/>
      <c r="AM23" s="113" t="n"/>
      <c r="AN23" s="113" t="n"/>
      <c r="AO23" s="113" t="n"/>
      <c r="AP23" s="113" t="n"/>
      <c r="AQ23" s="113" t="n"/>
      <c r="AR23" s="113" t="n"/>
      <c r="AS23" s="113" t="n"/>
      <c r="AT23" s="113" t="n"/>
      <c r="AU23" s="113" t="n"/>
      <c r="AV23" s="113" t="n"/>
      <c r="AW23" s="113" t="n"/>
      <c r="AX23" s="113" t="n"/>
      <c r="AY23" s="113" t="n"/>
      <c r="AZ23" s="113" t="n"/>
      <c r="BA23" s="113" t="n"/>
      <c r="BB23" s="113" t="n"/>
      <c r="BC23" s="113" t="n"/>
      <c r="BD23" s="113" t="n"/>
      <c r="BE23" s="113" t="n"/>
      <c r="BF23" s="113" t="n"/>
      <c r="BG23" s="113" t="n"/>
      <c r="BH23" s="113" t="n"/>
      <c r="BI23" s="113" t="n"/>
      <c r="BJ23" s="113" t="n"/>
      <c r="BK23" s="113" t="n"/>
      <c r="BL23" s="113" t="n"/>
      <c r="BM23" s="113" t="n"/>
      <c r="BN23" s="113" t="n"/>
      <c r="BO23" s="113" t="n"/>
      <c r="BP23" s="113" t="n"/>
      <c r="BQ23" s="113" t="n"/>
      <c r="BR23" s="113" t="n"/>
      <c r="BS23" s="113" t="n"/>
      <c r="BT23" s="113" t="n"/>
      <c r="BU23" s="113" t="n"/>
      <c r="BV23" s="113" t="n"/>
      <c r="BW23" s="113" t="n"/>
      <c r="BX23" s="113" t="n"/>
      <c r="BY23" s="113" t="n"/>
      <c r="BZ23" s="113" t="n"/>
      <c r="CA23" s="113" t="n"/>
      <c r="CB23" s="113" t="n"/>
    </row>
    <row r="24" ht="19.5" customFormat="1" customHeight="1" s="22">
      <c r="A24" s="148" t="inlineStr">
        <is>
          <t>1316-287</t>
        </is>
      </c>
      <c r="B24" s="111" t="inlineStr">
        <is>
          <t>■ｻﾂﾏ芋「紅はるか」ML10kg(工藤)草1・不</t>
        </is>
      </c>
      <c r="C24" s="111" t="inlineStr">
        <is>
          <t>箱</t>
        </is>
      </c>
      <c r="D24" s="111" t="n"/>
      <c r="E24" s="111" t="n"/>
      <c r="F24" s="111" t="n"/>
      <c r="G24" s="111" t="n"/>
      <c r="H24" s="159" t="n"/>
      <c r="I24" s="157" t="n"/>
      <c r="J24" s="111" t="n"/>
      <c r="K24" s="111" t="n"/>
      <c r="L24" s="111" t="n"/>
      <c r="M24" s="111" t="n"/>
      <c r="N24" s="111" t="n"/>
      <c r="O24" s="111" t="n"/>
      <c r="P24" s="111" t="n"/>
      <c r="Q24" s="111" t="n"/>
      <c r="R24" s="159" t="n"/>
      <c r="S24" s="157" t="n"/>
      <c r="T24" s="111" t="n"/>
      <c r="U24" s="111" t="n"/>
      <c r="V24" s="111" t="n"/>
      <c r="W24" s="111" t="n"/>
      <c r="X24" s="111" t="n"/>
      <c r="Y24" s="111" t="n">
        <v>1</v>
      </c>
      <c r="Z24" s="111" t="n">
        <v>1</v>
      </c>
      <c r="AA24" s="111" t="n"/>
      <c r="AB24" s="111" t="n"/>
      <c r="AC24" s="111" t="n"/>
      <c r="AD24" s="111" t="n"/>
      <c r="AE24" s="151" t="n"/>
      <c r="AF24" s="154" t="n">
        <v>2</v>
      </c>
    </row>
    <row r="25" ht="19.5" customFormat="1" customHeight="1" s="114">
      <c r="A25" s="149" t="inlineStr">
        <is>
          <t>1316-289</t>
        </is>
      </c>
      <c r="B25" s="119" t="inlineStr">
        <is>
          <t>■ｻﾂﾏ芋「紅はるか」Ｂ10kg(工藤)草1・不</t>
        </is>
      </c>
      <c r="C25" s="119" t="inlineStr">
        <is>
          <t>箱</t>
        </is>
      </c>
      <c r="D25" s="119" t="n"/>
      <c r="E25" s="119" t="n"/>
      <c r="F25" s="119" t="n"/>
      <c r="G25" s="119" t="n"/>
      <c r="H25" s="160" t="n"/>
      <c r="I25" s="158" t="n"/>
      <c r="J25" s="119" t="n"/>
      <c r="K25" s="119" t="n"/>
      <c r="L25" s="119" t="n"/>
      <c r="M25" s="119" t="n"/>
      <c r="N25" s="119" t="n"/>
      <c r="O25" s="119" t="n"/>
      <c r="P25" s="119" t="n"/>
      <c r="Q25" s="119" t="n"/>
      <c r="R25" s="160" t="n"/>
      <c r="S25" s="158" t="n"/>
      <c r="T25" s="119" t="n"/>
      <c r="U25" s="119" t="n"/>
      <c r="V25" s="119" t="n"/>
      <c r="W25" s="119" t="n"/>
      <c r="X25" s="119" t="n"/>
      <c r="Y25" s="119" t="n"/>
      <c r="Z25" s="119" t="n"/>
      <c r="AA25" s="119" t="n"/>
      <c r="AB25" s="119" t="n"/>
      <c r="AC25" s="119" t="n"/>
      <c r="AD25" s="119" t="n"/>
      <c r="AE25" s="152" t="n">
        <v>1</v>
      </c>
      <c r="AF25" s="155" t="n">
        <v>1</v>
      </c>
      <c r="AG25" s="113" t="n"/>
      <c r="AH25" s="113" t="n"/>
      <c r="AI25" s="113" t="n"/>
      <c r="AJ25" s="113" t="n"/>
      <c r="AK25" s="113" t="n"/>
      <c r="AL25" s="113" t="n"/>
      <c r="AM25" s="113" t="n"/>
      <c r="AN25" s="113" t="n"/>
      <c r="AO25" s="113" t="n"/>
      <c r="AP25" s="113" t="n"/>
      <c r="AQ25" s="113" t="n"/>
      <c r="AR25" s="113" t="n"/>
      <c r="AS25" s="113" t="n"/>
      <c r="AT25" s="113" t="n"/>
      <c r="AU25" s="113" t="n"/>
      <c r="AV25" s="113" t="n"/>
      <c r="AW25" s="113" t="n"/>
      <c r="AX25" s="113" t="n"/>
      <c r="AY25" s="113" t="n"/>
      <c r="AZ25" s="113" t="n"/>
      <c r="BA25" s="113" t="n"/>
      <c r="BB25" s="113" t="n"/>
      <c r="BC25" s="113" t="n"/>
      <c r="BD25" s="113" t="n"/>
      <c r="BE25" s="113" t="n"/>
      <c r="BF25" s="113" t="n"/>
      <c r="BG25" s="113" t="n"/>
      <c r="BH25" s="113" t="n"/>
      <c r="BI25" s="113" t="n"/>
      <c r="BJ25" s="113" t="n"/>
      <c r="BK25" s="113" t="n"/>
      <c r="BL25" s="113" t="n"/>
      <c r="BM25" s="113" t="n"/>
      <c r="BN25" s="113" t="n"/>
      <c r="BO25" s="113" t="n"/>
      <c r="BP25" s="113" t="n"/>
      <c r="BQ25" s="113" t="n"/>
      <c r="BR25" s="113" t="n"/>
      <c r="BS25" s="113" t="n"/>
      <c r="BT25" s="113" t="n"/>
      <c r="BU25" s="113" t="n"/>
      <c r="BV25" s="113" t="n"/>
      <c r="BW25" s="113" t="n"/>
      <c r="BX25" s="113" t="n"/>
      <c r="BY25" s="113" t="n"/>
      <c r="BZ25" s="113" t="n"/>
      <c r="CA25" s="113" t="n"/>
      <c r="CB25" s="113" t="n"/>
    </row>
    <row r="26" ht="19.5" customFormat="1" customHeight="1" s="22">
      <c r="A26" s="148" t="inlineStr">
        <is>
          <t>1408-179</t>
        </is>
      </c>
      <c r="B26" s="111" t="inlineStr">
        <is>
          <t>■有機ほうれん草　150ｇ×25入(北総)</t>
        </is>
      </c>
      <c r="C26" s="111" t="inlineStr">
        <is>
          <t>箱</t>
        </is>
      </c>
      <c r="D26" s="111" t="n"/>
      <c r="E26" s="111" t="n"/>
      <c r="F26" s="111" t="n"/>
      <c r="G26" s="111" t="n"/>
      <c r="H26" s="159" t="n"/>
      <c r="I26" s="157" t="n"/>
      <c r="J26" s="111" t="n"/>
      <c r="K26" s="111" t="n"/>
      <c r="L26" s="111" t="n"/>
      <c r="M26" s="111" t="n"/>
      <c r="N26" s="111" t="n"/>
      <c r="O26" s="111" t="n"/>
      <c r="P26" s="111" t="n"/>
      <c r="Q26" s="111" t="n"/>
      <c r="R26" s="159" t="n"/>
      <c r="S26" s="157" t="n">
        <v>1</v>
      </c>
      <c r="T26" s="111" t="n"/>
      <c r="U26" s="111" t="n"/>
      <c r="V26" s="111" t="n"/>
      <c r="W26" s="111" t="n"/>
      <c r="X26" s="111" t="n"/>
      <c r="Y26" s="111" t="n"/>
      <c r="Z26" s="111" t="n"/>
      <c r="AA26" s="111" t="n"/>
      <c r="AB26" s="111" t="n"/>
      <c r="AC26" s="111" t="n"/>
      <c r="AD26" s="111" t="n"/>
      <c r="AE26" s="151" t="n"/>
      <c r="AF26" s="154" t="n">
        <v>1</v>
      </c>
    </row>
    <row r="27" ht="19.5" customFormat="1" customHeight="1" s="114">
      <c r="A27" s="149" t="inlineStr">
        <is>
          <t>1408-198</t>
        </is>
      </c>
      <c r="B27" s="119" t="inlineStr">
        <is>
          <t>■ほうれん草 5kg (さんぶ)不不</t>
        </is>
      </c>
      <c r="C27" s="119" t="inlineStr">
        <is>
          <t>箱</t>
        </is>
      </c>
      <c r="D27" s="119" t="n"/>
      <c r="E27" s="119" t="n"/>
      <c r="F27" s="119" t="n"/>
      <c r="G27" s="119" t="n"/>
      <c r="H27" s="160" t="n"/>
      <c r="I27" s="158" t="n"/>
      <c r="J27" s="119" t="n"/>
      <c r="K27" s="119" t="n"/>
      <c r="L27" s="119" t="n"/>
      <c r="M27" s="119" t="n"/>
      <c r="N27" s="119" t="n"/>
      <c r="O27" s="119" t="n"/>
      <c r="P27" s="119" t="n"/>
      <c r="Q27" s="119" t="n"/>
      <c r="R27" s="160" t="n"/>
      <c r="S27" s="158" t="n"/>
      <c r="T27" s="119" t="n"/>
      <c r="U27" s="119" t="n"/>
      <c r="V27" s="119" t="n"/>
      <c r="W27" s="119" t="n"/>
      <c r="X27" s="119" t="n"/>
      <c r="Y27" s="119" t="n">
        <v>1</v>
      </c>
      <c r="Z27" s="119" t="n"/>
      <c r="AA27" s="119" t="n"/>
      <c r="AB27" s="119" t="n"/>
      <c r="AC27" s="119" t="n"/>
      <c r="AD27" s="119" t="n"/>
      <c r="AE27" s="152" t="n"/>
      <c r="AF27" s="155" t="n">
        <v>1</v>
      </c>
      <c r="AG27" s="113" t="n"/>
      <c r="AH27" s="113" t="n"/>
      <c r="AI27" s="113" t="n"/>
      <c r="AJ27" s="113" t="n"/>
      <c r="AK27" s="113" t="n"/>
      <c r="AL27" s="113" t="n"/>
      <c r="AM27" s="113" t="n"/>
      <c r="AN27" s="113" t="n"/>
      <c r="AO27" s="113" t="n"/>
      <c r="AP27" s="113" t="n"/>
      <c r="AQ27" s="113" t="n"/>
      <c r="AR27" s="113" t="n"/>
      <c r="AS27" s="113" t="n"/>
      <c r="AT27" s="113" t="n"/>
      <c r="AU27" s="113" t="n"/>
      <c r="AV27" s="113" t="n"/>
      <c r="AW27" s="113" t="n"/>
      <c r="AX27" s="113" t="n"/>
      <c r="AY27" s="113" t="n"/>
      <c r="AZ27" s="113" t="n"/>
      <c r="BA27" s="113" t="n"/>
      <c r="BB27" s="113" t="n"/>
      <c r="BC27" s="113" t="n"/>
      <c r="BD27" s="113" t="n"/>
      <c r="BE27" s="113" t="n"/>
      <c r="BF27" s="113" t="n"/>
      <c r="BG27" s="113" t="n"/>
      <c r="BH27" s="113" t="n"/>
      <c r="BI27" s="113" t="n"/>
      <c r="BJ27" s="113" t="n"/>
      <c r="BK27" s="113" t="n"/>
      <c r="BL27" s="113" t="n"/>
      <c r="BM27" s="113" t="n"/>
      <c r="BN27" s="113" t="n"/>
      <c r="BO27" s="113" t="n"/>
      <c r="BP27" s="113" t="n"/>
      <c r="BQ27" s="113" t="n"/>
      <c r="BR27" s="113" t="n"/>
      <c r="BS27" s="113" t="n"/>
      <c r="BT27" s="113" t="n"/>
      <c r="BU27" s="113" t="n"/>
      <c r="BV27" s="113" t="n"/>
      <c r="BW27" s="113" t="n"/>
      <c r="BX27" s="113" t="n"/>
      <c r="BY27" s="113" t="n"/>
      <c r="BZ27" s="113" t="n"/>
      <c r="CA27" s="113" t="n"/>
      <c r="CB27" s="113" t="n"/>
    </row>
    <row r="28" ht="19.5" customFormat="1" customHeight="1" s="22">
      <c r="A28" s="148" t="inlineStr">
        <is>
          <t>1502-78</t>
        </is>
      </c>
      <c r="B28" s="111" t="inlineStr">
        <is>
          <t>■ｷｬﾍﾞﾂ 裸10k(長有研)虫6菌2(＝5割減)・不</t>
        </is>
      </c>
      <c r="C28" s="111" t="inlineStr">
        <is>
          <t>箱</t>
        </is>
      </c>
      <c r="D28" s="111" t="n"/>
      <c r="E28" s="111" t="n"/>
      <c r="F28" s="111" t="n"/>
      <c r="G28" s="111" t="n"/>
      <c r="H28" s="159" t="n"/>
      <c r="I28" s="157" t="n"/>
      <c r="J28" s="111" t="n"/>
      <c r="K28" s="111" t="n"/>
      <c r="L28" s="111" t="n"/>
      <c r="M28" s="111" t="n"/>
      <c r="N28" s="111" t="n"/>
      <c r="O28" s="111" t="n"/>
      <c r="P28" s="111" t="n"/>
      <c r="Q28" s="111" t="n"/>
      <c r="R28" s="159" t="n"/>
      <c r="S28" s="157" t="n"/>
      <c r="T28" s="111" t="n">
        <v>2</v>
      </c>
      <c r="U28" s="111" t="n"/>
      <c r="V28" s="111" t="n"/>
      <c r="W28" s="111" t="n"/>
      <c r="X28" s="111" t="n"/>
      <c r="Y28" s="111" t="n"/>
      <c r="Z28" s="111" t="n"/>
      <c r="AA28" s="111" t="n"/>
      <c r="AB28" s="111" t="n"/>
      <c r="AC28" s="111" t="n"/>
      <c r="AD28" s="111" t="n"/>
      <c r="AE28" s="151" t="n"/>
      <c r="AF28" s="154" t="n">
        <v>2</v>
      </c>
    </row>
    <row r="29" ht="19.5" customFormat="1" customHeight="1" s="114">
      <c r="A29" s="149" t="inlineStr">
        <is>
          <t>1538-43</t>
        </is>
      </c>
      <c r="B29" s="119" t="inlineStr">
        <is>
          <t>■レタス１個袋×１０入（沃土会）</t>
        </is>
      </c>
      <c r="C29" s="119" t="inlineStr">
        <is>
          <t>箱</t>
        </is>
      </c>
      <c r="D29" s="119" t="n"/>
      <c r="E29" s="119" t="n"/>
      <c r="F29" s="119" t="n"/>
      <c r="G29" s="119" t="n"/>
      <c r="H29" s="160" t="n"/>
      <c r="I29" s="158" t="n"/>
      <c r="J29" s="119" t="n"/>
      <c r="K29" s="119" t="n"/>
      <c r="L29" s="119" t="n"/>
      <c r="M29" s="119" t="n"/>
      <c r="N29" s="119" t="n"/>
      <c r="O29" s="119" t="n"/>
      <c r="P29" s="119" t="n"/>
      <c r="Q29" s="119" t="n"/>
      <c r="R29" s="160" t="n"/>
      <c r="S29" s="158" t="n"/>
      <c r="T29" s="119" t="n"/>
      <c r="U29" s="119" t="n"/>
      <c r="V29" s="119" t="n"/>
      <c r="W29" s="119" t="n"/>
      <c r="X29" s="119" t="n"/>
      <c r="Y29" s="119" t="n"/>
      <c r="Z29" s="119" t="n"/>
      <c r="AA29" s="119" t="n"/>
      <c r="AB29" s="119" t="n"/>
      <c r="AC29" s="119" t="n">
        <v>1</v>
      </c>
      <c r="AD29" s="119" t="n"/>
      <c r="AE29" s="152" t="n"/>
      <c r="AF29" s="155" t="n">
        <v>1</v>
      </c>
      <c r="AG29" s="113" t="n"/>
      <c r="AH29" s="113" t="n"/>
      <c r="AI29" s="113" t="n"/>
      <c r="AJ29" s="113" t="n"/>
      <c r="AK29" s="113" t="n"/>
      <c r="AL29" s="113" t="n"/>
      <c r="AM29" s="113" t="n"/>
      <c r="AN29" s="113" t="n"/>
      <c r="AO29" s="113" t="n"/>
      <c r="AP29" s="113" t="n"/>
      <c r="AQ29" s="113" t="n"/>
      <c r="AR29" s="113" t="n"/>
      <c r="AS29" s="113" t="n"/>
      <c r="AT29" s="113" t="n"/>
      <c r="AU29" s="113" t="n"/>
      <c r="AV29" s="113" t="n"/>
      <c r="AW29" s="113" t="n"/>
      <c r="AX29" s="113" t="n"/>
      <c r="AY29" s="113" t="n"/>
      <c r="AZ29" s="113" t="n"/>
      <c r="BA29" s="113" t="n"/>
      <c r="BB29" s="113" t="n"/>
      <c r="BC29" s="113" t="n"/>
      <c r="BD29" s="113" t="n"/>
      <c r="BE29" s="113" t="n"/>
      <c r="BF29" s="113" t="n"/>
      <c r="BG29" s="113" t="n"/>
      <c r="BH29" s="113" t="n"/>
      <c r="BI29" s="113" t="n"/>
      <c r="BJ29" s="113" t="n"/>
      <c r="BK29" s="113" t="n"/>
      <c r="BL29" s="113" t="n"/>
      <c r="BM29" s="113" t="n"/>
      <c r="BN29" s="113" t="n"/>
      <c r="BO29" s="113" t="n"/>
      <c r="BP29" s="113" t="n"/>
      <c r="BQ29" s="113" t="n"/>
      <c r="BR29" s="113" t="n"/>
      <c r="BS29" s="113" t="n"/>
      <c r="BT29" s="113" t="n"/>
      <c r="BU29" s="113" t="n"/>
      <c r="BV29" s="113" t="n"/>
      <c r="BW29" s="113" t="n"/>
      <c r="BX29" s="113" t="n"/>
      <c r="BY29" s="113" t="n"/>
      <c r="BZ29" s="113" t="n"/>
      <c r="CA29" s="113" t="n"/>
      <c r="CB29" s="113" t="n"/>
    </row>
    <row r="30" ht="19.5" customFormat="1" customHeight="1" s="22">
      <c r="A30" s="148" t="inlineStr">
        <is>
          <t>1589-157</t>
        </is>
      </c>
      <c r="B30" s="111" t="inlineStr">
        <is>
          <t>■リーフレタス　裸　15個(松信昌栄)</t>
        </is>
      </c>
      <c r="C30" s="111" t="inlineStr">
        <is>
          <t>箱</t>
        </is>
      </c>
      <c r="D30" s="111" t="n"/>
      <c r="E30" s="111" t="n"/>
      <c r="F30" s="111" t="n"/>
      <c r="G30" s="111" t="n"/>
      <c r="H30" s="159" t="n"/>
      <c r="I30" s="157" t="n"/>
      <c r="J30" s="111" t="n"/>
      <c r="K30" s="111" t="n"/>
      <c r="L30" s="111" t="n"/>
      <c r="M30" s="111" t="n"/>
      <c r="N30" s="111" t="n"/>
      <c r="O30" s="111" t="n"/>
      <c r="P30" s="111" t="n"/>
      <c r="Q30" s="111" t="n"/>
      <c r="R30" s="159" t="n"/>
      <c r="S30" s="157" t="n"/>
      <c r="T30" s="111" t="n"/>
      <c r="U30" s="111" t="n"/>
      <c r="V30" s="111" t="n"/>
      <c r="W30" s="111" t="n"/>
      <c r="X30" s="111" t="n"/>
      <c r="Y30" s="111" t="n"/>
      <c r="Z30" s="111" t="n"/>
      <c r="AA30" s="111" t="n"/>
      <c r="AB30" s="111" t="n"/>
      <c r="AC30" s="111" t="n">
        <v>1</v>
      </c>
      <c r="AD30" s="111" t="n"/>
      <c r="AE30" s="151" t="n"/>
      <c r="AF30" s="154" t="n">
        <v>1</v>
      </c>
    </row>
    <row r="31" ht="19.5" customFormat="1" customHeight="1" s="114">
      <c r="A31" s="149" t="inlineStr">
        <is>
          <t>1593-50</t>
        </is>
      </c>
      <c r="B31" s="119" t="inlineStr">
        <is>
          <t>■白菜15㎏箱(長有)菌3虫3(＝5割減)・不</t>
        </is>
      </c>
      <c r="C31" s="119" t="inlineStr">
        <is>
          <t>箱</t>
        </is>
      </c>
      <c r="D31" s="119" t="n"/>
      <c r="E31" s="119" t="n">
        <v>1</v>
      </c>
      <c r="F31" s="119" t="n"/>
      <c r="G31" s="119" t="n"/>
      <c r="H31" s="160" t="n"/>
      <c r="I31" s="158" t="n"/>
      <c r="J31" s="119" t="n"/>
      <c r="K31" s="119" t="n"/>
      <c r="L31" s="119" t="n"/>
      <c r="M31" s="119" t="n"/>
      <c r="N31" s="119" t="n"/>
      <c r="O31" s="119" t="n"/>
      <c r="P31" s="119" t="n"/>
      <c r="Q31" s="119" t="n"/>
      <c r="R31" s="160" t="n"/>
      <c r="S31" s="158" t="n"/>
      <c r="T31" s="119" t="n">
        <v>2</v>
      </c>
      <c r="U31" s="119" t="n"/>
      <c r="V31" s="119" t="n"/>
      <c r="W31" s="119" t="n"/>
      <c r="X31" s="119" t="n"/>
      <c r="Y31" s="119" t="n"/>
      <c r="Z31" s="119" t="n"/>
      <c r="AA31" s="119" t="n"/>
      <c r="AB31" s="119" t="n"/>
      <c r="AC31" s="119" t="n"/>
      <c r="AD31" s="119" t="n"/>
      <c r="AE31" s="152" t="n"/>
      <c r="AF31" s="155" t="n">
        <v>3</v>
      </c>
      <c r="AG31" s="113" t="n"/>
      <c r="AH31" s="113" t="n"/>
      <c r="AI31" s="113" t="n"/>
      <c r="AJ31" s="113" t="n"/>
      <c r="AK31" s="113" t="n"/>
      <c r="AL31" s="113" t="n"/>
      <c r="AM31" s="113" t="n"/>
      <c r="AN31" s="113" t="n"/>
      <c r="AO31" s="113" t="n"/>
      <c r="AP31" s="113" t="n"/>
      <c r="AQ31" s="113" t="n"/>
      <c r="AR31" s="113" t="n"/>
      <c r="AS31" s="113" t="n"/>
      <c r="AT31" s="113" t="n"/>
      <c r="AU31" s="113" t="n"/>
      <c r="AV31" s="113" t="n"/>
      <c r="AW31" s="113" t="n"/>
      <c r="AX31" s="113" t="n"/>
      <c r="AY31" s="113" t="n"/>
      <c r="AZ31" s="113" t="n"/>
      <c r="BA31" s="113" t="n"/>
      <c r="BB31" s="113" t="n"/>
      <c r="BC31" s="113" t="n"/>
      <c r="BD31" s="113" t="n"/>
      <c r="BE31" s="113" t="n"/>
      <c r="BF31" s="113" t="n"/>
      <c r="BG31" s="113" t="n"/>
      <c r="BH31" s="113" t="n"/>
      <c r="BI31" s="113" t="n"/>
      <c r="BJ31" s="113" t="n"/>
      <c r="BK31" s="113" t="n"/>
      <c r="BL31" s="113" t="n"/>
      <c r="BM31" s="113" t="n"/>
      <c r="BN31" s="113" t="n"/>
      <c r="BO31" s="113" t="n"/>
      <c r="BP31" s="113" t="n"/>
      <c r="BQ31" s="113" t="n"/>
      <c r="BR31" s="113" t="n"/>
      <c r="BS31" s="113" t="n"/>
      <c r="BT31" s="113" t="n"/>
      <c r="BU31" s="113" t="n"/>
      <c r="BV31" s="113" t="n"/>
      <c r="BW31" s="113" t="n"/>
      <c r="BX31" s="113" t="n"/>
      <c r="BY31" s="113" t="n"/>
      <c r="BZ31" s="113" t="n"/>
      <c r="CA31" s="113" t="n"/>
      <c r="CB31" s="113" t="n"/>
    </row>
    <row r="32" ht="19.5" customFormat="1" customHeight="1" s="22">
      <c r="A32" s="148" t="inlineStr">
        <is>
          <t>1665-32</t>
        </is>
      </c>
      <c r="B32" s="111" t="inlineStr">
        <is>
          <t>■有機かぼちゃ｢ほっこり」10kg(石田)</t>
        </is>
      </c>
      <c r="C32" s="111" t="inlineStr">
        <is>
          <t>箱</t>
        </is>
      </c>
      <c r="D32" s="111" t="n">
        <v>1</v>
      </c>
      <c r="E32" s="111" t="n"/>
      <c r="F32" s="111" t="n"/>
      <c r="G32" s="111" t="n"/>
      <c r="H32" s="159" t="n"/>
      <c r="I32" s="157" t="n"/>
      <c r="J32" s="111" t="n"/>
      <c r="K32" s="111" t="n"/>
      <c r="L32" s="111" t="n"/>
      <c r="M32" s="111" t="n"/>
      <c r="N32" s="111" t="n"/>
      <c r="O32" s="111" t="n"/>
      <c r="P32" s="111" t="n">
        <v>1</v>
      </c>
      <c r="Q32" s="111" t="n"/>
      <c r="R32" s="159" t="n">
        <v>1</v>
      </c>
      <c r="S32" s="157" t="n"/>
      <c r="T32" s="111" t="n">
        <v>1</v>
      </c>
      <c r="U32" s="111" t="n"/>
      <c r="V32" s="111" t="n"/>
      <c r="W32" s="111" t="n"/>
      <c r="X32" s="111" t="n"/>
      <c r="Y32" s="111" t="n"/>
      <c r="Z32" s="111" t="n"/>
      <c r="AA32" s="111" t="n"/>
      <c r="AB32" s="111" t="n"/>
      <c r="AC32" s="111" t="n"/>
      <c r="AD32" s="111" t="n"/>
      <c r="AE32" s="151" t="n"/>
      <c r="AF32" s="154" t="n">
        <v>4</v>
      </c>
    </row>
    <row r="33" ht="19.5" customFormat="1" customHeight="1" s="114">
      <c r="A33" s="149" t="inlineStr">
        <is>
          <t>1665-44</t>
        </is>
      </c>
      <c r="B33" s="119" t="inlineStr">
        <is>
          <t>■有機かぼちゃ｢ほっこり」○ 10kg(石田)</t>
        </is>
      </c>
      <c r="C33" s="119" t="inlineStr">
        <is>
          <t>箱</t>
        </is>
      </c>
      <c r="D33" s="119" t="n"/>
      <c r="E33" s="119" t="n"/>
      <c r="F33" s="119" t="n"/>
      <c r="G33" s="119" t="n"/>
      <c r="H33" s="160" t="n"/>
      <c r="I33" s="158" t="n"/>
      <c r="J33" s="119" t="n"/>
      <c r="K33" s="119" t="n"/>
      <c r="L33" s="119" t="n"/>
      <c r="M33" s="119" t="n"/>
      <c r="N33" s="119" t="n"/>
      <c r="O33" s="119" t="n"/>
      <c r="P33" s="119" t="n"/>
      <c r="Q33" s="119" t="n"/>
      <c r="R33" s="160" t="n"/>
      <c r="S33" s="158" t="n"/>
      <c r="T33" s="119" t="n"/>
      <c r="U33" s="119" t="n"/>
      <c r="V33" s="119" t="n"/>
      <c r="W33" s="119" t="n"/>
      <c r="X33" s="119" t="n"/>
      <c r="Y33" s="119" t="n"/>
      <c r="Z33" s="119" t="n"/>
      <c r="AA33" s="119" t="n">
        <v>2</v>
      </c>
      <c r="AB33" s="119" t="n"/>
      <c r="AC33" s="119" t="n"/>
      <c r="AD33" s="119" t="n"/>
      <c r="AE33" s="152" t="n"/>
      <c r="AF33" s="155" t="n">
        <v>2</v>
      </c>
      <c r="AG33" s="113" t="n"/>
      <c r="AH33" s="113" t="n"/>
      <c r="AI33" s="113" t="n"/>
      <c r="AJ33" s="113" t="n"/>
      <c r="AK33" s="113" t="n"/>
      <c r="AL33" s="113" t="n"/>
      <c r="AM33" s="113" t="n"/>
      <c r="AN33" s="113" t="n"/>
      <c r="AO33" s="113" t="n"/>
      <c r="AP33" s="113" t="n"/>
      <c r="AQ33" s="113" t="n"/>
      <c r="AR33" s="113" t="n"/>
      <c r="AS33" s="113" t="n"/>
      <c r="AT33" s="113" t="n"/>
      <c r="AU33" s="113" t="n"/>
      <c r="AV33" s="113" t="n"/>
      <c r="AW33" s="113" t="n"/>
      <c r="AX33" s="113" t="n"/>
      <c r="AY33" s="113" t="n"/>
      <c r="AZ33" s="113" t="n"/>
      <c r="BA33" s="113" t="n"/>
      <c r="BB33" s="113" t="n"/>
      <c r="BC33" s="113" t="n"/>
      <c r="BD33" s="113" t="n"/>
      <c r="BE33" s="113" t="n"/>
      <c r="BF33" s="113" t="n"/>
      <c r="BG33" s="113" t="n"/>
      <c r="BH33" s="113" t="n"/>
      <c r="BI33" s="113" t="n"/>
      <c r="BJ33" s="113" t="n"/>
      <c r="BK33" s="113" t="n"/>
      <c r="BL33" s="113" t="n"/>
      <c r="BM33" s="113" t="n"/>
      <c r="BN33" s="113" t="n"/>
      <c r="BO33" s="113" t="n"/>
      <c r="BP33" s="113" t="n"/>
      <c r="BQ33" s="113" t="n"/>
      <c r="BR33" s="113" t="n"/>
      <c r="BS33" s="113" t="n"/>
      <c r="BT33" s="113" t="n"/>
      <c r="BU33" s="113" t="n"/>
      <c r="BV33" s="113" t="n"/>
      <c r="BW33" s="113" t="n"/>
      <c r="BX33" s="113" t="n"/>
      <c r="BY33" s="113" t="n"/>
      <c r="BZ33" s="113" t="n"/>
      <c r="CA33" s="113" t="n"/>
      <c r="CB33" s="113" t="n"/>
    </row>
    <row r="34" ht="19.5" customFormat="1" customHeight="1" s="22">
      <c r="A34" s="148" t="inlineStr">
        <is>
          <t>1821-3</t>
        </is>
      </c>
      <c r="B34" s="111" t="inlineStr">
        <is>
          <t>■エリンギ 100g ×20入(ミスズ)</t>
        </is>
      </c>
      <c r="C34" s="111" t="inlineStr">
        <is>
          <t>箱</t>
        </is>
      </c>
      <c r="D34" s="111" t="n"/>
      <c r="E34" s="111" t="n"/>
      <c r="F34" s="111" t="n"/>
      <c r="G34" s="111" t="n"/>
      <c r="H34" s="159" t="n"/>
      <c r="I34" s="157" t="n"/>
      <c r="J34" s="111" t="n"/>
      <c r="K34" s="111" t="n"/>
      <c r="L34" s="111" t="n"/>
      <c r="M34" s="111" t="n"/>
      <c r="N34" s="111" t="n"/>
      <c r="O34" s="111" t="n"/>
      <c r="P34" s="111" t="n"/>
      <c r="Q34" s="111" t="n"/>
      <c r="R34" s="159" t="n"/>
      <c r="S34" s="157" t="n"/>
      <c r="T34" s="111" t="n"/>
      <c r="U34" s="111" t="n"/>
      <c r="V34" s="111" t="n"/>
      <c r="W34" s="111" t="n"/>
      <c r="X34" s="111" t="n"/>
      <c r="Y34" s="111" t="n"/>
      <c r="Z34" s="111" t="n"/>
      <c r="AA34" s="111" t="n"/>
      <c r="AB34" s="111" t="n"/>
      <c r="AC34" s="111" t="n">
        <v>2</v>
      </c>
      <c r="AD34" s="111" t="n"/>
      <c r="AE34" s="151" t="n"/>
      <c r="AF34" s="154" t="n">
        <v>2</v>
      </c>
    </row>
    <row r="35" ht="19.5" customFormat="1" customHeight="1" s="114">
      <c r="A35" s="149" t="inlineStr">
        <is>
          <t>2206</t>
        </is>
      </c>
      <c r="B35" s="119" t="inlineStr">
        <is>
          <t>■浅間とり牧場の自然卵　１０ｋｇ　Ｌ</t>
        </is>
      </c>
      <c r="C35" s="119" t="inlineStr">
        <is>
          <t>箱</t>
        </is>
      </c>
      <c r="D35" s="119" t="n"/>
      <c r="E35" s="119" t="n"/>
      <c r="F35" s="119" t="n"/>
      <c r="G35" s="119" t="n"/>
      <c r="H35" s="160" t="n"/>
      <c r="I35" s="158" t="n"/>
      <c r="J35" s="119" t="n">
        <v>1</v>
      </c>
      <c r="K35" s="119" t="n">
        <v>1</v>
      </c>
      <c r="L35" s="119" t="n">
        <v>1</v>
      </c>
      <c r="M35" s="119" t="n"/>
      <c r="N35" s="119" t="n"/>
      <c r="O35" s="119" t="n"/>
      <c r="P35" s="119" t="n"/>
      <c r="Q35" s="119" t="n"/>
      <c r="R35" s="160" t="n"/>
      <c r="S35" s="158" t="n"/>
      <c r="T35" s="119" t="n">
        <v>1</v>
      </c>
      <c r="U35" s="119" t="n"/>
      <c r="V35" s="119" t="n"/>
      <c r="W35" s="119" t="n"/>
      <c r="X35" s="119" t="n"/>
      <c r="Y35" s="119" t="n"/>
      <c r="Z35" s="119" t="n">
        <v>1</v>
      </c>
      <c r="AA35" s="119" t="n"/>
      <c r="AB35" s="119" t="n"/>
      <c r="AC35" s="119" t="n"/>
      <c r="AD35" s="119" t="n"/>
      <c r="AE35" s="152" t="n"/>
      <c r="AF35" s="155" t="n">
        <v>5</v>
      </c>
      <c r="AG35" s="113" t="n"/>
      <c r="AH35" s="113" t="n"/>
      <c r="AI35" s="113" t="n"/>
      <c r="AJ35" s="113" t="n"/>
      <c r="AK35" s="113" t="n"/>
      <c r="AL35" s="113" t="n"/>
      <c r="AM35" s="113" t="n"/>
      <c r="AN35" s="113" t="n"/>
      <c r="AO35" s="113" t="n"/>
      <c r="AP35" s="113" t="n"/>
      <c r="AQ35" s="113" t="n"/>
      <c r="AR35" s="113" t="n"/>
      <c r="AS35" s="113" t="n"/>
      <c r="AT35" s="113" t="n"/>
      <c r="AU35" s="113" t="n"/>
      <c r="AV35" s="113" t="n"/>
      <c r="AW35" s="113" t="n"/>
      <c r="AX35" s="113" t="n"/>
      <c r="AY35" s="113" t="n"/>
      <c r="AZ35" s="113" t="n"/>
      <c r="BA35" s="113" t="n"/>
      <c r="BB35" s="113" t="n"/>
      <c r="BC35" s="113" t="n"/>
      <c r="BD35" s="113" t="n"/>
      <c r="BE35" s="113" t="n"/>
      <c r="BF35" s="113" t="n"/>
      <c r="BG35" s="113" t="n"/>
      <c r="BH35" s="113" t="n"/>
      <c r="BI35" s="113" t="n"/>
      <c r="BJ35" s="113" t="n"/>
      <c r="BK35" s="113" t="n"/>
      <c r="BL35" s="113" t="n"/>
      <c r="BM35" s="113" t="n"/>
      <c r="BN35" s="113" t="n"/>
      <c r="BO35" s="113" t="n"/>
      <c r="BP35" s="113" t="n"/>
      <c r="BQ35" s="113" t="n"/>
      <c r="BR35" s="113" t="n"/>
      <c r="BS35" s="113" t="n"/>
      <c r="BT35" s="113" t="n"/>
      <c r="BU35" s="113" t="n"/>
      <c r="BV35" s="113" t="n"/>
      <c r="BW35" s="113" t="n"/>
      <c r="BX35" s="113" t="n"/>
      <c r="BY35" s="113" t="n"/>
      <c r="BZ35" s="113" t="n"/>
      <c r="CA35" s="113" t="n"/>
      <c r="CB35" s="113" t="n"/>
    </row>
    <row r="36" ht="19.5" customFormat="1" customHeight="1" s="22">
      <c r="A36" s="148" t="inlineStr">
        <is>
          <t>2210-1</t>
        </is>
      </c>
      <c r="B36" s="111" t="inlineStr">
        <is>
          <t>■卵「もみじ」Ｌ 10㎏(大松)</t>
        </is>
      </c>
      <c r="C36" s="111" t="inlineStr">
        <is>
          <t>箱</t>
        </is>
      </c>
      <c r="D36" s="111" t="n"/>
      <c r="E36" s="111" t="n"/>
      <c r="F36" s="111" t="n"/>
      <c r="G36" s="111" t="n"/>
      <c r="H36" s="159" t="n"/>
      <c r="I36" s="157" t="n"/>
      <c r="J36" s="111" t="n"/>
      <c r="K36" s="111" t="n"/>
      <c r="L36" s="111" t="n"/>
      <c r="M36" s="111" t="n"/>
      <c r="N36" s="111" t="n"/>
      <c r="O36" s="111" t="n"/>
      <c r="P36" s="111" t="n"/>
      <c r="Q36" s="111" t="n"/>
      <c r="R36" s="159" t="n"/>
      <c r="S36" s="157" t="n"/>
      <c r="T36" s="111" t="n"/>
      <c r="U36" s="111" t="n"/>
      <c r="V36" s="111" t="n"/>
      <c r="W36" s="111" t="n"/>
      <c r="X36" s="111" t="n">
        <v>1</v>
      </c>
      <c r="Y36" s="111" t="n"/>
      <c r="Z36" s="111" t="n"/>
      <c r="AA36" s="111" t="n"/>
      <c r="AB36" s="111" t="n"/>
      <c r="AC36" s="111" t="n"/>
      <c r="AD36" s="111" t="n"/>
      <c r="AE36" s="151" t="n"/>
      <c r="AF36" s="154" t="n">
        <v>1</v>
      </c>
    </row>
    <row r="37" ht="19.5" customFormat="1" customHeight="1" s="114" thickBot="1">
      <c r="A37" s="150" t="inlineStr">
        <is>
          <t>2210-3</t>
        </is>
      </c>
      <c r="B37" s="128" t="inlineStr">
        <is>
          <t>■卵「もみじ」Ｓ 10㎏(大松)</t>
        </is>
      </c>
      <c r="C37" s="128" t="inlineStr">
        <is>
          <t>箱</t>
        </is>
      </c>
      <c r="D37" s="128" t="n"/>
      <c r="E37" s="128" t="n"/>
      <c r="F37" s="128" t="n"/>
      <c r="G37" s="128" t="n"/>
      <c r="H37" s="161" t="n">
        <v>1</v>
      </c>
      <c r="I37" s="162" t="n"/>
      <c r="J37" s="128" t="n"/>
      <c r="K37" s="128" t="n"/>
      <c r="L37" s="128" t="n"/>
      <c r="M37" s="128" t="n"/>
      <c r="N37" s="128" t="n"/>
      <c r="O37" s="128" t="n"/>
      <c r="P37" s="128" t="n"/>
      <c r="Q37" s="128" t="n"/>
      <c r="R37" s="161" t="n"/>
      <c r="S37" s="162" t="n"/>
      <c r="T37" s="128" t="n"/>
      <c r="U37" s="128" t="n"/>
      <c r="V37" s="128" t="n"/>
      <c r="W37" s="128" t="n"/>
      <c r="X37" s="128" t="n"/>
      <c r="Y37" s="128" t="n"/>
      <c r="Z37" s="128" t="n"/>
      <c r="AA37" s="128" t="n"/>
      <c r="AB37" s="128" t="n"/>
      <c r="AC37" s="128" t="n"/>
      <c r="AD37" s="128" t="n"/>
      <c r="AE37" s="153" t="n"/>
      <c r="AF37" s="156" t="n">
        <v>1</v>
      </c>
      <c r="AG37" s="113" t="n"/>
      <c r="AH37" s="113" t="n"/>
      <c r="AI37" s="113" t="n"/>
      <c r="AJ37" s="113" t="n"/>
      <c r="AK37" s="113" t="n"/>
      <c r="AL37" s="113" t="n"/>
      <c r="AM37" s="113" t="n"/>
      <c r="AN37" s="113" t="n"/>
      <c r="AO37" s="113" t="n"/>
      <c r="AP37" s="113" t="n"/>
      <c r="AQ37" s="113" t="n"/>
      <c r="AR37" s="113" t="n"/>
      <c r="AS37" s="113" t="n"/>
      <c r="AT37" s="113" t="n"/>
      <c r="AU37" s="113" t="n"/>
      <c r="AV37" s="113" t="n"/>
      <c r="AW37" s="113" t="n"/>
      <c r="AX37" s="113" t="n"/>
      <c r="AY37" s="113" t="n"/>
      <c r="AZ37" s="113" t="n"/>
      <c r="BA37" s="113" t="n"/>
      <c r="BB37" s="113" t="n"/>
      <c r="BC37" s="113" t="n"/>
      <c r="BD37" s="113" t="n"/>
      <c r="BE37" s="113" t="n"/>
      <c r="BF37" s="113" t="n"/>
      <c r="BG37" s="113" t="n"/>
      <c r="BH37" s="113" t="n"/>
      <c r="BI37" s="113" t="n"/>
      <c r="BJ37" s="113" t="n"/>
      <c r="BK37" s="113" t="n"/>
      <c r="BL37" s="113" t="n"/>
      <c r="BM37" s="113" t="n"/>
      <c r="BN37" s="113" t="n"/>
      <c r="BO37" s="113" t="n"/>
      <c r="BP37" s="113" t="n"/>
      <c r="BQ37" s="113" t="n"/>
      <c r="BR37" s="113" t="n"/>
      <c r="BS37" s="113" t="n"/>
      <c r="BT37" s="113" t="n"/>
      <c r="BU37" s="113" t="n"/>
      <c r="BV37" s="113" t="n"/>
      <c r="BW37" s="113" t="n"/>
      <c r="BX37" s="113" t="n"/>
      <c r="BY37" s="113" t="n"/>
      <c r="BZ37" s="113" t="n"/>
      <c r="CA37" s="113" t="n"/>
      <c r="CB37" s="113" t="n"/>
    </row>
    <row r="38" ht="56.25" customFormat="1" customHeight="1" s="109">
      <c r="A38" s="123" t="inlineStr">
        <is>
          <t>商品コード</t>
        </is>
      </c>
      <c r="B38" s="123" t="inlineStr">
        <is>
          <t>商品名</t>
        </is>
      </c>
      <c r="C38" s="123" t="inlineStr">
        <is>
          <t>箱/こ/不</t>
        </is>
      </c>
      <c r="D38" s="123" t="inlineStr">
        <is>
          <t>プロ</t>
        </is>
      </c>
      <c r="E38" s="123" t="inlineStr">
        <is>
          <t>あしたば</t>
        </is>
      </c>
      <c r="F38" s="123" t="inlineStr">
        <is>
          <t>六本木</t>
        </is>
      </c>
      <c r="G38" s="123" t="inlineStr">
        <is>
          <t>六本木惣菜</t>
        </is>
      </c>
      <c r="H38" s="127" t="inlineStr">
        <is>
          <t>六本木(日配)</t>
        </is>
      </c>
      <c r="I38" s="126" t="inlineStr">
        <is>
          <t>ﾅﾓ商会</t>
        </is>
      </c>
      <c r="J38" s="123" t="inlineStr">
        <is>
          <t>松戸</t>
        </is>
      </c>
      <c r="K38" s="123" t="inlineStr">
        <is>
          <t>ひばりが丘</t>
        </is>
      </c>
      <c r="L38" s="123" t="inlineStr">
        <is>
          <t>ｱﾝﾄﾞ大泉</t>
        </is>
      </c>
      <c r="M38" s="123" t="inlineStr">
        <is>
          <t>えころじあ</t>
        </is>
      </c>
      <c r="N38" s="123" t="inlineStr">
        <is>
          <t>ﾎﾞﾝ永山</t>
        </is>
      </c>
      <c r="O38" s="123" t="inlineStr">
        <is>
          <t>ﾎﾞﾝ横浜</t>
        </is>
      </c>
      <c r="P38" s="123" t="inlineStr">
        <is>
          <t>ﾌｰﾄﾞ学芸大</t>
        </is>
      </c>
      <c r="Q38" s="123" t="inlineStr">
        <is>
          <t>ﾌｰﾄﾞ湘南</t>
        </is>
      </c>
      <c r="R38" s="127" t="inlineStr">
        <is>
          <t>代官山</t>
        </is>
      </c>
      <c r="S38" s="126" t="inlineStr">
        <is>
          <t>長岡</t>
        </is>
      </c>
      <c r="T38" s="123" t="inlineStr">
        <is>
          <t>ﾋﾞｰﾝｽﾞ</t>
        </is>
      </c>
      <c r="U38" s="123" t="inlineStr">
        <is>
          <t>東一</t>
        </is>
      </c>
      <c r="V38" s="123" t="inlineStr">
        <is>
          <t>虎ノ門</t>
        </is>
      </c>
      <c r="W38" s="123" t="inlineStr">
        <is>
          <t>虎ノ門惣菜</t>
        </is>
      </c>
      <c r="X38" s="123" t="inlineStr">
        <is>
          <t>虎ノ門(日配)</t>
        </is>
      </c>
      <c r="Y38" s="123" t="inlineStr">
        <is>
          <t>アキバ惣菜</t>
        </is>
      </c>
      <c r="Z38" s="123" t="inlineStr">
        <is>
          <t>おちかわ屋</t>
        </is>
      </c>
      <c r="AA38" s="123" t="inlineStr">
        <is>
          <t>福・本店</t>
        </is>
      </c>
      <c r="AB38" s="123" t="inlineStr">
        <is>
          <t>福・本店惣菜</t>
        </is>
      </c>
      <c r="AC38" s="123" t="inlineStr">
        <is>
          <t>福本店(加工)</t>
        </is>
      </c>
      <c r="AD38" s="123" t="inlineStr">
        <is>
          <t>ﾌｧﾝﾀｽ</t>
        </is>
      </c>
      <c r="AE38" s="124" t="inlineStr">
        <is>
          <t>四季菜</t>
        </is>
      </c>
      <c r="AF38" s="125" t="n"/>
      <c r="AG38" s="108" t="n"/>
      <c r="AH38" s="108" t="n"/>
      <c r="AI38" s="108" t="n"/>
      <c r="AJ38" s="108" t="n"/>
      <c r="AK38" s="108" t="n"/>
      <c r="AL38" s="108" t="n"/>
      <c r="AM38" s="108" t="n"/>
      <c r="AN38" s="108" t="n"/>
      <c r="AO38" s="108" t="n"/>
      <c r="AP38" s="108" t="n"/>
      <c r="AQ38" s="108" t="n"/>
      <c r="AR38" s="108" t="n"/>
      <c r="AS38" s="108" t="n"/>
      <c r="AT38" s="108" t="n"/>
      <c r="AU38" s="108" t="n"/>
      <c r="AV38" s="108" t="n"/>
      <c r="AW38" s="108" t="n"/>
      <c r="AX38" s="108" t="n"/>
      <c r="AY38" s="108" t="n"/>
      <c r="AZ38" s="108" t="n"/>
      <c r="BA38" s="108" t="n"/>
      <c r="BB38" s="108" t="n"/>
      <c r="BC38" s="108" t="n"/>
      <c r="BD38" s="108" t="n"/>
      <c r="BE38" s="108" t="n"/>
      <c r="BF38" s="108" t="n"/>
      <c r="BG38" s="108" t="n"/>
      <c r="BH38" s="108" t="n"/>
      <c r="BI38" s="108" t="n"/>
      <c r="BJ38" s="108" t="n"/>
      <c r="BK38" s="108" t="n"/>
      <c r="BL38" s="108" t="n"/>
      <c r="BM38" s="108" t="n"/>
      <c r="BN38" s="108" t="n"/>
      <c r="BO38" s="108" t="n"/>
      <c r="BP38" s="108" t="n"/>
      <c r="BQ38" s="108" t="n"/>
      <c r="BR38" s="108" t="n"/>
      <c r="BS38" s="108" t="n"/>
      <c r="BT38" s="108" t="n"/>
      <c r="BU38" s="108" t="n"/>
      <c r="BV38" s="108" t="n"/>
      <c r="BW38" s="108" t="n"/>
      <c r="BX38" s="108" t="n"/>
      <c r="BY38" s="108" t="n"/>
      <c r="BZ38" s="108" t="n"/>
      <c r="CA38" s="108" t="n"/>
      <c r="CB38" s="108" t="n"/>
    </row>
    <row r="39" ht="24.75" customFormat="1" customHeight="1" s="114">
      <c r="A39" s="149" t="n"/>
      <c r="B39" s="119" t="inlineStr">
        <is>
          <t>箱もの計</t>
        </is>
      </c>
      <c r="C39" s="119" t="n"/>
      <c r="D39" s="119">
        <f>SUM(D4:D37)</f>
        <v/>
      </c>
      <c r="E39" s="119">
        <f>SUM(E4:E37)</f>
        <v/>
      </c>
      <c r="F39" s="119">
        <f>SUM(F4:F37)</f>
        <v/>
      </c>
      <c r="G39" s="119">
        <f>SUM(G4:G37)</f>
        <v/>
      </c>
      <c r="H39" s="160">
        <f>SUM(H4:H37)</f>
        <v/>
      </c>
      <c r="I39" s="158">
        <f>SUM(I4:I37)</f>
        <v/>
      </c>
      <c r="J39" s="119">
        <f>SUM(J4:J37)</f>
        <v/>
      </c>
      <c r="K39" s="119">
        <f>SUM(K4:K37)</f>
        <v/>
      </c>
      <c r="L39" s="119">
        <f>SUM(L4:L37)</f>
        <v/>
      </c>
      <c r="M39" s="119">
        <f>SUM(M4:M37)</f>
        <v/>
      </c>
      <c r="N39" s="119">
        <f>SUM(N4:N37)</f>
        <v/>
      </c>
      <c r="O39" s="119">
        <f>SUM(O4:O37)</f>
        <v/>
      </c>
      <c r="P39" s="119">
        <f>SUM(P4:P37)</f>
        <v/>
      </c>
      <c r="Q39" s="119">
        <f>SUM(Q4:Q37)</f>
        <v/>
      </c>
      <c r="R39" s="160">
        <f>SUM(R4:R37)</f>
        <v/>
      </c>
      <c r="S39" s="158">
        <f>SUM(S4:S37)</f>
        <v/>
      </c>
      <c r="T39" s="119">
        <f>SUM(T4:T37)</f>
        <v/>
      </c>
      <c r="U39" s="119">
        <f>SUM(U4:U37)</f>
        <v/>
      </c>
      <c r="V39" s="119">
        <f>SUM(V4:V37)</f>
        <v/>
      </c>
      <c r="W39" s="119">
        <f>SUM(W4:W37)</f>
        <v/>
      </c>
      <c r="X39" s="119">
        <f>SUM(X4:X37)</f>
        <v/>
      </c>
      <c r="Y39" s="119">
        <f>SUM(Y4:Y37)</f>
        <v/>
      </c>
      <c r="Z39" s="119">
        <f>SUM(Z4:Z37)</f>
        <v/>
      </c>
      <c r="AA39" s="119">
        <f>SUM(AA4:AA37)</f>
        <v/>
      </c>
      <c r="AB39" s="119">
        <f>SUM(AB4:AB37)</f>
        <v/>
      </c>
      <c r="AC39" s="119">
        <f>SUM(AC4:AC37)</f>
        <v/>
      </c>
      <c r="AD39" s="119">
        <f>SUM(AD4:AD37)</f>
        <v/>
      </c>
      <c r="AE39" s="152">
        <f>SUM(AE4:AE37)</f>
        <v/>
      </c>
      <c r="AF39" s="155">
        <f>SUM(AF4:AF37)</f>
        <v/>
      </c>
      <c r="AG39" s="113" t="n"/>
      <c r="AH39" s="113" t="n"/>
      <c r="AI39" s="113" t="n"/>
      <c r="AJ39" s="113" t="n"/>
      <c r="AK39" s="113" t="n"/>
      <c r="AL39" s="113" t="n"/>
      <c r="AM39" s="113" t="n"/>
      <c r="AN39" s="113" t="n"/>
      <c r="AO39" s="113" t="n"/>
      <c r="AP39" s="113" t="n"/>
      <c r="AQ39" s="113" t="n"/>
      <c r="AR39" s="113" t="n"/>
      <c r="AS39" s="113" t="n"/>
      <c r="AT39" s="113" t="n"/>
      <c r="AU39" s="113" t="n"/>
      <c r="AV39" s="113" t="n"/>
      <c r="AW39" s="113" t="n"/>
      <c r="AX39" s="113" t="n"/>
      <c r="AY39" s="113" t="n"/>
      <c r="AZ39" s="113" t="n"/>
      <c r="BA39" s="113" t="n"/>
      <c r="BB39" s="113" t="n"/>
      <c r="BC39" s="113" t="n"/>
      <c r="BD39" s="113" t="n"/>
      <c r="BE39" s="113" t="n"/>
      <c r="BF39" s="113" t="n"/>
      <c r="BG39" s="113" t="n"/>
      <c r="BH39" s="113" t="n"/>
      <c r="BI39" s="113" t="n"/>
      <c r="BJ39" s="113" t="n"/>
      <c r="BK39" s="113" t="n"/>
      <c r="BL39" s="113" t="n"/>
      <c r="BM39" s="113" t="n"/>
      <c r="BN39" s="113" t="n"/>
      <c r="BO39" s="113" t="n"/>
      <c r="BP39" s="113" t="n"/>
      <c r="BQ39" s="113" t="n"/>
      <c r="BR39" s="113" t="n"/>
      <c r="BS39" s="113" t="n"/>
      <c r="BT39" s="113" t="n"/>
      <c r="BU39" s="113" t="n"/>
      <c r="BV39" s="113" t="n"/>
      <c r="BW39" s="113" t="n"/>
      <c r="BX39" s="113" t="n"/>
      <c r="BY39" s="113" t="n"/>
      <c r="BZ39" s="113" t="n"/>
      <c r="CA39" s="113" t="n"/>
      <c r="CB39" s="113" t="n"/>
    </row>
    <row r="40" ht="24.75" customFormat="1" customHeight="1" s="114">
      <c r="A40" s="149" t="n"/>
      <c r="B40" s="119" t="inlineStr">
        <is>
          <t>こもの計</t>
        </is>
      </c>
      <c r="C40" s="119" t="n"/>
      <c r="D40" s="119" t="n"/>
      <c r="E40" s="119" t="n"/>
      <c r="F40" s="119" t="n"/>
      <c r="G40" s="119" t="n"/>
      <c r="H40" s="160" t="n"/>
      <c r="I40" s="158" t="n"/>
      <c r="J40" s="119" t="n"/>
      <c r="K40" s="119" t="n"/>
      <c r="L40" s="119" t="n"/>
      <c r="M40" s="119" t="n"/>
      <c r="N40" s="119" t="n"/>
      <c r="O40" s="119" t="n"/>
      <c r="P40" s="119" t="n"/>
      <c r="Q40" s="119" t="n"/>
      <c r="R40" s="160" t="n"/>
      <c r="S40" s="158" t="n"/>
      <c r="T40" s="119" t="n"/>
      <c r="U40" s="119" t="n"/>
      <c r="V40" s="119" t="n"/>
      <c r="W40" s="119" t="n"/>
      <c r="X40" s="119" t="n"/>
      <c r="Y40" s="119" t="n"/>
      <c r="Z40" s="119" t="n"/>
      <c r="AA40" s="119" t="n"/>
      <c r="AB40" s="119" t="n"/>
      <c r="AC40" s="119" t="n"/>
      <c r="AD40" s="119" t="n"/>
      <c r="AE40" s="152" t="n"/>
      <c r="AF40" s="155" t="n"/>
      <c r="AG40" s="113" t="n"/>
      <c r="AH40" s="113" t="n"/>
      <c r="AI40" s="113" t="n"/>
      <c r="AJ40" s="113" t="n"/>
      <c r="AK40" s="113" t="n"/>
      <c r="AL40" s="113" t="n"/>
      <c r="AM40" s="113" t="n"/>
      <c r="AN40" s="113" t="n"/>
      <c r="AO40" s="113" t="n"/>
      <c r="AP40" s="113" t="n"/>
      <c r="AQ40" s="113" t="n"/>
      <c r="AR40" s="113" t="n"/>
      <c r="AS40" s="113" t="n"/>
      <c r="AT40" s="113" t="n"/>
      <c r="AU40" s="113" t="n"/>
      <c r="AV40" s="113" t="n"/>
      <c r="AW40" s="113" t="n"/>
      <c r="AX40" s="113" t="n"/>
      <c r="AY40" s="113" t="n"/>
      <c r="AZ40" s="113" t="n"/>
      <c r="BA40" s="113" t="n"/>
      <c r="BB40" s="113" t="n"/>
      <c r="BC40" s="113" t="n"/>
      <c r="BD40" s="113" t="n"/>
      <c r="BE40" s="113" t="n"/>
      <c r="BF40" s="113" t="n"/>
      <c r="BG40" s="113" t="n"/>
      <c r="BH40" s="113" t="n"/>
      <c r="BI40" s="113" t="n"/>
      <c r="BJ40" s="113" t="n"/>
      <c r="BK40" s="113" t="n"/>
      <c r="BL40" s="113" t="n"/>
      <c r="BM40" s="113" t="n"/>
      <c r="BN40" s="113" t="n"/>
      <c r="BO40" s="113" t="n"/>
      <c r="BP40" s="113" t="n"/>
      <c r="BQ40" s="113" t="n"/>
      <c r="BR40" s="113" t="n"/>
      <c r="BS40" s="113" t="n"/>
      <c r="BT40" s="113" t="n"/>
      <c r="BU40" s="113" t="n"/>
      <c r="BV40" s="113" t="n"/>
      <c r="BW40" s="113" t="n"/>
      <c r="BX40" s="113" t="n"/>
      <c r="BY40" s="113" t="n"/>
      <c r="BZ40" s="113" t="n"/>
      <c r="CA40" s="113" t="n"/>
      <c r="CB40" s="113" t="n"/>
    </row>
    <row r="41" ht="24.75" customFormat="1" customHeight="1" s="22">
      <c r="A41" s="148" t="n"/>
      <c r="B41" s="111" t="inlineStr">
        <is>
          <t>合計</t>
        </is>
      </c>
      <c r="C41" s="111" t="n"/>
      <c r="D41" s="111" t="n"/>
      <c r="E41" s="111" t="n"/>
      <c r="F41" s="111" t="n"/>
      <c r="G41" s="111" t="n"/>
      <c r="H41" s="159" t="n"/>
      <c r="I41" s="157" t="n"/>
      <c r="J41" s="111" t="n"/>
      <c r="K41" s="111" t="n"/>
      <c r="L41" s="111" t="n"/>
      <c r="M41" s="111" t="n"/>
      <c r="N41" s="111" t="n"/>
      <c r="O41" s="111" t="n"/>
      <c r="P41" s="111" t="n"/>
      <c r="Q41" s="111" t="n"/>
      <c r="R41" s="159" t="n"/>
      <c r="S41" s="157" t="n"/>
      <c r="T41" s="111" t="n"/>
      <c r="U41" s="111" t="n"/>
      <c r="V41" s="111" t="n"/>
      <c r="W41" s="111" t="n"/>
      <c r="X41" s="111" t="n"/>
      <c r="Y41" s="111" t="n"/>
      <c r="Z41" s="111" t="n"/>
      <c r="AA41" s="111" t="n"/>
      <c r="AB41" s="111" t="n"/>
      <c r="AC41" s="111" t="n"/>
      <c r="AD41" s="111" t="n"/>
      <c r="AE41" s="151" t="n"/>
      <c r="AF41" s="154" t="n"/>
    </row>
    <row r="42">
      <c r="F42" s="217" t="n"/>
      <c r="G42" s="217" t="n"/>
      <c r="J42" s="217" t="n"/>
      <c r="K42" s="217" t="n"/>
      <c r="O42" s="200" t="n"/>
      <c r="T42" s="200" t="n"/>
      <c r="U42" s="200" t="n"/>
      <c r="AA42" s="200" t="n"/>
    </row>
    <row r="43">
      <c r="F43" s="217" t="n"/>
      <c r="G43" s="217" t="n"/>
      <c r="J43" s="217" t="n"/>
      <c r="K43" s="217" t="n"/>
      <c r="O43" s="200" t="n"/>
      <c r="T43" s="200" t="n"/>
      <c r="U43" s="200" t="n"/>
      <c r="AA43" s="200" t="n"/>
    </row>
    <row r="44">
      <c r="B44" s="219" t="inlineStr">
        <is>
          <t>事務所チェック済み印→</t>
        </is>
      </c>
      <c r="F44" s="217" t="n"/>
      <c r="G44" s="217" t="n"/>
      <c r="J44" s="217" t="n"/>
      <c r="K44" s="217" t="n"/>
      <c r="O44" s="200" t="n"/>
      <c r="T44" s="200" t="n"/>
      <c r="U44" s="200" t="n"/>
      <c r="AA44" s="200" t="n"/>
    </row>
    <row r="45">
      <c r="F45" s="217" t="n"/>
      <c r="G45" s="217" t="n"/>
      <c r="J45" s="217" t="n"/>
      <c r="K45" s="217" t="n"/>
      <c r="O45" s="200" t="n"/>
      <c r="T45" s="200" t="n"/>
      <c r="U45" s="200" t="n"/>
      <c r="AA45" s="200" t="n"/>
    </row>
    <row r="46">
      <c r="F46" s="217" t="n"/>
      <c r="G46" s="217" t="n"/>
      <c r="J46" s="217" t="n"/>
      <c r="K46" s="217" t="n"/>
      <c r="O46" s="200" t="n"/>
      <c r="T46" s="200" t="n"/>
      <c r="U46" s="200" t="n"/>
      <c r="AA46" s="200" t="n"/>
    </row>
    <row r="47">
      <c r="F47" s="217" t="n"/>
      <c r="G47" s="217" t="n"/>
      <c r="J47" s="217" t="n"/>
      <c r="K47" s="217" t="n"/>
      <c r="O47" s="200" t="n"/>
      <c r="T47" s="200" t="n"/>
      <c r="U47" s="200" t="n"/>
      <c r="AA47" s="200" t="n"/>
    </row>
    <row r="48">
      <c r="F48" s="217" t="n"/>
      <c r="G48" s="217" t="n"/>
      <c r="J48" s="217" t="n"/>
      <c r="K48" s="217" t="n"/>
      <c r="O48" s="200" t="n"/>
      <c r="T48" s="200" t="n"/>
      <c r="U48" s="200" t="n"/>
      <c r="AA48" s="200" t="n"/>
    </row>
    <row r="49">
      <c r="F49" s="217" t="n"/>
      <c r="G49" s="217" t="n"/>
      <c r="J49" s="217" t="n"/>
      <c r="K49" s="217" t="n"/>
      <c r="O49" s="200" t="n"/>
      <c r="T49" s="200" t="n"/>
      <c r="U49" s="200" t="n"/>
      <c r="AA49" s="200" t="n"/>
    </row>
    <row r="50">
      <c r="F50" s="217" t="n"/>
      <c r="G50" s="217" t="n"/>
      <c r="J50" s="217" t="n"/>
      <c r="K50" s="217" t="n"/>
      <c r="O50" s="200" t="n"/>
      <c r="T50" s="200" t="n"/>
      <c r="U50" s="200" t="n"/>
      <c r="AA50" s="200" t="n"/>
    </row>
    <row r="51">
      <c r="F51" s="217" t="n"/>
      <c r="G51" s="217" t="n"/>
      <c r="J51" s="217" t="n"/>
      <c r="K51" s="217" t="n"/>
      <c r="O51" s="200" t="n"/>
      <c r="T51" s="200" t="n"/>
      <c r="U51" s="200" t="n"/>
      <c r="AA51" s="200" t="n"/>
    </row>
    <row r="52">
      <c r="F52" s="217" t="n"/>
      <c r="G52" s="217" t="n"/>
      <c r="J52" s="217" t="n"/>
      <c r="K52" s="217" t="n"/>
      <c r="O52" s="200" t="n"/>
      <c r="T52" s="200" t="n"/>
      <c r="U52" s="200" t="n"/>
      <c r="AA52" s="200" t="n"/>
    </row>
    <row r="53">
      <c r="F53" s="217" t="n"/>
      <c r="G53" s="217" t="n"/>
      <c r="J53" s="217" t="n"/>
      <c r="K53" s="217" t="n"/>
      <c r="O53" s="200" t="n"/>
      <c r="T53" s="200" t="n"/>
      <c r="U53" s="200" t="n"/>
      <c r="AA53" s="200" t="n"/>
    </row>
    <row r="54">
      <c r="F54" s="217" t="n"/>
      <c r="G54" s="217" t="n"/>
      <c r="J54" s="217" t="n"/>
      <c r="K54" s="217" t="n"/>
      <c r="O54" s="200" t="n"/>
      <c r="T54" s="200" t="n"/>
      <c r="U54" s="200" t="n"/>
      <c r="AA54" s="200" t="n"/>
    </row>
    <row r="55">
      <c r="F55" s="217" t="n"/>
      <c r="G55" s="217" t="n"/>
      <c r="J55" s="217" t="n"/>
      <c r="K55" s="217" t="n"/>
      <c r="O55" s="200" t="n"/>
      <c r="T55" s="200" t="n"/>
      <c r="U55" s="200" t="n"/>
      <c r="AA55" s="200" t="n"/>
    </row>
    <row r="56">
      <c r="F56" s="217" t="n"/>
      <c r="G56" s="217" t="n"/>
      <c r="J56" s="217" t="n"/>
      <c r="K56" s="217" t="n"/>
      <c r="O56" s="200" t="n"/>
      <c r="T56" s="200" t="n"/>
      <c r="U56" s="200" t="n"/>
      <c r="AA56" s="200" t="n"/>
    </row>
    <row r="57">
      <c r="F57" s="217" t="n"/>
      <c r="G57" s="217" t="n"/>
      <c r="J57" s="217" t="n"/>
      <c r="K57" s="217" t="n"/>
      <c r="O57" s="200" t="n"/>
      <c r="T57" s="200" t="n"/>
      <c r="U57" s="200" t="n"/>
      <c r="AA57" s="200" t="n"/>
    </row>
    <row r="58">
      <c r="F58" s="217" t="n"/>
      <c r="G58" s="217" t="n"/>
      <c r="J58" s="217" t="n"/>
      <c r="K58" s="217" t="n"/>
      <c r="O58" s="200" t="n"/>
      <c r="T58" s="200" t="n"/>
      <c r="U58" s="200" t="n"/>
      <c r="AA58" s="200" t="n"/>
    </row>
    <row r="59">
      <c r="F59" s="217" t="n"/>
      <c r="G59" s="217" t="n"/>
      <c r="J59" s="217" t="n"/>
      <c r="K59" s="217" t="n"/>
      <c r="O59" s="200" t="n"/>
      <c r="T59" s="200" t="n"/>
      <c r="U59" s="200" t="n"/>
      <c r="AA59" s="200" t="n"/>
    </row>
    <row r="60">
      <c r="F60" s="217" t="n"/>
      <c r="G60" s="217" t="n"/>
      <c r="J60" s="217" t="n"/>
      <c r="K60" s="217" t="n"/>
      <c r="O60" s="200" t="n"/>
      <c r="T60" s="200" t="n"/>
      <c r="U60" s="200" t="n"/>
      <c r="AA60" s="200" t="n"/>
    </row>
    <row r="61">
      <c r="F61" s="217" t="n"/>
      <c r="G61" s="217" t="n"/>
      <c r="J61" s="217" t="n"/>
      <c r="K61" s="217" t="n"/>
      <c r="O61" s="200" t="n"/>
      <c r="T61" s="200" t="n"/>
      <c r="U61" s="200" t="n"/>
      <c r="AA61" s="200" t="n"/>
    </row>
    <row r="62">
      <c r="F62" s="217" t="n"/>
      <c r="G62" s="217" t="n"/>
      <c r="J62" s="217" t="n"/>
      <c r="K62" s="217" t="n"/>
      <c r="O62" s="200" t="n"/>
      <c r="T62" s="200" t="n"/>
      <c r="U62" s="200" t="n"/>
      <c r="AA62" s="200" t="n"/>
    </row>
    <row r="63">
      <c r="F63" s="217" t="n"/>
      <c r="G63" s="217" t="n"/>
      <c r="J63" s="217" t="n"/>
      <c r="K63" s="217" t="n"/>
      <c r="O63" s="200" t="n"/>
      <c r="T63" s="200" t="n"/>
      <c r="U63" s="200" t="n"/>
      <c r="AA63" s="200" t="n"/>
    </row>
    <row r="64">
      <c r="F64" s="217" t="n"/>
      <c r="G64" s="217" t="n"/>
      <c r="J64" s="217" t="n"/>
      <c r="K64" s="217" t="n"/>
      <c r="O64" s="200" t="n"/>
      <c r="T64" s="200" t="n"/>
      <c r="U64" s="200" t="n"/>
      <c r="AA64" s="200" t="n"/>
    </row>
    <row r="65">
      <c r="F65" s="217" t="n"/>
      <c r="G65" s="217" t="n"/>
      <c r="J65" s="217" t="n"/>
      <c r="K65" s="217" t="n"/>
      <c r="O65" s="200" t="n"/>
      <c r="T65" s="200" t="n"/>
      <c r="U65" s="200" t="n"/>
      <c r="AA65" s="200" t="n"/>
    </row>
    <row r="66">
      <c r="F66" s="217" t="n"/>
      <c r="G66" s="217" t="n"/>
      <c r="J66" s="217" t="n"/>
      <c r="K66" s="217" t="n"/>
      <c r="O66" s="200" t="n"/>
      <c r="T66" s="200" t="n"/>
      <c r="U66" s="200" t="n"/>
      <c r="AA66" s="200" t="n"/>
    </row>
    <row r="67">
      <c r="F67" s="217" t="n"/>
      <c r="G67" s="217" t="n"/>
      <c r="J67" s="217" t="n"/>
      <c r="K67" s="217" t="n"/>
      <c r="O67" s="200" t="n"/>
      <c r="T67" s="200" t="n"/>
      <c r="U67" s="200" t="n"/>
      <c r="AA67" s="200" t="n"/>
    </row>
    <row r="68">
      <c r="F68" s="217" t="n"/>
      <c r="G68" s="217" t="n"/>
      <c r="J68" s="217" t="n"/>
      <c r="K68" s="217" t="n"/>
      <c r="O68" s="200" t="n"/>
      <c r="T68" s="200" t="n"/>
      <c r="U68" s="200" t="n"/>
      <c r="AA68" s="200" t="n"/>
    </row>
    <row r="69">
      <c r="F69" s="217" t="n"/>
      <c r="G69" s="217" t="n"/>
      <c r="J69" s="217" t="n"/>
      <c r="K69" s="217" t="n"/>
      <c r="O69" s="200" t="n"/>
      <c r="T69" s="200" t="n"/>
      <c r="U69" s="200" t="n"/>
      <c r="AA69" s="200" t="n"/>
    </row>
    <row r="70">
      <c r="F70" s="217" t="n"/>
      <c r="G70" s="217" t="n"/>
      <c r="I70" s="200" t="n"/>
      <c r="J70" s="217" t="n"/>
      <c r="K70" s="217" t="n"/>
      <c r="M70" s="200" t="n"/>
      <c r="N70" s="200" t="n"/>
      <c r="T70" s="200" t="n"/>
    </row>
    <row r="71">
      <c r="F71" s="217" t="n"/>
      <c r="G71" s="217" t="n"/>
      <c r="I71" s="200" t="n"/>
      <c r="J71" s="217" t="n"/>
      <c r="K71" s="217" t="n"/>
      <c r="M71" s="200" t="n"/>
      <c r="N71" s="200" t="n"/>
      <c r="T71" s="200" t="n"/>
    </row>
    <row r="72">
      <c r="F72" s="217" t="n"/>
      <c r="G72" s="217" t="n"/>
      <c r="I72" s="200" t="n"/>
      <c r="J72" s="217" t="n"/>
      <c r="K72" s="217" t="n"/>
      <c r="M72" s="200" t="n"/>
      <c r="N72" s="200" t="n"/>
      <c r="T72" s="200" t="n"/>
    </row>
    <row r="73">
      <c r="F73" s="217" t="n"/>
      <c r="G73" s="217" t="n"/>
      <c r="I73" s="200" t="n"/>
      <c r="J73" s="217" t="n"/>
      <c r="K73" s="217" t="n"/>
      <c r="M73" s="200" t="n"/>
      <c r="N73" s="200" t="n"/>
      <c r="T73" s="200" t="n"/>
    </row>
    <row r="74">
      <c r="F74" s="217" t="n"/>
      <c r="G74" s="217" t="n"/>
      <c r="I74" s="200" t="n"/>
      <c r="J74" s="217" t="n"/>
      <c r="K74" s="217" t="n"/>
      <c r="M74" s="200" t="n"/>
      <c r="N74" s="200" t="n"/>
      <c r="T74" s="200" t="n"/>
    </row>
    <row r="75">
      <c r="F75" s="217" t="n"/>
      <c r="G75" s="217" t="n"/>
      <c r="I75" s="200" t="n"/>
      <c r="J75" s="217" t="n"/>
      <c r="K75" s="217" t="n"/>
      <c r="M75" s="200" t="n"/>
      <c r="N75" s="200" t="n"/>
      <c r="T75" s="200" t="n"/>
    </row>
    <row r="76">
      <c r="F76" s="217" t="n"/>
      <c r="G76" s="217" t="n"/>
      <c r="I76" s="200" t="n"/>
      <c r="J76" s="217" t="n"/>
      <c r="K76" s="217" t="n"/>
      <c r="M76" s="200" t="n"/>
      <c r="N76" s="200" t="n"/>
      <c r="T76" s="200" t="n"/>
    </row>
    <row r="77">
      <c r="F77" s="217" t="n"/>
      <c r="G77" s="217" t="n"/>
      <c r="I77" s="200" t="n"/>
      <c r="J77" s="217" t="n"/>
      <c r="K77" s="217" t="n"/>
      <c r="M77" s="200" t="n"/>
      <c r="N77" s="200" t="n"/>
      <c r="T77" s="200" t="n"/>
    </row>
    <row r="78">
      <c r="F78" s="217" t="n"/>
      <c r="G78" s="217" t="n"/>
      <c r="I78" s="200" t="n"/>
      <c r="J78" s="217" t="n"/>
      <c r="K78" s="217" t="n"/>
      <c r="M78" s="200" t="n"/>
      <c r="N78" s="200" t="n"/>
      <c r="T78" s="200" t="n"/>
    </row>
    <row r="79">
      <c r="F79" s="217" t="n"/>
      <c r="G79" s="217" t="n"/>
      <c r="I79" s="200" t="n"/>
      <c r="J79" s="217" t="n"/>
      <c r="K79" s="217" t="n"/>
      <c r="M79" s="200" t="n"/>
      <c r="N79" s="200" t="n"/>
      <c r="T79" s="200" t="n"/>
    </row>
    <row r="80">
      <c r="F80" s="217" t="n"/>
      <c r="G80" s="217" t="n"/>
      <c r="I80" s="200" t="n"/>
      <c r="J80" s="217" t="n"/>
      <c r="K80" s="217" t="n"/>
      <c r="M80" s="200" t="n"/>
      <c r="N80" s="200" t="n"/>
      <c r="T80" s="200" t="n"/>
    </row>
    <row r="81">
      <c r="F81" s="217" t="n"/>
      <c r="G81" s="217" t="n"/>
      <c r="I81" s="200" t="n"/>
      <c r="J81" s="217" t="n"/>
      <c r="K81" s="217" t="n"/>
      <c r="M81" s="200" t="n"/>
      <c r="N81" s="200" t="n"/>
      <c r="T81" s="200" t="n"/>
    </row>
    <row r="82">
      <c r="F82" s="217" t="n"/>
      <c r="G82" s="217" t="n"/>
      <c r="I82" s="200" t="n"/>
      <c r="J82" s="217" t="n"/>
      <c r="K82" s="217" t="n"/>
      <c r="M82" s="200" t="n"/>
      <c r="N82" s="200" t="n"/>
      <c r="T82" s="200" t="n"/>
    </row>
    <row r="83">
      <c r="F83" s="217" t="n"/>
      <c r="G83" s="217" t="n"/>
      <c r="I83" s="200" t="n"/>
      <c r="J83" s="217" t="n"/>
      <c r="K83" s="217" t="n"/>
      <c r="M83" s="200" t="n"/>
      <c r="N83" s="200" t="n"/>
      <c r="T83" s="200" t="n"/>
    </row>
    <row r="84">
      <c r="F84" s="217" t="n"/>
      <c r="G84" s="217" t="n"/>
      <c r="I84" s="200" t="n"/>
      <c r="J84" s="217" t="n"/>
      <c r="K84" s="217" t="n"/>
      <c r="M84" s="200" t="n"/>
      <c r="N84" s="200" t="n"/>
      <c r="T84" s="200" t="n"/>
    </row>
    <row r="85">
      <c r="F85" s="217" t="n"/>
      <c r="G85" s="217" t="n"/>
      <c r="I85" s="200" t="n"/>
      <c r="J85" s="217" t="n"/>
      <c r="K85" s="217" t="n"/>
      <c r="M85" s="200" t="n"/>
      <c r="N85" s="200" t="n"/>
      <c r="T85" s="200" t="n"/>
    </row>
    <row r="86">
      <c r="F86" s="217" t="n"/>
      <c r="G86" s="217" t="n"/>
      <c r="I86" s="200" t="n"/>
      <c r="J86" s="217" t="n"/>
      <c r="K86" s="217" t="n"/>
      <c r="M86" s="200" t="n"/>
      <c r="N86" s="200" t="n"/>
      <c r="T86" s="200" t="n"/>
    </row>
    <row r="87">
      <c r="F87" s="217" t="n"/>
      <c r="G87" s="217" t="n"/>
      <c r="I87" s="200" t="n"/>
      <c r="J87" s="217" t="n"/>
      <c r="K87" s="217" t="n"/>
      <c r="M87" s="200" t="n"/>
      <c r="N87" s="200" t="n"/>
      <c r="T87" s="200" t="n"/>
    </row>
    <row r="88">
      <c r="F88" s="217" t="n"/>
      <c r="G88" s="217" t="n"/>
      <c r="I88" s="200" t="n"/>
      <c r="J88" s="217" t="n"/>
      <c r="K88" s="217" t="n"/>
      <c r="M88" s="200" t="n"/>
      <c r="N88" s="200" t="n"/>
      <c r="T88" s="200" t="n"/>
    </row>
    <row r="89">
      <c r="F89" s="217" t="n"/>
      <c r="G89" s="217" t="n"/>
      <c r="I89" s="200" t="n"/>
      <c r="J89" s="217" t="n"/>
      <c r="K89" s="217" t="n"/>
      <c r="M89" s="200" t="n"/>
      <c r="N89" s="200" t="n"/>
      <c r="T89" s="200" t="n"/>
    </row>
    <row r="90">
      <c r="F90" s="217" t="n"/>
      <c r="G90" s="217" t="n"/>
      <c r="I90" s="200" t="n"/>
      <c r="J90" s="217" t="n"/>
      <c r="K90" s="217" t="n"/>
      <c r="M90" s="200" t="n"/>
      <c r="N90" s="200" t="n"/>
      <c r="T90" s="200" t="n"/>
    </row>
    <row r="91">
      <c r="F91" s="217" t="n"/>
      <c r="G91" s="217" t="n"/>
      <c r="I91" s="200" t="n"/>
      <c r="J91" s="217" t="n"/>
      <c r="K91" s="217" t="n"/>
      <c r="M91" s="200" t="n"/>
      <c r="N91" s="200" t="n"/>
      <c r="T91" s="200" t="n"/>
    </row>
    <row r="92">
      <c r="F92" s="217" t="n"/>
      <c r="G92" s="217" t="n"/>
      <c r="I92" s="200" t="n"/>
      <c r="J92" s="217" t="n"/>
      <c r="K92" s="217" t="n"/>
      <c r="M92" s="200" t="n"/>
      <c r="N92" s="200" t="n"/>
      <c r="T92" s="200" t="n"/>
    </row>
    <row r="93">
      <c r="F93" s="217" t="n"/>
      <c r="G93" s="217" t="n"/>
      <c r="I93" s="200" t="n"/>
      <c r="J93" s="217" t="n"/>
      <c r="K93" s="217" t="n"/>
      <c r="M93" s="200" t="n"/>
      <c r="N93" s="200" t="n"/>
      <c r="T93" s="200" t="n"/>
    </row>
    <row r="94">
      <c r="F94" s="217" t="n"/>
      <c r="G94" s="217" t="n"/>
      <c r="I94" s="200" t="n"/>
      <c r="J94" s="217" t="n"/>
      <c r="K94" s="217" t="n"/>
      <c r="M94" s="200" t="n"/>
      <c r="N94" s="200" t="n"/>
      <c r="T94" s="200" t="n"/>
    </row>
    <row r="95">
      <c r="F95" s="217" t="n"/>
      <c r="G95" s="217" t="n"/>
      <c r="I95" s="200" t="n"/>
      <c r="J95" s="217" t="n"/>
      <c r="K95" s="217" t="n"/>
      <c r="M95" s="200" t="n"/>
      <c r="N95" s="200" t="n"/>
      <c r="T95" s="200" t="n"/>
    </row>
    <row r="96">
      <c r="F96" s="217" t="n"/>
      <c r="G96" s="217" t="n"/>
      <c r="I96" s="200" t="n"/>
      <c r="J96" s="217" t="n"/>
      <c r="K96" s="217" t="n"/>
      <c r="M96" s="200" t="n"/>
      <c r="N96" s="200" t="n"/>
      <c r="T96" s="200" t="n"/>
    </row>
    <row r="97">
      <c r="F97" s="217" t="n"/>
      <c r="G97" s="217" t="n"/>
      <c r="I97" s="200" t="n"/>
      <c r="J97" s="217" t="n"/>
      <c r="K97" s="217" t="n"/>
      <c r="M97" s="200" t="n"/>
      <c r="N97" s="200" t="n"/>
      <c r="T97" s="200" t="n"/>
    </row>
    <row r="98">
      <c r="F98" s="217" t="n"/>
      <c r="G98" s="217" t="n"/>
      <c r="I98" s="200" t="n"/>
      <c r="J98" s="217" t="n"/>
      <c r="K98" s="217" t="n"/>
      <c r="M98" s="200" t="n"/>
      <c r="N98" s="200" t="n"/>
      <c r="T98" s="200" t="n"/>
    </row>
    <row r="99">
      <c r="F99" s="217" t="n"/>
      <c r="G99" s="217" t="n"/>
      <c r="I99" s="200" t="n"/>
      <c r="J99" s="217" t="n"/>
      <c r="K99" s="217" t="n"/>
      <c r="M99" s="200" t="n"/>
      <c r="N99" s="200" t="n"/>
      <c r="T99" s="200" t="n"/>
    </row>
    <row r="100">
      <c r="F100" s="217" t="n"/>
      <c r="G100" s="217" t="n"/>
      <c r="I100" s="200" t="n"/>
      <c r="J100" s="217" t="n"/>
      <c r="K100" s="217" t="n"/>
      <c r="M100" s="200" t="n"/>
      <c r="N100" s="200" t="n"/>
      <c r="T100" s="200" t="n"/>
    </row>
    <row r="101">
      <c r="F101" s="217" t="n"/>
      <c r="G101" s="217" t="n"/>
      <c r="I101" s="200" t="n"/>
      <c r="J101" s="217" t="n"/>
      <c r="K101" s="217" t="n"/>
      <c r="M101" s="200" t="n"/>
      <c r="N101" s="200" t="n"/>
      <c r="T101" s="200" t="n"/>
    </row>
    <row r="102">
      <c r="F102" s="217" t="n"/>
      <c r="G102" s="217" t="n"/>
      <c r="I102" s="200" t="n"/>
      <c r="J102" s="217" t="n"/>
      <c r="K102" s="217" t="n"/>
      <c r="M102" s="200" t="n"/>
      <c r="N102" s="200" t="n"/>
      <c r="T102" s="200" t="n"/>
    </row>
    <row r="103">
      <c r="F103" s="217" t="n"/>
      <c r="G103" s="217" t="n"/>
      <c r="I103" s="200" t="n"/>
      <c r="J103" s="217" t="n"/>
      <c r="K103" s="217" t="n"/>
      <c r="M103" s="200" t="n"/>
      <c r="N103" s="200" t="n"/>
      <c r="T103" s="200" t="n"/>
    </row>
    <row r="104">
      <c r="F104" s="217" t="n"/>
      <c r="G104" s="217" t="n"/>
      <c r="I104" s="200" t="n"/>
      <c r="J104" s="217" t="n"/>
      <c r="K104" s="217" t="n"/>
      <c r="M104" s="200" t="n"/>
      <c r="N104" s="200" t="n"/>
      <c r="T104" s="200" t="n"/>
    </row>
    <row r="105">
      <c r="F105" s="217" t="n"/>
      <c r="G105" s="217" t="n"/>
      <c r="I105" s="200" t="n"/>
      <c r="J105" s="217" t="n"/>
      <c r="K105" s="217" t="n"/>
      <c r="M105" s="200" t="n"/>
      <c r="N105" s="200" t="n"/>
      <c r="T105" s="200" t="n"/>
    </row>
    <row r="106">
      <c r="F106" s="217" t="n"/>
      <c r="G106" s="217" t="n"/>
      <c r="I106" s="200" t="n"/>
      <c r="J106" s="217" t="n"/>
      <c r="K106" s="217" t="n"/>
      <c r="M106" s="200" t="n"/>
      <c r="N106" s="200" t="n"/>
      <c r="T106" s="200" t="n"/>
    </row>
    <row r="107">
      <c r="F107" s="217" t="n"/>
      <c r="G107" s="217" t="n"/>
      <c r="I107" s="200" t="n"/>
      <c r="J107" s="217" t="n"/>
      <c r="K107" s="217" t="n"/>
      <c r="M107" s="200" t="n"/>
      <c r="N107" s="200" t="n"/>
      <c r="T107" s="200" t="n"/>
    </row>
    <row r="108">
      <c r="F108" s="217" t="n"/>
      <c r="G108" s="217" t="n"/>
      <c r="I108" s="200" t="n"/>
      <c r="J108" s="217" t="n"/>
      <c r="K108" s="217" t="n"/>
      <c r="M108" s="200" t="n"/>
      <c r="N108" s="200" t="n"/>
      <c r="T108" s="200" t="n"/>
    </row>
    <row r="109">
      <c r="F109" s="217" t="n"/>
      <c r="G109" s="217" t="n"/>
      <c r="I109" s="200" t="n"/>
      <c r="J109" s="217" t="n"/>
      <c r="K109" s="217" t="n"/>
      <c r="M109" s="200" t="n"/>
      <c r="N109" s="200" t="n"/>
      <c r="T109" s="200" t="n"/>
    </row>
    <row r="110">
      <c r="F110" s="217" t="n"/>
      <c r="G110" s="217" t="n"/>
      <c r="I110" s="200" t="n"/>
      <c r="J110" s="217" t="n"/>
      <c r="K110" s="217" t="n"/>
      <c r="M110" s="200" t="n"/>
      <c r="N110" s="200" t="n"/>
      <c r="T110" s="200" t="n"/>
    </row>
    <row r="111">
      <c r="F111" s="217" t="n"/>
      <c r="G111" s="217" t="n"/>
      <c r="I111" s="200" t="n"/>
      <c r="J111" s="217" t="n"/>
      <c r="K111" s="217" t="n"/>
      <c r="M111" s="200" t="n"/>
      <c r="N111" s="200" t="n"/>
      <c r="T111" s="200" t="n"/>
    </row>
    <row r="112">
      <c r="F112" s="217" t="n"/>
      <c r="G112" s="217" t="n"/>
      <c r="I112" s="200" t="n"/>
      <c r="J112" s="217" t="n"/>
      <c r="K112" s="217" t="n"/>
      <c r="M112" s="200" t="n"/>
      <c r="N112" s="200" t="n"/>
      <c r="T112" s="200" t="n"/>
    </row>
    <row r="113">
      <c r="F113" s="217" t="n"/>
      <c r="G113" s="217" t="n"/>
      <c r="I113" s="200" t="n"/>
      <c r="J113" s="217" t="n"/>
      <c r="K113" s="217" t="n"/>
      <c r="M113" s="200" t="n"/>
      <c r="N113" s="200" t="n"/>
      <c r="T113" s="200" t="n"/>
    </row>
    <row r="114">
      <c r="F114" s="217" t="n"/>
      <c r="G114" s="217" t="n"/>
      <c r="I114" s="200" t="n"/>
      <c r="J114" s="217" t="n"/>
      <c r="K114" s="217" t="n"/>
      <c r="M114" s="200" t="n"/>
      <c r="N114" s="200" t="n"/>
      <c r="T114" s="200" t="n"/>
    </row>
    <row r="115">
      <c r="F115" s="217" t="n"/>
      <c r="G115" s="217" t="n"/>
      <c r="I115" s="200" t="n"/>
      <c r="J115" s="217" t="n"/>
      <c r="K115" s="217" t="n"/>
      <c r="M115" s="200" t="n"/>
      <c r="N115" s="200" t="n"/>
      <c r="T115" s="200" t="n"/>
    </row>
    <row r="116">
      <c r="F116" s="217" t="n"/>
      <c r="G116" s="217" t="n"/>
      <c r="I116" s="200" t="n"/>
      <c r="J116" s="217" t="n"/>
      <c r="K116" s="217" t="n"/>
      <c r="M116" s="200" t="n"/>
      <c r="N116" s="200" t="n"/>
      <c r="T116" s="200" t="n"/>
    </row>
    <row r="117">
      <c r="F117" s="217" t="n"/>
      <c r="G117" s="217" t="n"/>
      <c r="I117" s="200" t="n"/>
      <c r="J117" s="217" t="n"/>
      <c r="K117" s="217" t="n"/>
      <c r="M117" s="200" t="n"/>
      <c r="N117" s="200" t="n"/>
      <c r="T117" s="200" t="n"/>
    </row>
    <row r="118">
      <c r="F118" s="217" t="n"/>
      <c r="G118" s="217" t="n"/>
      <c r="I118" s="200" t="n"/>
      <c r="J118" s="217" t="n"/>
      <c r="K118" s="217" t="n"/>
      <c r="M118" s="200" t="n"/>
      <c r="N118" s="200" t="n"/>
      <c r="T118" s="200" t="n"/>
    </row>
    <row r="119">
      <c r="F119" s="217" t="n"/>
      <c r="G119" s="217" t="n"/>
      <c r="I119" s="200" t="n"/>
      <c r="J119" s="217" t="n"/>
      <c r="K119" s="217" t="n"/>
      <c r="M119" s="200" t="n"/>
      <c r="N119" s="200" t="n"/>
      <c r="T119" s="200" t="n"/>
    </row>
    <row r="120">
      <c r="F120" s="217" t="n"/>
      <c r="G120" s="217" t="n"/>
      <c r="I120" s="200" t="n"/>
      <c r="J120" s="217" t="n"/>
      <c r="K120" s="217" t="n"/>
      <c r="M120" s="200" t="n"/>
      <c r="N120" s="200" t="n"/>
      <c r="T120" s="200" t="n"/>
    </row>
    <row r="121">
      <c r="F121" s="217" t="n"/>
      <c r="G121" s="217" t="n"/>
      <c r="I121" s="200" t="n"/>
      <c r="J121" s="217" t="n"/>
      <c r="K121" s="217" t="n"/>
      <c r="M121" s="200" t="n"/>
      <c r="N121" s="200" t="n"/>
      <c r="T121" s="200" t="n"/>
    </row>
    <row r="122">
      <c r="F122" s="217" t="n"/>
      <c r="G122" s="217" t="n"/>
      <c r="I122" s="200" t="n"/>
      <c r="J122" s="217" t="n"/>
      <c r="K122" s="217" t="n"/>
      <c r="M122" s="200" t="n"/>
      <c r="N122" s="200" t="n"/>
      <c r="T122" s="200" t="n"/>
    </row>
    <row r="123">
      <c r="F123" s="217" t="n"/>
      <c r="G123" s="217" t="n"/>
      <c r="I123" s="200" t="n"/>
      <c r="J123" s="217" t="n"/>
      <c r="K123" s="217" t="n"/>
      <c r="M123" s="200" t="n"/>
      <c r="N123" s="200" t="n"/>
      <c r="T123" s="200" t="n"/>
    </row>
    <row r="124">
      <c r="F124" s="217" t="n"/>
      <c r="G124" s="217" t="n"/>
      <c r="I124" s="200" t="n"/>
      <c r="J124" s="217" t="n"/>
      <c r="K124" s="217" t="n"/>
      <c r="M124" s="200" t="n"/>
      <c r="N124" s="200" t="n"/>
      <c r="T124" s="200" t="n"/>
    </row>
    <row r="125">
      <c r="F125" s="217" t="n"/>
      <c r="G125" s="217" t="n"/>
      <c r="I125" s="200" t="n"/>
      <c r="J125" s="217" t="n"/>
      <c r="K125" s="217" t="n"/>
      <c r="M125" s="200" t="n"/>
      <c r="N125" s="200" t="n"/>
      <c r="T125" s="200" t="n"/>
    </row>
    <row r="126">
      <c r="F126" s="217" t="n"/>
      <c r="G126" s="217" t="n"/>
      <c r="I126" s="200" t="n"/>
      <c r="J126" s="217" t="n"/>
      <c r="K126" s="217" t="n"/>
      <c r="M126" s="200" t="n"/>
      <c r="N126" s="200" t="n"/>
      <c r="T126" s="200" t="n"/>
    </row>
    <row r="127">
      <c r="F127" s="217" t="n"/>
      <c r="G127" s="217" t="n"/>
      <c r="I127" s="200" t="n"/>
      <c r="J127" s="217" t="n"/>
      <c r="K127" s="217" t="n"/>
      <c r="M127" s="200" t="n"/>
      <c r="N127" s="200" t="n"/>
      <c r="T127" s="200" t="n"/>
    </row>
    <row r="128">
      <c r="F128" s="217" t="n"/>
      <c r="G128" s="217" t="n"/>
      <c r="I128" s="200" t="n"/>
      <c r="J128" s="217" t="n"/>
      <c r="K128" s="217" t="n"/>
      <c r="M128" s="200" t="n"/>
      <c r="N128" s="200" t="n"/>
      <c r="T128" s="200" t="n"/>
    </row>
    <row r="129">
      <c r="F129" s="217" t="n"/>
      <c r="G129" s="217" t="n"/>
      <c r="I129" s="200" t="n"/>
      <c r="J129" s="217" t="n"/>
      <c r="K129" s="217" t="n"/>
      <c r="M129" s="200" t="n"/>
      <c r="N129" s="200" t="n"/>
      <c r="T129" s="200" t="n"/>
    </row>
    <row r="130">
      <c r="F130" s="217" t="n"/>
      <c r="G130" s="217" t="n"/>
      <c r="I130" s="200" t="n"/>
      <c r="J130" s="217" t="n"/>
      <c r="K130" s="217" t="n"/>
      <c r="M130" s="200" t="n"/>
      <c r="N130" s="200" t="n"/>
      <c r="T130" s="200" t="n"/>
    </row>
    <row r="131">
      <c r="F131" s="217" t="n"/>
      <c r="G131" s="217" t="n"/>
      <c r="I131" s="200" t="n"/>
      <c r="J131" s="217" t="n"/>
      <c r="K131" s="217" t="n"/>
      <c r="M131" s="200" t="n"/>
      <c r="N131" s="200" t="n"/>
      <c r="T131" s="200" t="n"/>
    </row>
    <row r="132">
      <c r="F132" s="217" t="n"/>
      <c r="G132" s="217" t="n"/>
      <c r="I132" s="200" t="n"/>
      <c r="J132" s="217" t="n"/>
      <c r="K132" s="217" t="n"/>
      <c r="M132" s="200" t="n"/>
      <c r="N132" s="200" t="n"/>
      <c r="T132" s="200" t="n"/>
    </row>
    <row r="133">
      <c r="F133" s="217" t="n"/>
      <c r="G133" s="217" t="n"/>
      <c r="I133" s="200" t="n"/>
      <c r="J133" s="217" t="n"/>
      <c r="K133" s="217" t="n"/>
      <c r="M133" s="200" t="n"/>
      <c r="N133" s="200" t="n"/>
      <c r="T133" s="200" t="n"/>
    </row>
    <row r="134">
      <c r="F134" s="217" t="n"/>
      <c r="G134" s="217" t="n"/>
      <c r="I134" s="200" t="n"/>
      <c r="J134" s="217" t="n"/>
      <c r="K134" s="217" t="n"/>
      <c r="M134" s="200" t="n"/>
      <c r="N134" s="200" t="n"/>
      <c r="T134" s="200" t="n"/>
    </row>
    <row r="135">
      <c r="F135" s="217" t="n"/>
      <c r="G135" s="217" t="n"/>
      <c r="I135" s="200" t="n"/>
      <c r="J135" s="217" t="n"/>
      <c r="K135" s="217" t="n"/>
      <c r="M135" s="200" t="n"/>
      <c r="N135" s="200" t="n"/>
      <c r="T135" s="200" t="n"/>
    </row>
    <row r="136">
      <c r="F136" s="217" t="n"/>
      <c r="G136" s="217" t="n"/>
      <c r="I136" s="200" t="n"/>
      <c r="J136" s="217" t="n"/>
      <c r="K136" s="217" t="n"/>
      <c r="M136" s="200" t="n"/>
      <c r="N136" s="200" t="n"/>
      <c r="T136" s="200" t="n"/>
    </row>
    <row r="137">
      <c r="F137" s="217" t="n"/>
      <c r="G137" s="217" t="n"/>
      <c r="I137" s="200" t="n"/>
      <c r="J137" s="217" t="n"/>
      <c r="K137" s="217" t="n"/>
      <c r="M137" s="200" t="n"/>
      <c r="N137" s="200" t="n"/>
      <c r="T137" s="200" t="n"/>
    </row>
    <row r="138">
      <c r="F138" s="217" t="n"/>
      <c r="G138" s="217" t="n"/>
      <c r="I138" s="200" t="n"/>
      <c r="J138" s="217" t="n"/>
      <c r="K138" s="217" t="n"/>
      <c r="M138" s="200" t="n"/>
      <c r="N138" s="200" t="n"/>
      <c r="T138" s="200" t="n"/>
    </row>
    <row r="139">
      <c r="F139" s="217" t="n"/>
      <c r="G139" s="217" t="n"/>
      <c r="I139" s="200" t="n"/>
      <c r="J139" s="217" t="n"/>
      <c r="K139" s="217" t="n"/>
      <c r="M139" s="200" t="n"/>
      <c r="N139" s="200" t="n"/>
      <c r="T139" s="200" t="n"/>
    </row>
    <row r="140">
      <c r="F140" s="217" t="n"/>
      <c r="G140" s="217" t="n"/>
      <c r="I140" s="200" t="n"/>
      <c r="J140" s="217" t="n"/>
      <c r="K140" s="217" t="n"/>
      <c r="M140" s="200" t="n"/>
      <c r="N140" s="200" t="n"/>
      <c r="T140" s="200" t="n"/>
    </row>
    <row r="141">
      <c r="F141" s="217" t="n"/>
      <c r="G141" s="217" t="n"/>
      <c r="I141" s="200" t="n"/>
      <c r="J141" s="217" t="n"/>
      <c r="K141" s="217" t="n"/>
      <c r="M141" s="200" t="n"/>
      <c r="N141" s="200" t="n"/>
      <c r="T141" s="200" t="n"/>
    </row>
    <row r="142">
      <c r="F142" s="217" t="n"/>
      <c r="G142" s="217" t="n"/>
      <c r="I142" s="200" t="n"/>
      <c r="J142" s="217" t="n"/>
      <c r="K142" s="217" t="n"/>
      <c r="M142" s="200" t="n"/>
      <c r="N142" s="200" t="n"/>
      <c r="T142" s="200" t="n"/>
    </row>
    <row r="143">
      <c r="F143" s="217" t="n"/>
      <c r="G143" s="217" t="n"/>
      <c r="I143" s="200" t="n"/>
      <c r="J143" s="217" t="n"/>
      <c r="K143" s="217" t="n"/>
      <c r="M143" s="200" t="n"/>
      <c r="N143" s="200" t="n"/>
      <c r="T143" s="200" t="n"/>
    </row>
    <row r="144">
      <c r="F144" s="217" t="n"/>
      <c r="G144" s="217" t="n"/>
      <c r="I144" s="200" t="n"/>
      <c r="J144" s="217" t="n"/>
      <c r="K144" s="217" t="n"/>
      <c r="M144" s="200" t="n"/>
      <c r="N144" s="200" t="n"/>
      <c r="T144" s="200" t="n"/>
    </row>
    <row r="145">
      <c r="F145" s="217" t="n"/>
      <c r="G145" s="217" t="n"/>
      <c r="I145" s="200" t="n"/>
      <c r="J145" s="217" t="n"/>
      <c r="K145" s="217" t="n"/>
      <c r="M145" s="200" t="n"/>
      <c r="N145" s="200" t="n"/>
      <c r="T145" s="200" t="n"/>
    </row>
    <row r="146">
      <c r="F146" s="217" t="n"/>
      <c r="G146" s="217" t="n"/>
      <c r="I146" s="200" t="n"/>
      <c r="J146" s="217" t="n"/>
      <c r="K146" s="217" t="n"/>
      <c r="M146" s="200" t="n"/>
      <c r="N146" s="200" t="n"/>
      <c r="T146" s="200" t="n"/>
    </row>
    <row r="147">
      <c r="F147" s="217" t="n"/>
      <c r="G147" s="217" t="n"/>
      <c r="I147" s="200" t="n"/>
      <c r="J147" s="217" t="n"/>
      <c r="K147" s="217" t="n"/>
      <c r="M147" s="200" t="n"/>
      <c r="N147" s="200" t="n"/>
      <c r="T147" s="200" t="n"/>
    </row>
    <row r="148">
      <c r="F148" s="217" t="n"/>
      <c r="G148" s="217" t="n"/>
      <c r="I148" s="200" t="n"/>
      <c r="J148" s="217" t="n"/>
      <c r="K148" s="217" t="n"/>
      <c r="M148" s="200" t="n"/>
      <c r="N148" s="200" t="n"/>
      <c r="T148" s="200" t="n"/>
    </row>
    <row r="149">
      <c r="F149" s="217" t="n"/>
      <c r="G149" s="217" t="n"/>
      <c r="I149" s="200" t="n"/>
      <c r="J149" s="217" t="n"/>
      <c r="K149" s="217" t="n"/>
      <c r="M149" s="200" t="n"/>
      <c r="N149" s="200" t="n"/>
      <c r="T149" s="200" t="n"/>
    </row>
    <row r="150">
      <c r="F150" s="217" t="n"/>
      <c r="G150" s="217" t="n"/>
      <c r="I150" s="200" t="n"/>
      <c r="J150" s="217" t="n"/>
      <c r="K150" s="217" t="n"/>
      <c r="M150" s="200" t="n"/>
      <c r="N150" s="200" t="n"/>
      <c r="T150" s="200" t="n"/>
    </row>
    <row r="151">
      <c r="F151" s="217" t="n"/>
      <c r="G151" s="217" t="n"/>
      <c r="I151" s="200" t="n"/>
      <c r="J151" s="217" t="n"/>
      <c r="K151" s="217" t="n"/>
      <c r="M151" s="200" t="n"/>
      <c r="N151" s="200" t="n"/>
      <c r="T151" s="200" t="n"/>
    </row>
    <row r="152">
      <c r="F152" s="217" t="n"/>
      <c r="G152" s="217" t="n"/>
      <c r="I152" s="200" t="n"/>
      <c r="J152" s="217" t="n"/>
      <c r="K152" s="217" t="n"/>
      <c r="M152" s="200" t="n"/>
      <c r="N152" s="200" t="n"/>
      <c r="T152" s="200" t="n"/>
    </row>
    <row r="153">
      <c r="F153" s="217" t="n"/>
      <c r="G153" s="217" t="n"/>
      <c r="I153" s="200" t="n"/>
      <c r="J153" s="217" t="n"/>
      <c r="K153" s="217" t="n"/>
      <c r="M153" s="200" t="n"/>
      <c r="N153" s="200" t="n"/>
      <c r="T153" s="200" t="n"/>
    </row>
    <row r="154">
      <c r="F154" s="217" t="n"/>
      <c r="G154" s="217" t="n"/>
      <c r="I154" s="200" t="n"/>
      <c r="J154" s="217" t="n"/>
      <c r="K154" s="217" t="n"/>
      <c r="M154" s="200" t="n"/>
      <c r="N154" s="200" t="n"/>
      <c r="T154" s="200" t="n"/>
    </row>
    <row r="155">
      <c r="F155" s="217" t="n"/>
      <c r="G155" s="217" t="n"/>
      <c r="I155" s="200" t="n"/>
      <c r="J155" s="217" t="n"/>
      <c r="K155" s="217" t="n"/>
      <c r="M155" s="200" t="n"/>
      <c r="N155" s="200" t="n"/>
      <c r="T155" s="200" t="n"/>
    </row>
    <row r="156">
      <c r="F156" s="217" t="n"/>
      <c r="G156" s="217" t="n"/>
      <c r="I156" s="200" t="n"/>
      <c r="J156" s="217" t="n"/>
      <c r="K156" s="217" t="n"/>
      <c r="M156" s="200" t="n"/>
      <c r="N156" s="200" t="n"/>
      <c r="T156" s="200" t="n"/>
    </row>
    <row r="157">
      <c r="F157" s="217" t="n"/>
      <c r="G157" s="217" t="n"/>
      <c r="I157" s="200" t="n"/>
      <c r="J157" s="217" t="n"/>
      <c r="K157" s="217" t="n"/>
      <c r="M157" s="200" t="n"/>
      <c r="N157" s="200" t="n"/>
      <c r="T157" s="200" t="n"/>
    </row>
    <row r="158">
      <c r="F158" s="217" t="n"/>
      <c r="G158" s="217" t="n"/>
      <c r="I158" s="200" t="n"/>
      <c r="J158" s="217" t="n"/>
      <c r="K158" s="217" t="n"/>
      <c r="M158" s="200" t="n"/>
      <c r="N158" s="200" t="n"/>
      <c r="T158" s="200" t="n"/>
    </row>
    <row r="159">
      <c r="F159" s="217" t="n"/>
      <c r="G159" s="217" t="n"/>
      <c r="I159" s="200" t="n"/>
      <c r="J159" s="217" t="n"/>
      <c r="K159" s="217" t="n"/>
      <c r="M159" s="200" t="n"/>
      <c r="N159" s="200" t="n"/>
      <c r="T159" s="200" t="n"/>
    </row>
    <row r="160">
      <c r="F160" s="217" t="n"/>
      <c r="G160" s="217" t="n"/>
      <c r="I160" s="200" t="n"/>
      <c r="J160" s="217" t="n"/>
      <c r="K160" s="217" t="n"/>
      <c r="M160" s="200" t="n"/>
      <c r="N160" s="200" t="n"/>
      <c r="T160" s="200" t="n"/>
    </row>
    <row r="161">
      <c r="F161" s="217" t="n"/>
      <c r="G161" s="217" t="n"/>
      <c r="I161" s="200" t="n"/>
      <c r="J161" s="217" t="n"/>
      <c r="K161" s="217" t="n"/>
      <c r="M161" s="200" t="n"/>
      <c r="N161" s="200" t="n"/>
      <c r="T161" s="200" t="n"/>
    </row>
  </sheetData>
  <pageMargins left="0.7874015748031497" right="0" top="0.7874015748031497" bottom="0.1968503937007874" header="0" footer="0"/>
  <pageSetup orientation="landscape" paperSize="12" scale="76"/>
</worksheet>
</file>

<file path=xl/worksheets/sheet10.xml><?xml version="1.0" encoding="utf-8"?>
<worksheet xmlns="http://schemas.openxmlformats.org/spreadsheetml/2006/main">
  <sheetPr codeName="Sheet7">
    <tabColor indexed="43"/>
    <outlinePr summaryBelow="1" summaryRight="1"/>
    <pageSetUpPr fitToPage="1"/>
  </sheetPr>
  <dimension ref="C1:AL13"/>
  <sheetViews>
    <sheetView workbookViewId="0">
      <selection activeCell="L38" sqref="L38"/>
    </sheetView>
  </sheetViews>
  <sheetFormatPr baseColWidth="8" defaultColWidth="9" defaultRowHeight="13.5"/>
  <cols>
    <col width="4.25" customWidth="1" style="217" min="1" max="1"/>
    <col width="23.875" customWidth="1" style="200" min="2" max="2"/>
    <col width="10.75" customWidth="1" style="217" min="3" max="3"/>
    <col width="9.875" customWidth="1" style="217" min="4" max="4"/>
    <col width="9.5" customWidth="1" style="200" min="5" max="8"/>
    <col width="9.5" customWidth="1" style="217" min="9" max="9"/>
    <col width="9.5" customWidth="1" style="200" min="10" max="12"/>
    <col width="7" customWidth="1" style="200" min="13" max="13"/>
    <col width="9.5" customWidth="1" style="217" min="14" max="14"/>
    <col width="9.5" customWidth="1" style="200" min="15" max="15"/>
    <col width="3.75" customWidth="1" style="200" min="16" max="25"/>
    <col width="3.75" customWidth="1" style="217" min="26" max="27"/>
    <col width="3.75" customWidth="1" style="200" min="28" max="28"/>
    <col width="3.75" customWidth="1" style="217" min="29" max="29"/>
    <col width="3.75" customWidth="1" style="200" min="30" max="32"/>
    <col width="3.75" customWidth="1" style="217" min="33" max="35"/>
    <col width="3.75" customWidth="1" style="200" min="36" max="38"/>
    <col width="3.75" customWidth="1" style="217" min="39" max="60"/>
    <col width="9" customWidth="1" style="217" min="61" max="16384"/>
  </cols>
  <sheetData>
    <row r="1">
      <c r="I1" s="200" t="n"/>
      <c r="N1" s="200" t="n"/>
      <c r="X1" s="217" t="n"/>
      <c r="Y1" s="217" t="n"/>
      <c r="AA1" s="200" t="n"/>
      <c r="AB1" s="217" t="n"/>
      <c r="AC1" s="200" t="n"/>
      <c r="AF1" s="217" t="n"/>
      <c r="AI1" s="200" t="n"/>
      <c r="AL1" s="217" t="n"/>
    </row>
    <row r="2">
      <c r="I2" s="200" t="n"/>
      <c r="N2" s="200" t="n"/>
      <c r="O2" s="219" t="inlineStr">
        <is>
          <t>事務所チェック済み印→</t>
        </is>
      </c>
      <c r="P2" s="220" t="n"/>
      <c r="Q2" s="220" t="n"/>
      <c r="R2" s="220" t="n"/>
      <c r="S2" s="220" t="n"/>
      <c r="T2" s="220" t="n"/>
      <c r="X2" s="217" t="n"/>
      <c r="Y2" s="217" t="n"/>
      <c r="AA2" s="200" t="n"/>
      <c r="AB2" s="217" t="n"/>
      <c r="AC2" s="200" t="n"/>
      <c r="AF2" s="217" t="n"/>
      <c r="AI2" s="200" t="n"/>
      <c r="AL2" s="217" t="n"/>
    </row>
    <row r="4" ht="17.25" customHeight="1">
      <c r="F4" s="221" t="n"/>
    </row>
    <row r="5" ht="17.25" customHeight="1">
      <c r="F5" s="221" t="n"/>
      <c r="I5" s="222" t="n"/>
    </row>
    <row r="7">
      <c r="C7" s="220" t="n"/>
    </row>
    <row r="8">
      <c r="C8" s="219" t="inlineStr">
        <is>
          <t>事務所チェック済み印→</t>
        </is>
      </c>
    </row>
    <row r="12">
      <c r="C12" s="200" t="n"/>
    </row>
    <row r="13">
      <c r="C13" s="200" t="n"/>
    </row>
  </sheetData>
  <mergeCells count="2">
    <mergeCell ref="F4:I4"/>
    <mergeCell ref="F5:H5"/>
  </mergeCells>
  <pageMargins left="0.7874015748031497" right="0" top="0.7874015748031497" bottom="0.1968503937007874" header="0" footer="0"/>
  <pageSetup orientation="landscape" paperSize="9" scale="67"/>
</worksheet>
</file>

<file path=xl/worksheets/sheet11.xml><?xml version="1.0" encoding="utf-8"?>
<worksheet xmlns:r="http://schemas.openxmlformats.org/officeDocument/2006/relationships" xmlns="http://schemas.openxmlformats.org/spreadsheetml/2006/main">
  <sheetPr codeName="ShtDBINFO">
    <outlinePr summaryBelow="1" summaryRight="1"/>
    <pageSetUpPr/>
  </sheetPr>
  <dimension ref="A1:D12"/>
  <sheetViews>
    <sheetView workbookViewId="0">
      <selection activeCell="I8" sqref="I8"/>
    </sheetView>
  </sheetViews>
  <sheetFormatPr baseColWidth="8" defaultColWidth="9" defaultRowHeight="11.25"/>
  <cols>
    <col width="13.875" customWidth="1" style="4" min="1" max="1"/>
    <col width="27.75" customWidth="1" style="4" min="2" max="2"/>
    <col width="67.875" bestFit="1" customWidth="1" style="4" min="3" max="3"/>
    <col width="9" customWidth="1" style="1" min="4" max="16384"/>
  </cols>
  <sheetData>
    <row r="1">
      <c r="A1" s="9" t="n"/>
      <c r="B1" s="9" t="n"/>
      <c r="C1" s="9" t="n"/>
    </row>
    <row r="2">
      <c r="A2" s="10" t="inlineStr">
        <is>
          <t>SQLサーバー名:</t>
        </is>
      </c>
      <c r="B2" s="13" t="inlineStr">
        <is>
          <t>nksv01\SORIMACHI</t>
        </is>
      </c>
      <c r="C2" s="12" t="n"/>
    </row>
    <row r="3">
      <c r="A3" s="10" t="inlineStr">
        <is>
          <t>データベース名:</t>
        </is>
      </c>
      <c r="B3" s="13" t="inlineStr">
        <is>
          <t>SPR22DB01</t>
        </is>
      </c>
      <c r="C3" s="12" t="n"/>
    </row>
    <row r="4">
      <c r="A4" s="10" t="inlineStr">
        <is>
          <t>接続ユーザー名:</t>
        </is>
      </c>
      <c r="B4" s="13" t="inlineStr">
        <is>
          <t>noss</t>
        </is>
      </c>
      <c r="C4" s="12" t="n"/>
    </row>
    <row r="5">
      <c r="A5" s="10" t="inlineStr">
        <is>
          <t>接続パスワード:</t>
        </is>
      </c>
      <c r="B5" s="13" t="inlineStr">
        <is>
          <t>!Nukumori1</t>
        </is>
      </c>
      <c r="C5" s="12" t="n"/>
    </row>
    <row r="6">
      <c r="A6" s="9" t="n"/>
      <c r="B6" s="10" t="n"/>
      <c r="C6" s="9" t="n"/>
    </row>
    <row r="7">
      <c r="A7" s="11" t="inlineStr">
        <is>
          <t>SQLNO</t>
        </is>
      </c>
      <c r="B7" s="11" t="inlineStr">
        <is>
          <t>COMMENT</t>
        </is>
      </c>
      <c r="C7" s="11" t="inlineStr">
        <is>
          <t>SQLTEXT</t>
        </is>
      </c>
    </row>
    <row r="8" ht="236.25" customHeight="1">
      <c r="A8" s="2" t="n">
        <v>1</v>
      </c>
      <c r="B8" s="3" t="inlineStr">
        <is>
          <t>売上伝票１（日付固定による得意先別売上数量）
Param1:発送予定日</t>
        </is>
      </c>
      <c r="C8" s="3" t="inlineStr">
        <is>
          <t>SELECT
 Tk.iTkskEDPNo as 得意先EDPNo,
 LTRIM(Tk.cTkskCd) as 得意先コード,
 Tk.cDkjKmkNaiyou2 as 配送,
 Tk.cDkjKmkNaiyou1 as 得意先名,
 Sh.iShhnEDPNo as 商品EDPNo,
 LTRIM(Sh.cShhnCd) as 商品コード,
 Sh.cShhnNm as 商品名,
 B.mSry as 数量,
 CASE Sh.iShhnKb2
   when 39 then '箱'
   when 59 then 'こもの'
   when 58 then '不規則'
   else ''
 END as '箱/こ/不'
FROM  UrgDnpy A, UrgDnpyMs B, Tksk Tk, Shhn Sh 
WHERE A.iUrgEDPNo = B.iUrgEDPNo
AND   A.iTkskEDPNo = Tk.iTkskEDPNo
AND   B.iShhnEDPNo = Sh.iShhnEDPNo
AND   (A.iHssYoteiDay = ?)
AND   (A.iFsn1 = '0' OR A.iFsn1 = '3')</t>
        </is>
      </c>
      <c r="D8" s="23" t="n"/>
    </row>
    <row r="9" ht="180" customHeight="1">
      <c r="A9" s="2" t="n">
        <v>2</v>
      </c>
      <c r="B9" s="3" t="inlineStr">
        <is>
          <t>売上伝票２（日別の商品売上数量）
Param1:発送予定日From
Param2:発送予定日To</t>
        </is>
      </c>
      <c r="C9" s="3" t="inlineStr">
        <is>
          <t>SELECT
 A.iHssYoteiDay as 発送予定日,
 Sh.iShhnEDPNo as 商品EDPNo,
 LTRIM(Sh.cShhnCd) as 商品コード,
 Sh.cShhnNm as 商品名,
 SUM(B.mSry) as 数量
FROM  UrgDnpy A, UrgDnpyMs B, Shhn Sh 
WHERE A.iUrgEDPNo = B.iUrgEDPNo
AND   B.iShhnEDPNo = Sh.iShhnEDPNo
AND   (A.iHssYoteiDay BETWEEN ? AND ?)
AND   (A.iFsn1 = '0' OR A.iFsn1 = '3')
GROUP BY  
 A.iHssYoteiDay,
 Sh.iShhnEDPNo,
 LTRIM(Sh.cShhnCd),
 Sh.cShhnNm</t>
        </is>
      </c>
    </row>
    <row r="10" ht="213.75" customHeight="1">
      <c r="A10" s="2" t="n">
        <v>3</v>
      </c>
      <c r="B10" s="3" t="inlineStr">
        <is>
          <t>売上伝票３（在庫集計表用の商品一覧取得）
Param1:発送予定日From
Param2:発送予定日To</t>
        </is>
      </c>
      <c r="C10" s="3" t="inlineStr">
        <is>
          <t xml:space="preserve">SELECT DISTINCT
 Sh.iShhnEDPNo as 商品EDPNo,
 LTRIM(Sh.cShhnCd) as 商品コード,
 Sh.cShhnNm as 商品名,
 Sh.mHyjnUrn as 標準売値,
 Sh.cKkchShhnCd as 拡張商品コード,
 Sh.iWrmnInsts as ワレモノ,
 Sh.iShhnKb2 as 商品区分2,
 Sh.mUrn1 as 売値1,
 Sh.iNmmnInsts as ナマモノ,
 Sh.iKikkKtbnShyKb as 規格型番,
 Sh.cKikkKtbn as 規格型番内容,
 Sh.iMainShirskEDPNo1 as 仕入れ先No
FROM  UrgDnpy A, UrgDnpyMs B, Shhn Sh 
WHERE A.iUrgEDPNo = B.iUrgEDPNo
AND   B.iShhnEDPNo = Sh.iShhnEDPNo
AND   (A.iHssYoteiDay BETWEEN ? AND ?)
AND   (A.iFsn1 = '0' OR A.iFsn1 = '3')
ORDER BY LTRIM(Sh.cShhnCd) </t>
        </is>
      </c>
      <c r="D10" s="23" t="n"/>
    </row>
    <row r="11" ht="56.25" customHeight="1">
      <c r="A11" s="2" t="n">
        <v>4</v>
      </c>
      <c r="B11" s="3" t="inlineStr">
        <is>
          <t>売上伝票４（仕入れ先情報取得）
Param1:仕入れ先EDP番号</t>
        </is>
      </c>
      <c r="C11" s="3" t="inlineStr">
        <is>
          <t>SELECT DISTINCT
 Ssk.cShirskCd as 仕入先コード,
 Ssk.cShirskNm as 仕入先名
FROM  Shirsk Ssk
WHERE Ssk.iShirskEDPNo = ?</t>
        </is>
      </c>
    </row>
    <row r="12">
      <c r="A12" s="2" t="n">
        <v>99</v>
      </c>
      <c r="B12" s="2" t="inlineStr">
        <is>
          <t>ﾃｽﾄ接続用SQL</t>
        </is>
      </c>
      <c r="C12" s="2" t="inlineStr">
        <is>
          <t>SELECT 'TEST'</t>
        </is>
      </c>
    </row>
  </sheetData>
  <pageMargins left="0.75" right="0.75" top="1" bottom="1" header="0.512" footer="0.512"/>
  <pageSetup orientation="portrait" paperSize="9"/>
  <legacyDrawing r:id="anysvml"/>
</worksheet>
</file>

<file path=xl/worksheets/sheet12.xml><?xml version="1.0" encoding="utf-8"?>
<worksheet xmlns:r="http://schemas.openxmlformats.org/officeDocument/2006/relationships" xmlns="http://schemas.openxmlformats.org/spreadsheetml/2006/main">
  <sheetPr codeName="Sheet1">
    <outlinePr summaryBelow="1" summaryRight="1"/>
    <pageSetUpPr/>
  </sheetPr>
  <dimension ref="A1:I66"/>
  <sheetViews>
    <sheetView topLeftCell="A26" workbookViewId="0">
      <selection activeCell="I2" sqref="A2:I44"/>
    </sheetView>
  </sheetViews>
  <sheetFormatPr baseColWidth="8" defaultRowHeight="13.5"/>
  <cols>
    <col width="31.625" customWidth="1" min="2" max="2"/>
  </cols>
  <sheetData>
    <row r="1">
      <c r="A1" t="inlineStr">
        <is>
          <t>得意先EDPNo</t>
        </is>
      </c>
      <c r="B1" t="inlineStr">
        <is>
          <t>得意先コード</t>
        </is>
      </c>
      <c r="C1" t="inlineStr">
        <is>
          <t>配送</t>
        </is>
      </c>
      <c r="D1" t="inlineStr">
        <is>
          <t>得意先名</t>
        </is>
      </c>
      <c r="E1" t="inlineStr">
        <is>
          <t>商品コード</t>
        </is>
      </c>
      <c r="F1" t="inlineStr">
        <is>
          <t>商品名</t>
        </is>
      </c>
      <c r="G1" t="inlineStr">
        <is>
          <t>数量</t>
        </is>
      </c>
      <c r="H1" t="inlineStr">
        <is>
          <t>商品コード2</t>
        </is>
      </c>
      <c r="I1" t="inlineStr">
        <is>
          <t>本体価格</t>
        </is>
      </c>
    </row>
    <row r="2" ht="135" customHeight="1">
      <c r="A2" t="n">
        <v>2556</v>
      </c>
      <c r="B2" t="inlineStr">
        <is>
          <t>902-14</t>
        </is>
      </c>
      <c r="C2" t="inlineStr">
        <is>
          <t>その他</t>
        </is>
      </c>
      <c r="D2" t="inlineStr">
        <is>
          <t>直売秋葉原</t>
        </is>
      </c>
      <c r="E2" t="inlineStr">
        <is>
          <t>1072-2</t>
        </is>
      </c>
      <c r="F2" s="133" t="inlineStr">
        <is>
          <t>■りんご「蜜入サンふじ」10ｋｇ(津軽)
※2玉ずつボードンガッチャンしてシール貼る</t>
        </is>
      </c>
      <c r="G2" t="n">
        <v>1</v>
      </c>
      <c r="H2" t="inlineStr">
        <is>
          <t>1072-2</t>
        </is>
      </c>
      <c r="I2">
        <f>VLOOKUP(テーブル46[[#This Row],[商品コード2]],'[2]出荷予定表＆ご注文用紙'!$F$12:$F$144,2,0)</f>
        <v/>
      </c>
    </row>
    <row r="3" ht="121.5" customHeight="1">
      <c r="A3" t="n">
        <v>2556</v>
      </c>
      <c r="B3" t="inlineStr">
        <is>
          <t>902-14</t>
        </is>
      </c>
      <c r="C3" t="inlineStr">
        <is>
          <t>その他</t>
        </is>
      </c>
      <c r="D3" t="inlineStr">
        <is>
          <t>直売秋葉原</t>
        </is>
      </c>
      <c r="E3" t="inlineStr">
        <is>
          <t>1063-36</t>
        </is>
      </c>
      <c r="F3" s="133" t="inlineStr">
        <is>
          <t>りんご「王林」　10ｋｇ箱
※2玉ずつボードンガッチャンしてシール貼る</t>
        </is>
      </c>
      <c r="G3" t="n">
        <v>1</v>
      </c>
      <c r="H3" t="inlineStr">
        <is>
          <t>1063-36</t>
        </is>
      </c>
      <c r="I3">
        <f>VLOOKUP(テーブル46[[#This Row],[商品コード2]],'[2]出荷予定表＆ご注文用紙'!$F$12:$F$144,2,0)</f>
        <v/>
      </c>
    </row>
    <row r="4" ht="148.5" customHeight="1">
      <c r="A4" t="n">
        <v>2556</v>
      </c>
      <c r="B4" t="inlineStr">
        <is>
          <t>902-14</t>
        </is>
      </c>
      <c r="C4" t="inlineStr">
        <is>
          <t>その他</t>
        </is>
      </c>
      <c r="D4" t="inlineStr">
        <is>
          <t>直売秋葉原</t>
        </is>
      </c>
      <c r="E4" t="inlineStr">
        <is>
          <t>1502-2</t>
        </is>
      </c>
      <c r="F4" s="133" t="inlineStr">
        <is>
          <t>■キャベツ 8～13個ｺﾝﾃﾅ（中澤良一)不不
※1玉ずつポリ袋ガッチャンしてシール貼る</t>
        </is>
      </c>
      <c r="G4" t="n">
        <v>1</v>
      </c>
      <c r="H4" t="inlineStr">
        <is>
          <t>1502-2</t>
        </is>
      </c>
      <c r="I4">
        <f>VLOOKUP(テーブル46[[#This Row],[商品コード2]],'[2]出荷予定表＆ご注文用紙'!$F$12:$F$144,2,0)</f>
        <v/>
      </c>
    </row>
    <row r="5">
      <c r="A5" t="n">
        <v>2556</v>
      </c>
      <c r="B5" t="inlineStr">
        <is>
          <t>902-14</t>
        </is>
      </c>
      <c r="C5" t="inlineStr">
        <is>
          <t>その他</t>
        </is>
      </c>
      <c r="D5" t="inlineStr">
        <is>
          <t>直売秋葉原</t>
        </is>
      </c>
      <c r="E5" t="inlineStr">
        <is>
          <t>1004-14</t>
        </is>
      </c>
      <c r="F5" t="inlineStr">
        <is>
          <t>有機みかん 600g (和歌山)◇</t>
        </is>
      </c>
      <c r="G5" t="n">
        <v>10</v>
      </c>
      <c r="H5" t="inlineStr">
        <is>
          <t>1004-14</t>
        </is>
      </c>
      <c r="I5">
        <f>VLOOKUP(テーブル46[[#This Row],[商品コード2]],'[2]出荷予定表＆ご注文用紙'!$F$12:$F$144,2,0)</f>
        <v/>
      </c>
    </row>
    <row r="6">
      <c r="A6" t="n">
        <v>2556</v>
      </c>
      <c r="B6" t="inlineStr">
        <is>
          <t>902-14</t>
        </is>
      </c>
      <c r="C6" t="inlineStr">
        <is>
          <t>その他</t>
        </is>
      </c>
      <c r="D6" t="inlineStr">
        <is>
          <t>直売秋葉原</t>
        </is>
      </c>
      <c r="E6" t="inlineStr">
        <is>
          <t>1316-288</t>
        </is>
      </c>
      <c r="F6" t="inlineStr">
        <is>
          <t>さつまいも「紅はるか」600g(工藤)◇</t>
        </is>
      </c>
      <c r="G6" t="n">
        <v>5</v>
      </c>
      <c r="H6" t="inlineStr">
        <is>
          <t>1316-288</t>
        </is>
      </c>
      <c r="I6">
        <f>VLOOKUP(テーブル46[[#This Row],[商品コード2]],'[2]出荷予定表＆ご注文用紙'!$F$12:$F$144,2,0)</f>
        <v/>
      </c>
    </row>
    <row r="7">
      <c r="A7" t="n">
        <v>2556</v>
      </c>
      <c r="B7" t="inlineStr">
        <is>
          <t>902-14</t>
        </is>
      </c>
      <c r="C7" t="inlineStr">
        <is>
          <t>その他</t>
        </is>
      </c>
      <c r="D7" t="inlineStr">
        <is>
          <t>直売秋葉原</t>
        </is>
      </c>
      <c r="E7" t="inlineStr">
        <is>
          <t>1148-104</t>
        </is>
      </c>
      <c r="F7" t="inlineStr">
        <is>
          <t>有機ｷｳｲﾌﾙｰﾂ「ﾍｲﾜｰﾄﾞ」300g(甘楽町)◇</t>
        </is>
      </c>
      <c r="G7" t="n">
        <v>3</v>
      </c>
      <c r="H7" t="inlineStr">
        <is>
          <t>1148-104</t>
        </is>
      </c>
      <c r="I7">
        <f>VLOOKUP(テーブル46[[#This Row],[商品コード2]],'[2]出荷予定表＆ご注文用紙'!$F$12:$F$144,2,0)</f>
        <v/>
      </c>
    </row>
    <row r="8">
      <c r="A8" t="n">
        <v>2556</v>
      </c>
      <c r="B8" t="inlineStr">
        <is>
          <t>902-14</t>
        </is>
      </c>
      <c r="C8" t="inlineStr">
        <is>
          <t>その他</t>
        </is>
      </c>
      <c r="D8" t="inlineStr">
        <is>
          <t>直売秋葉原</t>
        </is>
      </c>
      <c r="E8" t="inlineStr">
        <is>
          <t>1303-173</t>
        </is>
      </c>
      <c r="F8" t="inlineStr">
        <is>
          <t>有機里いも　500ｇ (田島穣)◇</t>
        </is>
      </c>
      <c r="G8" t="n">
        <v>5</v>
      </c>
      <c r="H8" t="inlineStr">
        <is>
          <t>1303-173</t>
        </is>
      </c>
      <c r="I8">
        <f>VLOOKUP(テーブル46[[#This Row],[商品コード2]],'[2]出荷予定表＆ご注文用紙'!$F$12:$F$144,2,0)</f>
        <v/>
      </c>
    </row>
    <row r="9">
      <c r="A9" t="n">
        <v>2556</v>
      </c>
      <c r="B9" t="inlineStr">
        <is>
          <t>902-14</t>
        </is>
      </c>
      <c r="C9" t="inlineStr">
        <is>
          <t>その他</t>
        </is>
      </c>
      <c r="D9" t="inlineStr">
        <is>
          <t>直売秋葉原</t>
        </is>
      </c>
      <c r="E9" t="inlineStr">
        <is>
          <t>1353-5</t>
        </is>
      </c>
      <c r="F9" t="inlineStr">
        <is>
          <t>有機長いも　200ｇ（みちのく）</t>
        </is>
      </c>
      <c r="G9" t="n">
        <v>2</v>
      </c>
      <c r="H9" t="inlineStr">
        <is>
          <t>1353-5</t>
        </is>
      </c>
      <c r="I9">
        <f>VLOOKUP(テーブル46[[#This Row],[商品コード2]],'[2]出荷予定表＆ご注文用紙'!$F$12:$F$144,2,0)</f>
        <v/>
      </c>
    </row>
    <row r="10">
      <c r="A10" t="n">
        <v>2556</v>
      </c>
      <c r="B10" t="inlineStr">
        <is>
          <t>902-14</t>
        </is>
      </c>
      <c r="C10" t="inlineStr">
        <is>
          <t>その他</t>
        </is>
      </c>
      <c r="D10" t="inlineStr">
        <is>
          <t>直売秋葉原</t>
        </is>
      </c>
      <c r="E10" t="inlineStr">
        <is>
          <t>1614-251</t>
        </is>
      </c>
      <c r="F10" t="inlineStr">
        <is>
          <t>有機ミニトマト　150g（吉水)◇</t>
        </is>
      </c>
      <c r="G10" t="n">
        <v>5</v>
      </c>
      <c r="H10" t="inlineStr">
        <is>
          <t>1614-251</t>
        </is>
      </c>
      <c r="I10">
        <f>VLOOKUP(テーブル46[[#This Row],[商品コード2]],'[2]出荷予定表＆ご注文用紙'!$F$12:$F$144,2,0)</f>
        <v/>
      </c>
    </row>
    <row r="11">
      <c r="A11" t="n">
        <v>2556</v>
      </c>
      <c r="B11" t="inlineStr">
        <is>
          <t>902-14</t>
        </is>
      </c>
      <c r="C11" t="inlineStr">
        <is>
          <t>その他</t>
        </is>
      </c>
      <c r="D11" t="inlineStr">
        <is>
          <t>直売秋葉原</t>
        </is>
      </c>
      <c r="E11" t="inlineStr">
        <is>
          <t>1593-58</t>
        </is>
      </c>
      <c r="F11" t="inlineStr">
        <is>
          <t>有機ミニ白菜 １個袋 (内山)◇</t>
        </is>
      </c>
      <c r="G11" t="n">
        <v>5</v>
      </c>
      <c r="H11" t="inlineStr">
        <is>
          <t>1593-58</t>
        </is>
      </c>
      <c r="I11">
        <f>VLOOKUP(テーブル46[[#This Row],[商品コード2]],'[2]出荷予定表＆ご注文用紙'!$F$12:$F$144,2,0)</f>
        <v/>
      </c>
    </row>
    <row r="12">
      <c r="A12" t="n">
        <v>2556</v>
      </c>
      <c r="B12" t="inlineStr">
        <is>
          <t>902-14</t>
        </is>
      </c>
      <c r="C12" t="inlineStr">
        <is>
          <t>その他</t>
        </is>
      </c>
      <c r="D12" t="inlineStr">
        <is>
          <t>直売秋葉原</t>
        </is>
      </c>
      <c r="E12" t="inlineStr">
        <is>
          <t>1543-128</t>
        </is>
      </c>
      <c r="F12" t="inlineStr">
        <is>
          <t>有機ブロッコリー１個袋(雲仙)</t>
        </is>
      </c>
      <c r="G12" t="n">
        <v>8</v>
      </c>
      <c r="H12" t="inlineStr">
        <is>
          <t>1543-128</t>
        </is>
      </c>
      <c r="I12">
        <f>VLOOKUP(テーブル46[[#This Row],[商品コード2]],'[2]出荷予定表＆ご注文用紙'!$F$12:$F$144,2,0)</f>
        <v/>
      </c>
    </row>
    <row r="13">
      <c r="A13" t="n">
        <v>2556</v>
      </c>
      <c r="B13" t="inlineStr">
        <is>
          <t>902-14</t>
        </is>
      </c>
      <c r="C13" t="inlineStr">
        <is>
          <t>その他</t>
        </is>
      </c>
      <c r="D13" t="inlineStr">
        <is>
          <t>直売秋葉原</t>
        </is>
      </c>
      <c r="E13" t="inlineStr">
        <is>
          <t>1261-323</t>
        </is>
      </c>
      <c r="F13" t="inlineStr">
        <is>
          <t>カラー大根　２色セット袋(せっせと畑)</t>
        </is>
      </c>
      <c r="G13" t="n">
        <v>3</v>
      </c>
      <c r="H13" t="inlineStr">
        <is>
          <t>1261-323</t>
        </is>
      </c>
      <c r="I13">
        <f>VLOOKUP(テーブル46[[#This Row],[商品コード2]],'[2]出荷予定表＆ご注文用紙'!$F$12:$F$144,2,0)</f>
        <v/>
      </c>
    </row>
    <row r="14">
      <c r="A14" t="n">
        <v>2556</v>
      </c>
      <c r="B14" t="inlineStr">
        <is>
          <t>902-14</t>
        </is>
      </c>
      <c r="C14" t="inlineStr">
        <is>
          <t>その他</t>
        </is>
      </c>
      <c r="D14" t="inlineStr">
        <is>
          <t>直売秋葉原</t>
        </is>
      </c>
      <c r="E14" t="inlineStr">
        <is>
          <t>1601-79</t>
        </is>
      </c>
      <c r="F14" t="inlineStr">
        <is>
          <t>トマト　１袋（220ｇ以上）（石毛）◇</t>
        </is>
      </c>
      <c r="G14" t="n">
        <v>3</v>
      </c>
      <c r="H14" t="inlineStr">
        <is>
          <t>1601-79</t>
        </is>
      </c>
      <c r="I14">
        <f>VLOOKUP(テーブル46[[#This Row],[商品コード2]],'[2]出荷予定表＆ご注文用紙'!$F$12:$F$144,2,0)</f>
        <v/>
      </c>
    </row>
    <row r="15">
      <c r="A15" t="n">
        <v>2556</v>
      </c>
      <c r="B15" t="inlineStr">
        <is>
          <t>902-14</t>
        </is>
      </c>
      <c r="C15" t="inlineStr">
        <is>
          <t>その他</t>
        </is>
      </c>
      <c r="D15" t="inlineStr">
        <is>
          <t>直売秋葉原</t>
        </is>
      </c>
      <c r="E15" t="inlineStr">
        <is>
          <t>1582-67</t>
        </is>
      </c>
      <c r="F15" t="inlineStr">
        <is>
          <t>有機サニーレタス　ﾗｯﾌﾟ １個(松井ｸﾞﾙｰﾌﾟ)</t>
        </is>
      </c>
      <c r="G15" t="n">
        <v>3</v>
      </c>
      <c r="H15" t="inlineStr">
        <is>
          <t>1582-67</t>
        </is>
      </c>
      <c r="I15">
        <f>VLOOKUP(テーブル46[[#This Row],[商品コード2]],'[2]出荷予定表＆ご注文用紙'!$F$12:$F$144,2,0)</f>
        <v/>
      </c>
    </row>
    <row r="16">
      <c r="A16" t="n">
        <v>2556</v>
      </c>
      <c r="B16" t="inlineStr">
        <is>
          <t>902-14</t>
        </is>
      </c>
      <c r="C16" t="inlineStr">
        <is>
          <t>その他</t>
        </is>
      </c>
      <c r="D16" t="inlineStr">
        <is>
          <t>直売秋葉原</t>
        </is>
      </c>
      <c r="E16" t="inlineStr">
        <is>
          <t>1857-5</t>
        </is>
      </c>
      <c r="F16" t="inlineStr">
        <is>
          <t>有機しょうが 洗 100g (大地・産ﾊﾟ)</t>
        </is>
      </c>
      <c r="G16" t="n">
        <v>3</v>
      </c>
      <c r="H16" t="inlineStr">
        <is>
          <t>1857-5</t>
        </is>
      </c>
      <c r="I16">
        <f>VLOOKUP(テーブル46[[#This Row],[商品コード2]],'[2]出荷予定表＆ご注文用紙'!$F$12:$F$144,2,0)</f>
        <v/>
      </c>
    </row>
    <row r="17">
      <c r="A17" t="n">
        <v>2556</v>
      </c>
      <c r="B17" t="inlineStr">
        <is>
          <t>902-14</t>
        </is>
      </c>
      <c r="C17" t="inlineStr">
        <is>
          <t>その他</t>
        </is>
      </c>
      <c r="D17" t="inlineStr">
        <is>
          <t>直売秋葉原</t>
        </is>
      </c>
      <c r="E17" t="inlineStr">
        <is>
          <t>1261-369</t>
        </is>
      </c>
      <c r="F17" t="inlineStr">
        <is>
          <t>大根　 1本袋(多田孝一)虫2・不　千葉</t>
        </is>
      </c>
      <c r="G17" t="n">
        <v>5</v>
      </c>
      <c r="H17" t="inlineStr">
        <is>
          <t>1261-369</t>
        </is>
      </c>
      <c r="I17">
        <f>VLOOKUP(テーブル46[[#This Row],[商品コード2]],'[2]出荷予定表＆ご注文用紙'!$F$12:$F$144,2,0)</f>
        <v/>
      </c>
    </row>
    <row r="18">
      <c r="A18" t="n">
        <v>2556</v>
      </c>
      <c r="B18" t="inlineStr">
        <is>
          <t>902-14</t>
        </is>
      </c>
      <c r="C18" t="inlineStr">
        <is>
          <t>その他</t>
        </is>
      </c>
      <c r="D18" t="inlineStr">
        <is>
          <t>直売秋葉原</t>
        </is>
      </c>
      <c r="E18" t="inlineStr">
        <is>
          <t>1807-55</t>
        </is>
      </c>
      <c r="F18" t="inlineStr">
        <is>
          <t>有機生しいたけ(菌床)100gﾄﾚｰ(太洋社)</t>
        </is>
      </c>
      <c r="G18" t="n">
        <v>3</v>
      </c>
      <c r="H18" t="inlineStr">
        <is>
          <t>1807-55</t>
        </is>
      </c>
      <c r="I18">
        <f>VLOOKUP(テーブル46[[#This Row],[商品コード2]],'[2]出荷予定表＆ご注文用紙'!$F$12:$F$144,2,0)</f>
        <v/>
      </c>
    </row>
    <row r="19">
      <c r="A19" t="n">
        <v>2556</v>
      </c>
      <c r="B19" t="inlineStr">
        <is>
          <t>902-14</t>
        </is>
      </c>
      <c r="C19" t="inlineStr">
        <is>
          <t>その他</t>
        </is>
      </c>
      <c r="D19" t="inlineStr">
        <is>
          <t>直売秋葉原</t>
        </is>
      </c>
      <c r="E19" t="inlineStr">
        <is>
          <t>1216-183</t>
        </is>
      </c>
      <c r="F19" t="inlineStr">
        <is>
          <t>有機ｼﾞｬｶﾞｲﾓ｢ｷﾀｱｶﾘ｣ 500g(佐藤)◇</t>
        </is>
      </c>
      <c r="G19" t="n">
        <v>2</v>
      </c>
      <c r="H19" t="inlineStr">
        <is>
          <t>1216-183</t>
        </is>
      </c>
      <c r="I19">
        <f>VLOOKUP(テーブル46[[#This Row],[商品コード2]],'[2]出荷予定表＆ご注文用紙'!$F$12:$F$144,2,0)</f>
        <v/>
      </c>
    </row>
    <row r="20">
      <c r="A20" t="n">
        <v>2556</v>
      </c>
      <c r="B20" t="inlineStr">
        <is>
          <t>902-14</t>
        </is>
      </c>
      <c r="C20" t="inlineStr">
        <is>
          <t>その他</t>
        </is>
      </c>
      <c r="D20" t="inlineStr">
        <is>
          <t>直売秋葉原</t>
        </is>
      </c>
      <c r="E20" t="inlineStr">
        <is>
          <t>1232-308</t>
        </is>
      </c>
      <c r="F20" t="inlineStr">
        <is>
          <t>有機じゃがいも｢男爵｣ 500g(坂本)◇</t>
        </is>
      </c>
      <c r="G20" t="n">
        <v>2</v>
      </c>
      <c r="H20" t="inlineStr">
        <is>
          <t>1232-308</t>
        </is>
      </c>
      <c r="I20">
        <f>VLOOKUP(テーブル46[[#This Row],[商品コード2]],'[2]出荷予定表＆ご注文用紙'!$F$12:$F$144,2,0)</f>
        <v/>
      </c>
    </row>
    <row r="21">
      <c r="A21" t="n">
        <v>2556</v>
      </c>
      <c r="B21" t="inlineStr">
        <is>
          <t>902-14</t>
        </is>
      </c>
      <c r="C21" t="inlineStr">
        <is>
          <t>その他</t>
        </is>
      </c>
      <c r="D21" t="inlineStr">
        <is>
          <t>直売秋葉原</t>
        </is>
      </c>
      <c r="E21" t="inlineStr">
        <is>
          <t>1589-137</t>
        </is>
      </c>
      <c r="F21" t="inlineStr">
        <is>
          <t>有機リーフレタス　ﾗｯﾌﾟ １個(松井ｸﾞﾙｰﾌﾟ)</t>
        </is>
      </c>
      <c r="G21" t="n">
        <v>3</v>
      </c>
      <c r="H21" t="inlineStr">
        <is>
          <t>1589-137</t>
        </is>
      </c>
      <c r="I21">
        <f>VLOOKUP(テーブル46[[#This Row],[商品コード2]],'[2]出荷予定表＆ご注文用紙'!$F$12:$F$144,2,0)</f>
        <v/>
      </c>
    </row>
    <row r="22">
      <c r="A22" t="n">
        <v>2556</v>
      </c>
      <c r="B22" t="inlineStr">
        <is>
          <t>902-14</t>
        </is>
      </c>
      <c r="C22" t="inlineStr">
        <is>
          <t>その他</t>
        </is>
      </c>
      <c r="D22" t="inlineStr">
        <is>
          <t>直売秋葉原</t>
        </is>
      </c>
      <c r="E22" t="inlineStr">
        <is>
          <t>1290-39</t>
        </is>
      </c>
      <c r="F22" t="inlineStr">
        <is>
          <t>有機ごぼう 300g(栗又)◇</t>
        </is>
      </c>
      <c r="G22" t="n">
        <v>5</v>
      </c>
      <c r="H22" t="inlineStr">
        <is>
          <t>1290-39</t>
        </is>
      </c>
      <c r="I22">
        <f>VLOOKUP(テーブル46[[#This Row],[商品コード2]],'[2]出荷予定表＆ご注文用紙'!$F$12:$F$144,2,0)</f>
        <v/>
      </c>
    </row>
    <row r="23">
      <c r="A23" t="n">
        <v>2556</v>
      </c>
      <c r="B23" t="inlineStr">
        <is>
          <t>902-14</t>
        </is>
      </c>
      <c r="C23" t="inlineStr">
        <is>
          <t>その他</t>
        </is>
      </c>
      <c r="D23" t="inlineStr">
        <is>
          <t>直売秋葉原</t>
        </is>
      </c>
      <c r="E23" t="inlineStr">
        <is>
          <t>1564-100</t>
        </is>
      </c>
      <c r="F23" t="inlineStr">
        <is>
          <t>長ねぎ　ﾑｷ ２本袋(ﾊｲﾊｰﾊﾞｰ)◇</t>
        </is>
      </c>
      <c r="G23" t="n">
        <v>8</v>
      </c>
      <c r="H23" t="inlineStr">
        <is>
          <t>1564-100</t>
        </is>
      </c>
      <c r="I23">
        <f>VLOOKUP(テーブル46[[#This Row],[商品コード2]],'[2]出荷予定表＆ご注文用紙'!$F$12:$F$144,2,0)</f>
        <v/>
      </c>
    </row>
    <row r="24">
      <c r="A24" t="n">
        <v>2556</v>
      </c>
      <c r="B24" t="inlineStr">
        <is>
          <t>902-14</t>
        </is>
      </c>
      <c r="C24" t="inlineStr">
        <is>
          <t>その他</t>
        </is>
      </c>
      <c r="D24" t="inlineStr">
        <is>
          <t>直売秋葉原</t>
        </is>
      </c>
      <c r="E24" t="inlineStr">
        <is>
          <t>1856-12</t>
        </is>
      </c>
      <c r="F24" t="inlineStr">
        <is>
          <t>有機にんにく　Ｍ１玉（みちのく)</t>
        </is>
      </c>
      <c r="G24" t="n">
        <v>2</v>
      </c>
      <c r="H24" t="inlineStr">
        <is>
          <t>1856-12</t>
        </is>
      </c>
      <c r="I24">
        <f>VLOOKUP(テーブル46[[#This Row],[商品コード2]],'[2]出荷予定表＆ご注文用紙'!$F$12:$F$144,2,0)</f>
        <v/>
      </c>
    </row>
    <row r="25">
      <c r="A25" t="n">
        <v>2556</v>
      </c>
      <c r="B25" t="inlineStr">
        <is>
          <t>902-14</t>
        </is>
      </c>
      <c r="C25" t="inlineStr">
        <is>
          <t>その他</t>
        </is>
      </c>
      <c r="D25" t="inlineStr">
        <is>
          <t>直売秋葉原</t>
        </is>
      </c>
      <c r="E25" t="inlineStr">
        <is>
          <t>1241-560</t>
        </is>
      </c>
      <c r="F25" t="inlineStr">
        <is>
          <t>カラー人参 400ｇ(せっせと畑)</t>
        </is>
      </c>
      <c r="G25" t="n">
        <v>3</v>
      </c>
      <c r="H25" t="inlineStr">
        <is>
          <t>1241-560</t>
        </is>
      </c>
      <c r="I25">
        <f>VLOOKUP(テーブル46[[#This Row],[商品コード2]],'[2]出荷予定表＆ご注文用紙'!$F$12:$F$144,2,0)</f>
        <v/>
      </c>
    </row>
    <row r="26">
      <c r="A26" t="n">
        <v>2556</v>
      </c>
      <c r="B26" t="inlineStr">
        <is>
          <t>902-14</t>
        </is>
      </c>
      <c r="C26" t="inlineStr">
        <is>
          <t>その他</t>
        </is>
      </c>
      <c r="D26" t="inlineStr">
        <is>
          <t>直売秋葉原</t>
        </is>
      </c>
      <c r="E26" t="inlineStr">
        <is>
          <t>1869-1</t>
        </is>
      </c>
      <c r="F26" t="inlineStr">
        <is>
          <t>有機パクチー　30ｇ（わ～ふぁ）</t>
        </is>
      </c>
      <c r="G26" t="n">
        <v>3</v>
      </c>
      <c r="H26" t="inlineStr">
        <is>
          <t>1869-1</t>
        </is>
      </c>
      <c r="I26">
        <f>VLOOKUP(テーブル46[[#This Row],[商品コード2]],'[2]出荷予定表＆ご注文用紙'!$F$12:$F$144,2,0)</f>
        <v/>
      </c>
    </row>
    <row r="27">
      <c r="A27" t="n">
        <v>2556</v>
      </c>
      <c r="B27" t="inlineStr">
        <is>
          <t>902-14</t>
        </is>
      </c>
      <c r="C27" t="inlineStr">
        <is>
          <t>その他</t>
        </is>
      </c>
      <c r="D27" t="inlineStr">
        <is>
          <t>直売秋葉原</t>
        </is>
      </c>
      <c r="E27" t="inlineStr">
        <is>
          <t>1654-75</t>
        </is>
      </c>
      <c r="F27" t="inlineStr">
        <is>
          <t>有機ピーマン　150g（SOHﾌｧｰﾑ）◇</t>
        </is>
      </c>
      <c r="G27" t="n">
        <v>3</v>
      </c>
      <c r="H27" t="inlineStr">
        <is>
          <t>1654-75</t>
        </is>
      </c>
      <c r="I27">
        <f>VLOOKUP(テーブル46[[#This Row],[商品コード2]],'[2]出荷予定表＆ご注文用紙'!$F$12:$F$144,2,0)</f>
        <v/>
      </c>
    </row>
    <row r="28">
      <c r="A28" t="n">
        <v>2556</v>
      </c>
      <c r="B28" t="inlineStr">
        <is>
          <t>902-14</t>
        </is>
      </c>
      <c r="C28" t="inlineStr">
        <is>
          <t>その他</t>
        </is>
      </c>
      <c r="D28" t="inlineStr">
        <is>
          <t>直売秋葉原</t>
        </is>
      </c>
      <c r="E28" t="inlineStr">
        <is>
          <t>1404-26</t>
        </is>
      </c>
      <c r="F28" t="inlineStr">
        <is>
          <t>ほうれん草 150g袋 (松信昌栄)不不　茨城産</t>
        </is>
      </c>
      <c r="G28" t="n">
        <v>5</v>
      </c>
      <c r="H28" t="inlineStr">
        <is>
          <t>1404-26</t>
        </is>
      </c>
      <c r="I28">
        <f>VLOOKUP(テーブル46[[#This Row],[商品コード2]],'[2]出荷予定表＆ご注文用紙'!$F$12:$F$144,2,0)</f>
        <v/>
      </c>
    </row>
    <row r="29">
      <c r="A29" t="n">
        <v>2556</v>
      </c>
      <c r="B29" t="inlineStr">
        <is>
          <t>902-14</t>
        </is>
      </c>
      <c r="C29" t="inlineStr">
        <is>
          <t>その他</t>
        </is>
      </c>
      <c r="D29" t="inlineStr">
        <is>
          <t>直売秋葉原</t>
        </is>
      </c>
      <c r="E29" t="inlineStr">
        <is>
          <t>1226-152</t>
        </is>
      </c>
      <c r="F29" t="inlineStr">
        <is>
          <t>有機玉ねぎ　600ｇ(渡辺)◇</t>
        </is>
      </c>
      <c r="G29" t="n">
        <v>5</v>
      </c>
      <c r="H29" t="inlineStr">
        <is>
          <t>1226-152</t>
        </is>
      </c>
      <c r="I29">
        <f>VLOOKUP(テーブル46[[#This Row],[商品コード2]],'[2]出荷予定表＆ご注文用紙'!$F$12:$F$144,2,0)</f>
        <v/>
      </c>
    </row>
    <row r="30">
      <c r="A30" t="n">
        <v>2556</v>
      </c>
      <c r="B30" t="inlineStr">
        <is>
          <t>902-14</t>
        </is>
      </c>
      <c r="C30" t="inlineStr">
        <is>
          <t>その他</t>
        </is>
      </c>
      <c r="D30" t="inlineStr">
        <is>
          <t>直売秋葉原</t>
        </is>
      </c>
      <c r="E30" t="inlineStr">
        <is>
          <t>1448-36</t>
        </is>
      </c>
      <c r="F30" t="inlineStr">
        <is>
          <t>有機春菊　100ｇ(わ～ふぁ)</t>
        </is>
      </c>
      <c r="G30" t="n">
        <v>5</v>
      </c>
      <c r="H30" t="inlineStr">
        <is>
          <t>1448-36</t>
        </is>
      </c>
      <c r="I30">
        <f>VLOOKUP(テーブル46[[#This Row],[商品コード2]],'[2]出荷予定表＆ご注文用紙'!$F$12:$F$144,2,0)</f>
        <v/>
      </c>
    </row>
    <row r="31">
      <c r="A31" t="n">
        <v>2556</v>
      </c>
      <c r="B31" t="inlineStr">
        <is>
          <t>902-14</t>
        </is>
      </c>
      <c r="C31" t="inlineStr">
        <is>
          <t>その他</t>
        </is>
      </c>
      <c r="D31" t="inlineStr">
        <is>
          <t>直売秋葉原</t>
        </is>
      </c>
      <c r="E31" t="inlineStr">
        <is>
          <t>1241-673</t>
        </is>
      </c>
      <c r="F31" t="inlineStr">
        <is>
          <t>有機人参　洗い　400g袋(まるた)</t>
        </is>
      </c>
      <c r="G31" t="n">
        <v>8</v>
      </c>
      <c r="H31" t="inlineStr">
        <is>
          <t>1241-673</t>
        </is>
      </c>
      <c r="I31">
        <f>VLOOKUP(テーブル46[[#This Row],[商品コード2]],'[2]出荷予定表＆ご注文用紙'!$F$12:$F$144,2,0)</f>
        <v/>
      </c>
    </row>
    <row r="32">
      <c r="A32" t="n">
        <v>2556</v>
      </c>
      <c r="B32" t="inlineStr">
        <is>
          <t>902-14</t>
        </is>
      </c>
      <c r="C32" t="inlineStr">
        <is>
          <t>その他</t>
        </is>
      </c>
      <c r="D32" t="inlineStr">
        <is>
          <t>直売秋葉原</t>
        </is>
      </c>
      <c r="E32" t="inlineStr">
        <is>
          <t>1419-1</t>
        </is>
      </c>
      <c r="F32" t="inlineStr">
        <is>
          <t>有機フリルケール　３枚入（わ～ふぁ）</t>
        </is>
      </c>
      <c r="G32" t="n">
        <v>3</v>
      </c>
      <c r="H32" t="inlineStr">
        <is>
          <t>1419-1</t>
        </is>
      </c>
      <c r="I32">
        <f>VLOOKUP(テーブル46[[#This Row],[商品コード2]],'[2]出荷予定表＆ご注文用紙'!$F$12:$F$144,2,0)</f>
        <v/>
      </c>
    </row>
    <row r="33">
      <c r="A33" t="n">
        <v>2556</v>
      </c>
      <c r="B33" t="inlineStr">
        <is>
          <t>902-14</t>
        </is>
      </c>
      <c r="C33" t="inlineStr">
        <is>
          <t>その他</t>
        </is>
      </c>
      <c r="D33" t="inlineStr">
        <is>
          <t>直売秋葉原</t>
        </is>
      </c>
      <c r="E33" t="inlineStr">
        <is>
          <t>1407-14</t>
        </is>
      </c>
      <c r="F33" t="inlineStr">
        <is>
          <t>有機ルッコラ 50g袋 (わ～ふぁ)</t>
        </is>
      </c>
      <c r="G33" t="n">
        <v>3</v>
      </c>
      <c r="H33" t="inlineStr">
        <is>
          <t>1407-14</t>
        </is>
      </c>
      <c r="I33">
        <f>VLOOKUP(テーブル46[[#This Row],[商品コード2]],'[2]出荷予定表＆ご注文用紙'!$F$12:$F$144,2,0)</f>
        <v/>
      </c>
    </row>
    <row r="34">
      <c r="A34" t="n">
        <v>2556</v>
      </c>
      <c r="B34" t="inlineStr">
        <is>
          <t>902-14</t>
        </is>
      </c>
      <c r="C34" t="inlineStr">
        <is>
          <t>その他</t>
        </is>
      </c>
      <c r="D34" t="inlineStr">
        <is>
          <t>直売秋葉原</t>
        </is>
      </c>
      <c r="E34" t="inlineStr">
        <is>
          <t>1838-12</t>
        </is>
      </c>
      <c r="F34" t="inlineStr">
        <is>
          <t>有機青ねぎ 100ｇ (大地と自然)</t>
        </is>
      </c>
      <c r="G34" t="n">
        <v>3</v>
      </c>
      <c r="H34" t="inlineStr">
        <is>
          <t>1838-12</t>
        </is>
      </c>
      <c r="I34">
        <f>VLOOKUP(テーブル46[[#This Row],[商品コード2]],'[2]出荷予定表＆ご注文用紙'!$F$12:$F$144,2,0)</f>
        <v/>
      </c>
    </row>
    <row r="35">
      <c r="A35" t="n">
        <v>2556</v>
      </c>
      <c r="B35" t="inlineStr">
        <is>
          <t>902-14</t>
        </is>
      </c>
      <c r="C35" t="inlineStr">
        <is>
          <t>その他</t>
        </is>
      </c>
      <c r="D35" t="inlineStr">
        <is>
          <t>直売秋葉原</t>
        </is>
      </c>
      <c r="E35" t="inlineStr">
        <is>
          <t>1409-195</t>
        </is>
      </c>
      <c r="F35" t="inlineStr">
        <is>
          <t>有機(転換中)小松菜　200g(キテレツ)</t>
        </is>
      </c>
      <c r="G35" t="n">
        <v>5</v>
      </c>
      <c r="H35" t="inlineStr">
        <is>
          <t>1409-195</t>
        </is>
      </c>
      <c r="I35" t="n">
        <v>228</v>
      </c>
    </row>
    <row r="36">
      <c r="A36" t="n">
        <v>2556</v>
      </c>
      <c r="B36" t="inlineStr">
        <is>
          <t>902-14</t>
        </is>
      </c>
      <c r="C36" t="inlineStr">
        <is>
          <t>その他</t>
        </is>
      </c>
      <c r="D36" t="inlineStr">
        <is>
          <t>直売秋葉原</t>
        </is>
      </c>
      <c r="E36" t="inlineStr">
        <is>
          <t>1413-31</t>
        </is>
      </c>
      <c r="F36" t="inlineStr">
        <is>
          <t>ちぢみほうれん草　200ｇ（松信)不不</t>
        </is>
      </c>
      <c r="G36" t="n">
        <v>5</v>
      </c>
      <c r="H36" t="inlineStr">
        <is>
          <t>1413-31</t>
        </is>
      </c>
      <c r="I36">
        <f>VLOOKUP(テーブル46[[#This Row],[商品コード2]],'[2]出荷予定表＆ご注文用紙'!$F$12:$F$144,2,0)</f>
        <v/>
      </c>
    </row>
    <row r="37">
      <c r="A37" t="n">
        <v>2556</v>
      </c>
      <c r="B37" t="inlineStr">
        <is>
          <t>902-14</t>
        </is>
      </c>
      <c r="C37" t="inlineStr">
        <is>
          <t>その他</t>
        </is>
      </c>
      <c r="D37" t="inlineStr">
        <is>
          <t>直売秋葉原</t>
        </is>
      </c>
      <c r="E37" t="inlineStr">
        <is>
          <t>1824-2</t>
        </is>
      </c>
      <c r="F37" t="inlineStr">
        <is>
          <t>有機パセリ 30g袋 (大地と自然)</t>
        </is>
      </c>
      <c r="G37" t="n">
        <v>2</v>
      </c>
      <c r="H37" t="inlineStr">
        <is>
          <t>1824-2</t>
        </is>
      </c>
      <c r="I37">
        <f>VLOOKUP(テーブル46[[#This Row],[商品コード2]],'[2]出荷予定表＆ご注文用紙'!$F$12:$F$144,2,0)</f>
        <v/>
      </c>
    </row>
    <row r="38">
      <c r="A38" t="n">
        <v>2556</v>
      </c>
      <c r="B38" t="inlineStr">
        <is>
          <t>902-14</t>
        </is>
      </c>
      <c r="C38" t="inlineStr">
        <is>
          <t>その他</t>
        </is>
      </c>
      <c r="D38" t="inlineStr">
        <is>
          <t>直売秋葉原</t>
        </is>
      </c>
      <c r="E38" t="inlineStr">
        <is>
          <t>1821-2</t>
        </is>
      </c>
      <c r="F38" t="inlineStr">
        <is>
          <t>エリンギ 100g (ミスズ)</t>
        </is>
      </c>
      <c r="G38" t="n">
        <v>3</v>
      </c>
      <c r="H38" t="inlineStr">
        <is>
          <t>1821-2</t>
        </is>
      </c>
      <c r="I38">
        <f>VLOOKUP(テーブル46[[#This Row],[商品コード2]],'[2]出荷予定表＆ご注文用紙'!$F$12:$F$144,2,0)</f>
        <v/>
      </c>
    </row>
    <row r="39">
      <c r="A39" t="n">
        <v>2556</v>
      </c>
      <c r="B39" t="inlineStr">
        <is>
          <t>902-14</t>
        </is>
      </c>
      <c r="C39" t="inlineStr">
        <is>
          <t>その他</t>
        </is>
      </c>
      <c r="D39" t="inlineStr">
        <is>
          <t>直売秋葉原</t>
        </is>
      </c>
      <c r="E39" t="inlineStr">
        <is>
          <t>1621-67</t>
        </is>
      </c>
      <c r="F39" t="inlineStr">
        <is>
          <t>きゅうり　２本袋(旭愛農)◇</t>
        </is>
      </c>
      <c r="G39" t="n">
        <v>5</v>
      </c>
      <c r="H39" t="inlineStr">
        <is>
          <t>1621-67</t>
        </is>
      </c>
      <c r="I39">
        <f>VLOOKUP(テーブル46[[#This Row],[商品コード2]],'[2]出荷予定表＆ご注文用紙'!$F$12:$F$144,2,0)</f>
        <v/>
      </c>
    </row>
    <row r="40">
      <c r="A40" t="n">
        <v>2556</v>
      </c>
      <c r="B40" t="inlineStr">
        <is>
          <t>902-14</t>
        </is>
      </c>
      <c r="C40" t="inlineStr">
        <is>
          <t>その他</t>
        </is>
      </c>
      <c r="D40" t="inlineStr">
        <is>
          <t>直売秋葉原</t>
        </is>
      </c>
      <c r="E40" t="inlineStr">
        <is>
          <t>1889-3</t>
        </is>
      </c>
      <c r="F40" t="inlineStr">
        <is>
          <t>有機大葉 １０枚ﾊﾟｯｸ (生々農園・産ﾊﾟ)</t>
        </is>
      </c>
      <c r="G40" t="n">
        <v>2</v>
      </c>
      <c r="H40" t="inlineStr">
        <is>
          <t>1889-3</t>
        </is>
      </c>
      <c r="I40">
        <f>VLOOKUP(テーブル46[[#This Row],[商品コード2]],'[2]出荷予定表＆ご注文用紙'!$F$12:$F$144,2,0)</f>
        <v/>
      </c>
    </row>
    <row r="41">
      <c r="A41" t="n">
        <v>2556</v>
      </c>
      <c r="B41" t="inlineStr">
        <is>
          <t>902-14</t>
        </is>
      </c>
      <c r="C41" t="inlineStr">
        <is>
          <t>その他</t>
        </is>
      </c>
      <c r="D41" t="inlineStr">
        <is>
          <t>直売秋葉原</t>
        </is>
      </c>
      <c r="E41" t="inlineStr">
        <is>
          <t>1820-5</t>
        </is>
      </c>
      <c r="F41" t="inlineStr">
        <is>
          <t>小粒なめこ 100ｇ(熊谷)</t>
        </is>
      </c>
      <c r="G41" t="n">
        <v>3</v>
      </c>
      <c r="H41" t="inlineStr">
        <is>
          <t>1820-5</t>
        </is>
      </c>
      <c r="I41">
        <f>VLOOKUP(テーブル46[[#This Row],[商品コード2]],'[2]出荷予定表＆ご注文用紙'!$F$12:$F$144,2,0)</f>
        <v/>
      </c>
    </row>
    <row r="42">
      <c r="A42" t="n">
        <v>2556</v>
      </c>
      <c r="B42" t="inlineStr">
        <is>
          <t>902-14</t>
        </is>
      </c>
      <c r="C42" t="inlineStr">
        <is>
          <t>その他</t>
        </is>
      </c>
      <c r="D42" t="inlineStr">
        <is>
          <t>直売秋葉原</t>
        </is>
      </c>
      <c r="E42" t="inlineStr">
        <is>
          <t>1804-5</t>
        </is>
      </c>
      <c r="F42" t="inlineStr">
        <is>
          <t>ｶｯﾄぶなしめじ 90ｇ(ﾐｽｽﾞ)</t>
        </is>
      </c>
      <c r="G42" t="n">
        <v>5</v>
      </c>
      <c r="H42" t="inlineStr">
        <is>
          <t>1804-5</t>
        </is>
      </c>
      <c r="I42">
        <f>VLOOKUP(テーブル46[[#This Row],[商品コード2]],'[2]出荷予定表＆ご注文用紙'!$F$12:$F$144,2,0)</f>
        <v/>
      </c>
    </row>
    <row r="43">
      <c r="A43" t="n">
        <v>2556</v>
      </c>
      <c r="B43" t="inlineStr">
        <is>
          <t>902-14</t>
        </is>
      </c>
      <c r="C43" t="inlineStr">
        <is>
          <t>その他</t>
        </is>
      </c>
      <c r="D43" t="inlineStr">
        <is>
          <t>直売秋葉原</t>
        </is>
      </c>
      <c r="E43" t="inlineStr">
        <is>
          <t>1883-55</t>
        </is>
      </c>
      <c r="F43" t="inlineStr">
        <is>
          <t>有機ﾍﾞﾋﾞｰﾘｰﾌ 30gﾊﾟｯｸ (HATAKE)</t>
        </is>
      </c>
      <c r="G43" t="n">
        <v>5</v>
      </c>
      <c r="H43" t="inlineStr">
        <is>
          <t>1883-55</t>
        </is>
      </c>
      <c r="I43">
        <f>VLOOKUP(テーブル46[[#This Row],[商品コード2]],'[2]出荷予定表＆ご注文用紙'!$F$12:$F$144,2,0)</f>
        <v/>
      </c>
    </row>
    <row r="44">
      <c r="A44" t="n">
        <v>2556</v>
      </c>
      <c r="B44" t="inlineStr">
        <is>
          <t>902-14</t>
        </is>
      </c>
      <c r="C44" t="inlineStr">
        <is>
          <t>その他</t>
        </is>
      </c>
      <c r="D44" t="inlineStr">
        <is>
          <t>直売秋葉原</t>
        </is>
      </c>
      <c r="E44" t="inlineStr">
        <is>
          <t>1812</t>
        </is>
      </c>
      <c r="F44" t="inlineStr">
        <is>
          <t>えのき茸 １００ｇ(ﾐｽｽﾞ)</t>
        </is>
      </c>
      <c r="G44" t="n">
        <v>5</v>
      </c>
      <c r="H44" t="inlineStr">
        <is>
          <t>1812</t>
        </is>
      </c>
      <c r="I44" t="n">
        <v>128</v>
      </c>
    </row>
    <row r="45">
      <c r="A45" s="14" t="n">
        <v>2556</v>
      </c>
      <c r="B45" s="5" t="inlineStr">
        <is>
          <t>902-14</t>
        </is>
      </c>
      <c r="C45" s="35" t="inlineStr">
        <is>
          <t>その他</t>
        </is>
      </c>
      <c r="D45" t="inlineStr">
        <is>
          <t>直売秋葉原</t>
        </is>
      </c>
      <c r="E45" t="inlineStr">
        <is>
          <t>1241-673</t>
        </is>
      </c>
      <c r="F45" t="inlineStr">
        <is>
          <t>有機人参　洗い　400g袋(まるた)</t>
        </is>
      </c>
      <c r="G45" t="n">
        <v>8</v>
      </c>
      <c r="H45" t="inlineStr">
        <is>
          <t>1241-673</t>
        </is>
      </c>
      <c r="I45" t="n">
        <v>248</v>
      </c>
    </row>
    <row r="46">
      <c r="A46" s="14" t="n">
        <v>2556</v>
      </c>
      <c r="B46" s="5" t="inlineStr">
        <is>
          <t>902-14</t>
        </is>
      </c>
      <c r="C46" s="35" t="inlineStr">
        <is>
          <t>その他</t>
        </is>
      </c>
      <c r="D46" t="inlineStr">
        <is>
          <t>直売秋葉原</t>
        </is>
      </c>
      <c r="E46" t="inlineStr">
        <is>
          <t>1004-14</t>
        </is>
      </c>
      <c r="F46" t="inlineStr">
        <is>
          <t>有機みかん 600g (和歌山)◇</t>
        </is>
      </c>
      <c r="G46" t="n">
        <v>10</v>
      </c>
      <c r="H46" t="inlineStr">
        <is>
          <t>1004-14</t>
        </is>
      </c>
      <c r="I46" t="n">
        <v>428</v>
      </c>
    </row>
    <row r="47">
      <c r="A47" s="14" t="n"/>
      <c r="B47" s="5" t="n"/>
      <c r="C47" s="35" t="n"/>
    </row>
    <row r="48">
      <c r="A48" s="14" t="n"/>
      <c r="B48" s="5" t="n"/>
      <c r="C48" s="35" t="n"/>
    </row>
    <row r="49">
      <c r="A49" s="14" t="n"/>
      <c r="B49" s="5" t="n"/>
      <c r="C49" s="35" t="n"/>
    </row>
    <row r="50">
      <c r="A50" s="14" t="n"/>
      <c r="B50" s="5" t="n"/>
      <c r="C50" s="35" t="n"/>
    </row>
    <row r="51">
      <c r="A51" s="14" t="n"/>
      <c r="B51" s="5" t="n"/>
      <c r="C51" s="35" t="n"/>
    </row>
    <row r="52">
      <c r="A52" s="14" t="n"/>
      <c r="B52" s="5" t="n"/>
      <c r="C52" s="35" t="n"/>
    </row>
    <row r="53">
      <c r="A53" s="14" t="n"/>
      <c r="B53" s="5" t="n"/>
      <c r="C53" s="35" t="n"/>
    </row>
    <row r="54">
      <c r="A54" s="14" t="n"/>
      <c r="B54" s="5" t="n"/>
      <c r="C54" s="35" t="n"/>
    </row>
    <row r="55">
      <c r="A55" s="14" t="n"/>
      <c r="B55" s="5" t="n"/>
      <c r="C55" s="35" t="n"/>
    </row>
    <row r="56">
      <c r="A56" s="14" t="n"/>
      <c r="B56" s="5" t="n"/>
      <c r="C56" s="35" t="n"/>
    </row>
    <row r="57">
      <c r="A57" s="14" t="n"/>
      <c r="B57" s="5" t="n"/>
      <c r="C57" s="35" t="n"/>
    </row>
    <row r="58">
      <c r="A58" s="14" t="n"/>
      <c r="B58" s="5" t="n"/>
      <c r="C58" s="35" t="n"/>
    </row>
    <row r="59">
      <c r="A59" s="14" t="n"/>
      <c r="B59" s="5" t="n"/>
      <c r="C59" s="35" t="n"/>
    </row>
    <row r="60">
      <c r="A60" s="14" t="n"/>
      <c r="B60" s="5" t="n"/>
      <c r="C60" s="35" t="n"/>
    </row>
    <row r="61">
      <c r="A61" s="14" t="n"/>
      <c r="B61" s="5" t="n"/>
      <c r="C61" s="35" t="n"/>
    </row>
    <row r="62">
      <c r="A62" s="14" t="n"/>
      <c r="B62" s="5" t="n"/>
      <c r="C62" s="35" t="n"/>
    </row>
    <row r="63">
      <c r="A63" s="14" t="n"/>
      <c r="B63" s="5" t="n"/>
      <c r="C63" s="35" t="n"/>
    </row>
    <row r="64">
      <c r="A64" s="14" t="n"/>
      <c r="B64" s="5" t="n"/>
      <c r="C64" s="35" t="n"/>
    </row>
    <row r="65">
      <c r="A65" s="14" t="n"/>
      <c r="B65" s="5" t="n"/>
      <c r="C65" s="35" t="n"/>
    </row>
    <row r="66">
      <c r="A66" s="14" t="n"/>
      <c r="B66" s="5" t="n"/>
      <c r="C66" s="35" t="n"/>
    </row>
  </sheetData>
  <pageMargins left="0.7" right="0.7" top="0.75" bottom="0.75" header="0.3" footer="0.3"/>
  <pageSetup orientation="portrait" paperSize="9"/>
  <tableParts count="1">
    <tablePart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hozumi</dc:creator>
  <dcterms:created xsi:type="dcterms:W3CDTF">2003-03-08T14:43:25Z</dcterms:created>
  <dcterms:modified xsi:type="dcterms:W3CDTF">2025-07-02T08:52:38Z</dcterms:modified>
  <cp:lastModifiedBy>HR TOGA</cp:lastModifiedBy>
  <cp:lastPrinted>2025-06-08T05:13:52Z</cp:lastPrinted>
</cp:coreProperties>
</file>